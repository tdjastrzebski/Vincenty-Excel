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473B33EC-DF77-441B-84F4-67E2401C74E5}" xr6:coauthVersionLast="34" xr6:coauthVersionMax="34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externalReferences>
    <externalReference r:id="rId2"/>
  </externalReference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C24" i="1"/>
  <c r="D24" i="1"/>
  <c r="C26" i="1"/>
  <c r="C30" i="1"/>
  <c r="D35" i="1"/>
  <c r="C35" i="1"/>
  <c r="C43" i="1" s="1"/>
  <c r="C29" i="1"/>
  <c r="C28" i="1"/>
  <c r="C39" i="1"/>
  <c r="C40" i="1"/>
  <c r="C42" i="1" s="1"/>
  <c r="C41" i="1"/>
</calcChain>
</file>

<file path=xl/sharedStrings.xml><?xml version="1.0" encoding="utf-8"?>
<sst xmlns="http://schemas.openxmlformats.org/spreadsheetml/2006/main" count="77" uniqueCount="65">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</sst>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CCE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  <xf numFmtId="0" fontId="2" fillId="8" borderId="0" xfId="0" applyFont="1" applyFill="1"/>
    <xf numFmtId="0" fontId="0" fillId="8" borderId="0" xfId="0" applyFill="1"/>
    <xf numFmtId="0" fontId="0" fillId="9" borderId="1" xfId="0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59532</xdr:colOff>
      <xdr:row>27</xdr:row>
      <xdr:rowOff>126206</xdr:rowOff>
    </xdr:from>
    <xdr:to>
      <xdr:col>3</xdr:col>
      <xdr:colOff>619286</xdr:colOff>
      <xdr:row>36</xdr:row>
      <xdr:rowOff>94463</xdr:rowOff>
    </xdr:to>
    <xdr:sp macro="" textlink="">
      <xdr:nvSpPr>
        <xdr:cNvPr id="7" name="Freeform: Shape 6">
          <a:extLst>
            <a:ext uri="{FF2B5EF4-FFF2-40B4-BE49-F238E27FC236}">
              <a16:creationId xmlns:a16="http://schemas.microsoft.com/office/drawing/2014/main" id="{47337827-A78D-4963-BA08-44092AAA79C8}"/>
            </a:ext>
          </a:extLst>
        </xdr:cNvPr>
        <xdr:cNvSpPr/>
      </xdr:nvSpPr>
      <xdr:spPr>
        <a:xfrm>
          <a:off x="3683001" y="5186362"/>
          <a:ext cx="559754" cy="1627195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59615"/>
            <a:gd name="connsiteY0" fmla="*/ 0 h 1638300"/>
            <a:gd name="connsiteX1" fmla="*/ 559595 w 559615"/>
            <a:gd name="connsiteY1" fmla="*/ 850063 h 1638300"/>
            <a:gd name="connsiteX2" fmla="*/ 12700 w 559615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850063 h 1638300"/>
            <a:gd name="connsiteX2" fmla="*/ 12700 w 559754"/>
            <a:gd name="connsiteY2" fmla="*/ 1638300 h 1638300"/>
            <a:gd name="connsiteX0" fmla="*/ 0 w 559754"/>
            <a:gd name="connsiteY0" fmla="*/ 0 h 1638300"/>
            <a:gd name="connsiteX1" fmla="*/ 559595 w 559754"/>
            <a:gd name="connsiteY1" fmla="*/ 786130 h 1638300"/>
            <a:gd name="connsiteX2" fmla="*/ 12700 w 559754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59754" h="1638300">
              <a:moveTo>
                <a:pt x="0" y="0"/>
              </a:moveTo>
              <a:cubicBezTo>
                <a:pt x="396345" y="72830"/>
                <a:pt x="553509" y="405193"/>
                <a:pt x="559595" y="786130"/>
              </a:cubicBezTo>
              <a:cubicBezTo>
                <a:pt x="565681" y="1167067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45242</xdr:colOff>
      <xdr:row>28</xdr:row>
      <xdr:rowOff>115094</xdr:rowOff>
    </xdr:from>
    <xdr:to>
      <xdr:col>3</xdr:col>
      <xdr:colOff>353241</xdr:colOff>
      <xdr:row>35</xdr:row>
      <xdr:rowOff>84145</xdr:rowOff>
    </xdr:to>
    <xdr:sp macro="" textlink="">
      <xdr:nvSpPr>
        <xdr:cNvPr id="9" name="Freeform: Shape 8">
          <a:extLst>
            <a:ext uri="{FF2B5EF4-FFF2-40B4-BE49-F238E27FC236}">
              <a16:creationId xmlns:a16="http://schemas.microsoft.com/office/drawing/2014/main" id="{3469C685-1A95-4EDC-A893-BFA7C9B55319}"/>
            </a:ext>
          </a:extLst>
        </xdr:cNvPr>
        <xdr:cNvSpPr/>
      </xdr:nvSpPr>
      <xdr:spPr>
        <a:xfrm>
          <a:off x="3668711" y="5357813"/>
          <a:ext cx="307999" cy="1262863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  <a:gd name="connsiteX0" fmla="*/ 0 w 444990"/>
            <a:gd name="connsiteY0" fmla="*/ 0 h 1638300"/>
            <a:gd name="connsiteX1" fmla="*/ 444928 w 444990"/>
            <a:gd name="connsiteY1" fmla="*/ 846068 h 1638300"/>
            <a:gd name="connsiteX2" fmla="*/ 12700 w 44499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44990" h="1638300">
              <a:moveTo>
                <a:pt x="0" y="0"/>
              </a:moveTo>
              <a:cubicBezTo>
                <a:pt x="439150" y="75672"/>
                <a:pt x="442811" y="573018"/>
                <a:pt x="444928" y="846068"/>
              </a:cubicBezTo>
              <a:cubicBezTo>
                <a:pt x="447045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rgbClr val="FF0000">
              <a:alpha val="62000"/>
            </a:srgbClr>
          </a:solidFill>
          <a:prstDash val="sysDash"/>
          <a:tailEnd type="triangl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102392</xdr:colOff>
      <xdr:row>24</xdr:row>
      <xdr:rowOff>83345</xdr:rowOff>
    </xdr:from>
    <xdr:to>
      <xdr:col>3</xdr:col>
      <xdr:colOff>920749</xdr:colOff>
      <xdr:row>40</xdr:row>
      <xdr:rowOff>109546</xdr:rowOff>
    </xdr:to>
    <xdr:sp macro="" textlink="">
      <xdr:nvSpPr>
        <xdr:cNvPr id="10" name="Freeform: Shape 9">
          <a:extLst>
            <a:ext uri="{FF2B5EF4-FFF2-40B4-BE49-F238E27FC236}">
              <a16:creationId xmlns:a16="http://schemas.microsoft.com/office/drawing/2014/main" id="{6DAFDAAE-1C55-4FF8-BA6D-BC42E0AC1D1C}"/>
            </a:ext>
          </a:extLst>
        </xdr:cNvPr>
        <xdr:cNvSpPr/>
      </xdr:nvSpPr>
      <xdr:spPr>
        <a:xfrm>
          <a:off x="3725861" y="4595814"/>
          <a:ext cx="818357" cy="2963076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08030" h="1638300">
              <a:moveTo>
                <a:pt x="0" y="0"/>
              </a:moveTo>
              <a:cubicBezTo>
                <a:pt x="369668" y="36934"/>
                <a:pt x="505884" y="573018"/>
                <a:pt x="508001" y="846068"/>
              </a:cubicBezTo>
              <a:cubicBezTo>
                <a:pt x="510118" y="1119118"/>
                <a:pt x="397669" y="1622429"/>
                <a:pt x="12700" y="1638300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non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120469</xdr:colOff>
      <xdr:row>24</xdr:row>
      <xdr:rowOff>83344</xdr:rowOff>
    </xdr:from>
    <xdr:to>
      <xdr:col>4</xdr:col>
      <xdr:colOff>634042</xdr:colOff>
      <xdr:row>41</xdr:row>
      <xdr:rowOff>99221</xdr:rowOff>
    </xdr:to>
    <xdr:sp macro="" textlink="">
      <xdr:nvSpPr>
        <xdr:cNvPr id="11" name="Freeform: Shape 10">
          <a:extLst>
            <a:ext uri="{FF2B5EF4-FFF2-40B4-BE49-F238E27FC236}">
              <a16:creationId xmlns:a16="http://schemas.microsoft.com/office/drawing/2014/main" id="{81CC15A7-7E65-44B8-A17A-0C53A0D67154}"/>
            </a:ext>
          </a:extLst>
        </xdr:cNvPr>
        <xdr:cNvSpPr/>
      </xdr:nvSpPr>
      <xdr:spPr>
        <a:xfrm>
          <a:off x="3743938" y="4595813"/>
          <a:ext cx="2378885" cy="3135314"/>
        </a:xfrm>
        <a:custGeom>
          <a:avLst/>
          <a:gdLst>
            <a:gd name="connsiteX0" fmla="*/ 0 w 523456"/>
            <a:gd name="connsiteY0" fmla="*/ 0 h 1639450"/>
            <a:gd name="connsiteX1" fmla="*/ 444500 w 523456"/>
            <a:gd name="connsiteY1" fmla="*/ 488950 h 1639450"/>
            <a:gd name="connsiteX2" fmla="*/ 482600 w 523456"/>
            <a:gd name="connsiteY2" fmla="*/ 1244600 h 1639450"/>
            <a:gd name="connsiteX3" fmla="*/ 12700 w 523456"/>
            <a:gd name="connsiteY3" fmla="*/ 1638300 h 1639450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9353"/>
            <a:gd name="connsiteX1" fmla="*/ 508000 w 557763"/>
            <a:gd name="connsiteY1" fmla="*/ 622300 h 1639353"/>
            <a:gd name="connsiteX2" fmla="*/ 482600 w 557763"/>
            <a:gd name="connsiteY2" fmla="*/ 1244600 h 1639353"/>
            <a:gd name="connsiteX3" fmla="*/ 12700 w 557763"/>
            <a:gd name="connsiteY3" fmla="*/ 1638300 h 1639353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57763"/>
            <a:gd name="connsiteY0" fmla="*/ 0 h 1638300"/>
            <a:gd name="connsiteX1" fmla="*/ 508000 w 557763"/>
            <a:gd name="connsiteY1" fmla="*/ 622300 h 1638300"/>
            <a:gd name="connsiteX2" fmla="*/ 482600 w 557763"/>
            <a:gd name="connsiteY2" fmla="*/ 1244600 h 1638300"/>
            <a:gd name="connsiteX3" fmla="*/ 12700 w 557763"/>
            <a:gd name="connsiteY3" fmla="*/ 1638300 h 1638300"/>
            <a:gd name="connsiteX0" fmla="*/ 0 w 508008"/>
            <a:gd name="connsiteY0" fmla="*/ 0 h 1638300"/>
            <a:gd name="connsiteX1" fmla="*/ 508000 w 508008"/>
            <a:gd name="connsiteY1" fmla="*/ 622300 h 1638300"/>
            <a:gd name="connsiteX2" fmla="*/ 12700 w 508008"/>
            <a:gd name="connsiteY2" fmla="*/ 1638300 h 1638300"/>
            <a:gd name="connsiteX0" fmla="*/ 0 w 619131"/>
            <a:gd name="connsiteY0" fmla="*/ 0 h 1638300"/>
            <a:gd name="connsiteX1" fmla="*/ 619125 w 619131"/>
            <a:gd name="connsiteY1" fmla="*/ 850063 h 1638300"/>
            <a:gd name="connsiteX2" fmla="*/ 12700 w 619131"/>
            <a:gd name="connsiteY2" fmla="*/ 1638300 h 1638300"/>
            <a:gd name="connsiteX0" fmla="*/ 0 w 619139"/>
            <a:gd name="connsiteY0" fmla="*/ 0 h 1638300"/>
            <a:gd name="connsiteX1" fmla="*/ 619125 w 619139"/>
            <a:gd name="connsiteY1" fmla="*/ 850063 h 1638300"/>
            <a:gd name="connsiteX2" fmla="*/ 12700 w 619139"/>
            <a:gd name="connsiteY2" fmla="*/ 1638300 h 1638300"/>
            <a:gd name="connsiteX0" fmla="*/ 0 w 591360"/>
            <a:gd name="connsiteY0" fmla="*/ 0 h 1638300"/>
            <a:gd name="connsiteX1" fmla="*/ 591344 w 591360"/>
            <a:gd name="connsiteY1" fmla="*/ 854059 h 1638300"/>
            <a:gd name="connsiteX2" fmla="*/ 12700 w 591360"/>
            <a:gd name="connsiteY2" fmla="*/ 1638300 h 1638300"/>
            <a:gd name="connsiteX0" fmla="*/ 0 w 508030"/>
            <a:gd name="connsiteY0" fmla="*/ 0 h 1638300"/>
            <a:gd name="connsiteX1" fmla="*/ 508001 w 508030"/>
            <a:gd name="connsiteY1" fmla="*/ 846068 h 1638300"/>
            <a:gd name="connsiteX2" fmla="*/ 12700 w 508030"/>
            <a:gd name="connsiteY2" fmla="*/ 1638300 h 1638300"/>
            <a:gd name="connsiteX0" fmla="*/ 1078751 w 1633528"/>
            <a:gd name="connsiteY0" fmla="*/ 0 h 1649565"/>
            <a:gd name="connsiteX1" fmla="*/ 1586752 w 1633528"/>
            <a:gd name="connsiteY1" fmla="*/ 846068 h 1649565"/>
            <a:gd name="connsiteX2" fmla="*/ 0 w 1633528"/>
            <a:gd name="connsiteY2" fmla="*/ 1649565 h 1649565"/>
            <a:gd name="connsiteX0" fmla="*/ 1078751 w 1634940"/>
            <a:gd name="connsiteY0" fmla="*/ 0 h 1649565"/>
            <a:gd name="connsiteX1" fmla="*/ 1586752 w 1634940"/>
            <a:gd name="connsiteY1" fmla="*/ 846068 h 1649565"/>
            <a:gd name="connsiteX2" fmla="*/ 0 w 1634940"/>
            <a:gd name="connsiteY2" fmla="*/ 1649565 h 1649565"/>
            <a:gd name="connsiteX0" fmla="*/ 1078751 w 1346648"/>
            <a:gd name="connsiteY0" fmla="*/ 0 h 1649565"/>
            <a:gd name="connsiteX1" fmla="*/ 1224577 w 1346648"/>
            <a:gd name="connsiteY1" fmla="*/ 1217812 h 1649565"/>
            <a:gd name="connsiteX2" fmla="*/ 0 w 1346648"/>
            <a:gd name="connsiteY2" fmla="*/ 1649565 h 1649565"/>
            <a:gd name="connsiteX0" fmla="*/ 1078751 w 1374921"/>
            <a:gd name="connsiteY0" fmla="*/ 0 h 1649565"/>
            <a:gd name="connsiteX1" fmla="*/ 1268925 w 1374921"/>
            <a:gd name="connsiteY1" fmla="*/ 1086388 h 1649565"/>
            <a:gd name="connsiteX2" fmla="*/ 0 w 1374921"/>
            <a:gd name="connsiteY2" fmla="*/ 1649565 h 1649565"/>
            <a:gd name="connsiteX0" fmla="*/ 1078751 w 1343683"/>
            <a:gd name="connsiteY0" fmla="*/ 0 h 1649565"/>
            <a:gd name="connsiteX1" fmla="*/ 1219650 w 1343683"/>
            <a:gd name="connsiteY1" fmla="*/ 1077000 h 1649565"/>
            <a:gd name="connsiteX2" fmla="*/ 0 w 1343683"/>
            <a:gd name="connsiteY2" fmla="*/ 1649565 h 1649565"/>
            <a:gd name="connsiteX0" fmla="*/ 1110780 w 1377940"/>
            <a:gd name="connsiteY0" fmla="*/ 0 h 1649565"/>
            <a:gd name="connsiteX1" fmla="*/ 1251679 w 1377940"/>
            <a:gd name="connsiteY1" fmla="*/ 1077000 h 1649565"/>
            <a:gd name="connsiteX2" fmla="*/ 0 w 1377940"/>
            <a:gd name="connsiteY2" fmla="*/ 1649565 h 1649565"/>
            <a:gd name="connsiteX0" fmla="*/ 1110780 w 1412601"/>
            <a:gd name="connsiteY0" fmla="*/ 0 h 1649565"/>
            <a:gd name="connsiteX1" fmla="*/ 1305882 w 1412601"/>
            <a:gd name="connsiteY1" fmla="*/ 1041328 h 1649565"/>
            <a:gd name="connsiteX2" fmla="*/ 0 w 1412601"/>
            <a:gd name="connsiteY2" fmla="*/ 1649565 h 1649565"/>
            <a:gd name="connsiteX0" fmla="*/ 1110780 w 1458395"/>
            <a:gd name="connsiteY0" fmla="*/ 0 h 1649565"/>
            <a:gd name="connsiteX1" fmla="*/ 1305882 w 1458395"/>
            <a:gd name="connsiteY1" fmla="*/ 1041328 h 1649565"/>
            <a:gd name="connsiteX2" fmla="*/ 0 w 1458395"/>
            <a:gd name="connsiteY2" fmla="*/ 1649565 h 1649565"/>
            <a:gd name="connsiteX0" fmla="*/ 1128027 w 1476795"/>
            <a:gd name="connsiteY0" fmla="*/ 0 h 1649565"/>
            <a:gd name="connsiteX1" fmla="*/ 1323129 w 1476795"/>
            <a:gd name="connsiteY1" fmla="*/ 1041328 h 1649565"/>
            <a:gd name="connsiteX2" fmla="*/ 0 w 1476795"/>
            <a:gd name="connsiteY2" fmla="*/ 1649565 h 1649565"/>
            <a:gd name="connsiteX0" fmla="*/ 1128027 w 1476795"/>
            <a:gd name="connsiteY0" fmla="*/ 0 h 1649566"/>
            <a:gd name="connsiteX1" fmla="*/ 1323129 w 1476795"/>
            <a:gd name="connsiteY1" fmla="*/ 1041328 h 1649566"/>
            <a:gd name="connsiteX2" fmla="*/ 0 w 1476795"/>
            <a:gd name="connsiteY2" fmla="*/ 1649565 h 16495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476795" h="1649566">
              <a:moveTo>
                <a:pt x="1128027" y="0"/>
              </a:moveTo>
              <a:cubicBezTo>
                <a:pt x="1606102" y="26778"/>
                <a:pt x="1511133" y="766401"/>
                <a:pt x="1323129" y="1041328"/>
              </a:cubicBezTo>
              <a:cubicBezTo>
                <a:pt x="1135125" y="1316255"/>
                <a:pt x="387433" y="1650398"/>
                <a:pt x="0" y="1649565"/>
              </a:cubicBezTo>
            </a:path>
          </a:pathLst>
        </a:custGeom>
        <a:noFill/>
        <a:ln w="19050">
          <a:solidFill>
            <a:schemeClr val="accent6">
              <a:lumMod val="75000"/>
              <a:alpha val="62000"/>
            </a:schemeClr>
          </a:solidFill>
          <a:prstDash val="sysDash"/>
          <a:headEnd type="triangle" w="lg" len="med"/>
          <a:tailEnd type="none" w="lg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omas/AppData/Roaming/Microsoft/AddIns/Vincenty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ncenty formulae"/>
    </sheetNames>
    <definedNames>
      <definedName name="ConvertDecimal"/>
      <definedName name="ConvertDegrees"/>
      <definedName name="vincentyDirLat"/>
      <definedName name="VincentyDirLon"/>
      <definedName name="VincentyDirRevAzimuth"/>
      <definedName name="VincentyInvDistance"/>
      <definedName name="VincentyInvFwdAzimuth"/>
      <definedName name="VincentyInvRevAzimuth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topLeftCell="B7" zoomScale="160" zoomScaleNormal="160" workbookViewId="0">
      <selection activeCell="D8" sqref="D8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2.7265625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53</v>
      </c>
      <c r="H2" s="2"/>
      <c r="I2" s="2"/>
      <c r="K2" s="3"/>
      <c r="L2" s="3"/>
      <c r="Q2" s="1"/>
    </row>
    <row r="3" spans="2:17" x14ac:dyDescent="0.35">
      <c r="B3" s="4" t="s">
        <v>50</v>
      </c>
      <c r="H3" s="2"/>
      <c r="I3" s="2"/>
      <c r="K3" s="3"/>
      <c r="L3" s="3"/>
      <c r="Q3" s="1"/>
    </row>
    <row r="4" spans="2:17" s="5" customFormat="1" x14ac:dyDescent="0.35">
      <c r="B4" s="4" t="s">
        <v>51</v>
      </c>
      <c r="H4" s="2"/>
      <c r="I4" s="2"/>
      <c r="K4" s="3"/>
      <c r="L4" s="3"/>
      <c r="Q4" s="1"/>
    </row>
    <row r="5" spans="2:17" s="5" customFormat="1" x14ac:dyDescent="0.35">
      <c r="H5" s="2"/>
      <c r="I5" s="2"/>
      <c r="K5" s="3"/>
      <c r="L5" s="3"/>
      <c r="Q5" s="1"/>
    </row>
    <row r="6" spans="2:17" x14ac:dyDescent="0.35">
      <c r="B6" s="4" t="s">
        <v>49</v>
      </c>
      <c r="H6" s="2"/>
      <c r="I6" s="2"/>
      <c r="L6" s="3"/>
      <c r="Q6" s="1"/>
    </row>
    <row r="7" spans="2:17" s="5" customFormat="1" x14ac:dyDescent="0.35">
      <c r="B7" s="3" t="s">
        <v>1</v>
      </c>
      <c r="H7" s="2"/>
      <c r="I7" s="2"/>
      <c r="L7" s="3"/>
      <c r="Q7" s="1"/>
    </row>
    <row r="8" spans="2:17" s="5" customFormat="1" x14ac:dyDescent="0.35">
      <c r="H8" s="2"/>
      <c r="I8" s="2"/>
      <c r="L8" s="3"/>
      <c r="Q8" s="1"/>
    </row>
    <row r="9" spans="2:17" x14ac:dyDescent="0.35">
      <c r="B9" s="4" t="s">
        <v>45</v>
      </c>
    </row>
    <row r="10" spans="2:17" x14ac:dyDescent="0.35">
      <c r="B10" s="3" t="s">
        <v>44</v>
      </c>
    </row>
    <row r="12" spans="2:17" s="5" customFormat="1" x14ac:dyDescent="0.35">
      <c r="B12" s="4" t="s">
        <v>52</v>
      </c>
    </row>
    <row r="13" spans="2:17" s="5" customFormat="1" x14ac:dyDescent="0.35">
      <c r="B13" s="3" t="s">
        <v>0</v>
      </c>
    </row>
    <row r="14" spans="2:17" s="5" customFormat="1" x14ac:dyDescent="0.35">
      <c r="B14" s="3" t="s">
        <v>13</v>
      </c>
    </row>
    <row r="15" spans="2:17" s="5" customFormat="1" x14ac:dyDescent="0.35">
      <c r="B15" s="3"/>
    </row>
    <row r="16" spans="2:17" s="5" customFormat="1" ht="15.5" x14ac:dyDescent="0.35">
      <c r="B16" s="18" t="s">
        <v>47</v>
      </c>
      <c r="C16" s="19"/>
      <c r="D16" s="19"/>
      <c r="E16" s="19"/>
      <c r="F16" s="19"/>
      <c r="G16" s="19"/>
    </row>
    <row r="17" spans="2:7" s="5" customFormat="1" ht="15.5" x14ac:dyDescent="0.35">
      <c r="B17" s="18" t="s">
        <v>48</v>
      </c>
      <c r="C17" s="19"/>
      <c r="D17" s="19"/>
      <c r="E17" s="19"/>
      <c r="F17" s="19"/>
      <c r="G17" s="19"/>
    </row>
    <row r="19" spans="2:7" s="5" customFormat="1" x14ac:dyDescent="0.35">
      <c r="B19" s="24" t="s">
        <v>64</v>
      </c>
      <c r="C19" s="25"/>
      <c r="D19" s="25"/>
      <c r="E19" s="25"/>
      <c r="F19" s="25"/>
      <c r="G19" s="25"/>
    </row>
    <row r="20" spans="2:7" s="5" customFormat="1" x14ac:dyDescent="0.35"/>
    <row r="21" spans="2:7" ht="15.5" x14ac:dyDescent="0.35">
      <c r="B21" s="22" t="s">
        <v>33</v>
      </c>
      <c r="C21" s="23"/>
      <c r="D21" s="23"/>
      <c r="E21" s="23"/>
      <c r="F21" s="23"/>
      <c r="G21" s="23"/>
    </row>
    <row r="22" spans="2:7" s="5" customFormat="1" x14ac:dyDescent="0.35">
      <c r="B22" s="4" t="s">
        <v>29</v>
      </c>
      <c r="E22" s="4" t="s">
        <v>40</v>
      </c>
    </row>
    <row r="23" spans="2:7" x14ac:dyDescent="0.35">
      <c r="B23" s="12" t="s">
        <v>17</v>
      </c>
      <c r="C23" s="26" t="s">
        <v>60</v>
      </c>
      <c r="D23" s="26" t="s">
        <v>62</v>
      </c>
      <c r="E23" s="13"/>
      <c r="F23" s="14"/>
      <c r="G23" s="15"/>
    </row>
    <row r="24" spans="2:7" x14ac:dyDescent="0.35">
      <c r="B24" s="9" t="s">
        <v>36</v>
      </c>
      <c r="C24" s="9">
        <f>[1]!ConvertDecimal(C23)</f>
        <v>-37.951033416666668</v>
      </c>
      <c r="D24" s="9">
        <f>[1]!ConvertDecimal(D23)</f>
        <v>144.42486788888888</v>
      </c>
      <c r="E24" s="21" t="s">
        <v>46</v>
      </c>
      <c r="F24" s="14"/>
      <c r="G24" s="15"/>
    </row>
    <row r="25" spans="2:7" s="5" customFormat="1" x14ac:dyDescent="0.35">
      <c r="B25" s="12" t="s">
        <v>18</v>
      </c>
      <c r="C25" s="10" t="s">
        <v>61</v>
      </c>
      <c r="D25" s="10" t="s">
        <v>63</v>
      </c>
      <c r="E25" s="13"/>
      <c r="F25" s="14"/>
      <c r="G25" s="15"/>
    </row>
    <row r="26" spans="2:7" x14ac:dyDescent="0.35">
      <c r="B26" s="9" t="s">
        <v>37</v>
      </c>
      <c r="C26" s="9">
        <f>[1]!ConvertDecimal(C25)</f>
        <v>-37.652821138888889</v>
      </c>
      <c r="D26" s="9">
        <f>[1]!ConvertDecimal(D25)</f>
        <v>143.92649552777777</v>
      </c>
      <c r="E26" s="21" t="s">
        <v>46</v>
      </c>
      <c r="F26" s="14"/>
      <c r="G26" s="15"/>
    </row>
    <row r="27" spans="2:7" s="5" customFormat="1" x14ac:dyDescent="0.35">
      <c r="B27" s="4" t="s">
        <v>39</v>
      </c>
      <c r="E27" s="4"/>
    </row>
    <row r="28" spans="2:7" x14ac:dyDescent="0.35">
      <c r="B28" s="11" t="s">
        <v>16</v>
      </c>
      <c r="C28" s="11">
        <f>[1]!VincentyInvDistance(C24,D24,C26,D26)</f>
        <v>54972.271142042664</v>
      </c>
      <c r="E28" s="13" t="s">
        <v>21</v>
      </c>
      <c r="F28" s="14"/>
      <c r="G28" s="15"/>
    </row>
    <row r="29" spans="2:7" s="5" customFormat="1" x14ac:dyDescent="0.35">
      <c r="B29" s="11" t="s">
        <v>19</v>
      </c>
      <c r="C29" s="11">
        <f>[1]!VincentyInvFwdAzimuth(C24,D24,C26,D26)</f>
        <v>306.86815920330764</v>
      </c>
      <c r="E29" s="13" t="s">
        <v>23</v>
      </c>
      <c r="F29" s="14"/>
      <c r="G29" s="15"/>
    </row>
    <row r="30" spans="2:7" s="5" customFormat="1" x14ac:dyDescent="0.35">
      <c r="B30" s="11" t="s">
        <v>20</v>
      </c>
      <c r="C30" s="11">
        <f>[1]!VincentyInvRevAzimuth(C24,D24,C26,D26)</f>
        <v>307.1736306294444</v>
      </c>
      <c r="E30" s="13" t="s">
        <v>24</v>
      </c>
      <c r="F30" s="14"/>
      <c r="G30" s="15"/>
    </row>
    <row r="32" spans="2:7" ht="15.5" x14ac:dyDescent="0.35">
      <c r="B32" s="22" t="s">
        <v>41</v>
      </c>
      <c r="C32" s="23"/>
      <c r="D32" s="23"/>
      <c r="E32" s="23"/>
      <c r="F32" s="23"/>
      <c r="G32" s="23"/>
    </row>
    <row r="33" spans="2:7" s="5" customFormat="1" x14ac:dyDescent="0.35">
      <c r="B33" s="4" t="s">
        <v>29</v>
      </c>
      <c r="E33" s="4" t="s">
        <v>40</v>
      </c>
    </row>
    <row r="34" spans="2:7" x14ac:dyDescent="0.35">
      <c r="B34" s="12" t="s">
        <v>17</v>
      </c>
      <c r="C34" s="26" t="s">
        <v>14</v>
      </c>
      <c r="D34" s="26" t="s">
        <v>15</v>
      </c>
      <c r="E34" s="13"/>
      <c r="F34" s="14"/>
      <c r="G34" s="15"/>
    </row>
    <row r="35" spans="2:7" s="5" customFormat="1" x14ac:dyDescent="0.35">
      <c r="B35" s="9" t="s">
        <v>36</v>
      </c>
      <c r="C35" s="9">
        <f>[1]!ConvertDecimal(C34)</f>
        <v>-37.951033416666668</v>
      </c>
      <c r="D35" s="9">
        <f>[1]!ConvertDecimal(D34)</f>
        <v>144.42486788888888</v>
      </c>
      <c r="E35" s="21" t="s">
        <v>46</v>
      </c>
      <c r="F35" s="14"/>
      <c r="G35" s="15"/>
    </row>
    <row r="36" spans="2:7" x14ac:dyDescent="0.3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35">
      <c r="B37" s="9" t="s">
        <v>16</v>
      </c>
      <c r="C37" s="9">
        <v>54972.271142042664</v>
      </c>
      <c r="D37" s="9"/>
      <c r="E37" s="13"/>
      <c r="F37" s="14"/>
      <c r="G37" s="15"/>
    </row>
    <row r="38" spans="2:7" s="5" customFormat="1" x14ac:dyDescent="0.35">
      <c r="B38" s="4" t="s">
        <v>39</v>
      </c>
    </row>
    <row r="39" spans="2:7" x14ac:dyDescent="0.35">
      <c r="B39" s="11" t="s">
        <v>22</v>
      </c>
      <c r="C39" s="16">
        <f>[1]!vincentyDirLat(C35,D35,C36,C37)</f>
        <v>-37.652821138864894</v>
      </c>
      <c r="E39" s="13" t="s">
        <v>25</v>
      </c>
      <c r="F39" s="14"/>
      <c r="G39" s="15"/>
    </row>
    <row r="40" spans="2:7" x14ac:dyDescent="0.35">
      <c r="B40" s="11" t="s">
        <v>27</v>
      </c>
      <c r="C40" s="16">
        <f>[1]!VincentyDirLon(C35,D35,C36,C37)</f>
        <v>143.92649552774759</v>
      </c>
      <c r="E40" s="13" t="s">
        <v>26</v>
      </c>
      <c r="F40" s="14"/>
      <c r="G40" s="15"/>
    </row>
    <row r="41" spans="2:7" x14ac:dyDescent="0.35">
      <c r="B41" s="11" t="s">
        <v>22</v>
      </c>
      <c r="C41" s="16" t="str">
        <f>[1]!ConvertDegrees(C39)</f>
        <v>-37° 39' 10.1561"</v>
      </c>
      <c r="E41" s="13" t="s">
        <v>34</v>
      </c>
      <c r="F41" s="14"/>
      <c r="G41" s="15"/>
    </row>
    <row r="42" spans="2:7" x14ac:dyDescent="0.35">
      <c r="B42" s="11" t="s">
        <v>27</v>
      </c>
      <c r="C42" s="16" t="str">
        <f>[1]!ConvertDegrees(C40)</f>
        <v>143° 55' 35.3839"</v>
      </c>
      <c r="E42" s="13" t="s">
        <v>35</v>
      </c>
      <c r="F42" s="14"/>
      <c r="G42" s="15"/>
    </row>
    <row r="43" spans="2:7" s="5" customFormat="1" x14ac:dyDescent="0.35">
      <c r="B43" s="11" t="s">
        <v>20</v>
      </c>
      <c r="C43" s="16">
        <f>[1]!VincentyDirRevAzimuth(C35,D35,C36,C37)</f>
        <v>307.17363062946856</v>
      </c>
      <c r="E43" s="13" t="s">
        <v>28</v>
      </c>
      <c r="F43" s="14"/>
      <c r="G43" s="15"/>
    </row>
    <row r="44" spans="2:7" s="5" customFormat="1" x14ac:dyDescent="0.35"/>
    <row r="46" spans="2:7" x14ac:dyDescent="0.35">
      <c r="B46" t="s">
        <v>38</v>
      </c>
    </row>
    <row r="47" spans="2:7" s="5" customFormat="1" x14ac:dyDescent="0.35">
      <c r="B47" s="5" t="s">
        <v>42</v>
      </c>
      <c r="E47" s="7"/>
      <c r="F47" s="8" t="s">
        <v>31</v>
      </c>
      <c r="G47" s="8" t="s">
        <v>32</v>
      </c>
    </row>
    <row r="48" spans="2:7" x14ac:dyDescent="0.35">
      <c r="B48" s="3" t="s">
        <v>9</v>
      </c>
      <c r="E48" s="8" t="s">
        <v>54</v>
      </c>
      <c r="F48" s="6">
        <v>5.0000000000000001E-9</v>
      </c>
      <c r="G48" s="6">
        <v>0</v>
      </c>
    </row>
    <row r="49" spans="2:7" x14ac:dyDescent="0.35">
      <c r="B49" s="3" t="s">
        <v>2</v>
      </c>
      <c r="E49" s="8" t="s">
        <v>55</v>
      </c>
      <c r="F49" s="6">
        <v>2.0000000000000001E-9</v>
      </c>
      <c r="G49" s="6">
        <v>1.0000000000000001E-9</v>
      </c>
    </row>
    <row r="50" spans="2:7" x14ac:dyDescent="0.35">
      <c r="B50" t="s">
        <v>43</v>
      </c>
      <c r="E50" s="8" t="s">
        <v>56</v>
      </c>
      <c r="F50" s="6">
        <v>8.3300000000000001E-7</v>
      </c>
      <c r="G50" s="6">
        <v>0</v>
      </c>
    </row>
    <row r="51" spans="2:7" x14ac:dyDescent="0.35">
      <c r="B51" s="3" t="s">
        <v>7</v>
      </c>
      <c r="E51" s="8" t="s">
        <v>57</v>
      </c>
      <c r="F51" s="6">
        <v>2.4182999999999999E-5</v>
      </c>
      <c r="G51" s="6">
        <v>1.269E-6</v>
      </c>
    </row>
    <row r="52" spans="2:7" x14ac:dyDescent="0.35">
      <c r="B52" s="3" t="s">
        <v>8</v>
      </c>
      <c r="E52" s="8" t="s">
        <v>58</v>
      </c>
      <c r="F52" s="6">
        <v>8.0979999999999994E-6</v>
      </c>
      <c r="G52" s="6">
        <v>3.9280000000000003E-6</v>
      </c>
    </row>
    <row r="53" spans="2:7" x14ac:dyDescent="0.35">
      <c r="B53" s="3" t="s">
        <v>6</v>
      </c>
      <c r="E53" s="8" t="s">
        <v>59</v>
      </c>
      <c r="F53" s="6">
        <v>5.2449999999999998E-6</v>
      </c>
      <c r="G53" s="6">
        <v>3.9280000000000003E-6</v>
      </c>
    </row>
    <row r="54" spans="2:7" s="5" customFormat="1" x14ac:dyDescent="0.35"/>
    <row r="55" spans="2:7" s="5" customFormat="1" x14ac:dyDescent="0.35">
      <c r="B55" s="17" t="s">
        <v>30</v>
      </c>
    </row>
    <row r="56" spans="2:7" x14ac:dyDescent="0.35">
      <c r="B56" s="3" t="s">
        <v>1</v>
      </c>
    </row>
    <row r="57" spans="2:7" x14ac:dyDescent="0.35">
      <c r="B57" s="3" t="s">
        <v>11</v>
      </c>
      <c r="F57" s="3"/>
    </row>
    <row r="58" spans="2:7" x14ac:dyDescent="0.35">
      <c r="B58" s="3" t="s">
        <v>12</v>
      </c>
      <c r="C58" s="5"/>
      <c r="D58" s="5"/>
      <c r="E58" s="5"/>
    </row>
    <row r="59" spans="2:7" x14ac:dyDescent="0.35">
      <c r="B59" s="3" t="s">
        <v>5</v>
      </c>
    </row>
    <row r="60" spans="2:7" x14ac:dyDescent="0.35">
      <c r="B60" s="3" t="s">
        <v>4</v>
      </c>
      <c r="F60" s="3"/>
    </row>
    <row r="61" spans="2:7" x14ac:dyDescent="0.35">
      <c r="B61" s="3" t="s">
        <v>3</v>
      </c>
    </row>
    <row r="63" spans="2:7" x14ac:dyDescent="0.3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  <drawing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2018-08-15T11:31:42Z</dcterms:modified>
</cp:coreProperties>
</file>