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Jastrzebski\Vincenty Excel\"/>
    </mc:Choice>
  </mc:AlternateContent>
  <xr:revisionPtr revIDLastSave="0" documentId="10_ncr:8100000_{3BAE660B-67FC-436C-A656-3230903E1445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1" l="1"/>
  <c r="C34" i="1"/>
  <c r="C25" i="1"/>
  <c r="C23" i="1"/>
  <c r="D34" i="1"/>
  <c r="C38" i="1" s="1"/>
  <c r="C39" i="1"/>
  <c r="C42" i="1"/>
  <c r="D23" i="1"/>
  <c r="C29" i="1"/>
  <c r="C40" i="1"/>
  <c r="C41" i="1"/>
  <c r="C27" i="1"/>
  <c r="C28" i="1"/>
</calcChain>
</file>

<file path=xl/sharedStrings.xml><?xml version="1.0" encoding="utf-8"?>
<sst xmlns="http://schemas.openxmlformats.org/spreadsheetml/2006/main" count="76" uniqueCount="62">
  <si>
    <t>https://en.wikipedia.org/wiki/Earth_radius</t>
  </si>
  <si>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</si>
  <si>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</si>
  <si>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</si>
  <si>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</si>
  <si>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</si>
  <si>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</si>
  <si>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</si>
  <si>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</si>
  <si>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</si>
  <si>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</si>
  <si>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</si>
  <si>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Vincenty Direct and Inverse Solution of Geodesics on the Ellipsoid</t>
  </si>
  <si>
    <t>algorithms by Thaddeus Vincenty (1975)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</si>
  <si>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</si>
  <si>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</si>
  <si>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</si>
  <si>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</si>
  <si>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</si>
  <si>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143°55′35.38390″E</t>
  </si>
  <si>
    <t>37°39′10.15610″S</t>
  </si>
  <si>
    <t>Distance [m]</t>
  </si>
  <si>
    <t>VincentyInvDistance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</si>
  <si>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</si>
  <si>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</si>
  <si>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</si>
  <si>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</si>
  <si>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</si>
  <si>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</si>
  <si>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</si>
  <si>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</si>
  <si>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</si>
  <si>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</si>
  <si>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</si>
  <si>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</si>
  <si>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</si>
  <si>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</si>
  <si>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</si>
  <si>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</si>
  <si>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VincentyDirLat</t>
  </si>
  <si>
    <t>VincentyDirLon</t>
  </si>
  <si>
    <t>VincentyDirRevAzimuth</t>
  </si>
  <si>
    <t>VincentyInvFwdAzimuth</t>
  </si>
  <si>
    <t>VincentyInvRevAzimuth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</si>
  <si>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</si>
  <si>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</si>
  <si>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</si>
  <si>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</si>
  <si>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</si>
  <si>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</si>
  <si>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as well as 2 functions for Decimal ↔ Degrees/Minutes/Seconds format conversion</t>
  </si>
  <si>
    <t>Results</t>
  </si>
  <si>
    <t>Function Used</t>
  </si>
  <si>
    <t>Vincenty Direct Calculation Example - given point 1, azimuth and distance</t>
  </si>
  <si>
    <t>For functions description please use Excel function wizard, look in Geodesic function category.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</si>
  <si>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</si>
  <si>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</si>
  <si>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</si>
  <si>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</si>
  <si>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r>
      <t xml:space="preserve">Originally implemented in Java Script by </t>
    </r>
    <r>
      <rPr>
        <b/>
        <sz val="11"/>
        <color theme="1"/>
        <rFont val="Calibri"/>
        <family val="2"/>
      </rPr>
      <t>©</t>
    </r>
    <r>
      <rPr>
        <b/>
        <sz val="11"/>
        <color theme="1"/>
        <rFont val="Calibri"/>
        <family val="2"/>
        <scheme val="minor"/>
      </rPr>
      <t xml:space="preserve"> Chris Veness 2002-2017 MIT License</t>
    </r>
  </si>
  <si>
    <t>=ConvertDecimal(lat1)</t>
  </si>
  <si>
    <t>This Excel workbook contains 6 functions implementing [Vincenty Direct] and [Vincenty Inverse]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</si>
</sst>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6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cgi-bin/GeodSolve" TargetMode="External"/><Relationship Id="rId13" Type="http://schemas.openxmlformats.org/officeDocument/2006/relationships/hyperlink" Target="https://www.movable-type.co.uk/scripts/latlong-vincenty.html" TargetMode="External"/><Relationship Id="rId3" Type="http://schemas.openxmlformats.org/officeDocument/2006/relationships/hyperlink" Target="http://www.ga.gov.au/geodesy/datums/vincenty_inverse.jsp" TargetMode="External"/><Relationship Id="rId7" Type="http://schemas.openxmlformats.org/officeDocument/2006/relationships/hyperlink" Target="https://link.springer.com/article/10.1007%2Fs00190-012-0578-z" TargetMode="External"/><Relationship Id="rId12" Type="http://schemas.openxmlformats.org/officeDocument/2006/relationships/hyperlink" Target="https://geographiclib.sourceforge.io/geodesic-papers/vincenty75b.pdf" TargetMode="External"/><Relationship Id="rId2" Type="http://schemas.openxmlformats.org/officeDocument/2006/relationships/hyperlink" Target="https://en.wikipedia.org/wiki/Vincenty%27s_formulae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en.wikipedia.org/wiki/Earth_radius" TargetMode="External"/><Relationship Id="rId6" Type="http://schemas.openxmlformats.org/officeDocument/2006/relationships/hyperlink" Target="https://en.wikipedia.org/wiki/Geodesics_on_an_ellipsoid" TargetMode="External"/><Relationship Id="rId11" Type="http://schemas.openxmlformats.org/officeDocument/2006/relationships/hyperlink" Target="https://www.ngs.noaa.gov/PUBS_LIB/inverse.pdf" TargetMode="External"/><Relationship Id="rId5" Type="http://schemas.openxmlformats.org/officeDocument/2006/relationships/hyperlink" Target="https://en.wikipedia.org/wiki/Great-circle_distance" TargetMode="External"/><Relationship Id="rId15" Type="http://schemas.openxmlformats.org/officeDocument/2006/relationships/hyperlink" Target="https://github.com/tdjastrzebski/VincentyExcel" TargetMode="External"/><Relationship Id="rId10" Type="http://schemas.openxmlformats.org/officeDocument/2006/relationships/hyperlink" Target="https://en.wikipedia.org/wiki/Vincenty%27s_formulae" TargetMode="External"/><Relationship Id="rId4" Type="http://schemas.openxmlformats.org/officeDocument/2006/relationships/hyperlink" Target="https://en.wikipedia.org/wiki/Haversine_formula" TargetMode="External"/><Relationship Id="rId9" Type="http://schemas.openxmlformats.org/officeDocument/2006/relationships/hyperlink" Target="https://geographiclib.sourceforge.io/scripts/geod-google.html" TargetMode="External"/><Relationship Id="rId14" Type="http://schemas.openxmlformats.org/officeDocument/2006/relationships/hyperlink" Target="https://github.com/chrisveness/geodes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2"/>
  <sheetViews>
    <sheetView tabSelected="1" zoomScaleNormal="100" workbookViewId="0">
      <selection activeCell="M56" sqref="M56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1.08984375" bestFit="1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12</v>
      </c>
      <c r="H2" s="2"/>
      <c r="I2" s="2"/>
      <c r="K2" s="3"/>
      <c r="L2" s="3"/>
      <c r="Q2" s="1"/>
    </row>
    <row r="3" spans="2:17" x14ac:dyDescent="0.35">
      <c r="B3" s="5" t="s">
        <v>13</v>
      </c>
      <c r="H3" s="2"/>
      <c r="I3" s="2"/>
      <c r="K3" s="3"/>
      <c r="L3" s="3"/>
      <c r="Q3" s="1"/>
    </row>
    <row r="4" spans="2:17" x14ac:dyDescent="0.35">
      <c r="B4" s="3" t="s">
        <v>2</v>
      </c>
      <c r="H4" s="2"/>
      <c r="I4" s="2"/>
      <c r="L4" s="3"/>
      <c r="Q4" s="1"/>
    </row>
    <row r="5" spans="2:17" x14ac:dyDescent="0.35">
      <c r="B5" s="3" t="s">
        <v>14</v>
      </c>
      <c r="H5" s="2"/>
      <c r="I5" s="2"/>
      <c r="L5" s="3"/>
      <c r="Q5" s="1"/>
    </row>
    <row r="6" spans="2:17" x14ac:dyDescent="0.35">
      <c r="B6" s="3" t="s">
        <v>15</v>
      </c>
      <c r="H6" s="2"/>
      <c r="I6" s="2"/>
      <c r="L6" s="3"/>
      <c r="Q6" s="1"/>
    </row>
    <row r="7" spans="2:17" s="5" customFormat="1" x14ac:dyDescent="0.35">
      <c r="H7" s="2"/>
      <c r="I7" s="2"/>
      <c r="L7" s="3"/>
      <c r="Q7" s="1"/>
    </row>
    <row r="8" spans="2:17" x14ac:dyDescent="0.35">
      <c r="B8" s="4" t="s">
        <v>58</v>
      </c>
    </row>
    <row r="9" spans="2:17" x14ac:dyDescent="0.35">
      <c r="B9" s="3" t="s">
        <v>57</v>
      </c>
    </row>
    <row r="11" spans="2:17" s="5" customFormat="1" x14ac:dyDescent="0.35">
      <c r="B11" s="4" t="s">
        <v>59</v>
      </c>
    </row>
    <row r="12" spans="2:17" s="5" customFormat="1" x14ac:dyDescent="0.35">
      <c r="B12" s="3" t="s">
        <v>1</v>
      </c>
    </row>
    <row r="13" spans="2:17" s="5" customFormat="1" x14ac:dyDescent="0.35">
      <c r="B13" s="3" t="s">
        <v>16</v>
      </c>
    </row>
    <row r="14" spans="2:17" s="5" customFormat="1" x14ac:dyDescent="0.35">
      <c r="B14" s="3"/>
    </row>
    <row r="15" spans="2:17" s="5" customFormat="1" ht="15.5" x14ac:dyDescent="0.35">
      <c r="B15" s="18" t="s">
        <v>61</v>
      </c>
      <c r="C15" s="19"/>
      <c r="D15" s="19"/>
      <c r="E15" s="19"/>
      <c r="F15" s="19"/>
      <c r="G15" s="19"/>
    </row>
    <row r="16" spans="2:17" s="5" customFormat="1" ht="15.5" x14ac:dyDescent="0.35">
      <c r="B16" s="18" t="s">
        <v>50</v>
      </c>
      <c r="C16" s="19"/>
      <c r="D16" s="19"/>
      <c r="E16" s="19"/>
      <c r="F16" s="19"/>
      <c r="G16" s="19"/>
    </row>
    <row r="18" spans="2:7" s="5" customFormat="1" x14ac:dyDescent="0.35">
      <c r="B18" s="4" t="s">
        <v>54</v>
      </c>
    </row>
    <row r="19" spans="2:7" s="5" customFormat="1" x14ac:dyDescent="0.35"/>
    <row r="20" spans="2:7" ht="15.5" x14ac:dyDescent="0.35">
      <c r="B20" s="22" t="s">
        <v>44</v>
      </c>
      <c r="C20" s="23"/>
      <c r="D20" s="23"/>
      <c r="E20" s="23"/>
      <c r="F20" s="23"/>
      <c r="G20" s="23"/>
    </row>
    <row r="21" spans="2:7" s="5" customFormat="1" x14ac:dyDescent="0.35">
      <c r="B21" s="4" t="s">
        <v>35</v>
      </c>
      <c r="E21" s="4" t="s">
        <v>52</v>
      </c>
    </row>
    <row r="22" spans="2:7" x14ac:dyDescent="0.35">
      <c r="B22" s="12" t="s">
        <v>23</v>
      </c>
      <c r="C22" s="10" t="s">
        <v>17</v>
      </c>
      <c r="D22" s="10" t="s">
        <v>18</v>
      </c>
      <c r="E22" s="13"/>
      <c r="F22" s="14"/>
      <c r="G22" s="15"/>
    </row>
    <row r="23" spans="2:7" x14ac:dyDescent="0.35">
      <c r="B23" s="9" t="s">
        <v>47</v>
      </c>
      <c r="C23" s="9">
        <f>ConvertDecimal(C22)</f>
        <v>-37.951033416666668</v>
      </c>
      <c r="D23" s="9">
        <f>ConvertDecimal(D22)</f>
        <v>144.42486788888888</v>
      </c>
      <c r="E23" s="21" t="s">
        <v>60</v>
      </c>
      <c r="F23" s="14"/>
      <c r="G23" s="15"/>
    </row>
    <row r="24" spans="2:7" s="5" customFormat="1" x14ac:dyDescent="0.35">
      <c r="B24" s="12" t="s">
        <v>24</v>
      </c>
      <c r="C24" s="10" t="s">
        <v>20</v>
      </c>
      <c r="D24" s="10" t="s">
        <v>19</v>
      </c>
      <c r="E24" s="13"/>
      <c r="F24" s="14"/>
      <c r="G24" s="15"/>
    </row>
    <row r="25" spans="2:7" x14ac:dyDescent="0.35">
      <c r="B25" s="9" t="s">
        <v>48</v>
      </c>
      <c r="C25" s="9">
        <f>ConvertDecimal(C24)</f>
        <v>-37.652821138888889</v>
      </c>
      <c r="D25" s="9">
        <f>ConvertDecimal(D24)</f>
        <v>143.92649552777777</v>
      </c>
      <c r="E25" s="21" t="s">
        <v>60</v>
      </c>
      <c r="F25" s="14"/>
      <c r="G25" s="15"/>
    </row>
    <row r="26" spans="2:7" s="5" customFormat="1" x14ac:dyDescent="0.35">
      <c r="B26" s="4" t="s">
        <v>51</v>
      </c>
      <c r="E26" s="4"/>
    </row>
    <row r="27" spans="2:7" x14ac:dyDescent="0.35">
      <c r="B27" s="11" t="s">
        <v>21</v>
      </c>
      <c r="C27" s="11">
        <f>VincentyInvDistance(C23,D23,C25,D25)</f>
        <v>54972.271142042664</v>
      </c>
      <c r="E27" s="13" t="s">
        <v>27</v>
      </c>
      <c r="F27" s="14"/>
      <c r="G27" s="15"/>
    </row>
    <row r="28" spans="2:7" s="5" customFormat="1" x14ac:dyDescent="0.35">
      <c r="B28" s="11" t="s">
        <v>25</v>
      </c>
      <c r="C28" s="11">
        <f>VincentyInvFwdAzimuth(C23,D23,C25,D25)</f>
        <v>306.86815920330764</v>
      </c>
      <c r="E28" s="13" t="s">
        <v>29</v>
      </c>
      <c r="F28" s="14"/>
      <c r="G28" s="15"/>
    </row>
    <row r="29" spans="2:7" s="5" customFormat="1" x14ac:dyDescent="0.35">
      <c r="B29" s="11" t="s">
        <v>26</v>
      </c>
      <c r="C29" s="11">
        <f>VincentyInvRevAzimuth(C23,D23,C25,D25)</f>
        <v>307.1736306294444</v>
      </c>
      <c r="E29" s="13" t="s">
        <v>30</v>
      </c>
      <c r="F29" s="14"/>
      <c r="G29" s="15"/>
    </row>
    <row r="31" spans="2:7" ht="15.5" x14ac:dyDescent="0.35">
      <c r="B31" s="22" t="s">
        <v>53</v>
      </c>
      <c r="C31" s="23"/>
      <c r="D31" s="23"/>
      <c r="E31" s="23"/>
      <c r="F31" s="23"/>
      <c r="G31" s="23"/>
    </row>
    <row r="32" spans="2:7" s="5" customFormat="1" x14ac:dyDescent="0.35">
      <c r="B32" s="4" t="s">
        <v>35</v>
      </c>
      <c r="E32" s="4"/>
    </row>
    <row r="33" spans="2:7" x14ac:dyDescent="0.35">
      <c r="B33" s="12" t="s">
        <v>23</v>
      </c>
      <c r="C33" s="10" t="s">
        <v>17</v>
      </c>
      <c r="D33" s="10" t="s">
        <v>18</v>
      </c>
      <c r="E33" s="13"/>
      <c r="F33" s="14"/>
      <c r="G33" s="15"/>
    </row>
    <row r="34" spans="2:7" s="5" customFormat="1" x14ac:dyDescent="0.35">
      <c r="B34" s="9" t="s">
        <v>47</v>
      </c>
      <c r="C34" s="9">
        <f>ConvertDecimal(C33)</f>
        <v>-37.951033416666668</v>
      </c>
      <c r="D34" s="9">
        <f>ConvertDecimal(D33)</f>
        <v>144.42486788888888</v>
      </c>
      <c r="E34" s="21" t="s">
        <v>60</v>
      </c>
      <c r="F34" s="14"/>
      <c r="G34" s="15"/>
    </row>
    <row r="35" spans="2:7" x14ac:dyDescent="0.35">
      <c r="B35" s="9" t="s">
        <v>11</v>
      </c>
      <c r="C35" s="9">
        <v>306.86815920330764</v>
      </c>
      <c r="D35" s="9"/>
      <c r="E35" s="13"/>
      <c r="F35" s="14"/>
      <c r="G35" s="15"/>
    </row>
    <row r="36" spans="2:7" x14ac:dyDescent="0.35">
      <c r="B36" s="9" t="s">
        <v>21</v>
      </c>
      <c r="C36" s="9">
        <v>54972.271142042664</v>
      </c>
      <c r="D36" s="9"/>
      <c r="E36" s="13"/>
      <c r="F36" s="14"/>
      <c r="G36" s="15"/>
    </row>
    <row r="37" spans="2:7" s="5" customFormat="1" x14ac:dyDescent="0.35">
      <c r="B37" s="4" t="s">
        <v>51</v>
      </c>
      <c r="E37" s="4" t="s">
        <v>52</v>
      </c>
    </row>
    <row r="38" spans="2:7" x14ac:dyDescent="0.35">
      <c r="B38" s="11" t="s">
        <v>28</v>
      </c>
      <c r="C38" s="16">
        <f>vincentyDirLat(C34,D34,C35,C36)</f>
        <v>-37.652821138864894</v>
      </c>
      <c r="E38" s="13" t="s">
        <v>31</v>
      </c>
      <c r="F38" s="14"/>
      <c r="G38" s="15"/>
    </row>
    <row r="39" spans="2:7" x14ac:dyDescent="0.35">
      <c r="B39" s="11" t="s">
        <v>33</v>
      </c>
      <c r="C39" s="16">
        <f>VincentyDirLon(C34,D34,C35,C36)</f>
        <v>143.92649552774759</v>
      </c>
      <c r="E39" s="13" t="s">
        <v>32</v>
      </c>
      <c r="F39" s="14"/>
      <c r="G39" s="15"/>
    </row>
    <row r="40" spans="2:7" x14ac:dyDescent="0.35">
      <c r="B40" s="11" t="s">
        <v>28</v>
      </c>
      <c r="C40" s="16" t="str">
        <f>ConvertDegrees(C38)</f>
        <v>-37° 39' 10.1561"</v>
      </c>
      <c r="E40" s="13" t="s">
        <v>45</v>
      </c>
      <c r="F40" s="14"/>
      <c r="G40" s="15"/>
    </row>
    <row r="41" spans="2:7" x14ac:dyDescent="0.35">
      <c r="B41" s="11" t="s">
        <v>33</v>
      </c>
      <c r="C41" s="16" t="str">
        <f>ConvertDegrees(C39)</f>
        <v>143° 55' 35.3839"</v>
      </c>
      <c r="E41" s="13" t="s">
        <v>46</v>
      </c>
      <c r="F41" s="14"/>
      <c r="G41" s="15"/>
    </row>
    <row r="42" spans="2:7" s="5" customFormat="1" x14ac:dyDescent="0.35">
      <c r="B42" s="11" t="s">
        <v>26</v>
      </c>
      <c r="C42" s="16">
        <f>VincentyDirRevAzimuth(C34,D34,C35,C36)</f>
        <v>307.17363062946856</v>
      </c>
      <c r="E42" s="13" t="s">
        <v>34</v>
      </c>
      <c r="F42" s="14"/>
      <c r="G42" s="15"/>
    </row>
    <row r="43" spans="2:7" s="5" customFormat="1" x14ac:dyDescent="0.35"/>
    <row r="45" spans="2:7" x14ac:dyDescent="0.35">
      <c r="B45" t="s">
        <v>49</v>
      </c>
    </row>
    <row r="46" spans="2:7" s="5" customFormat="1" x14ac:dyDescent="0.35">
      <c r="B46" s="5" t="s">
        <v>55</v>
      </c>
      <c r="E46" s="7"/>
      <c r="F46" s="8" t="s">
        <v>37</v>
      </c>
      <c r="G46" s="8" t="s">
        <v>38</v>
      </c>
    </row>
    <row r="47" spans="2:7" x14ac:dyDescent="0.35">
      <c r="B47" s="3" t="s">
        <v>10</v>
      </c>
      <c r="E47" s="8" t="s">
        <v>39</v>
      </c>
      <c r="F47" s="6">
        <v>5.0000000000000001E-9</v>
      </c>
      <c r="G47" s="6">
        <v>0</v>
      </c>
    </row>
    <row r="48" spans="2:7" x14ac:dyDescent="0.35">
      <c r="B48" s="3" t="s">
        <v>3</v>
      </c>
      <c r="E48" s="8" t="s">
        <v>40</v>
      </c>
      <c r="F48" s="6">
        <v>2.0000000000000001E-9</v>
      </c>
      <c r="G48" s="6">
        <v>1.0000000000000001E-9</v>
      </c>
    </row>
    <row r="49" spans="2:7" x14ac:dyDescent="0.35">
      <c r="B49" t="s">
        <v>56</v>
      </c>
      <c r="E49" s="8" t="s">
        <v>41</v>
      </c>
      <c r="F49" s="6">
        <v>8.3300000000000001E-7</v>
      </c>
      <c r="G49" s="6">
        <v>0</v>
      </c>
    </row>
    <row r="50" spans="2:7" x14ac:dyDescent="0.35">
      <c r="B50" s="3" t="s">
        <v>8</v>
      </c>
      <c r="E50" s="8" t="s">
        <v>22</v>
      </c>
      <c r="F50" s="6">
        <v>2.4182999999999999E-5</v>
      </c>
      <c r="G50" s="6">
        <v>1.269E-6</v>
      </c>
    </row>
    <row r="51" spans="2:7" x14ac:dyDescent="0.35">
      <c r="B51" s="3" t="s">
        <v>9</v>
      </c>
      <c r="E51" s="8" t="s">
        <v>42</v>
      </c>
      <c r="F51" s="6">
        <v>8.0979999999999994E-6</v>
      </c>
      <c r="G51" s="6">
        <v>3.9280000000000003E-6</v>
      </c>
    </row>
    <row r="52" spans="2:7" x14ac:dyDescent="0.35">
      <c r="B52" s="3" t="s">
        <v>7</v>
      </c>
      <c r="E52" s="8" t="s">
        <v>43</v>
      </c>
      <c r="F52" s="6">
        <v>5.2449999999999998E-6</v>
      </c>
      <c r="G52" s="6">
        <v>3.9280000000000003E-6</v>
      </c>
    </row>
    <row r="53" spans="2:7" s="5" customFormat="1" x14ac:dyDescent="0.35"/>
    <row r="54" spans="2:7" s="5" customFormat="1" x14ac:dyDescent="0.35">
      <c r="B54" s="17" t="s">
        <v>36</v>
      </c>
    </row>
    <row r="55" spans="2:7" x14ac:dyDescent="0.35">
      <c r="B55" s="3" t="s">
        <v>2</v>
      </c>
    </row>
    <row r="56" spans="2:7" x14ac:dyDescent="0.35">
      <c r="B56" s="3" t="s">
        <v>0</v>
      </c>
      <c r="F56" s="3"/>
    </row>
    <row r="57" spans="2:7" x14ac:dyDescent="0.35">
      <c r="B57" s="3" t="s">
        <v>4</v>
      </c>
      <c r="C57" s="5"/>
      <c r="D57" s="5"/>
      <c r="E57" s="5"/>
    </row>
    <row r="58" spans="2:7" x14ac:dyDescent="0.35">
      <c r="B58" s="3" t="s">
        <v>5</v>
      </c>
    </row>
    <row r="59" spans="2:7" x14ac:dyDescent="0.35">
      <c r="B59" s="3" t="s">
        <v>6</v>
      </c>
      <c r="F59" s="3"/>
    </row>
    <row r="62" spans="2:7" x14ac:dyDescent="0.35">
      <c r="B62" s="3"/>
      <c r="C62" s="5"/>
      <c r="D62" s="5"/>
      <c r="E62" s="5"/>
    </row>
  </sheetData>
  <hyperlinks>
    <hyperlink ref="B56" r:id="rId1" xr:uid="{00000000-0004-0000-0000-000000000000}"/>
    <hyperlink ref="B55" r:id="rId2" xr:uid="{90AE0FDE-3389-4E59-9067-FA1199551BB6}"/>
    <hyperlink ref="B48" r:id="rId3" xr:uid="{293BB999-A74D-49F7-B870-68F7CF693652}"/>
    <hyperlink ref="B57" r:id="rId4" xr:uid="{2F80AEDB-E745-4DE5-9B56-0A0985171C73}"/>
    <hyperlink ref="B58" r:id="rId5" xr:uid="{C41B7210-6144-4B2F-90A7-D0F6E0B36574}"/>
    <hyperlink ref="B59" r:id="rId6" xr:uid="{F437963F-F579-459C-BF7B-7E5691D756B3}"/>
    <hyperlink ref="B52" r:id="rId7" xr:uid="{E5A20D27-E291-41E9-AA5C-FD68715DE179}"/>
    <hyperlink ref="B50" r:id="rId8" xr:uid="{2CDBB069-ECFC-42F3-9EA9-0E3F1E54A7FD}"/>
    <hyperlink ref="B51" r:id="rId9" xr:uid="{D2EAE2A9-F1E1-49C3-AF43-DEC3556CC185}"/>
    <hyperlink ref="B4" r:id="rId10" xr:uid="{6CC7DEDF-D5E3-4286-96E6-19B15ECA2C9F}"/>
    <hyperlink ref="B5" r:id="rId11" xr:uid="{2D10BEA7-F26A-402D-A403-CBA9755254B4}"/>
    <hyperlink ref="B6" r:id="rId12" xr:uid="{9B028A96-0594-4F4A-BFB4-E2819F5B5461}"/>
    <hyperlink ref="B12" r:id="rId13" xr:uid="{93068BCB-B234-4AF9-94D9-A2BB33C61F90}"/>
    <hyperlink ref="B13" r:id="rId14" xr:uid="{1515B828-09CF-4F6C-B8D8-DB7E7254ACA1}"/>
    <hyperlink ref="B9" r:id="rId15" xr:uid="{5BF73047-03E2-4EC6-AC9A-A3890481013E}"/>
  </hyperlinks>
  <pageMargins left="0.7" right="0.7" top="0.75" bottom="0.75" header="0.3" footer="0.3"/>
  <pageSetup orientation="portrait"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Tomasz Jastrzębski</cp:lastModifiedBy>
  <dcterms:created xsi:type="dcterms:W3CDTF">2018-03-16T12:55:15Z</dcterms:created>
  <dcterms:modified xsi:type="dcterms:W3CDTF">2018-06-16T20:10:52Z</dcterms:modified>
</cp:coreProperties>
</file>