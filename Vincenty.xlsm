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3_ncr:1_{A4CAB48A-3429-4C66-B45F-8F834855FB6A}" xr6:coauthVersionLast="40" xr6:coauthVersionMax="40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8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1" l="1"/>
  <c r="C40" i="1"/>
  <c r="C29" i="1"/>
  <c r="C28" i="1"/>
  <c r="C27" i="1"/>
  <c r="C42" i="1"/>
  <c r="C39" i="1"/>
  <c r="C38" i="1"/>
  <c r="D34" i="1"/>
  <c r="C34" i="1"/>
  <c r="D25" i="1"/>
  <c r="C25" i="1"/>
  <c r="D23" i="1"/>
  <c r="C23" i="1"/>
</calcChain>
</file>

<file path=xl/sharedStrings.xml><?xml version="1.0" encoding="utf-8"?>
<sst xmlns="http://schemas.openxmlformats.org/spreadsheetml/2006/main" count="76" uniqueCount="67">
  <si>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</si>
  <si>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</si>
  <si>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</si>
  <si>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</si>
  <si>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</si>
  <si>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</si>
  <si>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</si>
  <si>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</si>
  <si>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</si>
  <si>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</si>
  <si>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</si>
  <si>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</si>
  <si>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</si>
  <si>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</si>
  <si>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</si>
  <si>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</si>
  <si>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</si>
  <si>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</si>
  <si>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</si>
  <si>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</si>
  <si>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</si>
  <si>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</si>
  <si>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</si>
  <si>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</si>
  <si>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References:</t>
  </si>
  <si>
    <t>Geoscience Australia</t>
  </si>
  <si>
    <t>GeodSolve Library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</si>
  <si>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</si>
  <si>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</si>
  <si>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</si>
  <si>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Function Used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</si>
  <si>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</si>
  <si>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</si>
  <si>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</si>
  <si>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</si>
  <si>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</si>
  <si>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</si>
  <si>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</si>
  <si>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</si>
  <si>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</si>
  <si>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</si>
  <si>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</si>
  <si>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</si>
  <si>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</si>
  <si>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</si>
  <si>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</si>
  <si>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</si>
  <si>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</si>
  <si>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</si>
  <si>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</si>
  <si>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</si>
  <si>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</si>
  <si>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</si>
  <si>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</si>
  <si>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Input (point1, point2)</t>
  </si>
  <si>
    <t>Results (distance, azimuth, reverse azimuth)</t>
  </si>
  <si>
    <t>Input (point1, distance, azimuth)</t>
  </si>
  <si>
    <t>Results (point2, reverse azimuth)</t>
  </si>
  <si>
    <t>Vincenty Inverse Calculation Example</t>
  </si>
  <si>
    <t>Vincenty Direct Calculation Example</t>
  </si>
  <si>
    <t>Wikipedia: Vincenty's formulae</t>
  </si>
  <si>
    <t>Thaddeus Vincenty: oryginal publication (1)</t>
  </si>
  <si>
    <t>Thaddeus Vincenty: oryginal publication (2)</t>
  </si>
  <si>
    <t>Wikipedia: Geodesics on an ellipsoid</t>
  </si>
  <si>
    <t>Wikipedia: Great-circle distance</t>
  </si>
  <si>
    <t>=ConvertDegrees(lat2, false)</t>
  </si>
  <si>
    <t>=ConvertDegrees(lon2, 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</si>
</sst>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CCEA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3" fillId="6" borderId="0" xfId="0" applyFont="1" applyFill="1"/>
    <xf numFmtId="0" fontId="0" fillId="6" borderId="0" xfId="0" applyFill="1"/>
    <xf numFmtId="0" fontId="4" fillId="0" borderId="0" xfId="0" applyFont="1"/>
    <xf numFmtId="0" fontId="0" fillId="5" borderId="2" xfId="0" quotePrefix="1" applyFill="1" applyBorder="1"/>
    <xf numFmtId="0" fontId="2" fillId="7" borderId="0" xfId="0" applyFont="1" applyFill="1"/>
    <xf numFmtId="0" fontId="0" fillId="7" borderId="0" xfId="0" applyFill="1"/>
    <xf numFmtId="0" fontId="0" fillId="8" borderId="1" xfId="0" applyFill="1" applyBorder="1" applyAlignment="1">
      <alignment horizontal="right"/>
    </xf>
    <xf numFmtId="0" fontId="6" fillId="9" borderId="0" xfId="0" applyFont="1" applyFill="1"/>
    <xf numFmtId="0" fontId="5" fillId="9" borderId="0" xfId="0" applyFont="1" applyFill="1"/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59532</xdr:colOff>
      <xdr:row>26</xdr:row>
      <xdr:rowOff>126206</xdr:rowOff>
    </xdr:from>
    <xdr:to>
      <xdr:col>3</xdr:col>
      <xdr:colOff>619286</xdr:colOff>
      <xdr:row>35</xdr:row>
      <xdr:rowOff>94463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47337827-A78D-4963-BA08-44092AAA79C8}"/>
            </a:ext>
          </a:extLst>
        </xdr:cNvPr>
        <xdr:cNvSpPr/>
      </xdr:nvSpPr>
      <xdr:spPr>
        <a:xfrm>
          <a:off x="3683001" y="5186362"/>
          <a:ext cx="559754" cy="1627195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59615"/>
            <a:gd name="connsiteY0" fmla="*/ 0 h 1638300"/>
            <a:gd name="connsiteX1" fmla="*/ 559595 w 559615"/>
            <a:gd name="connsiteY1" fmla="*/ 850063 h 1638300"/>
            <a:gd name="connsiteX2" fmla="*/ 12700 w 559615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786130 h 1638300"/>
            <a:gd name="connsiteX2" fmla="*/ 12700 w 559754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59754" h="1638300">
              <a:moveTo>
                <a:pt x="0" y="0"/>
              </a:moveTo>
              <a:cubicBezTo>
                <a:pt x="396345" y="72830"/>
                <a:pt x="553509" y="405193"/>
                <a:pt x="559595" y="786130"/>
              </a:cubicBezTo>
              <a:cubicBezTo>
                <a:pt x="565681" y="1167067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45242</xdr:colOff>
      <xdr:row>27</xdr:row>
      <xdr:rowOff>115094</xdr:rowOff>
    </xdr:from>
    <xdr:to>
      <xdr:col>3</xdr:col>
      <xdr:colOff>353241</xdr:colOff>
      <xdr:row>34</xdr:row>
      <xdr:rowOff>84145</xdr:rowOff>
    </xdr:to>
    <xdr:sp macro="" textlink="">
      <xdr:nvSpPr>
        <xdr:cNvPr id="9" name="Freeform: Shape 8">
          <a:extLst>
            <a:ext uri="{FF2B5EF4-FFF2-40B4-BE49-F238E27FC236}">
              <a16:creationId xmlns:a16="http://schemas.microsoft.com/office/drawing/2014/main" id="{3469C685-1A95-4EDC-A893-BFA7C9B55319}"/>
            </a:ext>
          </a:extLst>
        </xdr:cNvPr>
        <xdr:cNvSpPr/>
      </xdr:nvSpPr>
      <xdr:spPr>
        <a:xfrm>
          <a:off x="3668711" y="5357813"/>
          <a:ext cx="307999" cy="1262863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44990" h="1638300">
              <a:moveTo>
                <a:pt x="0" y="0"/>
              </a:moveTo>
              <a:cubicBezTo>
                <a:pt x="439150" y="75672"/>
                <a:pt x="442811" y="573018"/>
                <a:pt x="444928" y="846068"/>
              </a:cubicBezTo>
              <a:cubicBezTo>
                <a:pt x="447045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64292</xdr:colOff>
      <xdr:row>23</xdr:row>
      <xdr:rowOff>89695</xdr:rowOff>
    </xdr:from>
    <xdr:to>
      <xdr:col>3</xdr:col>
      <xdr:colOff>882649</xdr:colOff>
      <xdr:row>39</xdr:row>
      <xdr:rowOff>115896</xdr:rowOff>
    </xdr:to>
    <xdr:sp macro="" textlink="">
      <xdr:nvSpPr>
        <xdr:cNvPr id="10" name="Freeform: Shape 9">
          <a:extLst>
            <a:ext uri="{FF2B5EF4-FFF2-40B4-BE49-F238E27FC236}">
              <a16:creationId xmlns:a16="http://schemas.microsoft.com/office/drawing/2014/main" id="{6DAFDAAE-1C55-4FF8-BA6D-BC42E0AC1D1C}"/>
            </a:ext>
          </a:extLst>
        </xdr:cNvPr>
        <xdr:cNvSpPr/>
      </xdr:nvSpPr>
      <xdr:spPr>
        <a:xfrm>
          <a:off x="3690142" y="4445795"/>
          <a:ext cx="818357" cy="2985301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8030" h="1638300">
              <a:moveTo>
                <a:pt x="0" y="0"/>
              </a:moveTo>
              <a:cubicBezTo>
                <a:pt x="393320" y="12540"/>
                <a:pt x="505884" y="573018"/>
                <a:pt x="508001" y="846068"/>
              </a:cubicBezTo>
              <a:cubicBezTo>
                <a:pt x="510118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120469</xdr:colOff>
      <xdr:row>23</xdr:row>
      <xdr:rowOff>121427</xdr:rowOff>
    </xdr:from>
    <xdr:to>
      <xdr:col>4</xdr:col>
      <xdr:colOff>586864</xdr:colOff>
      <xdr:row>40</xdr:row>
      <xdr:rowOff>99221</xdr:rowOff>
    </xdr:to>
    <xdr:sp macro="" textlink="">
      <xdr:nvSpPr>
        <xdr:cNvPr id="11" name="Freeform: Shape 10">
          <a:extLst>
            <a:ext uri="{FF2B5EF4-FFF2-40B4-BE49-F238E27FC236}">
              <a16:creationId xmlns:a16="http://schemas.microsoft.com/office/drawing/2014/main" id="{81CC15A7-7E65-44B8-A17A-0C53A0D67154}"/>
            </a:ext>
          </a:extLst>
        </xdr:cNvPr>
        <xdr:cNvSpPr/>
      </xdr:nvSpPr>
      <xdr:spPr>
        <a:xfrm>
          <a:off x="3746319" y="4477527"/>
          <a:ext cx="1793545" cy="3121044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1078751 w 1633528"/>
            <a:gd name="connsiteY0" fmla="*/ 0 h 1649565"/>
            <a:gd name="connsiteX1" fmla="*/ 1586752 w 1633528"/>
            <a:gd name="connsiteY1" fmla="*/ 846068 h 1649565"/>
            <a:gd name="connsiteX2" fmla="*/ 0 w 1633528"/>
            <a:gd name="connsiteY2" fmla="*/ 1649565 h 1649565"/>
            <a:gd name="connsiteX0" fmla="*/ 1078751 w 1634940"/>
            <a:gd name="connsiteY0" fmla="*/ 0 h 1649565"/>
            <a:gd name="connsiteX1" fmla="*/ 1586752 w 1634940"/>
            <a:gd name="connsiteY1" fmla="*/ 846068 h 1649565"/>
            <a:gd name="connsiteX2" fmla="*/ 0 w 1634940"/>
            <a:gd name="connsiteY2" fmla="*/ 1649565 h 1649565"/>
            <a:gd name="connsiteX0" fmla="*/ 1078751 w 1346648"/>
            <a:gd name="connsiteY0" fmla="*/ 0 h 1649565"/>
            <a:gd name="connsiteX1" fmla="*/ 1224577 w 1346648"/>
            <a:gd name="connsiteY1" fmla="*/ 1217812 h 1649565"/>
            <a:gd name="connsiteX2" fmla="*/ 0 w 1346648"/>
            <a:gd name="connsiteY2" fmla="*/ 1649565 h 1649565"/>
            <a:gd name="connsiteX0" fmla="*/ 1078751 w 1374921"/>
            <a:gd name="connsiteY0" fmla="*/ 0 h 1649565"/>
            <a:gd name="connsiteX1" fmla="*/ 1268925 w 1374921"/>
            <a:gd name="connsiteY1" fmla="*/ 1086388 h 1649565"/>
            <a:gd name="connsiteX2" fmla="*/ 0 w 1374921"/>
            <a:gd name="connsiteY2" fmla="*/ 1649565 h 1649565"/>
            <a:gd name="connsiteX0" fmla="*/ 1078751 w 1343683"/>
            <a:gd name="connsiteY0" fmla="*/ 0 h 1649565"/>
            <a:gd name="connsiteX1" fmla="*/ 1219650 w 1343683"/>
            <a:gd name="connsiteY1" fmla="*/ 1077000 h 1649565"/>
            <a:gd name="connsiteX2" fmla="*/ 0 w 1343683"/>
            <a:gd name="connsiteY2" fmla="*/ 1649565 h 1649565"/>
            <a:gd name="connsiteX0" fmla="*/ 1110780 w 1377940"/>
            <a:gd name="connsiteY0" fmla="*/ 0 h 1649565"/>
            <a:gd name="connsiteX1" fmla="*/ 1251679 w 1377940"/>
            <a:gd name="connsiteY1" fmla="*/ 1077000 h 1649565"/>
            <a:gd name="connsiteX2" fmla="*/ 0 w 1377940"/>
            <a:gd name="connsiteY2" fmla="*/ 1649565 h 1649565"/>
            <a:gd name="connsiteX0" fmla="*/ 1110780 w 1412601"/>
            <a:gd name="connsiteY0" fmla="*/ 0 h 1649565"/>
            <a:gd name="connsiteX1" fmla="*/ 1305882 w 1412601"/>
            <a:gd name="connsiteY1" fmla="*/ 1041328 h 1649565"/>
            <a:gd name="connsiteX2" fmla="*/ 0 w 1412601"/>
            <a:gd name="connsiteY2" fmla="*/ 1649565 h 1649565"/>
            <a:gd name="connsiteX0" fmla="*/ 1110780 w 1458395"/>
            <a:gd name="connsiteY0" fmla="*/ 0 h 1649565"/>
            <a:gd name="connsiteX1" fmla="*/ 1305882 w 1458395"/>
            <a:gd name="connsiteY1" fmla="*/ 1041328 h 1649565"/>
            <a:gd name="connsiteX2" fmla="*/ 0 w 1458395"/>
            <a:gd name="connsiteY2" fmla="*/ 1649565 h 1649565"/>
            <a:gd name="connsiteX0" fmla="*/ 1128027 w 1476795"/>
            <a:gd name="connsiteY0" fmla="*/ 0 h 1649565"/>
            <a:gd name="connsiteX1" fmla="*/ 1323129 w 1476795"/>
            <a:gd name="connsiteY1" fmla="*/ 1041328 h 1649565"/>
            <a:gd name="connsiteX2" fmla="*/ 0 w 1476795"/>
            <a:gd name="connsiteY2" fmla="*/ 1649565 h 1649565"/>
            <a:gd name="connsiteX0" fmla="*/ 1128027 w 1476795"/>
            <a:gd name="connsiteY0" fmla="*/ 0 h 1649566"/>
            <a:gd name="connsiteX1" fmla="*/ 1323129 w 1476795"/>
            <a:gd name="connsiteY1" fmla="*/ 1041328 h 1649566"/>
            <a:gd name="connsiteX2" fmla="*/ 0 w 1476795"/>
            <a:gd name="connsiteY2" fmla="*/ 1649565 h 1649566"/>
            <a:gd name="connsiteX0" fmla="*/ 1021042 w 1436221"/>
            <a:gd name="connsiteY0" fmla="*/ 0 h 1629672"/>
            <a:gd name="connsiteX1" fmla="*/ 1323129 w 1436221"/>
            <a:gd name="connsiteY1" fmla="*/ 1021434 h 1629672"/>
            <a:gd name="connsiteX2" fmla="*/ 0 w 1436221"/>
            <a:gd name="connsiteY2" fmla="*/ 1629671 h 1629672"/>
            <a:gd name="connsiteX0" fmla="*/ 1021042 w 1438945"/>
            <a:gd name="connsiteY0" fmla="*/ 9 h 1629681"/>
            <a:gd name="connsiteX1" fmla="*/ 1323129 w 1438945"/>
            <a:gd name="connsiteY1" fmla="*/ 1021443 h 1629681"/>
            <a:gd name="connsiteX2" fmla="*/ 0 w 1438945"/>
            <a:gd name="connsiteY2" fmla="*/ 1629680 h 16296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38945" h="1629681">
              <a:moveTo>
                <a:pt x="1021042" y="9"/>
              </a:moveTo>
              <a:cubicBezTo>
                <a:pt x="1509306" y="-3055"/>
                <a:pt x="1511133" y="746516"/>
                <a:pt x="1323129" y="1021443"/>
              </a:cubicBezTo>
              <a:cubicBezTo>
                <a:pt x="1135125" y="1296370"/>
                <a:pt x="387433" y="1630513"/>
                <a:pt x="0" y="162968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2"/>
  <sheetViews>
    <sheetView tabSelected="1" topLeftCell="B1" zoomScaleNormal="100" workbookViewId="0">
      <selection activeCell="C42" sqref="C42"/>
    </sheetView>
  </sheetViews>
  <sheetFormatPr defaultRowHeight="14.5" x14ac:dyDescent="0.35"/>
  <cols>
    <col min="1" max="1" width="2.453125" customWidth="1"/>
    <col min="2" max="2" width="33.1796875" customWidth="1"/>
    <col min="3" max="3" width="16.453125" bestFit="1" customWidth="1"/>
    <col min="4" max="4" width="19" customWidth="1"/>
    <col min="5" max="5" width="22.7265625" customWidth="1"/>
    <col min="6" max="6" width="18.1796875" bestFit="1" customWidth="1"/>
    <col min="7" max="8" width="15.8164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s="5" customFormat="1" ht="21" x14ac:dyDescent="0.5">
      <c r="B1" s="19" t="s">
        <v>42</v>
      </c>
      <c r="H1" s="2"/>
      <c r="I1" s="2"/>
      <c r="K1" s="3"/>
      <c r="L1" s="3"/>
      <c r="Q1" s="1"/>
    </row>
    <row r="2" spans="2:17" x14ac:dyDescent="0.35">
      <c r="B2" s="4" t="s">
        <v>39</v>
      </c>
      <c r="H2" s="2"/>
      <c r="I2" s="2"/>
      <c r="K2" s="3"/>
      <c r="L2" s="3"/>
      <c r="Q2" s="1"/>
    </row>
    <row r="3" spans="2:17" s="5" customFormat="1" x14ac:dyDescent="0.35">
      <c r="B3" s="4" t="s">
        <v>40</v>
      </c>
      <c r="H3" s="2"/>
      <c r="I3" s="2"/>
      <c r="K3" s="3"/>
      <c r="L3" s="3"/>
      <c r="Q3" s="1"/>
    </row>
    <row r="4" spans="2:17" s="5" customFormat="1" x14ac:dyDescent="0.35">
      <c r="H4" s="2"/>
      <c r="I4" s="2"/>
      <c r="K4" s="3"/>
      <c r="L4" s="3"/>
      <c r="Q4" s="1"/>
    </row>
    <row r="5" spans="2:17" x14ac:dyDescent="0.35">
      <c r="B5" s="4" t="s">
        <v>38</v>
      </c>
      <c r="H5" s="2"/>
      <c r="I5" s="2"/>
      <c r="L5" s="3"/>
      <c r="Q5" s="1"/>
    </row>
    <row r="6" spans="2:17" s="5" customFormat="1" x14ac:dyDescent="0.35">
      <c r="B6" s="3" t="s">
        <v>1</v>
      </c>
      <c r="H6" s="2"/>
      <c r="I6" s="2"/>
      <c r="L6" s="3"/>
      <c r="Q6" s="1"/>
    </row>
    <row r="7" spans="2:17" s="5" customFormat="1" x14ac:dyDescent="0.35">
      <c r="H7" s="2"/>
      <c r="I7" s="2"/>
      <c r="L7" s="3"/>
      <c r="Q7" s="1"/>
    </row>
    <row r="8" spans="2:17" x14ac:dyDescent="0.35">
      <c r="B8" s="4" t="s">
        <v>34</v>
      </c>
    </row>
    <row r="9" spans="2:17" x14ac:dyDescent="0.35">
      <c r="B9" s="3" t="s">
        <v>33</v>
      </c>
    </row>
    <row r="11" spans="2:17" s="5" customFormat="1" x14ac:dyDescent="0.35">
      <c r="B11" s="4" t="s">
        <v>41</v>
      </c>
    </row>
    <row r="12" spans="2:17" s="5" customFormat="1" x14ac:dyDescent="0.35">
      <c r="B12" s="3" t="s">
        <v>0</v>
      </c>
    </row>
    <row r="13" spans="2:17" s="5" customFormat="1" x14ac:dyDescent="0.35">
      <c r="B13" s="3" t="s">
        <v>8</v>
      </c>
    </row>
    <row r="14" spans="2:17" s="5" customFormat="1" x14ac:dyDescent="0.35">
      <c r="B14" s="3"/>
    </row>
    <row r="15" spans="2:17" s="5" customFormat="1" ht="15.5" x14ac:dyDescent="0.35">
      <c r="B15" s="17" t="s">
        <v>36</v>
      </c>
      <c r="C15" s="18"/>
      <c r="D15" s="18"/>
      <c r="E15" s="18"/>
      <c r="F15" s="18"/>
      <c r="G15" s="18"/>
    </row>
    <row r="16" spans="2:17" s="5" customFormat="1" ht="15.5" x14ac:dyDescent="0.35">
      <c r="B16" s="17" t="s">
        <v>37</v>
      </c>
      <c r="C16" s="18"/>
      <c r="D16" s="18"/>
      <c r="E16" s="18"/>
      <c r="F16" s="18"/>
      <c r="G16" s="18"/>
    </row>
    <row r="18" spans="2:7" s="5" customFormat="1" x14ac:dyDescent="0.35">
      <c r="B18" s="21" t="s">
        <v>53</v>
      </c>
      <c r="C18" s="22"/>
      <c r="D18" s="22"/>
      <c r="E18" s="22"/>
      <c r="F18" s="22"/>
      <c r="G18" s="22"/>
    </row>
    <row r="19" spans="2:7" s="5" customFormat="1" x14ac:dyDescent="0.35"/>
    <row r="20" spans="2:7" ht="15.5" x14ac:dyDescent="0.35">
      <c r="B20" s="24" t="s">
        <v>58</v>
      </c>
      <c r="C20" s="25"/>
      <c r="D20" s="25"/>
      <c r="E20" s="25"/>
      <c r="F20" s="25"/>
      <c r="G20" s="25"/>
    </row>
    <row r="21" spans="2:7" s="5" customFormat="1" x14ac:dyDescent="0.35">
      <c r="B21" s="4" t="s">
        <v>54</v>
      </c>
      <c r="E21" s="4" t="s">
        <v>30</v>
      </c>
    </row>
    <row r="22" spans="2:7" x14ac:dyDescent="0.35">
      <c r="B22" s="12" t="s">
        <v>12</v>
      </c>
      <c r="C22" s="23" t="s">
        <v>49</v>
      </c>
      <c r="D22" s="23" t="s">
        <v>51</v>
      </c>
      <c r="E22" s="13"/>
      <c r="F22" s="14"/>
      <c r="G22" s="15"/>
    </row>
    <row r="23" spans="2:7" x14ac:dyDescent="0.35">
      <c r="B23" s="9" t="s">
        <v>27</v>
      </c>
      <c r="C23" s="9">
        <f>ConvertDecimal(C22)</f>
        <v>-37.951033416666668</v>
      </c>
      <c r="D23" s="9">
        <f>ConvertDecimal(D22)</f>
        <v>144.42486788888888</v>
      </c>
      <c r="E23" s="20" t="s">
        <v>35</v>
      </c>
      <c r="F23" s="14"/>
      <c r="G23" s="15"/>
    </row>
    <row r="24" spans="2:7" s="5" customFormat="1" x14ac:dyDescent="0.35">
      <c r="B24" s="12" t="s">
        <v>13</v>
      </c>
      <c r="C24" s="10" t="s">
        <v>50</v>
      </c>
      <c r="D24" s="10" t="s">
        <v>52</v>
      </c>
      <c r="E24" s="13"/>
      <c r="F24" s="14"/>
      <c r="G24" s="15"/>
    </row>
    <row r="25" spans="2:7" x14ac:dyDescent="0.35">
      <c r="B25" s="9" t="s">
        <v>28</v>
      </c>
      <c r="C25" s="9">
        <f>ConvertDecimal(C24)</f>
        <v>-37.652821138888889</v>
      </c>
      <c r="D25" s="9">
        <f>ConvertDecimal(D24)</f>
        <v>143.92649552777777</v>
      </c>
      <c r="E25" s="20" t="s">
        <v>35</v>
      </c>
      <c r="F25" s="14"/>
      <c r="G25" s="15"/>
    </row>
    <row r="26" spans="2:7" s="5" customFormat="1" x14ac:dyDescent="0.35">
      <c r="B26" s="4" t="s">
        <v>55</v>
      </c>
      <c r="E26" s="4"/>
    </row>
    <row r="27" spans="2:7" x14ac:dyDescent="0.35">
      <c r="B27" s="11" t="s">
        <v>11</v>
      </c>
      <c r="C27" s="11">
        <f>VincentyInvDistance(C23,D23,C25,D25)</f>
        <v>54972.271142042664</v>
      </c>
      <c r="E27" s="20" t="s">
        <v>16</v>
      </c>
      <c r="F27" s="14"/>
      <c r="G27" s="15"/>
    </row>
    <row r="28" spans="2:7" s="5" customFormat="1" x14ac:dyDescent="0.35">
      <c r="B28" s="11" t="s">
        <v>14</v>
      </c>
      <c r="C28" s="11">
        <f>VincentyInvFwdAzimuth(C23,D23,C25,D25)</f>
        <v>306.86815920330764</v>
      </c>
      <c r="E28" s="20" t="s">
        <v>18</v>
      </c>
      <c r="F28" s="14"/>
      <c r="G28" s="15"/>
    </row>
    <row r="29" spans="2:7" s="5" customFormat="1" x14ac:dyDescent="0.35">
      <c r="B29" s="11" t="s">
        <v>15</v>
      </c>
      <c r="C29" s="11">
        <f>VincentyInvRevAzimuth(C23,D23,C25,D25)</f>
        <v>307.1736306294444</v>
      </c>
      <c r="E29" s="20" t="s">
        <v>19</v>
      </c>
      <c r="F29" s="14"/>
      <c r="G29" s="15"/>
    </row>
    <row r="31" spans="2:7" ht="15.5" x14ac:dyDescent="0.35">
      <c r="B31" s="24" t="s">
        <v>59</v>
      </c>
      <c r="C31" s="25"/>
      <c r="D31" s="25"/>
      <c r="E31" s="25"/>
      <c r="F31" s="25"/>
      <c r="G31" s="25"/>
    </row>
    <row r="32" spans="2:7" s="5" customFormat="1" x14ac:dyDescent="0.35">
      <c r="B32" s="4" t="s">
        <v>56</v>
      </c>
      <c r="E32" s="4" t="s">
        <v>30</v>
      </c>
    </row>
    <row r="33" spans="2:7" x14ac:dyDescent="0.35">
      <c r="B33" s="12" t="s">
        <v>12</v>
      </c>
      <c r="C33" s="23" t="s">
        <v>9</v>
      </c>
      <c r="D33" s="23" t="s">
        <v>10</v>
      </c>
      <c r="E33" s="13"/>
      <c r="F33" s="14"/>
      <c r="G33" s="15"/>
    </row>
    <row r="34" spans="2:7" s="5" customFormat="1" x14ac:dyDescent="0.35">
      <c r="B34" s="9" t="s">
        <v>27</v>
      </c>
      <c r="C34" s="9">
        <f>ConvertDecimal(C33)</f>
        <v>-37.951033416666668</v>
      </c>
      <c r="D34" s="9">
        <f>ConvertDecimal(D33)</f>
        <v>144.42486788888888</v>
      </c>
      <c r="E34" s="20" t="s">
        <v>35</v>
      </c>
      <c r="F34" s="14"/>
      <c r="G34" s="15"/>
    </row>
    <row r="35" spans="2:7" x14ac:dyDescent="0.35">
      <c r="B35" s="9" t="s">
        <v>7</v>
      </c>
      <c r="C35" s="9">
        <v>306.86815920330764</v>
      </c>
      <c r="D35" s="9"/>
      <c r="E35" s="13"/>
      <c r="F35" s="14"/>
      <c r="G35" s="15"/>
    </row>
    <row r="36" spans="2:7" x14ac:dyDescent="0.35">
      <c r="B36" s="9" t="s">
        <v>11</v>
      </c>
      <c r="C36" s="9">
        <v>54972.271142042664</v>
      </c>
      <c r="D36" s="9"/>
      <c r="E36" s="13"/>
      <c r="F36" s="14"/>
      <c r="G36" s="15"/>
    </row>
    <row r="37" spans="2:7" s="5" customFormat="1" x14ac:dyDescent="0.35">
      <c r="B37" s="4" t="s">
        <v>57</v>
      </c>
    </row>
    <row r="38" spans="2:7" x14ac:dyDescent="0.35">
      <c r="B38" s="11" t="s">
        <v>17</v>
      </c>
      <c r="C38" s="16">
        <f>vincentyDirLat(C34,D34,C35,C36)</f>
        <v>-37.652821138864894</v>
      </c>
      <c r="E38" s="20" t="s">
        <v>20</v>
      </c>
      <c r="F38" s="14"/>
      <c r="G38" s="15"/>
    </row>
    <row r="39" spans="2:7" x14ac:dyDescent="0.35">
      <c r="B39" s="11" t="s">
        <v>22</v>
      </c>
      <c r="C39" s="16">
        <f>VincentyDirLon(C34,D34,C35,C36)</f>
        <v>143.92649552774759</v>
      </c>
      <c r="E39" s="20" t="s">
        <v>21</v>
      </c>
      <c r="F39" s="14"/>
      <c r="G39" s="15"/>
    </row>
    <row r="40" spans="2:7" x14ac:dyDescent="0.35">
      <c r="B40" s="11" t="s">
        <v>17</v>
      </c>
      <c r="C40" s="16" t="str">
        <f>ConvertDegrees(C38, FALSE)</f>
        <v>37°39'10.1561"S</v>
      </c>
      <c r="E40" s="20" t="s">
        <v>65</v>
      </c>
      <c r="F40" s="14"/>
      <c r="G40" s="15"/>
    </row>
    <row r="41" spans="2:7" x14ac:dyDescent="0.35">
      <c r="B41" s="11" t="s">
        <v>22</v>
      </c>
      <c r="C41" s="16" t="str">
        <f>ConvertDegrees(C39, TRUE)</f>
        <v>143°55'35.3839"E</v>
      </c>
      <c r="E41" s="20" t="s">
        <v>66</v>
      </c>
      <c r="F41" s="14"/>
      <c r="G41" s="15"/>
    </row>
    <row r="42" spans="2:7" s="5" customFormat="1" x14ac:dyDescent="0.35">
      <c r="B42" s="11" t="s">
        <v>15</v>
      </c>
      <c r="C42" s="16">
        <f>VincentyDirRevAzimuth(C34,D34,C35,C36)</f>
        <v>307.17363062946851</v>
      </c>
      <c r="E42" s="20" t="s">
        <v>23</v>
      </c>
      <c r="F42" s="14"/>
      <c r="G42" s="15"/>
    </row>
    <row r="43" spans="2:7" s="5" customFormat="1" x14ac:dyDescent="0.35"/>
    <row r="45" spans="2:7" x14ac:dyDescent="0.35">
      <c r="B45" t="s">
        <v>29</v>
      </c>
    </row>
    <row r="46" spans="2:7" s="5" customFormat="1" x14ac:dyDescent="0.35">
      <c r="B46" s="5" t="s">
        <v>31</v>
      </c>
      <c r="E46" s="7"/>
      <c r="F46" s="8" t="s">
        <v>25</v>
      </c>
      <c r="G46" s="8" t="s">
        <v>26</v>
      </c>
    </row>
    <row r="47" spans="2:7" x14ac:dyDescent="0.35">
      <c r="B47" s="3" t="s">
        <v>6</v>
      </c>
      <c r="E47" s="8" t="s">
        <v>43</v>
      </c>
      <c r="F47" s="6">
        <v>5.0000000000000001E-9</v>
      </c>
      <c r="G47" s="6">
        <v>0</v>
      </c>
    </row>
    <row r="48" spans="2:7" x14ac:dyDescent="0.35">
      <c r="B48" s="3" t="s">
        <v>2</v>
      </c>
      <c r="E48" s="8" t="s">
        <v>44</v>
      </c>
      <c r="F48" s="6">
        <v>2.0000000000000001E-9</v>
      </c>
      <c r="G48" s="6">
        <v>1.0000000000000001E-9</v>
      </c>
    </row>
    <row r="49" spans="2:7" x14ac:dyDescent="0.35">
      <c r="B49" t="s">
        <v>32</v>
      </c>
      <c r="E49" s="8" t="s">
        <v>45</v>
      </c>
      <c r="F49" s="6">
        <v>8.3300000000000001E-7</v>
      </c>
      <c r="G49" s="6">
        <v>0</v>
      </c>
    </row>
    <row r="50" spans="2:7" x14ac:dyDescent="0.35">
      <c r="B50" s="3" t="s">
        <v>4</v>
      </c>
      <c r="E50" s="8" t="s">
        <v>46</v>
      </c>
      <c r="F50" s="6">
        <v>2.4182999999999999E-5</v>
      </c>
      <c r="G50" s="6">
        <v>1.269E-6</v>
      </c>
    </row>
    <row r="51" spans="2:7" x14ac:dyDescent="0.35">
      <c r="B51" s="3" t="s">
        <v>5</v>
      </c>
      <c r="E51" s="8" t="s">
        <v>47</v>
      </c>
      <c r="F51" s="6">
        <v>8.0979999999999994E-6</v>
      </c>
      <c r="G51" s="6">
        <v>3.9280000000000003E-6</v>
      </c>
    </row>
    <row r="52" spans="2:7" x14ac:dyDescent="0.35">
      <c r="B52" s="3" t="s">
        <v>3</v>
      </c>
      <c r="E52" s="8" t="s">
        <v>48</v>
      </c>
      <c r="F52" s="6">
        <v>5.2449999999999998E-6</v>
      </c>
      <c r="G52" s="6">
        <v>3.9280000000000003E-6</v>
      </c>
    </row>
    <row r="53" spans="2:7" s="5" customFormat="1" x14ac:dyDescent="0.35"/>
    <row r="54" spans="2:7" s="5" customFormat="1" x14ac:dyDescent="0.35">
      <c r="B54" s="26" t="s">
        <v>24</v>
      </c>
    </row>
    <row r="55" spans="2:7" x14ac:dyDescent="0.35">
      <c r="B55" s="3" t="s">
        <v>61</v>
      </c>
    </row>
    <row r="56" spans="2:7" x14ac:dyDescent="0.35">
      <c r="B56" s="3" t="s">
        <v>62</v>
      </c>
      <c r="F56" s="3"/>
    </row>
    <row r="57" spans="2:7" x14ac:dyDescent="0.35">
      <c r="B57" s="3" t="s">
        <v>60</v>
      </c>
      <c r="C57" s="5"/>
      <c r="D57" s="5"/>
      <c r="E57" s="5"/>
    </row>
    <row r="58" spans="2:7" x14ac:dyDescent="0.35">
      <c r="B58" s="3" t="s">
        <v>63</v>
      </c>
    </row>
    <row r="59" spans="2:7" x14ac:dyDescent="0.35">
      <c r="B59" s="3" t="s">
        <v>64</v>
      </c>
      <c r="F59" s="3"/>
    </row>
    <row r="62" spans="2:7" x14ac:dyDescent="0.35">
      <c r="C62" s="5"/>
      <c r="D62" s="5"/>
      <c r="E62" s="5"/>
    </row>
  </sheetData>
  <hyperlinks>
    <hyperlink ref="B57" r:id="rId1" xr:uid="{90AE0FDE-3389-4E59-9067-FA1199551BB6}"/>
    <hyperlink ref="B48" r:id="rId2" xr:uid="{293BB999-A74D-49F7-B870-68F7CF693652}"/>
    <hyperlink ref="B59" r:id="rId3" xr:uid="{C41B7210-6144-4B2F-90A7-D0F6E0B36574}"/>
    <hyperlink ref="B58" r:id="rId4" xr:uid="{F437963F-F579-459C-BF7B-7E5691D756B3}"/>
    <hyperlink ref="B52" r:id="rId5" xr:uid="{E5A20D27-E291-41E9-AA5C-FD68715DE179}"/>
    <hyperlink ref="B50" r:id="rId6" xr:uid="{2CDBB069-ECFC-42F3-9EA9-0E3F1E54A7FD}"/>
    <hyperlink ref="B51" r:id="rId7" xr:uid="{D2EAE2A9-F1E1-49C3-AF43-DEC3556CC185}"/>
    <hyperlink ref="B6" r:id="rId8" xr:uid="{6CC7DEDF-D5E3-4286-96E6-19B15ECA2C9F}"/>
    <hyperlink ref="B55" r:id="rId9" xr:uid="{2D10BEA7-F26A-402D-A403-CBA9755254B4}"/>
    <hyperlink ref="B56" r:id="rId10" xr:uid="{9B028A96-0594-4F4A-BFB4-E2819F5B5461}"/>
    <hyperlink ref="B12" r:id="rId11" xr:uid="{93068BCB-B234-4AF9-94D9-A2BB33C61F90}"/>
    <hyperlink ref="B13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2019-01-29T17:28:41Z</dcterms:modified>
  <cp:category>Geodesy</cp:category>
</cp:coreProperties>
</file>