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Tomasz Jastrzebski\Vincenty-Excel\"/>
    </mc:Choice>
  </mc:AlternateContent>
  <xr:revisionPtr revIDLastSave="0" documentId="13_ncr:1_{4201E74B-59C5-491B-BBB9-9038721E8188}" xr6:coauthVersionLast="41" xr6:coauthVersionMax="41" xr10:uidLastSave="{00000000-0000-0000-0000-000000000000}"/>
  <bookViews>
    <workbookView xWindow="-98" yWindow="-98" windowWidth="20715" windowHeight="13276" xr2:uid="{00000000-000D-0000-FFFF-FFFF00000000}"/>
  </bookViews>
  <sheets>
    <sheet name="Vincenty formulae" sheetId="1" r:id="rId1"/>
  </sheets>
  <functionGroups builtInGroupCount="19">
    <functionGroup name="Geodesic"/>
  </functionGroups>
  <calcPr calcId="181029"/>
  <extLst>
    <ext xmlns:x14="http://schemas.microsoft.com/office/spreadsheetml/2009/9/main" uri="{8193D73E-4604-4355-AFF4-8A2333D13BE4}">
      <x14:definedNames>
        <x14:definedName name="ConvertDecimal">
          <x14:argumentDescriptions count="1">
            <x14:argumentDescription index="0">string in degrees/minutes/seconds format</x14:argumentDescription>
          </x14:argumentDescriptions>
        </x14:definedName>
        <x14:definedName name="ConvertDegrees">
          <x14:argumentDescriptions count="1">
            <x14:argumentDescription index="0">decimal degrees</x14:argumentDescription>
          </x14:argumentDescriptions>
        </x14:definedName>
        <x14:definedName name="vincentyDirLat">
          <x14:argumentDescriptions count="4">
            <x14:argumentDescription index="0">latitude in degrees</x14:argumentDescription>
            <x14:argumentDescription index="1">longitude in degrees</x14:argumentDescription>
            <x14:argumentDescription index="2">azimuth in degrees</x14:argumentDescription>
            <x14:argumentDescription index="3">distance in meters</x14:argumentDescription>
          </x14:argumentDescriptions>
        </x14:definedName>
        <x14:definedName name="VincentyDirLon">
          <x14:argumentDescriptions count="4">
            <x14:argumentDescription index="0">latitude in degrees</x14:argumentDescription>
            <x14:argumentDescription index="1">longitude in degrees</x14:argumentDescription>
            <x14:argumentDescription index="2">azimuth in degrees</x14:argumentDescription>
            <x14:argumentDescription index="3">distance in meters</x14:argumentDescription>
          </x14:argumentDescriptions>
        </x14:definedName>
        <x14:definedName name="VincentyDirRevAzimuth">
          <x14:argumentDescriptions count="4">
            <x14:argumentDescription index="0">latitude in degrees</x14:argumentDescription>
            <x14:argumentDescription index="1">longitude in degrees</x14:argumentDescription>
            <x14:argumentDescription index="2">azimuth in degrees</x14:argumentDescription>
            <x14:argumentDescription index="3">distance in meters</x14:argumentDescription>
          </x14:argumentDescriptions>
        </x14:definedName>
        <x14:definedName name="VincentyInvDistance">
          <x14:argumentDescriptions count="4">
            <x14:argumentDescription index="0">latitude 1 in degrees</x14:argumentDescription>
            <x14:argumentDescription index="1">longitude 1 in degrees</x14:argumentDescription>
            <x14:argumentDescription index="2">latitude 2 in degrees</x14:argumentDescription>
            <x14:argumentDescription index="3">longitude 2 in degrees</x14:argumentDescription>
          </x14:argumentDescriptions>
        </x14:definedName>
        <x14:definedName name="VincentyInvFwdAzimuth">
          <x14:argumentDescriptions count="4">
            <x14:argumentDescription index="0">latitude 1 in degrees</x14:argumentDescription>
            <x14:argumentDescription index="1">longitude 1 in degrees</x14:argumentDescription>
            <x14:argumentDescription index="2">latitude 2 in degrees</x14:argumentDescription>
            <x14:argumentDescription index="3">longitude 2 in degrees</x14:argumentDescription>
          </x14:argumentDescriptions>
        </x14:definedName>
        <x14:definedName name="VincentyInvRevAzimuth">
          <x14:argumentDescriptions count="4">
            <x14:argumentDescription index="0">latitude 1 in degrees</x14:argumentDescription>
            <x14:argumentDescription index="1">longitude 1 in degrees</x14:argumentDescription>
            <x14:argumentDescription index="2">latitude 2 in degrees</x14:argumentDescription>
            <x14:argumentDescription index="3">longitude 2 in degrees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0" i="1" l="1"/>
  <c r="E23" i="1"/>
  <c r="E31" i="1"/>
  <c r="E33" i="1"/>
  <c r="E22" i="1"/>
  <c r="H24" i="1" s="1"/>
  <c r="H23" i="1"/>
  <c r="H22" i="1"/>
  <c r="E32" i="1"/>
  <c r="H31" i="1"/>
  <c r="J23" i="1"/>
  <c r="H30" i="1"/>
  <c r="J22" i="1"/>
  <c r="H32" i="1"/>
</calcChain>
</file>

<file path=xl/sharedStrings.xml><?xml version="1.0" encoding="utf-8"?>
<sst xmlns="http://schemas.openxmlformats.org/spreadsheetml/2006/main" count="58" uniqueCount="55">
  <si>
    <t>https://www.movable-type.co.uk/scripts/latlong-vincenty.html</t>
  </si>
  <si>
    <t>https://en.wikipedia.org/wiki/Vincenty%27s_formulae</t>
  </si>
  <si>
    <t>http://www.ga.gov.au/geodesy/datums/vincenty_inverse.jsp</t>
  </si>
  <si>
    <t>https://link.springer.com/article/10.1007%2Fs00190-012-0578-z</t>
  </si>
  <si>
    <t>https://geographiclib.sourceforge.io/cgi-bin/GeodSolve</t>
  </si>
  <si>
    <t>https://geographiclib.sourceforge.io/scripts/geod-google.html</t>
  </si>
  <si>
    <t>http://www.ga.gov.au/geodesy/datums/vincenty_direct.jsp</t>
  </si>
  <si>
    <t>Azimuth</t>
  </si>
  <si>
    <t>https://github.com/chrisveness/geodesy</t>
  </si>
  <si>
    <t>37°57′03.72030″S</t>
  </si>
  <si>
    <t>144°25′29.52440″E</t>
  </si>
  <si>
    <t>Distance [m]</t>
  </si>
  <si>
    <t>Flinders Peak (point 1)</t>
  </si>
  <si>
    <t>Buninyong (point 2)</t>
  </si>
  <si>
    <t>Forward Azimuth</t>
  </si>
  <si>
    <t>Reverse Azimuth</t>
  </si>
  <si>
    <t>Point 2 - latitude</t>
  </si>
  <si>
    <t>Point 2 - longitude</t>
  </si>
  <si>
    <t>References:</t>
  </si>
  <si>
    <t>Geoscience Australia</t>
  </si>
  <si>
    <t>GeodSolve Library</t>
  </si>
  <si>
    <t>Calculation results have been validated using 1200 test cases generated for 6 range clusters and distance between 10 m and 30,000 km</t>
  </si>
  <si>
    <r>
      <t xml:space="preserve">against </t>
    </r>
    <r>
      <rPr>
        <b/>
        <sz val="11"/>
        <color theme="1"/>
        <rFont val="Calibri"/>
        <family val="2"/>
        <scheme val="minor"/>
      </rPr>
      <t>Geoscience Australia</t>
    </r>
    <r>
      <rPr>
        <sz val="11"/>
        <color theme="1"/>
        <rFont val="Calibri"/>
        <family val="2"/>
        <scheme val="minor"/>
      </rPr>
      <t xml:space="preserve"> website:</t>
    </r>
  </si>
  <si>
    <r>
      <t xml:space="preserve">and </t>
    </r>
    <r>
      <rPr>
        <b/>
        <sz val="11"/>
        <color theme="1"/>
        <rFont val="Calibri"/>
        <family val="2"/>
        <scheme val="minor"/>
      </rPr>
      <t>GeodSolve library</t>
    </r>
    <r>
      <rPr>
        <sz val="11"/>
        <color theme="1"/>
        <rFont val="Calibri"/>
        <family val="2"/>
        <scheme val="minor"/>
      </rPr>
      <t xml:space="preserve"> by Charles Karney:</t>
    </r>
  </si>
  <si>
    <t>Ported to VBA by © Tomasz Jastrzębski 2018 MIT License</t>
  </si>
  <si>
    <t>This Excel workbook contains 6 functions implementing [Vincenty Direct] and [Vincenty Inverse] calculations</t>
  </si>
  <si>
    <t>as well as 2 functions for Decimal ↔ Degrees/Minutes/Seconds format conversion using WGS84 model</t>
  </si>
  <si>
    <t>Algorithms by Thaddeus Vincenty (1975)</t>
  </si>
  <si>
    <t>to calculate new coordinate based on azimuth and distance (direct)</t>
  </si>
  <si>
    <t>or distance and azimuth based on two coordinates (inverse)</t>
  </si>
  <si>
    <r>
      <t xml:space="preserve">Based on the implementation in Java Script by </t>
    </r>
    <r>
      <rPr>
        <b/>
        <sz val="11"/>
        <color theme="1"/>
        <rFont val="Calibri"/>
        <family val="2"/>
        <scheme val="minor"/>
      </rPr>
      <t>Chris Veness</t>
    </r>
  </si>
  <si>
    <t>Vincenty's Direct and Inverse Solution of Geodesics on the Ellipsoid</t>
  </si>
  <si>
    <t>VincentyDirLat()</t>
  </si>
  <si>
    <t>VincentyDirLon()</t>
  </si>
  <si>
    <t>VincentyDirRevAzimuth()</t>
  </si>
  <si>
    <t>VincentyInvDistance()</t>
  </si>
  <si>
    <t>VincentyInvFwdAzimuth()</t>
  </si>
  <si>
    <t>VincentyInvRevAzimuth()</t>
  </si>
  <si>
    <t>37°57′03.7203″S</t>
  </si>
  <si>
    <t>37°39′10.1561″S</t>
  </si>
  <si>
    <t>144°25′29.5244″E</t>
  </si>
  <si>
    <t>143°55′35.3839″E</t>
  </si>
  <si>
    <t>For functions description please use Excel function wizard, search in Geodesic function category.</t>
  </si>
  <si>
    <t>Vincenty Inverse Calculation Example</t>
  </si>
  <si>
    <t>Vincenty Direct Calculation Example</t>
  </si>
  <si>
    <t>Wikipedia: Vincenty's formulae</t>
  </si>
  <si>
    <t>Wikipedia: Geodesics on an ellipsoid</t>
  </si>
  <si>
    <t>Wikipedia: Great-circle distance</t>
  </si>
  <si>
    <t>Thaddeus Vincenty: original publication (2)</t>
  </si>
  <si>
    <t>Thaddeus Vincenty: original publication (1)</t>
  </si>
  <si>
    <t>Input: point1, distance, azimuth</t>
  </si>
  <si>
    <t>Input: point1, point2</t>
  </si>
  <si>
    <t>https://github.com/tdjastrzebski/Vincenty-Excel</t>
  </si>
  <si>
    <t>Result: point2, reverse azimuth</t>
  </si>
  <si>
    <t>Result: distance, azimuth, reverse azimuth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</si>
</sst>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000%"/>
    <numFmt numFmtId="165" formatCode="0.0000"/>
    <numFmt numFmtId="166" formatCode="#,##0.000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b/>
      <sz val="16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1"/>
        <bgColor indexed="64"/>
      </patternFill>
    </fill>
    <fill>
      <patternFill patternType="solid">
        <fgColor rgb="FFFFE18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9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2" fillId="0" borderId="0" xfId="1"/>
    <xf numFmtId="0" fontId="3" fillId="0" borderId="0" xfId="0" applyFont="1"/>
    <xf numFmtId="164" fontId="0" fillId="0" borderId="1" xfId="0" applyNumberFormat="1" applyBorder="1"/>
    <xf numFmtId="0" fontId="0" fillId="3" borderId="1" xfId="0" applyFill="1" applyBorder="1"/>
    <xf numFmtId="0" fontId="0" fillId="3" borderId="1" xfId="0" applyFill="1" applyBorder="1" applyAlignment="1">
      <alignment horizontal="right"/>
    </xf>
    <xf numFmtId="0" fontId="5" fillId="0" borderId="0" xfId="0" applyFont="1"/>
    <xf numFmtId="0" fontId="6" fillId="0" borderId="0" xfId="0" applyFont="1"/>
    <xf numFmtId="0" fontId="4" fillId="0" borderId="0" xfId="0" applyFont="1" applyAlignment="1">
      <alignment vertical="center"/>
    </xf>
    <xf numFmtId="0" fontId="0" fillId="0" borderId="0" xfId="0" applyAlignment="1">
      <alignment vertical="center"/>
    </xf>
    <xf numFmtId="0" fontId="7" fillId="0" borderId="0" xfId="0" applyFont="1"/>
    <xf numFmtId="0" fontId="0" fillId="5" borderId="1" xfId="0" applyFill="1" applyBorder="1"/>
    <xf numFmtId="0" fontId="8" fillId="4" borderId="0" xfId="0" applyFont="1" applyFill="1" applyAlignment="1">
      <alignment vertical="center"/>
    </xf>
    <xf numFmtId="0" fontId="3" fillId="6" borderId="0" xfId="0" applyFont="1" applyFill="1"/>
    <xf numFmtId="0" fontId="4" fillId="7" borderId="0" xfId="0" applyFont="1" applyFill="1"/>
    <xf numFmtId="0" fontId="0" fillId="7" borderId="0" xfId="0" applyFill="1"/>
    <xf numFmtId="0" fontId="1" fillId="2" borderId="1" xfId="0" applyFont="1" applyFill="1" applyBorder="1"/>
    <xf numFmtId="0" fontId="1" fillId="2" borderId="1" xfId="0" applyFont="1" applyFill="1" applyBorder="1" applyAlignment="1">
      <alignment horizontal="right"/>
    </xf>
    <xf numFmtId="165" fontId="1" fillId="2" borderId="1" xfId="0" applyNumberFormat="1" applyFont="1" applyFill="1" applyBorder="1" applyAlignment="1">
      <alignment horizontal="right"/>
    </xf>
    <xf numFmtId="165" fontId="0" fillId="0" borderId="1" xfId="0" applyNumberFormat="1" applyBorder="1"/>
    <xf numFmtId="165" fontId="0" fillId="3" borderId="1" xfId="0" applyNumberFormat="1" applyFill="1" applyBorder="1" applyAlignment="1">
      <alignment horizontal="right"/>
    </xf>
    <xf numFmtId="165" fontId="0" fillId="3" borderId="1" xfId="0" applyNumberFormat="1" applyFill="1" applyBorder="1"/>
    <xf numFmtId="166" fontId="0" fillId="3" borderId="1" xfId="0" applyNumberFormat="1" applyFill="1" applyBorder="1"/>
    <xf numFmtId="166" fontId="1" fillId="2" borderId="1" xfId="0" applyNumberFormat="1" applyFont="1" applyFill="1" applyBorder="1" applyAlignment="1">
      <alignment horizontal="right"/>
    </xf>
    <xf numFmtId="0" fontId="4" fillId="6" borderId="0" xfId="0" applyFont="1" applyFill="1"/>
    <xf numFmtId="0" fontId="1" fillId="2" borderId="2" xfId="0" applyFont="1" applyFill="1" applyBorder="1" applyAlignment="1">
      <alignment horizontal="left" vertical="center"/>
    </xf>
    <xf numFmtId="0" fontId="1" fillId="2" borderId="3" xfId="0" applyFont="1" applyFill="1" applyBorder="1" applyAlignment="1">
      <alignment horizontal="left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E181"/>
      <color rgb="FFFFFFC1"/>
      <color rgb="FFA8CCEA"/>
      <color rgb="FF7FB5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133350</xdr:colOff>
      <xdr:row>21</xdr:row>
      <xdr:rowOff>1</xdr:rowOff>
    </xdr:from>
    <xdr:to>
      <xdr:col>8</xdr:col>
      <xdr:colOff>590549</xdr:colOff>
      <xdr:row>23</xdr:row>
      <xdr:rowOff>1</xdr:rowOff>
    </xdr:to>
    <xdr:sp macro="" textlink="">
      <xdr:nvSpPr>
        <xdr:cNvPr id="2" name="Arrow: Right 1">
          <a:extLst>
            <a:ext uri="{FF2B5EF4-FFF2-40B4-BE49-F238E27FC236}">
              <a16:creationId xmlns:a16="http://schemas.microsoft.com/office/drawing/2014/main" id="{C4706394-A65D-49F2-81F8-2B8EC19E54B2}"/>
            </a:ext>
          </a:extLst>
        </xdr:cNvPr>
        <xdr:cNvSpPr/>
      </xdr:nvSpPr>
      <xdr:spPr>
        <a:xfrm>
          <a:off x="9167446" y="4227636"/>
          <a:ext cx="457199" cy="381000"/>
        </a:xfrm>
        <a:prstGeom prst="rightArrow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5</xdr:col>
      <xdr:colOff>433106</xdr:colOff>
      <xdr:row>21</xdr:row>
      <xdr:rowOff>23532</xdr:rowOff>
    </xdr:from>
    <xdr:to>
      <xdr:col>5</xdr:col>
      <xdr:colOff>1090331</xdr:colOff>
      <xdr:row>24</xdr:row>
      <xdr:rowOff>180975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26CB7085-2BD1-4DF9-9FDA-7DF7F245E5E6}"/>
            </a:ext>
          </a:extLst>
        </xdr:cNvPr>
        <xdr:cNvSpPr/>
      </xdr:nvSpPr>
      <xdr:spPr>
        <a:xfrm>
          <a:off x="5128931" y="4262157"/>
          <a:ext cx="657225" cy="728943"/>
        </a:xfrm>
        <a:prstGeom prst="rightArrow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</xdr:col>
      <xdr:colOff>130866</xdr:colOff>
      <xdr:row>29</xdr:row>
      <xdr:rowOff>19050</xdr:rowOff>
    </xdr:from>
    <xdr:to>
      <xdr:col>3</xdr:col>
      <xdr:colOff>588065</xdr:colOff>
      <xdr:row>32</xdr:row>
      <xdr:rowOff>180975</xdr:rowOff>
    </xdr:to>
    <xdr:sp macro="" textlink="">
      <xdr:nvSpPr>
        <xdr:cNvPr id="6" name="Arrow: Right 5">
          <a:extLst>
            <a:ext uri="{FF2B5EF4-FFF2-40B4-BE49-F238E27FC236}">
              <a16:creationId xmlns:a16="http://schemas.microsoft.com/office/drawing/2014/main" id="{787639C9-5F53-4110-8DE6-57F8D9A0CA48}"/>
            </a:ext>
          </a:extLst>
        </xdr:cNvPr>
        <xdr:cNvSpPr/>
      </xdr:nvSpPr>
      <xdr:spPr>
        <a:xfrm>
          <a:off x="3021984" y="5801285"/>
          <a:ext cx="457199" cy="733425"/>
        </a:xfrm>
        <a:prstGeom prst="rightArrow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</xdr:col>
      <xdr:colOff>130866</xdr:colOff>
      <xdr:row>21</xdr:row>
      <xdr:rowOff>20897</xdr:rowOff>
    </xdr:from>
    <xdr:to>
      <xdr:col>3</xdr:col>
      <xdr:colOff>588065</xdr:colOff>
      <xdr:row>22</xdr:row>
      <xdr:rowOff>175846</xdr:rowOff>
    </xdr:to>
    <xdr:sp macro="" textlink="">
      <xdr:nvSpPr>
        <xdr:cNvPr id="8" name="Arrow: Right 7">
          <a:extLst>
            <a:ext uri="{FF2B5EF4-FFF2-40B4-BE49-F238E27FC236}">
              <a16:creationId xmlns:a16="http://schemas.microsoft.com/office/drawing/2014/main" id="{62BAE8D9-F416-4DC4-95D4-60C59413C179}"/>
            </a:ext>
          </a:extLst>
        </xdr:cNvPr>
        <xdr:cNvSpPr/>
      </xdr:nvSpPr>
      <xdr:spPr>
        <a:xfrm>
          <a:off x="3025001" y="4248532"/>
          <a:ext cx="457199" cy="345449"/>
        </a:xfrm>
        <a:prstGeom prst="rightArrow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5</xdr:col>
      <xdr:colOff>442631</xdr:colOff>
      <xdr:row>29</xdr:row>
      <xdr:rowOff>12886</xdr:rowOff>
    </xdr:from>
    <xdr:to>
      <xdr:col>5</xdr:col>
      <xdr:colOff>1099856</xdr:colOff>
      <xdr:row>32</xdr:row>
      <xdr:rowOff>180975</xdr:rowOff>
    </xdr:to>
    <xdr:sp macro="" textlink="">
      <xdr:nvSpPr>
        <xdr:cNvPr id="9" name="Arrow: Right 8">
          <a:extLst>
            <a:ext uri="{FF2B5EF4-FFF2-40B4-BE49-F238E27FC236}">
              <a16:creationId xmlns:a16="http://schemas.microsoft.com/office/drawing/2014/main" id="{44F65EC3-53E4-4BB8-87F1-A12DF2D14111}"/>
            </a:ext>
          </a:extLst>
        </xdr:cNvPr>
        <xdr:cNvSpPr/>
      </xdr:nvSpPr>
      <xdr:spPr>
        <a:xfrm>
          <a:off x="5138456" y="5918386"/>
          <a:ext cx="657225" cy="739589"/>
        </a:xfrm>
        <a:prstGeom prst="rightArrow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</xdr:col>
      <xdr:colOff>148019</xdr:colOff>
      <xdr:row>23</xdr:row>
      <xdr:rowOff>69446</xdr:rowOff>
    </xdr:from>
    <xdr:to>
      <xdr:col>4</xdr:col>
      <xdr:colOff>991046</xdr:colOff>
      <xdr:row>24</xdr:row>
      <xdr:rowOff>157369</xdr:rowOff>
    </xdr:to>
    <xdr:sp macro="" textlink="">
      <xdr:nvSpPr>
        <xdr:cNvPr id="10" name="Arrow: Right 9">
          <a:extLst>
            <a:ext uri="{FF2B5EF4-FFF2-40B4-BE49-F238E27FC236}">
              <a16:creationId xmlns:a16="http://schemas.microsoft.com/office/drawing/2014/main" id="{81BF7986-2A5D-4B02-B631-DD03D665C00F}"/>
            </a:ext>
          </a:extLst>
        </xdr:cNvPr>
        <xdr:cNvSpPr/>
      </xdr:nvSpPr>
      <xdr:spPr>
        <a:xfrm>
          <a:off x="3046932" y="4682859"/>
          <a:ext cx="1547049" cy="278423"/>
        </a:xfrm>
        <a:prstGeom prst="rightArrow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en.wikipedia.org/wiki/Vincenty%27s_formulae" TargetMode="External"/><Relationship Id="rId13" Type="http://schemas.openxmlformats.org/officeDocument/2006/relationships/hyperlink" Target="https://github.com/tdjastrzebski/Vincenty-Excel" TargetMode="External"/><Relationship Id="rId3" Type="http://schemas.openxmlformats.org/officeDocument/2006/relationships/hyperlink" Target="https://en.wikipedia.org/wiki/Great-circle_distance" TargetMode="External"/><Relationship Id="rId7" Type="http://schemas.openxmlformats.org/officeDocument/2006/relationships/hyperlink" Target="https://geographiclib.sourceforge.io/scripts/geod-google.html" TargetMode="External"/><Relationship Id="rId12" Type="http://schemas.openxmlformats.org/officeDocument/2006/relationships/hyperlink" Target="https://github.com/chrisveness/geodesy" TargetMode="External"/><Relationship Id="rId2" Type="http://schemas.openxmlformats.org/officeDocument/2006/relationships/hyperlink" Target="http://www.ga.gov.au/geodesy/datums/vincenty_inverse.jsp" TargetMode="External"/><Relationship Id="rId1" Type="http://schemas.openxmlformats.org/officeDocument/2006/relationships/hyperlink" Target="https://en.wikipedia.org/wiki/Vincenty%27s_formulae" TargetMode="External"/><Relationship Id="rId6" Type="http://schemas.openxmlformats.org/officeDocument/2006/relationships/hyperlink" Target="https://geographiclib.sourceforge.io/cgi-bin/GeodSolve" TargetMode="External"/><Relationship Id="rId11" Type="http://schemas.openxmlformats.org/officeDocument/2006/relationships/hyperlink" Target="https://www.movable-type.co.uk/scripts/latlong-vincenty.html" TargetMode="External"/><Relationship Id="rId5" Type="http://schemas.openxmlformats.org/officeDocument/2006/relationships/hyperlink" Target="https://link.springer.com/article/10.1007%2Fs00190-012-0578-z" TargetMode="External"/><Relationship Id="rId15" Type="http://schemas.openxmlformats.org/officeDocument/2006/relationships/drawing" Target="../drawings/drawing1.xml"/><Relationship Id="rId10" Type="http://schemas.openxmlformats.org/officeDocument/2006/relationships/hyperlink" Target="https://geographiclib.sourceforge.io/geodesic-papers/vincenty75b.pdf" TargetMode="External"/><Relationship Id="rId4" Type="http://schemas.openxmlformats.org/officeDocument/2006/relationships/hyperlink" Target="https://en.wikipedia.org/wiki/Geodesics_on_an_ellipsoid" TargetMode="External"/><Relationship Id="rId9" Type="http://schemas.openxmlformats.org/officeDocument/2006/relationships/hyperlink" Target="https://www.ngs.noaa.gov/PUBS_LIB/inverse.pdf" TargetMode="External"/><Relationship Id="rId1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S50"/>
  <sheetViews>
    <sheetView tabSelected="1" topLeftCell="A19" zoomScaleNormal="100" workbookViewId="0">
      <selection activeCell="L39" sqref="L39"/>
    </sheetView>
  </sheetViews>
  <sheetFormatPr defaultRowHeight="14.25" x14ac:dyDescent="0.45"/>
  <cols>
    <col min="1" max="1" width="2.3984375" customWidth="1"/>
    <col min="2" max="2" width="22.73046875" customWidth="1"/>
    <col min="3" max="3" width="18.265625" bestFit="1" customWidth="1"/>
    <col min="4" max="4" width="10.59765625" customWidth="1"/>
    <col min="5" max="5" width="16.3984375" customWidth="1"/>
    <col min="6" max="6" width="24.59765625" bestFit="1" customWidth="1"/>
    <col min="7" max="7" width="22.59765625" customWidth="1"/>
    <col min="8" max="8" width="17.86328125" bestFit="1" customWidth="1"/>
    <col min="9" max="9" width="9.73046875" customWidth="1"/>
    <col min="10" max="10" width="15.86328125" bestFit="1" customWidth="1"/>
    <col min="11" max="11" width="11.59765625" bestFit="1" customWidth="1"/>
    <col min="12" max="12" width="11.86328125" bestFit="1" customWidth="1"/>
    <col min="14" max="14" width="8.3984375" bestFit="1" customWidth="1"/>
    <col min="15" max="15" width="9.73046875" customWidth="1"/>
    <col min="16" max="16" width="11.265625" customWidth="1"/>
    <col min="17" max="17" width="13.59765625" bestFit="1" customWidth="1"/>
    <col min="18" max="18" width="14.59765625" bestFit="1" customWidth="1"/>
    <col min="19" max="19" width="12" bestFit="1" customWidth="1"/>
    <col min="20" max="20" width="15" bestFit="1" customWidth="1"/>
  </cols>
  <sheetData>
    <row r="1" spans="2:19" ht="21" x14ac:dyDescent="0.65">
      <c r="B1" s="8" t="s">
        <v>31</v>
      </c>
      <c r="J1" s="2"/>
      <c r="K1" s="2"/>
      <c r="M1" s="3"/>
      <c r="N1" s="3"/>
      <c r="S1" s="1"/>
    </row>
    <row r="2" spans="2:19" x14ac:dyDescent="0.45">
      <c r="B2" s="4" t="s">
        <v>28</v>
      </c>
      <c r="J2" s="2"/>
      <c r="K2" s="2"/>
      <c r="M2" s="3"/>
      <c r="N2" s="3"/>
      <c r="S2" s="1"/>
    </row>
    <row r="3" spans="2:19" x14ac:dyDescent="0.45">
      <c r="B3" s="4" t="s">
        <v>29</v>
      </c>
      <c r="J3" s="2"/>
      <c r="K3" s="2"/>
      <c r="M3" s="3"/>
      <c r="N3" s="3"/>
      <c r="S3" s="1"/>
    </row>
    <row r="4" spans="2:19" x14ac:dyDescent="0.45">
      <c r="J4" s="2"/>
      <c r="K4" s="2"/>
      <c r="M4" s="3"/>
      <c r="N4" s="3"/>
      <c r="S4" s="1"/>
    </row>
    <row r="5" spans="2:19" x14ac:dyDescent="0.45">
      <c r="B5" s="4" t="s">
        <v>27</v>
      </c>
      <c r="J5" s="2"/>
      <c r="K5" s="2"/>
      <c r="N5" s="3"/>
      <c r="S5" s="1"/>
    </row>
    <row r="6" spans="2:19" x14ac:dyDescent="0.45">
      <c r="B6" s="3" t="s">
        <v>1</v>
      </c>
      <c r="J6" s="2"/>
      <c r="K6" s="2"/>
      <c r="N6" s="3"/>
      <c r="S6" s="1"/>
    </row>
    <row r="7" spans="2:19" x14ac:dyDescent="0.45">
      <c r="J7" s="2"/>
      <c r="K7" s="2"/>
      <c r="N7" s="3"/>
      <c r="S7" s="1"/>
    </row>
    <row r="8" spans="2:19" x14ac:dyDescent="0.45">
      <c r="B8" s="4" t="s">
        <v>24</v>
      </c>
    </row>
    <row r="9" spans="2:19" x14ac:dyDescent="0.45">
      <c r="B9" s="3" t="s">
        <v>52</v>
      </c>
    </row>
    <row r="11" spans="2:19" x14ac:dyDescent="0.45">
      <c r="B11" s="4" t="s">
        <v>30</v>
      </c>
    </row>
    <row r="12" spans="2:19" x14ac:dyDescent="0.45">
      <c r="B12" s="3" t="s">
        <v>0</v>
      </c>
    </row>
    <row r="13" spans="2:19" x14ac:dyDescent="0.45">
      <c r="B13" s="3" t="s">
        <v>8</v>
      </c>
    </row>
    <row r="14" spans="2:19" x14ac:dyDescent="0.45">
      <c r="B14" s="3"/>
    </row>
    <row r="15" spans="2:19" ht="15.75" x14ac:dyDescent="0.5">
      <c r="B15" s="16" t="s">
        <v>25</v>
      </c>
      <c r="C15" s="17"/>
      <c r="D15" s="17"/>
      <c r="E15" s="17"/>
      <c r="F15" s="17"/>
      <c r="G15" s="17"/>
      <c r="H15" s="17"/>
      <c r="I15" s="17"/>
      <c r="J15" s="16"/>
    </row>
    <row r="16" spans="2:19" ht="15.75" x14ac:dyDescent="0.5">
      <c r="B16" s="16" t="s">
        <v>26</v>
      </c>
      <c r="C16" s="17"/>
      <c r="D16" s="17"/>
      <c r="E16" s="17"/>
      <c r="F16" s="17"/>
      <c r="G16" s="17"/>
      <c r="H16" s="17"/>
      <c r="I16" s="17"/>
      <c r="J16" s="16"/>
    </row>
    <row r="18" spans="2:10" ht="15.75" x14ac:dyDescent="0.5">
      <c r="B18" s="26" t="s">
        <v>42</v>
      </c>
      <c r="C18" s="15"/>
      <c r="D18" s="15"/>
      <c r="E18" s="15"/>
      <c r="F18" s="15"/>
      <c r="G18" s="15"/>
      <c r="H18" s="15"/>
      <c r="I18" s="15"/>
      <c r="J18" s="15"/>
    </row>
    <row r="20" spans="2:10" s="11" customFormat="1" ht="21" x14ac:dyDescent="0.45">
      <c r="B20" s="14" t="s">
        <v>44</v>
      </c>
      <c r="C20" s="14"/>
      <c r="D20" s="14"/>
      <c r="E20" s="14"/>
      <c r="F20" s="14"/>
      <c r="G20" s="14"/>
      <c r="H20" s="14"/>
      <c r="I20" s="14"/>
      <c r="J20" s="14"/>
    </row>
    <row r="21" spans="2:10" s="11" customFormat="1" ht="20.25" customHeight="1" x14ac:dyDescent="0.45">
      <c r="B21" s="10" t="s">
        <v>50</v>
      </c>
      <c r="G21" s="10" t="s">
        <v>53</v>
      </c>
    </row>
    <row r="22" spans="2:10" x14ac:dyDescent="0.45">
      <c r="B22" s="27" t="s">
        <v>12</v>
      </c>
      <c r="C22" s="19" t="s">
        <v>9</v>
      </c>
      <c r="E22" s="21">
        <f>ConvertDecimal(C22)</f>
        <v>-37.951033416666668</v>
      </c>
      <c r="G22" s="6" t="s">
        <v>16</v>
      </c>
      <c r="H22" s="22">
        <f>vincentyDirLat(E22,E23,C25,C24)</f>
        <v>-37.652821138864894</v>
      </c>
      <c r="J22" s="7" t="str">
        <f>ConvertDegrees(H22, FALSE)</f>
        <v>37°39'10.1561"S</v>
      </c>
    </row>
    <row r="23" spans="2:10" x14ac:dyDescent="0.45">
      <c r="B23" s="28"/>
      <c r="C23" s="19" t="s">
        <v>10</v>
      </c>
      <c r="E23" s="21">
        <f>ConvertDecimal(C23)</f>
        <v>144.42486788888888</v>
      </c>
      <c r="G23" s="6" t="s">
        <v>17</v>
      </c>
      <c r="H23" s="22">
        <f>VincentyDirLon(E22,E23,C25,C24)</f>
        <v>143.92649552774759</v>
      </c>
      <c r="J23" s="7" t="str">
        <f>ConvertDegrees(H23, TRUE)</f>
        <v>143°55'35.3839"E</v>
      </c>
    </row>
    <row r="24" spans="2:10" x14ac:dyDescent="0.45">
      <c r="B24" s="18" t="s">
        <v>11</v>
      </c>
      <c r="C24" s="25">
        <v>54972.271142042664</v>
      </c>
      <c r="G24" s="6" t="s">
        <v>15</v>
      </c>
      <c r="H24" s="22">
        <f>VincentyDirRevAzimuth(E22,E23,C25,C24)</f>
        <v>307.17363062946851</v>
      </c>
    </row>
    <row r="25" spans="2:10" x14ac:dyDescent="0.45">
      <c r="B25" s="18" t="s">
        <v>7</v>
      </c>
      <c r="C25" s="20">
        <v>306.86815920330764</v>
      </c>
    </row>
    <row r="28" spans="2:10" s="11" customFormat="1" ht="21" x14ac:dyDescent="0.45">
      <c r="B28" s="14" t="s">
        <v>43</v>
      </c>
      <c r="C28" s="14"/>
      <c r="D28" s="14"/>
      <c r="E28" s="14"/>
      <c r="F28" s="14"/>
      <c r="G28" s="14"/>
      <c r="H28" s="14"/>
      <c r="I28" s="14"/>
      <c r="J28" s="14"/>
    </row>
    <row r="29" spans="2:10" s="11" customFormat="1" ht="20.25" customHeight="1" x14ac:dyDescent="0.45">
      <c r="B29" s="10" t="s">
        <v>51</v>
      </c>
      <c r="G29" s="10" t="s">
        <v>54</v>
      </c>
    </row>
    <row r="30" spans="2:10" x14ac:dyDescent="0.45">
      <c r="B30" s="27" t="s">
        <v>12</v>
      </c>
      <c r="C30" s="19" t="s">
        <v>38</v>
      </c>
      <c r="E30" s="21">
        <f>ConvertDecimal(C30)</f>
        <v>-37.951033416666668</v>
      </c>
      <c r="G30" s="6" t="s">
        <v>11</v>
      </c>
      <c r="H30" s="24">
        <f>VincentyInvDistance(E30,E31,E32,E33)</f>
        <v>54972.271142042664</v>
      </c>
    </row>
    <row r="31" spans="2:10" x14ac:dyDescent="0.45">
      <c r="B31" s="28"/>
      <c r="C31" s="19" t="s">
        <v>40</v>
      </c>
      <c r="E31" s="21">
        <f>ConvertDecimal(C31)</f>
        <v>144.42486788888888</v>
      </c>
      <c r="G31" s="6" t="s">
        <v>14</v>
      </c>
      <c r="H31" s="23">
        <f>VincentyInvFwdAzimuth(E30,E31,E32,E33)</f>
        <v>306.86815920330764</v>
      </c>
    </row>
    <row r="32" spans="2:10" x14ac:dyDescent="0.45">
      <c r="B32" s="27" t="s">
        <v>13</v>
      </c>
      <c r="C32" s="19" t="s">
        <v>39</v>
      </c>
      <c r="E32" s="21">
        <f>ConvertDecimal(C32)</f>
        <v>-37.652821138888889</v>
      </c>
      <c r="G32" s="6" t="s">
        <v>15</v>
      </c>
      <c r="H32" s="23">
        <f>VincentyInvRevAzimuth(E30,E31,E32,E33)</f>
        <v>307.1736306294444</v>
      </c>
    </row>
    <row r="33" spans="2:8" x14ac:dyDescent="0.45">
      <c r="B33" s="28"/>
      <c r="C33" s="19" t="s">
        <v>41</v>
      </c>
      <c r="E33" s="21">
        <f>ConvertDecimal(C33)</f>
        <v>143.92649552777777</v>
      </c>
    </row>
    <row r="36" spans="2:8" x14ac:dyDescent="0.45">
      <c r="B36" s="12" t="s">
        <v>21</v>
      </c>
    </row>
    <row r="37" spans="2:8" x14ac:dyDescent="0.45">
      <c r="B37" t="s">
        <v>22</v>
      </c>
    </row>
    <row r="38" spans="2:8" x14ac:dyDescent="0.45">
      <c r="B38" s="3" t="s">
        <v>6</v>
      </c>
      <c r="G38" s="13" t="s">
        <v>19</v>
      </c>
      <c r="H38" s="13" t="s">
        <v>20</v>
      </c>
    </row>
    <row r="39" spans="2:8" x14ac:dyDescent="0.45">
      <c r="B39" s="3" t="s">
        <v>2</v>
      </c>
      <c r="F39" s="13" t="s">
        <v>32</v>
      </c>
      <c r="G39" s="5">
        <v>5.0000000000000001E-9</v>
      </c>
      <c r="H39" s="5">
        <v>0</v>
      </c>
    </row>
    <row r="40" spans="2:8" x14ac:dyDescent="0.45">
      <c r="B40" t="s">
        <v>23</v>
      </c>
      <c r="F40" s="13" t="s">
        <v>33</v>
      </c>
      <c r="G40" s="5">
        <v>2.0000000000000001E-9</v>
      </c>
      <c r="H40" s="5">
        <v>1.0000000000000001E-9</v>
      </c>
    </row>
    <row r="41" spans="2:8" x14ac:dyDescent="0.45">
      <c r="B41" s="3" t="s">
        <v>4</v>
      </c>
      <c r="F41" s="13" t="s">
        <v>34</v>
      </c>
      <c r="G41" s="5">
        <v>8.3300000000000001E-7</v>
      </c>
      <c r="H41" s="5">
        <v>0</v>
      </c>
    </row>
    <row r="42" spans="2:8" x14ac:dyDescent="0.45">
      <c r="B42" s="3" t="s">
        <v>5</v>
      </c>
      <c r="F42" s="13" t="s">
        <v>35</v>
      </c>
      <c r="G42" s="5">
        <v>2.4182999999999999E-5</v>
      </c>
      <c r="H42" s="5">
        <v>1.269E-6</v>
      </c>
    </row>
    <row r="43" spans="2:8" x14ac:dyDescent="0.45">
      <c r="B43" s="3" t="s">
        <v>3</v>
      </c>
      <c r="F43" s="13" t="s">
        <v>36</v>
      </c>
      <c r="G43" s="5">
        <v>8.0979999999999994E-6</v>
      </c>
      <c r="H43" s="5">
        <v>3.9280000000000003E-6</v>
      </c>
    </row>
    <row r="44" spans="2:8" x14ac:dyDescent="0.45">
      <c r="F44" s="13" t="s">
        <v>37</v>
      </c>
      <c r="G44" s="5">
        <v>5.2449999999999998E-6</v>
      </c>
      <c r="H44" s="5">
        <v>3.9280000000000003E-6</v>
      </c>
    </row>
    <row r="45" spans="2:8" x14ac:dyDescent="0.45">
      <c r="B45" s="9" t="s">
        <v>18</v>
      </c>
    </row>
    <row r="46" spans="2:8" x14ac:dyDescent="0.45">
      <c r="B46" s="3" t="s">
        <v>49</v>
      </c>
    </row>
    <row r="47" spans="2:8" x14ac:dyDescent="0.45">
      <c r="B47" s="3" t="s">
        <v>48</v>
      </c>
      <c r="H47" s="3"/>
    </row>
    <row r="48" spans="2:8" x14ac:dyDescent="0.45">
      <c r="B48" s="3" t="s">
        <v>45</v>
      </c>
    </row>
    <row r="49" spans="2:8" x14ac:dyDescent="0.45">
      <c r="B49" s="3" t="s">
        <v>46</v>
      </c>
    </row>
    <row r="50" spans="2:8" x14ac:dyDescent="0.45">
      <c r="B50" s="3" t="s">
        <v>47</v>
      </c>
      <c r="H50" s="3"/>
    </row>
  </sheetData>
  <mergeCells count="3">
    <mergeCell ref="B22:B23"/>
    <mergeCell ref="B30:B31"/>
    <mergeCell ref="B32:B33"/>
  </mergeCells>
  <hyperlinks>
    <hyperlink ref="B48" r:id="rId1" xr:uid="{90AE0FDE-3389-4E59-9067-FA1199551BB6}"/>
    <hyperlink ref="B39" r:id="rId2" xr:uid="{293BB999-A74D-49F7-B870-68F7CF693652}"/>
    <hyperlink ref="B50" r:id="rId3" xr:uid="{C41B7210-6144-4B2F-90A7-D0F6E0B36574}"/>
    <hyperlink ref="B49" r:id="rId4" xr:uid="{F437963F-F579-459C-BF7B-7E5691D756B3}"/>
    <hyperlink ref="B43" r:id="rId5" xr:uid="{E5A20D27-E291-41E9-AA5C-FD68715DE179}"/>
    <hyperlink ref="B41" r:id="rId6" xr:uid="{2CDBB069-ECFC-42F3-9EA9-0E3F1E54A7FD}"/>
    <hyperlink ref="B42" r:id="rId7" xr:uid="{D2EAE2A9-F1E1-49C3-AF43-DEC3556CC185}"/>
    <hyperlink ref="B6" r:id="rId8" xr:uid="{6CC7DEDF-D5E3-4286-96E6-19B15ECA2C9F}"/>
    <hyperlink ref="B46" r:id="rId9" display="Thaddeus Vincenty: oryginal publication (1)" xr:uid="{2D10BEA7-F26A-402D-A403-CBA9755254B4}"/>
    <hyperlink ref="B47" r:id="rId10" display="Thaddeus Vincenty: oryginal publication (2)" xr:uid="{9B028A96-0594-4F4A-BFB4-E2819F5B5461}"/>
    <hyperlink ref="B12" r:id="rId11" xr:uid="{93068BCB-B234-4AF9-94D9-A2BB33C61F90}"/>
    <hyperlink ref="B13" r:id="rId12" xr:uid="{1515B828-09CF-4F6C-B8D8-DB7E7254ACA1}"/>
    <hyperlink ref="B9" r:id="rId13" xr:uid="{5BF73047-03E2-4EC6-AC9A-A3890481013E}"/>
  </hyperlinks>
  <pageMargins left="0.7" right="0.7" top="0.75" bottom="0.75" header="0.3" footer="0.3"/>
  <pageSetup orientation="portrait" r:id="rId14"/>
  <drawing r:id="rId1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Vincenty formulae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Vincenty's Direct and Inverse Solution of Geodesics on the Ellipsoid</dc:title>
  <dc:creator>Tomasz Jastrzębski</dc:creator>
  <cp:keywords>Vincenty;geodesy</cp:keywords>
  <cp:lastModifiedBy>Tomasz Jastrzębski</cp:lastModifiedBy>
  <dcterms:created xsi:type="dcterms:W3CDTF">2018-03-16T12:55:15Z</dcterms:created>
  <dcterms:modified xsi:type="dcterms:W3CDTF">2019-03-20T09:44:20Z</dcterms:modified>
  <cp:category>Geodesy</cp:category>
</cp:coreProperties>
</file>