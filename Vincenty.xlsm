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330" codeName="{61638066-69CD-5DBD-CD94-FFEC8A4DF15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jects\Tomasz Jastrzebski\Vincenty Excel\"/>
    </mc:Choice>
  </mc:AlternateContent>
  <xr:revisionPtr revIDLastSave="0" documentId="10_ncr:8100000_{505FA0BB-8CA8-4B99-AFA5-512E0C33244D}" xr6:coauthVersionLast="33" xr6:coauthVersionMax="33" xr10:uidLastSave="{00000000-0000-0000-0000-000000000000}"/>
  <bookViews>
    <workbookView xWindow="0" yWindow="0" windowWidth="38400" windowHeight="18920" xr2:uid="{00000000-000D-0000-FFFF-FFFF00000000}"/>
  </bookViews>
  <sheets>
    <sheet name="Vincenty formulae" sheetId="1" r:id="rId1"/>
  </sheets>
  <functionGroups builtInGroupCount="19">
    <functionGroup name="Geodesic"/>
  </functionGroups>
  <calcPr calcId="162913" iterate="1"/>
  <extLst>
    <ext xmlns:x14="http://schemas.microsoft.com/office/spreadsheetml/2009/9/main" uri="{8193D73E-4604-4355-AFF4-8A2333D13BE4}">
      <x14:definedNames>
        <x14:definedName name="ConvertDecimal">
          <x14:argumentDescriptions count="1">
            <x14:argumentDescription index="0">string in degrees/minutes/seconds format</x14:argumentDescription>
          </x14:argumentDescriptions>
        </x14:definedName>
        <x14:definedName name="ConvertDegrees">
          <x14:argumentDescriptions count="1">
            <x14:argumentDescription index="0">decimal degrees</x14:argumentDescription>
          </x14:argumentDescriptions>
        </x14:definedName>
        <x14:definedName name="vincentyDirLat">
          <x14:argumentDescriptions count="4">
            <x14:argumentDescription index="0">latitude in degrees</x14:argumentDescription>
            <x14:argumentDescription index="1">longitude in degrees</x14:argumentDescription>
            <x14:argumentDescription index="2">azimuth in degrees</x14:argumentDescription>
            <x14:argumentDescription index="3">distance in meters</x14:argumentDescription>
          </x14:argumentDescriptions>
        </x14:definedName>
        <x14:definedName name="VincentyDirLon">
          <x14:argumentDescriptions count="4">
            <x14:argumentDescription index="0">latitude in degrees</x14:argumentDescription>
            <x14:argumentDescription index="1">longitude in degrees</x14:argumentDescription>
            <x14:argumentDescription index="2">azimuth in degrees</x14:argumentDescription>
            <x14:argumentDescription index="3">distance in meters</x14:argumentDescription>
          </x14:argumentDescriptions>
        </x14:definedName>
        <x14:definedName name="VincentyDirRevAzimuth">
          <x14:argumentDescriptions count="4">
            <x14:argumentDescription index="0">latitude in degrees</x14:argumentDescription>
            <x14:argumentDescription index="1">longitude in degrees</x14:argumentDescription>
            <x14:argumentDescription index="2">azimuth in degrees</x14:argumentDescription>
            <x14:argumentDescription index="3">distance in meters</x14:argumentDescription>
          </x14:argumentDescriptions>
        </x14:definedName>
        <x14:definedName name="VincentyInvDistance">
          <x14:argumentDescriptions count="4">
            <x14:argumentDescription index="0">latitude 1 in degrees</x14:argumentDescription>
            <x14:argumentDescription index="1">longitude 1 in degrees</x14:argumentDescription>
            <x14:argumentDescription index="2">latitude 2 in degrees</x14:argumentDescription>
            <x14:argumentDescription index="3">longitude 2 in degrees</x14:argumentDescription>
          </x14:argumentDescriptions>
        </x14:definedName>
        <x14:definedName name="VincentyInvFwdAzimuth">
          <x14:argumentDescriptions count="4">
            <x14:argumentDescription index="0">latitude 1 in degrees</x14:argumentDescription>
            <x14:argumentDescription index="1">longitude 1 in degrees</x14:argumentDescription>
            <x14:argumentDescription index="2">latitude 2 in degrees</x14:argumentDescription>
            <x14:argumentDescription index="3">longitude 2 in degrees</x14:argumentDescription>
          </x14:argumentDescriptions>
        </x14:definedName>
        <x14:definedName name="VincentyInvRevAzimuth">
          <x14:argumentDescriptions count="4">
            <x14:argumentDescription index="0">latitude 1 in degrees</x14:argumentDescription>
            <x14:argumentDescription index="1">longitude 1 in degrees</x14:argumentDescription>
            <x14:argumentDescription index="2">latitude 2 in degrees</x14:argumentDescription>
            <x14:argumentDescription index="3">longitude 2 in degrees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6" i="1" l="1"/>
  <c r="C35" i="1"/>
  <c r="D24" i="1"/>
  <c r="D35" i="1"/>
  <c r="C24" i="1"/>
  <c r="C39" i="1"/>
  <c r="C41" i="1" s="1"/>
  <c r="C26" i="1"/>
  <c r="C43" i="1"/>
  <c r="C40" i="1"/>
  <c r="C29" i="1"/>
  <c r="C30" i="1"/>
  <c r="C42" i="1"/>
  <c r="C28" i="1"/>
</calcChain>
</file>

<file path=xl/sharedStrings.xml><?xml version="1.0" encoding="utf-8"?>
<sst xmlns="http://schemas.openxmlformats.org/spreadsheetml/2006/main" count="77" uniqueCount="63">
  <si>
    <t>https://www.movable-type.co.uk/scripts/latlong-vincenty.html</t>
  </si>
  <si>
    <t>https://en.wikipedia.org/wiki/Vincenty%27s_formulae</t>
  </si>
  <si>
    <t>http://www.ga.gov.au/geodesy/datums/vincenty_inverse.jsp</t>
  </si>
  <si>
    <t>https://en.wikipedia.org/wiki/Haversine_formula</t>
  </si>
  <si>
    <t>https://en.wikipedia.org/wiki/Great-circle_distance</t>
  </si>
  <si>
    <t>https://en.wikipedia.org/wiki/Geodesics_on_an_ellipsoid</t>
  </si>
  <si>
    <t>https://link.springer.com/article/10.1007%2Fs00190-012-0578-z</t>
  </si>
  <si>
    <t>https://geographiclib.sourceforge.io/cgi-bin/GeodSolve</t>
  </si>
  <si>
    <t>https://geographiclib.sourceforge.io/scripts/geod-google.html</t>
  </si>
  <si>
    <t>http://www.ga.gov.au/geodesy/datums/vincenty_direct.jsp</t>
  </si>
  <si>
    <t>Azimuth</t>
  </si>
  <si>
    <t>Vincenty Direct and Inverse Solution of Geodesics on the Ellipsoid</t>
  </si>
  <si>
    <t>https://www.ngs.noaa.gov/PUBS_LIB/inverse.pdf</t>
  </si>
  <si>
    <t>https://geographiclib.sourceforge.io/geodesic-papers/vincenty75b.pdf</t>
  </si>
  <si>
    <t>https://github.com/chrisveness/geodesy</t>
  </si>
  <si>
    <t>37°57′03.72030″S</t>
  </si>
  <si>
    <t>144°25′29.52440″E</t>
  </si>
  <si>
    <t>143°55′35.38390″E</t>
  </si>
  <si>
    <t>37°39′10.15610″S</t>
  </si>
  <si>
    <t>Distance [m]</t>
  </si>
  <si>
    <t>VincentyInvDistance</t>
  </si>
  <si>
    <t>Flinders Peak (point 1)</t>
  </si>
  <si>
    <t>Buninyong (point 2)</t>
  </si>
  <si>
    <t>Forward Azimuth</t>
  </si>
  <si>
    <t>Reverse Azimuth</t>
  </si>
  <si>
    <t>=VincentyInvDistance(lat1, lon1, lat2, lon2)</t>
  </si>
  <si>
    <t>Point 2 - latitude</t>
  </si>
  <si>
    <t>=VincentyInvFwdAzimuth(lat1, lon1, lat2, lon2)</t>
  </si>
  <si>
    <t>=VincentyInvRevAzimuth(lat1, lon1, lat2, lon2)</t>
  </si>
  <si>
    <t>=VincentyDirLat(lat1, lon1, azimuth, distance)</t>
  </si>
  <si>
    <t>=VincentyDirLon(lat1, lon1, azimuth, distance)</t>
  </si>
  <si>
    <t>Point 2 - longitude</t>
  </si>
  <si>
    <t>=VincentyDirRevAzimuth(lat1, lon1, azimuth, distance)</t>
  </si>
  <si>
    <t>Input</t>
  </si>
  <si>
    <t>References:</t>
  </si>
  <si>
    <t>Geoscience Australia</t>
  </si>
  <si>
    <t>GeodSolve Library</t>
  </si>
  <si>
    <t>VincentyDirLat</t>
  </si>
  <si>
    <t>VincentyDirLon</t>
  </si>
  <si>
    <t>VincentyDirRevAzimuth</t>
  </si>
  <si>
    <t>VincentyInvFwdAzimuth</t>
  </si>
  <si>
    <t>VincentyInvRevAzimuth</t>
  </si>
  <si>
    <t>Vincenty Inverse Calculation Example - given point 1 and Point 2</t>
  </si>
  <si>
    <t>=ConvertDegrees(lat2)</t>
  </si>
  <si>
    <t>=ConvertDegrees(lon2)</t>
  </si>
  <si>
    <t>Latitude, Longitude decimal (lat1, lon1)</t>
  </si>
  <si>
    <t>Latitude, Longitude decimal (lat2, lon2)</t>
  </si>
  <si>
    <t>Calculation results have been validated using 1200 test cases generated for 6 range clusters and distance between 10 m and 30,000 km</t>
  </si>
  <si>
    <t>Results</t>
  </si>
  <si>
    <t>Function Used</t>
  </si>
  <si>
    <t>Vincenty Direct Calculation Example - given point 1, azimuth and distance</t>
  </si>
  <si>
    <t>For functions description please use Excel function wizard, look in Geodesic function category.</t>
  </si>
  <si>
    <r>
      <t xml:space="preserve">against </t>
    </r>
    <r>
      <rPr>
        <b/>
        <sz val="11"/>
        <color theme="1"/>
        <rFont val="Calibri"/>
        <family val="2"/>
        <scheme val="minor"/>
      </rPr>
      <t>Geoscience Australia</t>
    </r>
    <r>
      <rPr>
        <sz val="11"/>
        <color theme="1"/>
        <rFont val="Calibri"/>
        <family val="2"/>
        <scheme val="minor"/>
      </rPr>
      <t xml:space="preserve"> website:</t>
    </r>
  </si>
  <si>
    <r>
      <t xml:space="preserve">and </t>
    </r>
    <r>
      <rPr>
        <b/>
        <sz val="11"/>
        <color theme="1"/>
        <rFont val="Calibri"/>
        <family val="2"/>
        <scheme val="minor"/>
      </rPr>
      <t>GeodSolve library</t>
    </r>
    <r>
      <rPr>
        <sz val="11"/>
        <color theme="1"/>
        <rFont val="Calibri"/>
        <family val="2"/>
        <scheme val="minor"/>
      </rPr>
      <t xml:space="preserve"> by Charles Karney:</t>
    </r>
  </si>
  <si>
    <t>https://github.com/tdjastrzebski/VincentyExcel</t>
  </si>
  <si>
    <t>Ported to VBA by © Tomasz Jastrzębski 2018 MIT License</t>
  </si>
  <si>
    <t>=ConvertDecimal(lat1)</t>
  </si>
  <si>
    <t>This Excel workbook contains 6 functions implementing [Vincenty Direct] and [Vincenty Inverse] calculations</t>
  </si>
  <si>
    <t>as well as 2 functions for Decimal ↔ Degrees/Minutes/Seconds format conversion using WGS84 model</t>
  </si>
  <si>
    <r>
      <t xml:space="preserve">Based on the implementation in Java Script by </t>
    </r>
    <r>
      <rPr>
        <b/>
        <sz val="11"/>
        <color theme="1"/>
        <rFont val="Calibri"/>
        <family val="2"/>
      </rPr>
      <t>©</t>
    </r>
    <r>
      <rPr>
        <b/>
        <sz val="11"/>
        <color theme="1"/>
        <rFont val="Calibri"/>
        <family val="2"/>
        <scheme val="minor"/>
      </rPr>
      <t xml:space="preserve"> Chris Veness 2002-2017 MIT License</t>
    </r>
  </si>
  <si>
    <t>Algorithms by Thaddeus Vincenty (1975)</t>
  </si>
  <si>
    <t>to calculate new coordinate based on azimuth and distance (direct)</t>
  </si>
  <si>
    <t>or distance and azimuth based on two coordinates (inverse)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</si>
</sst>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00%"/>
  </numFmts>
  <fonts count="7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b/>
      <sz val="16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24">
    <xf numFmtId="0" fontId="0" fillId="0" borderId="0" xfId="0"/>
    <xf numFmtId="0" fontId="0" fillId="0" borderId="0" xfId="0" applyAlignment="1">
      <alignment horizontal="left"/>
    </xf>
    <xf numFmtId="0" fontId="0" fillId="0" borderId="0" xfId="0" applyAlignment="1">
      <alignment horizontal="right"/>
    </xf>
    <xf numFmtId="0" fontId="1" fillId="0" borderId="0" xfId="1"/>
    <xf numFmtId="0" fontId="2" fillId="0" borderId="0" xfId="0" applyFont="1"/>
    <xf numFmtId="0" fontId="0" fillId="0" borderId="0" xfId="0"/>
    <xf numFmtId="164" fontId="0" fillId="0" borderId="1" xfId="0" applyNumberFormat="1" applyBorder="1"/>
    <xf numFmtId="0" fontId="0" fillId="0" borderId="0" xfId="0" applyBorder="1"/>
    <xf numFmtId="0" fontId="0" fillId="4" borderId="1" xfId="0" applyFill="1" applyBorder="1"/>
    <xf numFmtId="0" fontId="0" fillId="2" borderId="1" xfId="0" applyFill="1" applyBorder="1"/>
    <xf numFmtId="0" fontId="0" fillId="2" borderId="1" xfId="0" applyFill="1" applyBorder="1" applyAlignment="1">
      <alignment horizontal="right"/>
    </xf>
    <xf numFmtId="0" fontId="0" fillId="3" borderId="1" xfId="0" applyFill="1" applyBorder="1"/>
    <xf numFmtId="0" fontId="2" fillId="2" borderId="1" xfId="0" applyFont="1" applyFill="1" applyBorder="1"/>
    <xf numFmtId="0" fontId="0" fillId="5" borderId="2" xfId="0" applyFill="1" applyBorder="1"/>
    <xf numFmtId="0" fontId="0" fillId="5" borderId="3" xfId="0" applyFill="1" applyBorder="1"/>
    <xf numFmtId="0" fontId="0" fillId="5" borderId="4" xfId="0" applyFill="1" applyBorder="1"/>
    <xf numFmtId="0" fontId="0" fillId="3" borderId="1" xfId="0" applyFill="1" applyBorder="1" applyAlignment="1">
      <alignment horizontal="right"/>
    </xf>
    <xf numFmtId="0" fontId="4" fillId="0" borderId="0" xfId="0" applyFont="1"/>
    <xf numFmtId="0" fontId="3" fillId="6" borderId="0" xfId="0" applyFont="1" applyFill="1"/>
    <xf numFmtId="0" fontId="0" fillId="6" borderId="0" xfId="0" applyFill="1"/>
    <xf numFmtId="0" fontId="6" fillId="0" borderId="0" xfId="0" applyFont="1"/>
    <xf numFmtId="0" fontId="0" fillId="5" borderId="2" xfId="0" quotePrefix="1" applyFill="1" applyBorder="1"/>
    <xf numFmtId="0" fontId="3" fillId="7" borderId="0" xfId="0" applyFont="1" applyFill="1"/>
    <xf numFmtId="0" fontId="0" fillId="7" borderId="0" xfId="0" applyFill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geographiclib.sourceforge.io/scripts/geod-google.html" TargetMode="External"/><Relationship Id="rId13" Type="http://schemas.openxmlformats.org/officeDocument/2006/relationships/hyperlink" Target="https://github.com/chrisveness/geodesy" TargetMode="External"/><Relationship Id="rId3" Type="http://schemas.openxmlformats.org/officeDocument/2006/relationships/hyperlink" Target="https://en.wikipedia.org/wiki/Haversine_formula" TargetMode="External"/><Relationship Id="rId7" Type="http://schemas.openxmlformats.org/officeDocument/2006/relationships/hyperlink" Target="https://geographiclib.sourceforge.io/cgi-bin/GeodSolve" TargetMode="External"/><Relationship Id="rId12" Type="http://schemas.openxmlformats.org/officeDocument/2006/relationships/hyperlink" Target="https://www.movable-type.co.uk/scripts/latlong-vincenty.html" TargetMode="External"/><Relationship Id="rId2" Type="http://schemas.openxmlformats.org/officeDocument/2006/relationships/hyperlink" Target="http://www.ga.gov.au/geodesy/datums/vincenty_inverse.jsp" TargetMode="External"/><Relationship Id="rId1" Type="http://schemas.openxmlformats.org/officeDocument/2006/relationships/hyperlink" Target="https://en.wikipedia.org/wiki/Vincenty%27s_formulae" TargetMode="External"/><Relationship Id="rId6" Type="http://schemas.openxmlformats.org/officeDocument/2006/relationships/hyperlink" Target="https://link.springer.com/article/10.1007%2Fs00190-012-0578-z" TargetMode="External"/><Relationship Id="rId11" Type="http://schemas.openxmlformats.org/officeDocument/2006/relationships/hyperlink" Target="https://geographiclib.sourceforge.io/geodesic-papers/vincenty75b.pdf" TargetMode="External"/><Relationship Id="rId5" Type="http://schemas.openxmlformats.org/officeDocument/2006/relationships/hyperlink" Target="https://en.wikipedia.org/wiki/Geodesics_on_an_ellipsoid" TargetMode="External"/><Relationship Id="rId15" Type="http://schemas.openxmlformats.org/officeDocument/2006/relationships/printerSettings" Target="../printerSettings/printerSettings1.bin"/><Relationship Id="rId10" Type="http://schemas.openxmlformats.org/officeDocument/2006/relationships/hyperlink" Target="https://www.ngs.noaa.gov/PUBS_LIB/inverse.pdf" TargetMode="External"/><Relationship Id="rId4" Type="http://schemas.openxmlformats.org/officeDocument/2006/relationships/hyperlink" Target="https://en.wikipedia.org/wiki/Great-circle_distance" TargetMode="External"/><Relationship Id="rId9" Type="http://schemas.openxmlformats.org/officeDocument/2006/relationships/hyperlink" Target="https://en.wikipedia.org/wiki/Vincenty%27s_formulae" TargetMode="External"/><Relationship Id="rId14" Type="http://schemas.openxmlformats.org/officeDocument/2006/relationships/hyperlink" Target="https://github.com/tdjastrzebski/VincentyExce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Q63"/>
  <sheetViews>
    <sheetView tabSelected="1" zoomScaleNormal="100" workbookViewId="0">
      <selection activeCell="E6" sqref="E6"/>
    </sheetView>
  </sheetViews>
  <sheetFormatPr defaultRowHeight="14.5" x14ac:dyDescent="0.35"/>
  <cols>
    <col min="1" max="1" width="2.453125" customWidth="1"/>
    <col min="2" max="2" width="33.08984375" customWidth="1"/>
    <col min="3" max="3" width="16.36328125" bestFit="1" customWidth="1"/>
    <col min="4" max="4" width="26.7265625" customWidth="1"/>
    <col min="5" max="5" width="21.08984375" bestFit="1" customWidth="1"/>
    <col min="6" max="6" width="18.1796875" bestFit="1" customWidth="1"/>
    <col min="7" max="8" width="15.90625" bestFit="1" customWidth="1"/>
    <col min="9" max="9" width="11.54296875" bestFit="1" customWidth="1"/>
    <col min="10" max="10" width="11.81640625" bestFit="1" customWidth="1"/>
    <col min="12" max="12" width="8.453125" bestFit="1" customWidth="1"/>
    <col min="13" max="13" width="9.7265625" customWidth="1"/>
    <col min="14" max="14" width="11.26953125" customWidth="1"/>
    <col min="15" max="15" width="13.54296875" bestFit="1" customWidth="1"/>
    <col min="16" max="16" width="14.54296875" bestFit="1" customWidth="1"/>
    <col min="17" max="17" width="12" bestFit="1" customWidth="1"/>
    <col min="18" max="18" width="15" bestFit="1" customWidth="1"/>
  </cols>
  <sheetData>
    <row r="1" spans="2:17" x14ac:dyDescent="0.35">
      <c r="H1" s="2"/>
      <c r="I1" s="2"/>
      <c r="K1" s="3"/>
      <c r="L1" s="3"/>
      <c r="Q1" s="1"/>
    </row>
    <row r="2" spans="2:17" s="5" customFormat="1" ht="21" x14ac:dyDescent="0.5">
      <c r="B2" s="20" t="s">
        <v>11</v>
      </c>
      <c r="H2" s="2"/>
      <c r="I2" s="2"/>
      <c r="K2" s="3"/>
      <c r="L2" s="3"/>
      <c r="Q2" s="1"/>
    </row>
    <row r="3" spans="2:17" x14ac:dyDescent="0.35">
      <c r="B3" s="4" t="s">
        <v>61</v>
      </c>
      <c r="H3" s="2"/>
      <c r="I3" s="2"/>
      <c r="K3" s="3"/>
      <c r="L3" s="3"/>
      <c r="Q3" s="1"/>
    </row>
    <row r="4" spans="2:17" s="5" customFormat="1" x14ac:dyDescent="0.35">
      <c r="B4" s="4" t="s">
        <v>62</v>
      </c>
      <c r="H4" s="2"/>
      <c r="I4" s="2"/>
      <c r="K4" s="3"/>
      <c r="L4" s="3"/>
      <c r="Q4" s="1"/>
    </row>
    <row r="5" spans="2:17" s="5" customFormat="1" x14ac:dyDescent="0.35">
      <c r="H5" s="2"/>
      <c r="I5" s="2"/>
      <c r="K5" s="3"/>
      <c r="L5" s="3"/>
      <c r="Q5" s="1"/>
    </row>
    <row r="6" spans="2:17" x14ac:dyDescent="0.35">
      <c r="B6" s="4" t="s">
        <v>60</v>
      </c>
      <c r="H6" s="2"/>
      <c r="I6" s="2"/>
      <c r="L6" s="3"/>
      <c r="Q6" s="1"/>
    </row>
    <row r="7" spans="2:17" s="5" customFormat="1" x14ac:dyDescent="0.35">
      <c r="B7" s="3" t="s">
        <v>1</v>
      </c>
      <c r="H7" s="2"/>
      <c r="I7" s="2"/>
      <c r="L7" s="3"/>
      <c r="Q7" s="1"/>
    </row>
    <row r="8" spans="2:17" s="5" customFormat="1" x14ac:dyDescent="0.35">
      <c r="H8" s="2"/>
      <c r="I8" s="2"/>
      <c r="L8" s="3"/>
      <c r="Q8" s="1"/>
    </row>
    <row r="9" spans="2:17" x14ac:dyDescent="0.35">
      <c r="B9" s="4" t="s">
        <v>55</v>
      </c>
    </row>
    <row r="10" spans="2:17" x14ac:dyDescent="0.35">
      <c r="B10" s="3" t="s">
        <v>54</v>
      </c>
    </row>
    <row r="12" spans="2:17" s="5" customFormat="1" x14ac:dyDescent="0.35">
      <c r="B12" s="4" t="s">
        <v>59</v>
      </c>
    </row>
    <row r="13" spans="2:17" s="5" customFormat="1" x14ac:dyDescent="0.35">
      <c r="B13" s="3" t="s">
        <v>0</v>
      </c>
    </row>
    <row r="14" spans="2:17" s="5" customFormat="1" x14ac:dyDescent="0.35">
      <c r="B14" s="3" t="s">
        <v>14</v>
      </c>
    </row>
    <row r="15" spans="2:17" s="5" customFormat="1" x14ac:dyDescent="0.35">
      <c r="B15" s="3"/>
    </row>
    <row r="16" spans="2:17" s="5" customFormat="1" ht="15.5" x14ac:dyDescent="0.35">
      <c r="B16" s="18" t="s">
        <v>57</v>
      </c>
      <c r="C16" s="19"/>
      <c r="D16" s="19"/>
      <c r="E16" s="19"/>
      <c r="F16" s="19"/>
      <c r="G16" s="19"/>
    </row>
    <row r="17" spans="2:7" s="5" customFormat="1" ht="15.5" x14ac:dyDescent="0.35">
      <c r="B17" s="18" t="s">
        <v>58</v>
      </c>
      <c r="C17" s="19"/>
      <c r="D17" s="19"/>
      <c r="E17" s="19"/>
      <c r="F17" s="19"/>
      <c r="G17" s="19"/>
    </row>
    <row r="19" spans="2:7" s="5" customFormat="1" x14ac:dyDescent="0.35">
      <c r="B19" s="4" t="s">
        <v>51</v>
      </c>
    </row>
    <row r="20" spans="2:7" s="5" customFormat="1" x14ac:dyDescent="0.35"/>
    <row r="21" spans="2:7" ht="15.5" x14ac:dyDescent="0.35">
      <c r="B21" s="22" t="s">
        <v>42</v>
      </c>
      <c r="C21" s="23"/>
      <c r="D21" s="23"/>
      <c r="E21" s="23"/>
      <c r="F21" s="23"/>
      <c r="G21" s="23"/>
    </row>
    <row r="22" spans="2:7" s="5" customFormat="1" x14ac:dyDescent="0.35">
      <c r="B22" s="4" t="s">
        <v>33</v>
      </c>
      <c r="E22" s="4" t="s">
        <v>49</v>
      </c>
    </row>
    <row r="23" spans="2:7" x14ac:dyDescent="0.35">
      <c r="B23" s="12" t="s">
        <v>21</v>
      </c>
      <c r="C23" s="10" t="s">
        <v>15</v>
      </c>
      <c r="D23" s="10" t="s">
        <v>16</v>
      </c>
      <c r="E23" s="13"/>
      <c r="F23" s="14"/>
      <c r="G23" s="15"/>
    </row>
    <row r="24" spans="2:7" x14ac:dyDescent="0.35">
      <c r="B24" s="9" t="s">
        <v>45</v>
      </c>
      <c r="C24" s="9">
        <f>ConvertDecimal(C23)</f>
        <v>-37.951033416666668</v>
      </c>
      <c r="D24" s="9">
        <f>ConvertDecimal(D23)</f>
        <v>144.42486788888888</v>
      </c>
      <c r="E24" s="21" t="s">
        <v>56</v>
      </c>
      <c r="F24" s="14"/>
      <c r="G24" s="15"/>
    </row>
    <row r="25" spans="2:7" s="5" customFormat="1" x14ac:dyDescent="0.35">
      <c r="B25" s="12" t="s">
        <v>22</v>
      </c>
      <c r="C25" s="10" t="s">
        <v>18</v>
      </c>
      <c r="D25" s="10" t="s">
        <v>17</v>
      </c>
      <c r="E25" s="13"/>
      <c r="F25" s="14"/>
      <c r="G25" s="15"/>
    </row>
    <row r="26" spans="2:7" x14ac:dyDescent="0.35">
      <c r="B26" s="9" t="s">
        <v>46</v>
      </c>
      <c r="C26" s="9">
        <f>ConvertDecimal(C25)</f>
        <v>-37.652821138888889</v>
      </c>
      <c r="D26" s="9">
        <f>ConvertDecimal(D25)</f>
        <v>143.92649552777777</v>
      </c>
      <c r="E26" s="21" t="s">
        <v>56</v>
      </c>
      <c r="F26" s="14"/>
      <c r="G26" s="15"/>
    </row>
    <row r="27" spans="2:7" s="5" customFormat="1" x14ac:dyDescent="0.35">
      <c r="B27" s="4" t="s">
        <v>48</v>
      </c>
      <c r="E27" s="4"/>
    </row>
    <row r="28" spans="2:7" x14ac:dyDescent="0.35">
      <c r="B28" s="11" t="s">
        <v>19</v>
      </c>
      <c r="C28" s="11">
        <f>VincentyInvDistance(C24,D24,C26,D26)</f>
        <v>54972.271142042664</v>
      </c>
      <c r="E28" s="13" t="s">
        <v>25</v>
      </c>
      <c r="F28" s="14"/>
      <c r="G28" s="15"/>
    </row>
    <row r="29" spans="2:7" s="5" customFormat="1" x14ac:dyDescent="0.35">
      <c r="B29" s="11" t="s">
        <v>23</v>
      </c>
      <c r="C29" s="11">
        <f>VincentyInvFwdAzimuth(C24,D24,C26,D26)</f>
        <v>306.86815920330764</v>
      </c>
      <c r="E29" s="13" t="s">
        <v>27</v>
      </c>
      <c r="F29" s="14"/>
      <c r="G29" s="15"/>
    </row>
    <row r="30" spans="2:7" s="5" customFormat="1" x14ac:dyDescent="0.35">
      <c r="B30" s="11" t="s">
        <v>24</v>
      </c>
      <c r="C30" s="11">
        <f>VincentyInvRevAzimuth(C24,D24,C26,D26)</f>
        <v>307.1736306294444</v>
      </c>
      <c r="E30" s="13" t="s">
        <v>28</v>
      </c>
      <c r="F30" s="14"/>
      <c r="G30" s="15"/>
    </row>
    <row r="32" spans="2:7" ht="15.5" x14ac:dyDescent="0.35">
      <c r="B32" s="22" t="s">
        <v>50</v>
      </c>
      <c r="C32" s="23"/>
      <c r="D32" s="23"/>
      <c r="E32" s="23"/>
      <c r="F32" s="23"/>
      <c r="G32" s="23"/>
    </row>
    <row r="33" spans="2:7" s="5" customFormat="1" x14ac:dyDescent="0.35">
      <c r="B33" s="4" t="s">
        <v>33</v>
      </c>
      <c r="E33" s="4"/>
    </row>
    <row r="34" spans="2:7" x14ac:dyDescent="0.35">
      <c r="B34" s="12" t="s">
        <v>21</v>
      </c>
      <c r="C34" s="10" t="s">
        <v>15</v>
      </c>
      <c r="D34" s="10" t="s">
        <v>16</v>
      </c>
      <c r="E34" s="13"/>
      <c r="F34" s="14"/>
      <c r="G34" s="15"/>
    </row>
    <row r="35" spans="2:7" s="5" customFormat="1" x14ac:dyDescent="0.35">
      <c r="B35" s="9" t="s">
        <v>45</v>
      </c>
      <c r="C35" s="9">
        <f>ConvertDecimal(C34)</f>
        <v>-37.951033416666668</v>
      </c>
      <c r="D35" s="9">
        <f>ConvertDecimal(D34)</f>
        <v>144.42486788888888</v>
      </c>
      <c r="E35" s="21" t="s">
        <v>56</v>
      </c>
      <c r="F35" s="14"/>
      <c r="G35" s="15"/>
    </row>
    <row r="36" spans="2:7" x14ac:dyDescent="0.35">
      <c r="B36" s="9" t="s">
        <v>10</v>
      </c>
      <c r="C36" s="9">
        <v>306.86815920330764</v>
      </c>
      <c r="D36" s="9"/>
      <c r="E36" s="13"/>
      <c r="F36" s="14"/>
      <c r="G36" s="15"/>
    </row>
    <row r="37" spans="2:7" x14ac:dyDescent="0.35">
      <c r="B37" s="9" t="s">
        <v>19</v>
      </c>
      <c r="C37" s="9">
        <v>54972.271142042664</v>
      </c>
      <c r="D37" s="9"/>
      <c r="E37" s="13"/>
      <c r="F37" s="14"/>
      <c r="G37" s="15"/>
    </row>
    <row r="38" spans="2:7" s="5" customFormat="1" x14ac:dyDescent="0.35">
      <c r="B38" s="4" t="s">
        <v>48</v>
      </c>
      <c r="E38" s="4" t="s">
        <v>49</v>
      </c>
    </row>
    <row r="39" spans="2:7" x14ac:dyDescent="0.35">
      <c r="B39" s="11" t="s">
        <v>26</v>
      </c>
      <c r="C39" s="16">
        <f>vincentyDirLat(C35,D35,C36,C37)</f>
        <v>-37.652821138864894</v>
      </c>
      <c r="E39" s="13" t="s">
        <v>29</v>
      </c>
      <c r="F39" s="14"/>
      <c r="G39" s="15"/>
    </row>
    <row r="40" spans="2:7" x14ac:dyDescent="0.35">
      <c r="B40" s="11" t="s">
        <v>31</v>
      </c>
      <c r="C40" s="16">
        <f>VincentyDirLon(C35,D35,C36,C37)</f>
        <v>143.92649552774759</v>
      </c>
      <c r="E40" s="13" t="s">
        <v>30</v>
      </c>
      <c r="F40" s="14"/>
      <c r="G40" s="15"/>
    </row>
    <row r="41" spans="2:7" x14ac:dyDescent="0.35">
      <c r="B41" s="11" t="s">
        <v>26</v>
      </c>
      <c r="C41" s="16" t="str">
        <f>ConvertDegrees(C39)</f>
        <v>-37° 39' 10.1561"</v>
      </c>
      <c r="E41" s="13" t="s">
        <v>43</v>
      </c>
      <c r="F41" s="14"/>
      <c r="G41" s="15"/>
    </row>
    <row r="42" spans="2:7" x14ac:dyDescent="0.35">
      <c r="B42" s="11" t="s">
        <v>31</v>
      </c>
      <c r="C42" s="16" t="str">
        <f>ConvertDegrees(C40)</f>
        <v>143° 55' 35.3839"</v>
      </c>
      <c r="E42" s="13" t="s">
        <v>44</v>
      </c>
      <c r="F42" s="14"/>
      <c r="G42" s="15"/>
    </row>
    <row r="43" spans="2:7" s="5" customFormat="1" x14ac:dyDescent="0.35">
      <c r="B43" s="11" t="s">
        <v>24</v>
      </c>
      <c r="C43" s="16">
        <f>VincentyDirRevAzimuth(C35,D35,C36,C37)</f>
        <v>307.17363062946856</v>
      </c>
      <c r="E43" s="13" t="s">
        <v>32</v>
      </c>
      <c r="F43" s="14"/>
      <c r="G43" s="15"/>
    </row>
    <row r="44" spans="2:7" s="5" customFormat="1" x14ac:dyDescent="0.35"/>
    <row r="46" spans="2:7" x14ac:dyDescent="0.35">
      <c r="B46" t="s">
        <v>47</v>
      </c>
    </row>
    <row r="47" spans="2:7" s="5" customFormat="1" x14ac:dyDescent="0.35">
      <c r="B47" s="5" t="s">
        <v>52</v>
      </c>
      <c r="E47" s="7"/>
      <c r="F47" s="8" t="s">
        <v>35</v>
      </c>
      <c r="G47" s="8" t="s">
        <v>36</v>
      </c>
    </row>
    <row r="48" spans="2:7" x14ac:dyDescent="0.35">
      <c r="B48" s="3" t="s">
        <v>9</v>
      </c>
      <c r="E48" s="8" t="s">
        <v>37</v>
      </c>
      <c r="F48" s="6">
        <v>5.0000000000000001E-9</v>
      </c>
      <c r="G48" s="6">
        <v>0</v>
      </c>
    </row>
    <row r="49" spans="2:7" x14ac:dyDescent="0.35">
      <c r="B49" s="3" t="s">
        <v>2</v>
      </c>
      <c r="E49" s="8" t="s">
        <v>38</v>
      </c>
      <c r="F49" s="6">
        <v>2.0000000000000001E-9</v>
      </c>
      <c r="G49" s="6">
        <v>1.0000000000000001E-9</v>
      </c>
    </row>
    <row r="50" spans="2:7" x14ac:dyDescent="0.35">
      <c r="B50" t="s">
        <v>53</v>
      </c>
      <c r="E50" s="8" t="s">
        <v>39</v>
      </c>
      <c r="F50" s="6">
        <v>8.3300000000000001E-7</v>
      </c>
      <c r="G50" s="6">
        <v>0</v>
      </c>
    </row>
    <row r="51" spans="2:7" x14ac:dyDescent="0.35">
      <c r="B51" s="3" t="s">
        <v>7</v>
      </c>
      <c r="E51" s="8" t="s">
        <v>20</v>
      </c>
      <c r="F51" s="6">
        <v>2.4182999999999999E-5</v>
      </c>
      <c r="G51" s="6">
        <v>1.269E-6</v>
      </c>
    </row>
    <row r="52" spans="2:7" x14ac:dyDescent="0.35">
      <c r="B52" s="3" t="s">
        <v>8</v>
      </c>
      <c r="E52" s="8" t="s">
        <v>40</v>
      </c>
      <c r="F52" s="6">
        <v>8.0979999999999994E-6</v>
      </c>
      <c r="G52" s="6">
        <v>3.9280000000000003E-6</v>
      </c>
    </row>
    <row r="53" spans="2:7" x14ac:dyDescent="0.35">
      <c r="B53" s="3" t="s">
        <v>6</v>
      </c>
      <c r="E53" s="8" t="s">
        <v>41</v>
      </c>
      <c r="F53" s="6">
        <v>5.2449999999999998E-6</v>
      </c>
      <c r="G53" s="6">
        <v>3.9280000000000003E-6</v>
      </c>
    </row>
    <row r="54" spans="2:7" s="5" customFormat="1" x14ac:dyDescent="0.35"/>
    <row r="55" spans="2:7" s="5" customFormat="1" x14ac:dyDescent="0.35">
      <c r="B55" s="17" t="s">
        <v>34</v>
      </c>
    </row>
    <row r="56" spans="2:7" x14ac:dyDescent="0.35">
      <c r="B56" s="3" t="s">
        <v>1</v>
      </c>
    </row>
    <row r="57" spans="2:7" x14ac:dyDescent="0.35">
      <c r="B57" s="3" t="s">
        <v>12</v>
      </c>
      <c r="F57" s="3"/>
    </row>
    <row r="58" spans="2:7" x14ac:dyDescent="0.35">
      <c r="B58" s="3" t="s">
        <v>13</v>
      </c>
      <c r="C58" s="5"/>
      <c r="D58" s="5"/>
      <c r="E58" s="5"/>
    </row>
    <row r="59" spans="2:7" x14ac:dyDescent="0.35">
      <c r="B59" s="3" t="s">
        <v>5</v>
      </c>
    </row>
    <row r="60" spans="2:7" x14ac:dyDescent="0.35">
      <c r="B60" s="3" t="s">
        <v>4</v>
      </c>
      <c r="F60" s="3"/>
    </row>
    <row r="61" spans="2:7" x14ac:dyDescent="0.35">
      <c r="B61" s="3" t="s">
        <v>3</v>
      </c>
    </row>
    <row r="63" spans="2:7" x14ac:dyDescent="0.35">
      <c r="C63" s="5"/>
      <c r="D63" s="5"/>
      <c r="E63" s="5"/>
    </row>
  </sheetData>
  <hyperlinks>
    <hyperlink ref="B56" r:id="rId1" xr:uid="{90AE0FDE-3389-4E59-9067-FA1199551BB6}"/>
    <hyperlink ref="B49" r:id="rId2" xr:uid="{293BB999-A74D-49F7-B870-68F7CF693652}"/>
    <hyperlink ref="B61" r:id="rId3" xr:uid="{2F80AEDB-E745-4DE5-9B56-0A0985171C73}"/>
    <hyperlink ref="B60" r:id="rId4" xr:uid="{C41B7210-6144-4B2F-90A7-D0F6E0B36574}"/>
    <hyperlink ref="B59" r:id="rId5" xr:uid="{F437963F-F579-459C-BF7B-7E5691D756B3}"/>
    <hyperlink ref="B53" r:id="rId6" xr:uid="{E5A20D27-E291-41E9-AA5C-FD68715DE179}"/>
    <hyperlink ref="B51" r:id="rId7" xr:uid="{2CDBB069-ECFC-42F3-9EA9-0E3F1E54A7FD}"/>
    <hyperlink ref="B52" r:id="rId8" xr:uid="{D2EAE2A9-F1E1-49C3-AF43-DEC3556CC185}"/>
    <hyperlink ref="B7" r:id="rId9" xr:uid="{6CC7DEDF-D5E3-4286-96E6-19B15ECA2C9F}"/>
    <hyperlink ref="B57" r:id="rId10" xr:uid="{2D10BEA7-F26A-402D-A403-CBA9755254B4}"/>
    <hyperlink ref="B58" r:id="rId11" xr:uid="{9B028A96-0594-4F4A-BFB4-E2819F5B5461}"/>
    <hyperlink ref="B13" r:id="rId12" xr:uid="{93068BCB-B234-4AF9-94D9-A2BB33C61F90}"/>
    <hyperlink ref="B14" r:id="rId13" xr:uid="{1515B828-09CF-4F6C-B8D8-DB7E7254ACA1}"/>
    <hyperlink ref="B10" r:id="rId14" xr:uid="{5BF73047-03E2-4EC6-AC9A-A3890481013E}"/>
  </hyperlinks>
  <pageMargins left="0.7" right="0.7" top="0.75" bottom="0.75" header="0.3" footer="0.3"/>
  <pageSetup orientation="portrait" r:id="rId1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Vincenty formulae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Tomasz Jastrzębski</dc:creator>
  <cp:keywords>Vincenty</cp:keywords>
  <cp:lastModifiedBy>Tomasz Jastrzębski</cp:lastModifiedBy>
  <dcterms:created xsi:type="dcterms:W3CDTF">2018-03-16T12:55:15Z</dcterms:created>
  <dcterms:modified xsi:type="dcterms:W3CDTF">2018-06-17T12:40:39Z</dcterms:modified>
</cp:coreProperties>
</file>