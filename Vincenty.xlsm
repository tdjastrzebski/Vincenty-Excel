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8_{A675BCE4-926F-4648-9804-1594DB29BE86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C35" i="1"/>
  <c r="D24" i="1"/>
  <c r="D35" i="1"/>
  <c r="C24" i="1"/>
  <c r="C39" i="1"/>
  <c r="C41" i="1" s="1"/>
  <c r="C26" i="1"/>
  <c r="C43" i="1"/>
  <c r="C40" i="1"/>
  <c r="C29" i="1"/>
  <c r="C30" i="1"/>
  <c r="C42" i="1"/>
  <c r="C28" i="1"/>
</calcChain>
</file>

<file path=xl/sharedStrings.xml><?xml version="1.0" encoding="utf-8"?>
<sst xmlns="http://schemas.openxmlformats.org/spreadsheetml/2006/main" count="77" uniqueCount="63">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</sst>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5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  <xf numFmtId="0" fontId="2" fillId="8" borderId="0" xfId="0" applyFont="1" applyFill="1"/>
    <xf numFmtId="0" fontId="0" fillId="8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3"/>
  <sheetViews>
    <sheetView tabSelected="1" zoomScaleNormal="100" workbookViewId="0">
      <selection activeCell="B2" sqref="B2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2.7265625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56</v>
      </c>
      <c r="H2" s="2"/>
      <c r="I2" s="2"/>
      <c r="K2" s="3"/>
      <c r="L2" s="3"/>
      <c r="Q2" s="1"/>
    </row>
    <row r="3" spans="2:17" x14ac:dyDescent="0.35">
      <c r="B3" s="4" t="s">
        <v>53</v>
      </c>
      <c r="H3" s="2"/>
      <c r="I3" s="2"/>
      <c r="K3" s="3"/>
      <c r="L3" s="3"/>
      <c r="Q3" s="1"/>
    </row>
    <row r="4" spans="2:17" s="5" customFormat="1" x14ac:dyDescent="0.35">
      <c r="B4" s="4" t="s">
        <v>54</v>
      </c>
      <c r="H4" s="2"/>
      <c r="I4" s="2"/>
      <c r="K4" s="3"/>
      <c r="L4" s="3"/>
      <c r="Q4" s="1"/>
    </row>
    <row r="5" spans="2:17" s="5" customFormat="1" x14ac:dyDescent="0.35">
      <c r="H5" s="2"/>
      <c r="I5" s="2"/>
      <c r="K5" s="3"/>
      <c r="L5" s="3"/>
      <c r="Q5" s="1"/>
    </row>
    <row r="6" spans="2:17" x14ac:dyDescent="0.35">
      <c r="B6" s="4" t="s">
        <v>52</v>
      </c>
      <c r="H6" s="2"/>
      <c r="I6" s="2"/>
      <c r="L6" s="3"/>
      <c r="Q6" s="1"/>
    </row>
    <row r="7" spans="2:17" s="5" customFormat="1" x14ac:dyDescent="0.35">
      <c r="B7" s="3" t="s">
        <v>1</v>
      </c>
      <c r="H7" s="2"/>
      <c r="I7" s="2"/>
      <c r="L7" s="3"/>
      <c r="Q7" s="1"/>
    </row>
    <row r="8" spans="2:17" s="5" customFormat="1" x14ac:dyDescent="0.35">
      <c r="H8" s="2"/>
      <c r="I8" s="2"/>
      <c r="L8" s="3"/>
      <c r="Q8" s="1"/>
    </row>
    <row r="9" spans="2:17" x14ac:dyDescent="0.35">
      <c r="B9" s="4" t="s">
        <v>48</v>
      </c>
    </row>
    <row r="10" spans="2:17" x14ac:dyDescent="0.35">
      <c r="B10" s="3" t="s">
        <v>47</v>
      </c>
    </row>
    <row r="12" spans="2:17" s="5" customFormat="1" x14ac:dyDescent="0.35">
      <c r="B12" s="4" t="s">
        <v>55</v>
      </c>
    </row>
    <row r="13" spans="2:17" s="5" customFormat="1" x14ac:dyDescent="0.35">
      <c r="B13" s="3" t="s">
        <v>0</v>
      </c>
    </row>
    <row r="14" spans="2:17" s="5" customFormat="1" x14ac:dyDescent="0.35">
      <c r="B14" s="3" t="s">
        <v>13</v>
      </c>
    </row>
    <row r="15" spans="2:17" s="5" customFormat="1" x14ac:dyDescent="0.35">
      <c r="B15" s="3"/>
    </row>
    <row r="16" spans="2:17" s="5" customFormat="1" ht="15.5" x14ac:dyDescent="0.35">
      <c r="B16" s="18" t="s">
        <v>50</v>
      </c>
      <c r="C16" s="19"/>
      <c r="D16" s="19"/>
      <c r="E16" s="19"/>
      <c r="F16" s="19"/>
      <c r="G16" s="19"/>
    </row>
    <row r="17" spans="2:7" s="5" customFormat="1" ht="15.5" x14ac:dyDescent="0.35">
      <c r="B17" s="18" t="s">
        <v>51</v>
      </c>
      <c r="C17" s="19"/>
      <c r="D17" s="19"/>
      <c r="E17" s="19"/>
      <c r="F17" s="19"/>
      <c r="G17" s="19"/>
    </row>
    <row r="19" spans="2:7" s="5" customFormat="1" x14ac:dyDescent="0.35">
      <c r="B19" s="24" t="s">
        <v>44</v>
      </c>
      <c r="C19" s="25"/>
      <c r="D19" s="25"/>
      <c r="E19" s="25"/>
      <c r="F19" s="25"/>
      <c r="G19" s="25"/>
    </row>
    <row r="20" spans="2:7" s="5" customFormat="1" x14ac:dyDescent="0.35"/>
    <row r="21" spans="2:7" ht="15.5" x14ac:dyDescent="0.35">
      <c r="B21" s="22" t="s">
        <v>35</v>
      </c>
      <c r="C21" s="23"/>
      <c r="D21" s="23"/>
      <c r="E21" s="23"/>
      <c r="F21" s="23"/>
      <c r="G21" s="23"/>
    </row>
    <row r="22" spans="2:7" s="5" customFormat="1" x14ac:dyDescent="0.35">
      <c r="B22" s="4" t="s">
        <v>31</v>
      </c>
      <c r="E22" s="4" t="s">
        <v>42</v>
      </c>
    </row>
    <row r="23" spans="2:7" x14ac:dyDescent="0.35">
      <c r="B23" s="12" t="s">
        <v>19</v>
      </c>
      <c r="C23" s="10" t="s">
        <v>14</v>
      </c>
      <c r="D23" s="10" t="s">
        <v>15</v>
      </c>
      <c r="E23" s="13"/>
      <c r="F23" s="14"/>
      <c r="G23" s="15"/>
    </row>
    <row r="24" spans="2:7" x14ac:dyDescent="0.35">
      <c r="B24" s="9" t="s">
        <v>38</v>
      </c>
      <c r="C24" s="9">
        <f>ConvertDecimal(C23)</f>
        <v>-37.951033416666668</v>
      </c>
      <c r="D24" s="9">
        <f>ConvertDecimal(D23)</f>
        <v>144.42486788888888</v>
      </c>
      <c r="E24" s="21" t="s">
        <v>49</v>
      </c>
      <c r="F24" s="14"/>
      <c r="G24" s="15"/>
    </row>
    <row r="25" spans="2:7" s="5" customFormat="1" x14ac:dyDescent="0.35">
      <c r="B25" s="12" t="s">
        <v>20</v>
      </c>
      <c r="C25" s="10" t="s">
        <v>17</v>
      </c>
      <c r="D25" s="10" t="s">
        <v>16</v>
      </c>
      <c r="E25" s="13"/>
      <c r="F25" s="14"/>
      <c r="G25" s="15"/>
    </row>
    <row r="26" spans="2:7" x14ac:dyDescent="0.35">
      <c r="B26" s="9" t="s">
        <v>39</v>
      </c>
      <c r="C26" s="9">
        <f>ConvertDecimal(C25)</f>
        <v>-37.652821138888889</v>
      </c>
      <c r="D26" s="9">
        <f>ConvertDecimal(D25)</f>
        <v>143.92649552777777</v>
      </c>
      <c r="E26" s="21" t="s">
        <v>49</v>
      </c>
      <c r="F26" s="14"/>
      <c r="G26" s="15"/>
    </row>
    <row r="27" spans="2:7" s="5" customFormat="1" x14ac:dyDescent="0.35">
      <c r="B27" s="4" t="s">
        <v>41</v>
      </c>
      <c r="E27" s="4"/>
    </row>
    <row r="28" spans="2:7" x14ac:dyDescent="0.35">
      <c r="B28" s="11" t="s">
        <v>18</v>
      </c>
      <c r="C28" s="11">
        <f>VincentyInvDistance(C24,D24,C26,D26)</f>
        <v>54972.271142042664</v>
      </c>
      <c r="E28" s="13" t="s">
        <v>23</v>
      </c>
      <c r="F28" s="14"/>
      <c r="G28" s="15"/>
    </row>
    <row r="29" spans="2:7" s="5" customFormat="1" x14ac:dyDescent="0.35">
      <c r="B29" s="11" t="s">
        <v>21</v>
      </c>
      <c r="C29" s="11">
        <f>VincentyInvFwdAzimuth(C24,D24,C26,D26)</f>
        <v>306.86815920330764</v>
      </c>
      <c r="E29" s="13" t="s">
        <v>25</v>
      </c>
      <c r="F29" s="14"/>
      <c r="G29" s="15"/>
    </row>
    <row r="30" spans="2:7" s="5" customFormat="1" x14ac:dyDescent="0.35">
      <c r="B30" s="11" t="s">
        <v>22</v>
      </c>
      <c r="C30" s="11">
        <f>VincentyInvRevAzimuth(C24,D24,C26,D26)</f>
        <v>307.1736306294444</v>
      </c>
      <c r="E30" s="13" t="s">
        <v>26</v>
      </c>
      <c r="F30" s="14"/>
      <c r="G30" s="15"/>
    </row>
    <row r="32" spans="2:7" ht="15.5" x14ac:dyDescent="0.35">
      <c r="B32" s="22" t="s">
        <v>43</v>
      </c>
      <c r="C32" s="23"/>
      <c r="D32" s="23"/>
      <c r="E32" s="23"/>
      <c r="F32" s="23"/>
      <c r="G32" s="23"/>
    </row>
    <row r="33" spans="2:7" s="5" customFormat="1" x14ac:dyDescent="0.35">
      <c r="B33" s="4" t="s">
        <v>31</v>
      </c>
      <c r="E33" s="4" t="s">
        <v>42</v>
      </c>
    </row>
    <row r="34" spans="2:7" x14ac:dyDescent="0.35">
      <c r="B34" s="12" t="s">
        <v>19</v>
      </c>
      <c r="C34" s="10" t="s">
        <v>14</v>
      </c>
      <c r="D34" s="10" t="s">
        <v>15</v>
      </c>
      <c r="E34" s="13"/>
      <c r="F34" s="14"/>
      <c r="G34" s="15"/>
    </row>
    <row r="35" spans="2:7" s="5" customFormat="1" x14ac:dyDescent="0.35">
      <c r="B35" s="9" t="s">
        <v>38</v>
      </c>
      <c r="C35" s="9">
        <f>ConvertDecimal(C34)</f>
        <v>-37.951033416666668</v>
      </c>
      <c r="D35" s="9">
        <f>ConvertDecimal(D34)</f>
        <v>144.42486788888888</v>
      </c>
      <c r="E35" s="21" t="s">
        <v>49</v>
      </c>
      <c r="F35" s="14"/>
      <c r="G35" s="15"/>
    </row>
    <row r="36" spans="2:7" x14ac:dyDescent="0.35">
      <c r="B36" s="9" t="s">
        <v>10</v>
      </c>
      <c r="C36" s="9">
        <v>306.86815920330764</v>
      </c>
      <c r="D36" s="9"/>
      <c r="E36" s="13"/>
      <c r="F36" s="14"/>
      <c r="G36" s="15"/>
    </row>
    <row r="37" spans="2:7" x14ac:dyDescent="0.35">
      <c r="B37" s="9" t="s">
        <v>18</v>
      </c>
      <c r="C37" s="9">
        <v>54972.271142042664</v>
      </c>
      <c r="D37" s="9"/>
      <c r="E37" s="13"/>
      <c r="F37" s="14"/>
      <c r="G37" s="15"/>
    </row>
    <row r="38" spans="2:7" s="5" customFormat="1" x14ac:dyDescent="0.35">
      <c r="B38" s="4" t="s">
        <v>41</v>
      </c>
    </row>
    <row r="39" spans="2:7" x14ac:dyDescent="0.35">
      <c r="B39" s="11" t="s">
        <v>24</v>
      </c>
      <c r="C39" s="16">
        <f>vincentyDirLat(C35,D35,C36,C37)</f>
        <v>-37.652821138864894</v>
      </c>
      <c r="E39" s="13" t="s">
        <v>27</v>
      </c>
      <c r="F39" s="14"/>
      <c r="G39" s="15"/>
    </row>
    <row r="40" spans="2:7" x14ac:dyDescent="0.35">
      <c r="B40" s="11" t="s">
        <v>29</v>
      </c>
      <c r="C40" s="16">
        <f>VincentyDirLon(C35,D35,C36,C37)</f>
        <v>143.92649552774759</v>
      </c>
      <c r="E40" s="13" t="s">
        <v>28</v>
      </c>
      <c r="F40" s="14"/>
      <c r="G40" s="15"/>
    </row>
    <row r="41" spans="2:7" x14ac:dyDescent="0.35">
      <c r="B41" s="11" t="s">
        <v>24</v>
      </c>
      <c r="C41" s="16" t="str">
        <f>ConvertDegrees(C39)</f>
        <v>-37° 39' 10.1561"</v>
      </c>
      <c r="E41" s="13" t="s">
        <v>36</v>
      </c>
      <c r="F41" s="14"/>
      <c r="G41" s="15"/>
    </row>
    <row r="42" spans="2:7" x14ac:dyDescent="0.35">
      <c r="B42" s="11" t="s">
        <v>29</v>
      </c>
      <c r="C42" s="16" t="str">
        <f>ConvertDegrees(C40)</f>
        <v>143° 55' 35.3839"</v>
      </c>
      <c r="E42" s="13" t="s">
        <v>37</v>
      </c>
      <c r="F42" s="14"/>
      <c r="G42" s="15"/>
    </row>
    <row r="43" spans="2:7" s="5" customFormat="1" x14ac:dyDescent="0.35">
      <c r="B43" s="11" t="s">
        <v>22</v>
      </c>
      <c r="C43" s="16">
        <f>VincentyDirRevAzimuth(C35,D35,C36,C37)</f>
        <v>307.17363062946856</v>
      </c>
      <c r="E43" s="13" t="s">
        <v>30</v>
      </c>
      <c r="F43" s="14"/>
      <c r="G43" s="15"/>
    </row>
    <row r="44" spans="2:7" s="5" customFormat="1" x14ac:dyDescent="0.35"/>
    <row r="46" spans="2:7" x14ac:dyDescent="0.35">
      <c r="B46" t="s">
        <v>40</v>
      </c>
    </row>
    <row r="47" spans="2:7" s="5" customFormat="1" x14ac:dyDescent="0.35">
      <c r="B47" s="5" t="s">
        <v>45</v>
      </c>
      <c r="E47" s="7"/>
      <c r="F47" s="8" t="s">
        <v>33</v>
      </c>
      <c r="G47" s="8" t="s">
        <v>34</v>
      </c>
    </row>
    <row r="48" spans="2:7" x14ac:dyDescent="0.35">
      <c r="B48" s="3" t="s">
        <v>9</v>
      </c>
      <c r="E48" s="8" t="s">
        <v>57</v>
      </c>
      <c r="F48" s="6">
        <v>5.0000000000000001E-9</v>
      </c>
      <c r="G48" s="6">
        <v>0</v>
      </c>
    </row>
    <row r="49" spans="2:7" x14ac:dyDescent="0.35">
      <c r="B49" s="3" t="s">
        <v>2</v>
      </c>
      <c r="E49" s="8" t="s">
        <v>58</v>
      </c>
      <c r="F49" s="6">
        <v>2.0000000000000001E-9</v>
      </c>
      <c r="G49" s="6">
        <v>1.0000000000000001E-9</v>
      </c>
    </row>
    <row r="50" spans="2:7" x14ac:dyDescent="0.35">
      <c r="B50" t="s">
        <v>46</v>
      </c>
      <c r="E50" s="8" t="s">
        <v>59</v>
      </c>
      <c r="F50" s="6">
        <v>8.3300000000000001E-7</v>
      </c>
      <c r="G50" s="6">
        <v>0</v>
      </c>
    </row>
    <row r="51" spans="2:7" x14ac:dyDescent="0.35">
      <c r="B51" s="3" t="s">
        <v>7</v>
      </c>
      <c r="E51" s="8" t="s">
        <v>60</v>
      </c>
      <c r="F51" s="6">
        <v>2.4182999999999999E-5</v>
      </c>
      <c r="G51" s="6">
        <v>1.269E-6</v>
      </c>
    </row>
    <row r="52" spans="2:7" x14ac:dyDescent="0.35">
      <c r="B52" s="3" t="s">
        <v>8</v>
      </c>
      <c r="E52" s="8" t="s">
        <v>61</v>
      </c>
      <c r="F52" s="6">
        <v>8.0979999999999994E-6</v>
      </c>
      <c r="G52" s="6">
        <v>3.9280000000000003E-6</v>
      </c>
    </row>
    <row r="53" spans="2:7" x14ac:dyDescent="0.35">
      <c r="B53" s="3" t="s">
        <v>6</v>
      </c>
      <c r="E53" s="8" t="s">
        <v>62</v>
      </c>
      <c r="F53" s="6">
        <v>5.2449999999999998E-6</v>
      </c>
      <c r="G53" s="6">
        <v>3.9280000000000003E-6</v>
      </c>
    </row>
    <row r="54" spans="2:7" s="5" customFormat="1" x14ac:dyDescent="0.35"/>
    <row r="55" spans="2:7" s="5" customFormat="1" x14ac:dyDescent="0.35">
      <c r="B55" s="17" t="s">
        <v>32</v>
      </c>
    </row>
    <row r="56" spans="2:7" x14ac:dyDescent="0.35">
      <c r="B56" s="3" t="s">
        <v>1</v>
      </c>
    </row>
    <row r="57" spans="2:7" x14ac:dyDescent="0.35">
      <c r="B57" s="3" t="s">
        <v>11</v>
      </c>
      <c r="F57" s="3"/>
    </row>
    <row r="58" spans="2:7" x14ac:dyDescent="0.35">
      <c r="B58" s="3" t="s">
        <v>12</v>
      </c>
      <c r="C58" s="5"/>
      <c r="D58" s="5"/>
      <c r="E58" s="5"/>
    </row>
    <row r="59" spans="2:7" x14ac:dyDescent="0.35">
      <c r="B59" s="3" t="s">
        <v>5</v>
      </c>
    </row>
    <row r="60" spans="2:7" x14ac:dyDescent="0.35">
      <c r="B60" s="3" t="s">
        <v>4</v>
      </c>
      <c r="F60" s="3"/>
    </row>
    <row r="61" spans="2:7" x14ac:dyDescent="0.35">
      <c r="B61" s="3" t="s">
        <v>3</v>
      </c>
    </row>
    <row r="63" spans="2:7" x14ac:dyDescent="0.35">
      <c r="C63" s="5"/>
      <c r="D63" s="5"/>
      <c r="E63" s="5"/>
    </row>
  </sheetData>
  <hyperlinks>
    <hyperlink ref="B56" r:id="rId1" xr:uid="{90AE0FDE-3389-4E59-9067-FA1199551BB6}"/>
    <hyperlink ref="B49" r:id="rId2" xr:uid="{293BB999-A74D-49F7-B870-68F7CF693652}"/>
    <hyperlink ref="B61" r:id="rId3" xr:uid="{2F80AEDB-E745-4DE5-9B56-0A0985171C73}"/>
    <hyperlink ref="B60" r:id="rId4" xr:uid="{C41B7210-6144-4B2F-90A7-D0F6E0B36574}"/>
    <hyperlink ref="B59" r:id="rId5" xr:uid="{F437963F-F579-459C-BF7B-7E5691D756B3}"/>
    <hyperlink ref="B53" r:id="rId6" xr:uid="{E5A20D27-E291-41E9-AA5C-FD68715DE179}"/>
    <hyperlink ref="B51" r:id="rId7" xr:uid="{2CDBB069-ECFC-42F3-9EA9-0E3F1E54A7FD}"/>
    <hyperlink ref="B52" r:id="rId8" xr:uid="{D2EAE2A9-F1E1-49C3-AF43-DEC3556CC185}"/>
    <hyperlink ref="B7" r:id="rId9" xr:uid="{6CC7DEDF-D5E3-4286-96E6-19B15ECA2C9F}"/>
    <hyperlink ref="B57" r:id="rId10" xr:uid="{2D10BEA7-F26A-402D-A403-CBA9755254B4}"/>
    <hyperlink ref="B58" r:id="rId11" xr:uid="{9B028A96-0594-4F4A-BFB4-E2819F5B5461}"/>
    <hyperlink ref="B13" r:id="rId12" xr:uid="{93068BCB-B234-4AF9-94D9-A2BB33C61F90}"/>
    <hyperlink ref="B14" r:id="rId13" xr:uid="{1515B828-09CF-4F6C-B8D8-DB7E7254ACA1}"/>
    <hyperlink ref="B10" r:id="rId14" xr:uid="{5BF73047-03E2-4EC6-AC9A-A3890481013E}"/>
  </hyperlinks>
  <pageMargins left="0.7" right="0.7" top="0.75" bottom="0.75" header="0.3" footer="0.3"/>
  <pageSetup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2018-06-27T21:20:43Z</dcterms:modified>
</cp:coreProperties>
</file>