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A39DBC76-E228-482E-8494-D1B1006A4A69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5" i="1" l="1"/>
  <c r="E33" i="1"/>
  <c r="E36" i="1"/>
  <c r="E26" i="1"/>
  <c r="E25" i="1"/>
  <c r="E35" i="1"/>
  <c r="E34" i="1"/>
  <c r="H33" i="1" s="1"/>
  <c r="H27" i="1"/>
  <c r="H35" i="1"/>
  <c r="H34" i="1"/>
  <c r="H26" i="1"/>
  <c r="J26" i="1" s="1"/>
  <c r="J25" i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<sst xmlns="http://schemas.openxmlformats.org/spreadsheetml/2006/main" count="61" uniqueCount="55">
  <si>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</si>
  <si>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</si>
  <si>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</si>
  <si>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</si>
  <si>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</si>
  <si>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</si>
  <si>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</si>
  <si>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</si>
  <si>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</si>
  <si>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</si>
  <si>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</si>
  <si>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</si>
  <si>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</si>
  <si>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</si>
  <si>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</si>
  <si>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</si>
  <si>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</si>
  <si>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</si>
  <si>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</si>
  <si>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</si>
  <si>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</si>
  <si>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</si>
  <si>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</si>
  <si>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</si>
  <si>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</si>
  <si>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</si>
  <si>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</si>
  <si>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</si>
  <si>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</si>
  <si>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</si>
  <si>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</si>
  <si>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</si>
  <si>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</si>
  <si>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</si>
  <si>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</si>
  <si>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</si>
  <si>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</si>
  <si>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</si>
  <si>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</si>
  <si>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</si>
  <si>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</si>
  <si>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</si>
  <si>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</si>
  <si>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</si>
  <si>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</si>
  <si>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</si>
  <si>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</si>
  <si>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</si>
  <si>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</si>
  <si>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</si>
  <si>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</si>
  <si>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</si>
  <si>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</si>
  <si>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Version: 2019-07-10</t>
  </si>
  <si>
    <t>Based on the implementation in Java Script by Chris Veness, ver 2.2.0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</si>
</sst>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13763</xdr:rowOff>
    </xdr:from>
    <xdr:to>
      <xdr:col>5</xdr:col>
      <xdr:colOff>1090331</xdr:colOff>
      <xdr:row>27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24</xdr:row>
      <xdr:rowOff>13082</xdr:rowOff>
    </xdr:from>
    <xdr:to>
      <xdr:col>3</xdr:col>
      <xdr:colOff>601742</xdr:colOff>
      <xdr:row>25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49908</xdr:rowOff>
    </xdr:from>
    <xdr:to>
      <xdr:col>4</xdr:col>
      <xdr:colOff>825946</xdr:colOff>
      <xdr:row>27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8"/>
  <sheetViews>
    <sheetView tabSelected="1" zoomScale="115" zoomScaleNormal="115" workbookViewId="0"/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49</v>
      </c>
    </row>
    <row r="9" spans="2:19" x14ac:dyDescent="0.35">
      <c r="B9" s="3" t="s">
        <v>46</v>
      </c>
    </row>
    <row r="10" spans="2:19" x14ac:dyDescent="0.35">
      <c r="B10" s="4" t="s">
        <v>53</v>
      </c>
    </row>
    <row r="11" spans="2:19" x14ac:dyDescent="0.35">
      <c r="B11" s="4" t="s">
        <v>48</v>
      </c>
    </row>
    <row r="12" spans="2:19" x14ac:dyDescent="0.35">
      <c r="B12" s="3" t="s">
        <v>46</v>
      </c>
    </row>
    <row r="14" spans="2:19" x14ac:dyDescent="0.35">
      <c r="B14" s="4" t="s">
        <v>54</v>
      </c>
    </row>
    <row r="15" spans="2:19" x14ac:dyDescent="0.35">
      <c r="B15" s="3" t="s">
        <v>0</v>
      </c>
    </row>
    <row r="16" spans="2:19" x14ac:dyDescent="0.35">
      <c r="B16" s="3" t="s">
        <v>8</v>
      </c>
    </row>
    <row r="17" spans="2:10" x14ac:dyDescent="0.35">
      <c r="B17" s="3"/>
    </row>
    <row r="18" spans="2:10" ht="15.5" x14ac:dyDescent="0.35">
      <c r="B18" s="14" t="s">
        <v>22</v>
      </c>
      <c r="C18" s="15"/>
      <c r="D18" s="15"/>
      <c r="E18" s="15"/>
      <c r="F18" s="15"/>
      <c r="G18" s="15"/>
      <c r="H18" s="15"/>
      <c r="I18" s="15"/>
      <c r="J18" s="14"/>
    </row>
    <row r="19" spans="2:10" ht="15.5" x14ac:dyDescent="0.35">
      <c r="B19" s="14" t="s">
        <v>23</v>
      </c>
      <c r="C19" s="15"/>
      <c r="D19" s="15"/>
      <c r="E19" s="15"/>
      <c r="F19" s="15"/>
      <c r="G19" s="15"/>
      <c r="H19" s="15"/>
      <c r="I19" s="15"/>
      <c r="J19" s="14"/>
    </row>
    <row r="21" spans="2:10" ht="15.5" x14ac:dyDescent="0.35">
      <c r="B21" s="22" t="s">
        <v>38</v>
      </c>
      <c r="C21" s="13"/>
      <c r="D21" s="13"/>
      <c r="E21" s="13"/>
      <c r="F21" s="13"/>
      <c r="G21" s="13"/>
      <c r="H21" s="13"/>
      <c r="I21" s="13"/>
      <c r="J21" s="13"/>
    </row>
    <row r="23" spans="2:10" s="10" customFormat="1" ht="21" x14ac:dyDescent="0.35">
      <c r="B23" s="12" t="s">
        <v>40</v>
      </c>
      <c r="C23" s="12"/>
      <c r="D23" s="12"/>
      <c r="E23" s="12"/>
      <c r="F23" s="12"/>
      <c r="G23" s="12"/>
      <c r="H23" s="12"/>
      <c r="I23" s="12"/>
      <c r="J23" s="12"/>
    </row>
    <row r="24" spans="2:10" s="10" customFormat="1" ht="20.25" customHeight="1" x14ac:dyDescent="0.35">
      <c r="B24" s="9" t="s">
        <v>50</v>
      </c>
      <c r="G24" s="9" t="s">
        <v>52</v>
      </c>
    </row>
    <row r="25" spans="2:10" x14ac:dyDescent="0.35">
      <c r="B25" s="29" t="s">
        <v>10</v>
      </c>
      <c r="C25" s="17" t="s">
        <v>34</v>
      </c>
      <c r="E25" s="19">
        <f>ConvertDecimal(C25)</f>
        <v>-37.951033416666668</v>
      </c>
      <c r="G25" s="5" t="s">
        <v>14</v>
      </c>
      <c r="H25" s="20">
        <f>vincentyDirLat(E25,E26,C28,C27)</f>
        <v>-37.652821138864908</v>
      </c>
      <c r="J25" s="6" t="str">
        <f>ConvertDegrees(H25, FALSE)</f>
        <v>37°39'10.1561"S</v>
      </c>
    </row>
    <row r="26" spans="2:10" x14ac:dyDescent="0.35">
      <c r="B26" s="30"/>
      <c r="C26" s="17" t="s">
        <v>36</v>
      </c>
      <c r="E26" s="19">
        <f>ConvertDecimal(C26)</f>
        <v>144.42486788888888</v>
      </c>
      <c r="G26" s="5" t="s">
        <v>15</v>
      </c>
      <c r="H26" s="20">
        <f>VincentyDirLon(E25,E26,C28,C27)</f>
        <v>143.92649552774759</v>
      </c>
      <c r="J26" s="6" t="str">
        <f>ConvertDegrees(H26, TRUE)</f>
        <v>143°55'35.3839"E</v>
      </c>
    </row>
    <row r="27" spans="2:10" x14ac:dyDescent="0.35">
      <c r="B27" s="16" t="s">
        <v>9</v>
      </c>
      <c r="C27" s="23">
        <v>54972.271142042664</v>
      </c>
      <c r="G27" s="5" t="s">
        <v>13</v>
      </c>
      <c r="H27" s="20">
        <f>VincentyDirRevAzimuth(E25,E26,C28,C27,TRUE)</f>
        <v>127.17363062946853</v>
      </c>
    </row>
    <row r="28" spans="2:10" x14ac:dyDescent="0.35">
      <c r="B28" s="16" t="s">
        <v>7</v>
      </c>
      <c r="C28" s="18">
        <v>306.86815920330764</v>
      </c>
    </row>
    <row r="31" spans="2:10" s="10" customFormat="1" ht="21" x14ac:dyDescent="0.35">
      <c r="B31" s="12" t="s">
        <v>39</v>
      </c>
      <c r="C31" s="12"/>
      <c r="D31" s="12"/>
      <c r="E31" s="12"/>
      <c r="F31" s="12"/>
      <c r="G31" s="12"/>
      <c r="H31" s="12"/>
      <c r="I31" s="12"/>
      <c r="J31" s="12"/>
    </row>
    <row r="32" spans="2:10" s="10" customFormat="1" ht="20.25" customHeight="1" x14ac:dyDescent="0.35">
      <c r="B32" s="9" t="s">
        <v>51</v>
      </c>
      <c r="G32" s="9" t="s">
        <v>47</v>
      </c>
    </row>
    <row r="33" spans="2:8" x14ac:dyDescent="0.35">
      <c r="B33" s="29" t="s">
        <v>10</v>
      </c>
      <c r="C33" s="17" t="s">
        <v>34</v>
      </c>
      <c r="E33" s="19">
        <f>ConvertDecimal(C33)</f>
        <v>-37.951033416666668</v>
      </c>
      <c r="G33" s="5" t="s">
        <v>9</v>
      </c>
      <c r="H33" s="24">
        <f>VincentyInvDistance(E33,E34,E35,E36)</f>
        <v>54972.27113841613</v>
      </c>
    </row>
    <row r="34" spans="2:8" x14ac:dyDescent="0.35">
      <c r="B34" s="30"/>
      <c r="C34" s="17" t="s">
        <v>36</v>
      </c>
      <c r="E34" s="19">
        <f>ConvertDecimal(C34)</f>
        <v>144.42486788888888</v>
      </c>
      <c r="G34" s="5" t="s">
        <v>12</v>
      </c>
      <c r="H34" s="21">
        <f>VincentyInvFwdAzimuth(E33,E34,E35,E36)</f>
        <v>306.86815920330878</v>
      </c>
    </row>
    <row r="35" spans="2:8" x14ac:dyDescent="0.35">
      <c r="B35" s="29" t="s">
        <v>11</v>
      </c>
      <c r="C35" s="17" t="s">
        <v>35</v>
      </c>
      <c r="E35" s="19">
        <f>ConvertDecimal(C35)</f>
        <v>-37.652821138888889</v>
      </c>
      <c r="G35" s="5" t="s">
        <v>13</v>
      </c>
      <c r="H35" s="21">
        <f>VincentyInvRevAzimuth(E33,E34,E35,E36, TRUE)</f>
        <v>127.17363062944558</v>
      </c>
    </row>
    <row r="36" spans="2:8" x14ac:dyDescent="0.35">
      <c r="B36" s="30"/>
      <c r="C36" s="17" t="s">
        <v>37</v>
      </c>
      <c r="E36" s="19">
        <f>ConvertDecimal(C36)</f>
        <v>143.92649552777777</v>
      </c>
    </row>
    <row r="39" spans="2:8" x14ac:dyDescent="0.35">
      <c r="B39" s="11" t="s">
        <v>19</v>
      </c>
    </row>
    <row r="40" spans="2:8" x14ac:dyDescent="0.35">
      <c r="B40" t="s">
        <v>20</v>
      </c>
    </row>
    <row r="41" spans="2:8" x14ac:dyDescent="0.35">
      <c r="B41" s="3" t="s">
        <v>6</v>
      </c>
      <c r="F41" s="10"/>
      <c r="G41" s="26" t="s">
        <v>17</v>
      </c>
      <c r="H41" s="26" t="s">
        <v>18</v>
      </c>
    </row>
    <row r="42" spans="2:8" x14ac:dyDescent="0.35">
      <c r="B42" s="3" t="s">
        <v>2</v>
      </c>
      <c r="F42" s="25" t="s">
        <v>28</v>
      </c>
      <c r="G42" s="27">
        <v>5.0000000000000001E-9</v>
      </c>
      <c r="H42" s="27">
        <v>0</v>
      </c>
    </row>
    <row r="43" spans="2:8" x14ac:dyDescent="0.35">
      <c r="B43" t="s">
        <v>21</v>
      </c>
      <c r="F43" s="25" t="s">
        <v>29</v>
      </c>
      <c r="G43" s="27">
        <v>2.0000000000000001E-9</v>
      </c>
      <c r="H43" s="27">
        <v>1.0000000000000001E-9</v>
      </c>
    </row>
    <row r="44" spans="2:8" x14ac:dyDescent="0.35">
      <c r="B44" s="3" t="s">
        <v>4</v>
      </c>
      <c r="F44" s="25" t="s">
        <v>30</v>
      </c>
      <c r="G44" s="27">
        <v>8.3300000000000001E-7</v>
      </c>
      <c r="H44" s="27">
        <v>0</v>
      </c>
    </row>
    <row r="45" spans="2:8" x14ac:dyDescent="0.35">
      <c r="B45" s="3" t="s">
        <v>5</v>
      </c>
      <c r="F45" s="25" t="s">
        <v>31</v>
      </c>
      <c r="G45" s="27">
        <v>2.4182999999999999E-5</v>
      </c>
      <c r="H45" s="27">
        <v>1.269E-6</v>
      </c>
    </row>
    <row r="46" spans="2:8" x14ac:dyDescent="0.35">
      <c r="B46" s="3" t="s">
        <v>3</v>
      </c>
      <c r="F46" s="25" t="s">
        <v>32</v>
      </c>
      <c r="G46" s="27">
        <v>8.0979999999999994E-6</v>
      </c>
      <c r="H46" s="27">
        <v>3.9280000000000003E-6</v>
      </c>
    </row>
    <row r="47" spans="2:8" x14ac:dyDescent="0.35">
      <c r="F47" s="25" t="s">
        <v>33</v>
      </c>
      <c r="G47" s="27">
        <v>5.2449999999999998E-6</v>
      </c>
      <c r="H47" s="27">
        <v>3.9280000000000003E-6</v>
      </c>
    </row>
    <row r="48" spans="2:8" x14ac:dyDescent="0.35">
      <c r="B48" s="8" t="s">
        <v>16</v>
      </c>
    </row>
    <row r="49" spans="2:8" x14ac:dyDescent="0.35">
      <c r="B49" s="3" t="s">
        <v>45</v>
      </c>
    </row>
    <row r="50" spans="2:8" x14ac:dyDescent="0.35">
      <c r="B50" s="3" t="s">
        <v>44</v>
      </c>
      <c r="H50" s="3"/>
    </row>
    <row r="51" spans="2:8" x14ac:dyDescent="0.35">
      <c r="B51" s="3" t="s">
        <v>41</v>
      </c>
    </row>
    <row r="52" spans="2:8" x14ac:dyDescent="0.35">
      <c r="B52" s="3" t="s">
        <v>42</v>
      </c>
    </row>
    <row r="53" spans="2:8" x14ac:dyDescent="0.35">
      <c r="B53" s="3" t="s">
        <v>43</v>
      </c>
      <c r="H53" s="3"/>
    </row>
    <row r="57" spans="2:8" x14ac:dyDescent="0.35">
      <c r="F57" s="28"/>
    </row>
    <row r="58" spans="2:8" x14ac:dyDescent="0.35">
      <c r="F58" s="28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2019-07-10T22:12:18Z</dcterms:modified>
  <cp:category>Geodesy</cp:category>
</cp:coreProperties>
</file>