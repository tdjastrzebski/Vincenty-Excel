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3F2BDC1D-0EB5-4930-96DC-7702CA79E406}" xr6:coauthVersionLast="41" xr6:coauthVersionMax="41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8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1" l="1"/>
  <c r="E25" i="1"/>
  <c r="E34" i="1"/>
  <c r="E36" i="1"/>
  <c r="E35" i="1"/>
  <c r="H35" i="1" s="1"/>
  <c r="E26" i="1"/>
  <c r="H26" i="1"/>
  <c r="J26" i="1" s="1"/>
  <c r="H33" i="1"/>
  <c r="H34" i="1"/>
  <c r="H27" i="1"/>
  <c r="H25" i="1"/>
  <c r="J25" i="1" s="1"/>
</calcChain>
</file>

<file path=xl/sharedStrings.xml><?xml version="1.0" encoding="utf-8"?>
<sst xmlns="http://schemas.openxmlformats.org/spreadsheetml/2006/main" count="61" uniqueCount="55">
  <si>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</si>
  <si>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</si>
  <si>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</si>
  <si>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</si>
  <si>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</si>
  <si>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</si>
  <si>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</si>
  <si>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</si>
  <si>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</si>
  <si>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</si>
  <si>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</si>
  <si>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</si>
  <si>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</si>
  <si>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</si>
  <si>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</si>
  <si>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</si>
  <si>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</si>
  <si>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</si>
  <si>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</si>
  <si>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</si>
  <si>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</si>
  <si>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</si>
  <si>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</si>
  <si>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</si>
  <si>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</si>
  <si>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</si>
  <si>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</si>
  <si>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</si>
  <si>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</si>
  <si>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</si>
  <si>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</si>
  <si>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</si>
  <si>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</si>
  <si>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</si>
  <si>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</si>
  <si>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</si>
  <si>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</si>
  <si>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</si>
  <si>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</si>
  <si>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</si>
  <si>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</si>
  <si>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</si>
  <si>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</si>
  <si>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</si>
  <si>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</si>
  <si>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</si>
  <si>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</si>
  <si>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Input: point1, distance, azimuth</t>
  </si>
  <si>
    <t>Input: point1, point2</t>
  </si>
  <si>
    <t>https://github.com/tdjastrzebski/Vincenty-Excel</t>
  </si>
  <si>
    <t>Result: point2, reverse azimuth</t>
  </si>
  <si>
    <t>Result: distance, azimuth, reverse azimuth</t>
  </si>
  <si>
    <t>Version: 2019-03-22</t>
  </si>
  <si>
    <t>Latest version available at:</t>
  </si>
  <si>
    <t>Ported to VBA by © Tomasz Jastrzębski 2018-2019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</si>
</sst>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%"/>
    <numFmt numFmtId="165" formatCode="0.0000"/>
    <numFmt numFmtId="166" formatCode="#,##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164" fontId="0" fillId="0" borderId="1" xfId="0" applyNumberFormat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0" fillId="5" borderId="1" xfId="0" applyFill="1" applyBorder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166" fontId="0" fillId="3" borderId="1" xfId="0" applyNumberFormat="1" applyFill="1" applyBorder="1"/>
    <xf numFmtId="166" fontId="1" fillId="2" borderId="1" xfId="0" applyNumberFormat="1" applyFont="1" applyFill="1" applyBorder="1" applyAlignment="1">
      <alignment horizontal="right"/>
    </xf>
    <xf numFmtId="0" fontId="4" fillId="6" borderId="0" xfId="0" applyFont="1" applyFill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24</xdr:row>
      <xdr:rowOff>1</xdr:rowOff>
    </xdr:from>
    <xdr:to>
      <xdr:col>8</xdr:col>
      <xdr:colOff>590549</xdr:colOff>
      <xdr:row>26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24</xdr:row>
      <xdr:rowOff>23532</xdr:rowOff>
    </xdr:from>
    <xdr:to>
      <xdr:col>5</xdr:col>
      <xdr:colOff>1090331</xdr:colOff>
      <xdr:row>27</xdr:row>
      <xdr:rowOff>180975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5128931" y="4262157"/>
          <a:ext cx="657225" cy="728943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32</xdr:row>
      <xdr:rowOff>19050</xdr:rowOff>
    </xdr:from>
    <xdr:to>
      <xdr:col>3</xdr:col>
      <xdr:colOff>588065</xdr:colOff>
      <xdr:row>35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24</xdr:row>
      <xdr:rowOff>20897</xdr:rowOff>
    </xdr:from>
    <xdr:to>
      <xdr:col>3</xdr:col>
      <xdr:colOff>588065</xdr:colOff>
      <xdr:row>25</xdr:row>
      <xdr:rowOff>175846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3025001" y="4248532"/>
          <a:ext cx="457199" cy="345449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32</xdr:row>
      <xdr:rowOff>12886</xdr:rowOff>
    </xdr:from>
    <xdr:to>
      <xdr:col>5</xdr:col>
      <xdr:colOff>1099856</xdr:colOff>
      <xdr:row>35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26</xdr:row>
      <xdr:rowOff>69446</xdr:rowOff>
    </xdr:from>
    <xdr:to>
      <xdr:col>4</xdr:col>
      <xdr:colOff>991046</xdr:colOff>
      <xdr:row>27</xdr:row>
      <xdr:rowOff>157369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3046932" y="4682859"/>
          <a:ext cx="1547049" cy="278423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3"/>
  <sheetViews>
    <sheetView tabSelected="1" zoomScaleNormal="100" workbookViewId="0"/>
  </sheetViews>
  <sheetFormatPr defaultRowHeight="14.5" x14ac:dyDescent="0.35"/>
  <cols>
    <col min="1" max="1" width="2.36328125" customWidth="1"/>
    <col min="2" max="2" width="20.08984375" customWidth="1"/>
    <col min="3" max="3" width="16.1796875" customWidth="1"/>
    <col min="4" max="4" width="10.6328125" customWidth="1"/>
    <col min="5" max="5" width="11.81640625" customWidth="1"/>
    <col min="6" max="6" width="23" customWidth="1"/>
    <col min="7" max="7" width="19.08984375" customWidth="1"/>
    <col min="8" max="8" width="16.6328125" customWidth="1"/>
    <col min="9" max="9" width="9.7265625" customWidth="1"/>
    <col min="10" max="10" width="15.81640625" bestFit="1" customWidth="1"/>
    <col min="11" max="11" width="11.6328125" bestFit="1" customWidth="1"/>
    <col min="12" max="12" width="11.81640625" bestFit="1" customWidth="1"/>
    <col min="14" max="14" width="8.36328125" bestFit="1" customWidth="1"/>
    <col min="15" max="15" width="9.7265625" customWidth="1"/>
    <col min="16" max="16" width="11.26953125" customWidth="1"/>
    <col min="17" max="17" width="13.6328125" bestFit="1" customWidth="1"/>
    <col min="18" max="18" width="14.6328125" bestFit="1" customWidth="1"/>
    <col min="19" max="19" width="12" bestFit="1" customWidth="1"/>
    <col min="20" max="20" width="15" bestFit="1" customWidth="1"/>
  </cols>
  <sheetData>
    <row r="1" spans="2:19" ht="21" x14ac:dyDescent="0.5">
      <c r="B1" s="8" t="s">
        <v>28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3" t="s">
        <v>49</v>
      </c>
    </row>
    <row r="10" spans="2:19" x14ac:dyDescent="0.35">
      <c r="B10" s="4" t="s">
        <v>52</v>
      </c>
    </row>
    <row r="11" spans="2:19" x14ac:dyDescent="0.35">
      <c r="B11" s="4" t="s">
        <v>53</v>
      </c>
    </row>
    <row r="12" spans="2:19" x14ac:dyDescent="0.35">
      <c r="B12" s="3" t="s">
        <v>49</v>
      </c>
    </row>
    <row r="14" spans="2:19" x14ac:dyDescent="0.35">
      <c r="B14" s="4" t="s">
        <v>27</v>
      </c>
    </row>
    <row r="15" spans="2:19" x14ac:dyDescent="0.35">
      <c r="B15" s="3" t="s">
        <v>0</v>
      </c>
    </row>
    <row r="16" spans="2:19" x14ac:dyDescent="0.35">
      <c r="B16" s="3" t="s">
        <v>8</v>
      </c>
    </row>
    <row r="17" spans="2:10" x14ac:dyDescent="0.35">
      <c r="B17" s="3"/>
    </row>
    <row r="18" spans="2:10" ht="15.5" x14ac:dyDescent="0.35">
      <c r="B18" s="16" t="s">
        <v>22</v>
      </c>
      <c r="C18" s="17"/>
      <c r="D18" s="17"/>
      <c r="E18" s="17"/>
      <c r="F18" s="17"/>
      <c r="G18" s="17"/>
      <c r="H18" s="17"/>
      <c r="I18" s="17"/>
      <c r="J18" s="16"/>
    </row>
    <row r="19" spans="2:10" ht="15.5" x14ac:dyDescent="0.35">
      <c r="B19" s="16" t="s">
        <v>23</v>
      </c>
      <c r="C19" s="17"/>
      <c r="D19" s="17"/>
      <c r="E19" s="17"/>
      <c r="F19" s="17"/>
      <c r="G19" s="17"/>
      <c r="H19" s="17"/>
      <c r="I19" s="17"/>
      <c r="J19" s="16"/>
    </row>
    <row r="21" spans="2:10" ht="15.5" x14ac:dyDescent="0.35">
      <c r="B21" s="26" t="s">
        <v>39</v>
      </c>
      <c r="C21" s="15"/>
      <c r="D21" s="15"/>
      <c r="E21" s="15"/>
      <c r="F21" s="15"/>
      <c r="G21" s="15"/>
      <c r="H21" s="15"/>
      <c r="I21" s="15"/>
      <c r="J21" s="15"/>
    </row>
    <row r="23" spans="2:10" s="11" customFormat="1" ht="21" x14ac:dyDescent="0.35">
      <c r="B23" s="14" t="s">
        <v>41</v>
      </c>
      <c r="C23" s="14"/>
      <c r="D23" s="14"/>
      <c r="E23" s="14"/>
      <c r="F23" s="14"/>
      <c r="G23" s="14"/>
      <c r="H23" s="14"/>
      <c r="I23" s="14"/>
      <c r="J23" s="14"/>
    </row>
    <row r="24" spans="2:10" s="11" customFormat="1" ht="20.25" customHeight="1" x14ac:dyDescent="0.35">
      <c r="B24" s="10" t="s">
        <v>47</v>
      </c>
      <c r="G24" s="10" t="s">
        <v>50</v>
      </c>
    </row>
    <row r="25" spans="2:10" x14ac:dyDescent="0.35">
      <c r="B25" s="27" t="s">
        <v>10</v>
      </c>
      <c r="C25" s="19" t="s">
        <v>35</v>
      </c>
      <c r="E25" s="21">
        <f>ConvertDecimal(C25)</f>
        <v>-37.951033416666668</v>
      </c>
      <c r="G25" s="6" t="s">
        <v>14</v>
      </c>
      <c r="H25" s="22">
        <f>vincentyDirLat(E25,E26,C28,C27)</f>
        <v>-37.652821138864894</v>
      </c>
      <c r="J25" s="7" t="str">
        <f>ConvertDegrees(H25, FALSE)</f>
        <v>37°39'10.1561"S</v>
      </c>
    </row>
    <row r="26" spans="2:10" x14ac:dyDescent="0.35">
      <c r="B26" s="28"/>
      <c r="C26" s="19" t="s">
        <v>37</v>
      </c>
      <c r="E26" s="21">
        <f>ConvertDecimal(C26)</f>
        <v>144.42486788888888</v>
      </c>
      <c r="G26" s="6" t="s">
        <v>15</v>
      </c>
      <c r="H26" s="22">
        <f>VincentyDirLon(E25,E26,C28,C27)</f>
        <v>143.92649552774759</v>
      </c>
      <c r="J26" s="7" t="str">
        <f>ConvertDegrees(H26, TRUE)</f>
        <v>143°55'35.3839"E</v>
      </c>
    </row>
    <row r="27" spans="2:10" x14ac:dyDescent="0.35">
      <c r="B27" s="18" t="s">
        <v>9</v>
      </c>
      <c r="C27" s="25">
        <v>54972.271142042664</v>
      </c>
      <c r="G27" s="6" t="s">
        <v>13</v>
      </c>
      <c r="H27" s="22">
        <f>VincentyDirRevAzimuth(E25,E26,C28,C27)</f>
        <v>307.17363062946851</v>
      </c>
    </row>
    <row r="28" spans="2:10" x14ac:dyDescent="0.35">
      <c r="B28" s="18" t="s">
        <v>7</v>
      </c>
      <c r="C28" s="20">
        <v>306.86815920330764</v>
      </c>
    </row>
    <row r="31" spans="2:10" s="11" customFormat="1" ht="21" x14ac:dyDescent="0.35">
      <c r="B31" s="14" t="s">
        <v>40</v>
      </c>
      <c r="C31" s="14"/>
      <c r="D31" s="14"/>
      <c r="E31" s="14"/>
      <c r="F31" s="14"/>
      <c r="G31" s="14"/>
      <c r="H31" s="14"/>
      <c r="I31" s="14"/>
      <c r="J31" s="14"/>
    </row>
    <row r="32" spans="2:10" s="11" customFormat="1" ht="20.25" customHeight="1" x14ac:dyDescent="0.35">
      <c r="B32" s="10" t="s">
        <v>48</v>
      </c>
      <c r="G32" s="10" t="s">
        <v>51</v>
      </c>
    </row>
    <row r="33" spans="2:8" x14ac:dyDescent="0.35">
      <c r="B33" s="27" t="s">
        <v>10</v>
      </c>
      <c r="C33" s="19" t="s">
        <v>35</v>
      </c>
      <c r="E33" s="21">
        <f>ConvertDecimal(C33)</f>
        <v>-37.951033416666668</v>
      </c>
      <c r="G33" s="6" t="s">
        <v>9</v>
      </c>
      <c r="H33" s="24">
        <f>VincentyInvDistance(E33,E34,E35,E36)</f>
        <v>54972.271142042664</v>
      </c>
    </row>
    <row r="34" spans="2:8" x14ac:dyDescent="0.35">
      <c r="B34" s="28"/>
      <c r="C34" s="19" t="s">
        <v>37</v>
      </c>
      <c r="E34" s="21">
        <f>ConvertDecimal(C34)</f>
        <v>144.42486788888888</v>
      </c>
      <c r="G34" s="6" t="s">
        <v>12</v>
      </c>
      <c r="H34" s="23">
        <f>VincentyInvFwdAzimuth(E33,E34,E35,E36)</f>
        <v>306.86815920330764</v>
      </c>
    </row>
    <row r="35" spans="2:8" x14ac:dyDescent="0.35">
      <c r="B35" s="27" t="s">
        <v>11</v>
      </c>
      <c r="C35" s="19" t="s">
        <v>36</v>
      </c>
      <c r="E35" s="21">
        <f>ConvertDecimal(C35)</f>
        <v>-37.652821138888889</v>
      </c>
      <c r="G35" s="6" t="s">
        <v>13</v>
      </c>
      <c r="H35" s="23">
        <f>VincentyInvRevAzimuth(E33,E34,E35,E36)</f>
        <v>307.1736306294444</v>
      </c>
    </row>
    <row r="36" spans="2:8" x14ac:dyDescent="0.35">
      <c r="B36" s="28"/>
      <c r="C36" s="19" t="s">
        <v>38</v>
      </c>
      <c r="E36" s="21">
        <f>ConvertDecimal(C36)</f>
        <v>143.92649552777777</v>
      </c>
    </row>
    <row r="39" spans="2:8" x14ac:dyDescent="0.35">
      <c r="B39" s="12" t="s">
        <v>19</v>
      </c>
    </row>
    <row r="40" spans="2:8" x14ac:dyDescent="0.35">
      <c r="B40" t="s">
        <v>20</v>
      </c>
    </row>
    <row r="41" spans="2:8" x14ac:dyDescent="0.35">
      <c r="B41" s="3" t="s">
        <v>6</v>
      </c>
      <c r="G41" s="13" t="s">
        <v>17</v>
      </c>
      <c r="H41" s="13" t="s">
        <v>18</v>
      </c>
    </row>
    <row r="42" spans="2:8" x14ac:dyDescent="0.35">
      <c r="B42" s="3" t="s">
        <v>2</v>
      </c>
      <c r="F42" s="13" t="s">
        <v>29</v>
      </c>
      <c r="G42" s="5">
        <v>5.0000000000000001E-9</v>
      </c>
      <c r="H42" s="5">
        <v>0</v>
      </c>
    </row>
    <row r="43" spans="2:8" x14ac:dyDescent="0.35">
      <c r="B43" t="s">
        <v>21</v>
      </c>
      <c r="F43" s="13" t="s">
        <v>30</v>
      </c>
      <c r="G43" s="5">
        <v>2.0000000000000001E-9</v>
      </c>
      <c r="H43" s="5">
        <v>1.0000000000000001E-9</v>
      </c>
    </row>
    <row r="44" spans="2:8" x14ac:dyDescent="0.35">
      <c r="B44" s="3" t="s">
        <v>4</v>
      </c>
      <c r="F44" s="13" t="s">
        <v>31</v>
      </c>
      <c r="G44" s="5">
        <v>8.3300000000000001E-7</v>
      </c>
      <c r="H44" s="5">
        <v>0</v>
      </c>
    </row>
    <row r="45" spans="2:8" x14ac:dyDescent="0.35">
      <c r="B45" s="3" t="s">
        <v>5</v>
      </c>
      <c r="F45" s="13" t="s">
        <v>32</v>
      </c>
      <c r="G45" s="5">
        <v>2.4182999999999999E-5</v>
      </c>
      <c r="H45" s="5">
        <v>1.269E-6</v>
      </c>
    </row>
    <row r="46" spans="2:8" x14ac:dyDescent="0.35">
      <c r="B46" s="3" t="s">
        <v>3</v>
      </c>
      <c r="F46" s="13" t="s">
        <v>33</v>
      </c>
      <c r="G46" s="5">
        <v>8.0979999999999994E-6</v>
      </c>
      <c r="H46" s="5">
        <v>3.9280000000000003E-6</v>
      </c>
    </row>
    <row r="47" spans="2:8" x14ac:dyDescent="0.35">
      <c r="F47" s="13" t="s">
        <v>34</v>
      </c>
      <c r="G47" s="5">
        <v>5.2449999999999998E-6</v>
      </c>
      <c r="H47" s="5">
        <v>3.9280000000000003E-6</v>
      </c>
    </row>
    <row r="48" spans="2:8" x14ac:dyDescent="0.35">
      <c r="B48" s="9" t="s">
        <v>16</v>
      </c>
    </row>
    <row r="49" spans="2:8" x14ac:dyDescent="0.35">
      <c r="B49" s="3" t="s">
        <v>46</v>
      </c>
    </row>
    <row r="50" spans="2:8" x14ac:dyDescent="0.35">
      <c r="B50" s="3" t="s">
        <v>45</v>
      </c>
      <c r="H50" s="3"/>
    </row>
    <row r="51" spans="2:8" x14ac:dyDescent="0.35">
      <c r="B51" s="3" t="s">
        <v>42</v>
      </c>
    </row>
    <row r="52" spans="2:8" x14ac:dyDescent="0.35">
      <c r="B52" s="3" t="s">
        <v>43</v>
      </c>
    </row>
    <row r="53" spans="2:8" x14ac:dyDescent="0.35">
      <c r="B53" s="3" t="s">
        <v>44</v>
      </c>
      <c r="H53" s="3"/>
    </row>
  </sheetData>
  <mergeCells count="3">
    <mergeCell ref="B25:B26"/>
    <mergeCell ref="B33:B34"/>
    <mergeCell ref="B35:B36"/>
  </mergeCells>
  <hyperlinks>
    <hyperlink ref="B51" r:id="rId1" xr:uid="{90AE0FDE-3389-4E59-9067-FA1199551BB6}"/>
    <hyperlink ref="B42" r:id="rId2" xr:uid="{293BB999-A74D-49F7-B870-68F7CF693652}"/>
    <hyperlink ref="B53" r:id="rId3" xr:uid="{C41B7210-6144-4B2F-90A7-D0F6E0B36574}"/>
    <hyperlink ref="B52" r:id="rId4" xr:uid="{F437963F-F579-459C-BF7B-7E5691D756B3}"/>
    <hyperlink ref="B46" r:id="rId5" xr:uid="{E5A20D27-E291-41E9-AA5C-FD68715DE179}"/>
    <hyperlink ref="B44" r:id="rId6" xr:uid="{2CDBB069-ECFC-42F3-9EA9-0E3F1E54A7FD}"/>
    <hyperlink ref="B45" r:id="rId7" xr:uid="{D2EAE2A9-F1E1-49C3-AF43-DEC3556CC185}"/>
    <hyperlink ref="B6" r:id="rId8" xr:uid="{6CC7DEDF-D5E3-4286-96E6-19B15ECA2C9F}"/>
    <hyperlink ref="B49" r:id="rId9" display="Thaddeus Vincenty: oryginal publication (1)" xr:uid="{2D10BEA7-F26A-402D-A403-CBA9755254B4}"/>
    <hyperlink ref="B50" r:id="rId10" display="Thaddeus Vincenty: oryginal publication (2)" xr:uid="{9B028A96-0594-4F4A-BFB4-E2819F5B5461}"/>
    <hyperlink ref="B15" r:id="rId11" xr:uid="{93068BCB-B234-4AF9-94D9-A2BB33C61F90}"/>
    <hyperlink ref="B16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2019-03-22T20:20:41Z</dcterms:modified>
  <cp:category>Geodesy</cp:category>
</cp:coreProperties>
</file>