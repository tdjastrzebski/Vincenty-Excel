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3_ncr:1_{800A8299-A149-4AF0-B747-57C9BE0A0ED3}" xr6:coauthVersionLast="37" xr6:coauthVersionMax="37" xr10:uidLastSave="{00000000-0000-0000-0000-000000000000}"/>
  <bookViews>
    <workbookView xWindow="0" yWindow="0" windowWidth="38400" windowHeight="18923" xr2:uid="{00000000-000D-0000-FFFF-FFFF00000000}"/>
  </bookViews>
  <sheets>
    <sheet name="comparison" sheetId="3" r:id="rId1"/>
  </sheets>
  <functionGroups builtInGroupCount="19"/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14" i="3" l="1"/>
  <c r="S1213" i="3"/>
  <c r="Q1214" i="3"/>
  <c r="Q1213" i="3"/>
  <c r="S1212" i="3"/>
  <c r="Q1212" i="3"/>
  <c r="S1217" i="3"/>
  <c r="Q1217" i="3"/>
  <c r="S1216" i="3"/>
  <c r="Q1216" i="3"/>
  <c r="S1215" i="3"/>
  <c r="Q1215" i="3"/>
  <c r="P607" i="3" l="1"/>
  <c r="N42" i="3" l="1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M625" i="3" l="1"/>
  <c r="N625" i="3"/>
  <c r="M626" i="3"/>
  <c r="N626" i="3"/>
  <c r="M627" i="3"/>
  <c r="N627" i="3"/>
  <c r="M628" i="3"/>
  <c r="N628" i="3"/>
  <c r="M629" i="3"/>
  <c r="N629" i="3"/>
  <c r="M630" i="3"/>
  <c r="N630" i="3"/>
  <c r="M631" i="3"/>
  <c r="N631" i="3"/>
  <c r="M632" i="3"/>
  <c r="N632" i="3"/>
  <c r="M633" i="3"/>
  <c r="N633" i="3"/>
  <c r="M634" i="3"/>
  <c r="N634" i="3"/>
  <c r="M635" i="3"/>
  <c r="N635" i="3"/>
  <c r="M636" i="3"/>
  <c r="N636" i="3"/>
  <c r="M637" i="3"/>
  <c r="N637" i="3"/>
  <c r="M638" i="3"/>
  <c r="N638" i="3"/>
  <c r="M639" i="3"/>
  <c r="N639" i="3"/>
  <c r="M640" i="3"/>
  <c r="N640" i="3"/>
  <c r="M641" i="3"/>
  <c r="N641" i="3"/>
  <c r="M642" i="3"/>
  <c r="N642" i="3"/>
  <c r="M643" i="3"/>
  <c r="N643" i="3"/>
  <c r="M644" i="3"/>
  <c r="N644" i="3"/>
  <c r="M645" i="3"/>
  <c r="N645" i="3"/>
  <c r="M646" i="3"/>
  <c r="N646" i="3"/>
  <c r="M647" i="3"/>
  <c r="N647" i="3"/>
  <c r="M648" i="3"/>
  <c r="N648" i="3"/>
  <c r="M649" i="3"/>
  <c r="N649" i="3"/>
  <c r="M650" i="3"/>
  <c r="N650" i="3"/>
  <c r="M651" i="3"/>
  <c r="N651" i="3"/>
  <c r="M652" i="3"/>
  <c r="N652" i="3"/>
  <c r="M653" i="3"/>
  <c r="N653" i="3"/>
  <c r="M654" i="3"/>
  <c r="N654" i="3"/>
  <c r="M655" i="3"/>
  <c r="N655" i="3"/>
  <c r="M656" i="3"/>
  <c r="N656" i="3"/>
  <c r="M657" i="3"/>
  <c r="N657" i="3"/>
  <c r="M658" i="3"/>
  <c r="N658" i="3"/>
  <c r="M659" i="3"/>
  <c r="N659" i="3"/>
  <c r="M660" i="3"/>
  <c r="N660" i="3"/>
  <c r="M661" i="3"/>
  <c r="N661" i="3"/>
  <c r="M662" i="3"/>
  <c r="N662" i="3"/>
  <c r="M663" i="3"/>
  <c r="N663" i="3"/>
  <c r="M664" i="3"/>
  <c r="N664" i="3"/>
  <c r="M665" i="3"/>
  <c r="N665" i="3"/>
  <c r="M666" i="3"/>
  <c r="N666" i="3"/>
  <c r="M667" i="3"/>
  <c r="N667" i="3"/>
  <c r="M668" i="3"/>
  <c r="N668" i="3"/>
  <c r="M669" i="3"/>
  <c r="N669" i="3"/>
  <c r="M670" i="3"/>
  <c r="N670" i="3"/>
  <c r="M671" i="3"/>
  <c r="N671" i="3"/>
  <c r="M672" i="3"/>
  <c r="N672" i="3"/>
  <c r="M673" i="3"/>
  <c r="N673" i="3"/>
  <c r="M674" i="3"/>
  <c r="N674" i="3"/>
  <c r="M675" i="3"/>
  <c r="N675" i="3"/>
  <c r="M676" i="3"/>
  <c r="N676" i="3"/>
  <c r="M677" i="3"/>
  <c r="N677" i="3"/>
  <c r="M678" i="3"/>
  <c r="N678" i="3"/>
  <c r="M679" i="3"/>
  <c r="N679" i="3"/>
  <c r="M680" i="3"/>
  <c r="N680" i="3"/>
  <c r="M681" i="3"/>
  <c r="N681" i="3"/>
  <c r="M682" i="3"/>
  <c r="N682" i="3"/>
  <c r="M683" i="3"/>
  <c r="N683" i="3"/>
  <c r="M684" i="3"/>
  <c r="N684" i="3"/>
  <c r="M685" i="3"/>
  <c r="N685" i="3"/>
  <c r="M686" i="3"/>
  <c r="N686" i="3"/>
  <c r="M687" i="3"/>
  <c r="N687" i="3"/>
  <c r="M688" i="3"/>
  <c r="N688" i="3"/>
  <c r="M689" i="3"/>
  <c r="N689" i="3"/>
  <c r="M690" i="3"/>
  <c r="N690" i="3"/>
  <c r="M691" i="3"/>
  <c r="N691" i="3"/>
  <c r="M692" i="3"/>
  <c r="N692" i="3"/>
  <c r="M693" i="3"/>
  <c r="N693" i="3"/>
  <c r="M694" i="3"/>
  <c r="N694" i="3"/>
  <c r="M695" i="3"/>
  <c r="N695" i="3"/>
  <c r="M696" i="3"/>
  <c r="N696" i="3"/>
  <c r="M697" i="3"/>
  <c r="N697" i="3"/>
  <c r="M698" i="3"/>
  <c r="N698" i="3"/>
  <c r="M699" i="3"/>
  <c r="N699" i="3"/>
  <c r="M700" i="3"/>
  <c r="N700" i="3"/>
  <c r="M701" i="3"/>
  <c r="N701" i="3"/>
  <c r="M702" i="3"/>
  <c r="N702" i="3"/>
  <c r="M703" i="3"/>
  <c r="N703" i="3"/>
  <c r="M704" i="3"/>
  <c r="N704" i="3"/>
  <c r="M705" i="3"/>
  <c r="N705" i="3"/>
  <c r="M706" i="3"/>
  <c r="N706" i="3"/>
  <c r="M707" i="3"/>
  <c r="N707" i="3"/>
  <c r="M708" i="3"/>
  <c r="N708" i="3"/>
  <c r="M709" i="3"/>
  <c r="N709" i="3"/>
  <c r="M710" i="3"/>
  <c r="N710" i="3"/>
  <c r="M711" i="3"/>
  <c r="N711" i="3"/>
  <c r="M712" i="3"/>
  <c r="N712" i="3"/>
  <c r="M713" i="3"/>
  <c r="N713" i="3"/>
  <c r="M714" i="3"/>
  <c r="N714" i="3"/>
  <c r="M715" i="3"/>
  <c r="N715" i="3"/>
  <c r="M716" i="3"/>
  <c r="N716" i="3"/>
  <c r="M717" i="3"/>
  <c r="N717" i="3"/>
  <c r="M718" i="3"/>
  <c r="N718" i="3"/>
  <c r="M719" i="3"/>
  <c r="N719" i="3"/>
  <c r="M720" i="3"/>
  <c r="N720" i="3"/>
  <c r="M721" i="3"/>
  <c r="N721" i="3"/>
  <c r="M722" i="3"/>
  <c r="N722" i="3"/>
  <c r="M723" i="3"/>
  <c r="N723" i="3"/>
  <c r="M724" i="3"/>
  <c r="N724" i="3"/>
  <c r="M725" i="3"/>
  <c r="N725" i="3"/>
  <c r="M726" i="3"/>
  <c r="N726" i="3"/>
  <c r="M727" i="3"/>
  <c r="N727" i="3"/>
  <c r="M728" i="3"/>
  <c r="N728" i="3"/>
  <c r="M729" i="3"/>
  <c r="N729" i="3"/>
  <c r="M730" i="3"/>
  <c r="N730" i="3"/>
  <c r="M731" i="3"/>
  <c r="N731" i="3"/>
  <c r="M732" i="3"/>
  <c r="N732" i="3"/>
  <c r="M733" i="3"/>
  <c r="N733" i="3"/>
  <c r="M734" i="3"/>
  <c r="N734" i="3"/>
  <c r="M735" i="3"/>
  <c r="N735" i="3"/>
  <c r="M736" i="3"/>
  <c r="N736" i="3"/>
  <c r="M737" i="3"/>
  <c r="N737" i="3"/>
  <c r="M738" i="3"/>
  <c r="N738" i="3"/>
  <c r="M739" i="3"/>
  <c r="N739" i="3"/>
  <c r="M740" i="3"/>
  <c r="N740" i="3"/>
  <c r="M741" i="3"/>
  <c r="N741" i="3"/>
  <c r="M742" i="3"/>
  <c r="N742" i="3"/>
  <c r="M743" i="3"/>
  <c r="N743" i="3"/>
  <c r="M744" i="3"/>
  <c r="N744" i="3"/>
  <c r="M745" i="3"/>
  <c r="N745" i="3"/>
  <c r="M746" i="3"/>
  <c r="N746" i="3"/>
  <c r="M747" i="3"/>
  <c r="N747" i="3"/>
  <c r="M748" i="3"/>
  <c r="N748" i="3"/>
  <c r="M749" i="3"/>
  <c r="N749" i="3"/>
  <c r="M750" i="3"/>
  <c r="N750" i="3"/>
  <c r="M751" i="3"/>
  <c r="N751" i="3"/>
  <c r="M752" i="3"/>
  <c r="N752" i="3"/>
  <c r="M753" i="3"/>
  <c r="N753" i="3"/>
  <c r="M754" i="3"/>
  <c r="N754" i="3"/>
  <c r="M755" i="3"/>
  <c r="N755" i="3"/>
  <c r="M756" i="3"/>
  <c r="N756" i="3"/>
  <c r="M757" i="3"/>
  <c r="N757" i="3"/>
  <c r="M758" i="3"/>
  <c r="N758" i="3"/>
  <c r="M759" i="3"/>
  <c r="N759" i="3"/>
  <c r="M760" i="3"/>
  <c r="N760" i="3"/>
  <c r="M761" i="3"/>
  <c r="N761" i="3"/>
  <c r="M762" i="3"/>
  <c r="N762" i="3"/>
  <c r="M763" i="3"/>
  <c r="N763" i="3"/>
  <c r="M764" i="3"/>
  <c r="N764" i="3"/>
  <c r="M765" i="3"/>
  <c r="N765" i="3"/>
  <c r="M766" i="3"/>
  <c r="N766" i="3"/>
  <c r="M767" i="3"/>
  <c r="N767" i="3"/>
  <c r="M768" i="3"/>
  <c r="N768" i="3"/>
  <c r="M769" i="3"/>
  <c r="N769" i="3"/>
  <c r="M770" i="3"/>
  <c r="N770" i="3"/>
  <c r="M771" i="3"/>
  <c r="N771" i="3"/>
  <c r="M772" i="3"/>
  <c r="N772" i="3"/>
  <c r="M773" i="3"/>
  <c r="N773" i="3"/>
  <c r="M774" i="3"/>
  <c r="N774" i="3"/>
  <c r="M775" i="3"/>
  <c r="N775" i="3"/>
  <c r="M776" i="3"/>
  <c r="N776" i="3"/>
  <c r="M777" i="3"/>
  <c r="N777" i="3"/>
  <c r="M778" i="3"/>
  <c r="N778" i="3"/>
  <c r="M779" i="3"/>
  <c r="N779" i="3"/>
  <c r="M780" i="3"/>
  <c r="N780" i="3"/>
  <c r="M781" i="3"/>
  <c r="N781" i="3"/>
  <c r="M782" i="3"/>
  <c r="N782" i="3"/>
  <c r="M783" i="3"/>
  <c r="N783" i="3"/>
  <c r="M784" i="3"/>
  <c r="N784" i="3"/>
  <c r="M785" i="3"/>
  <c r="N785" i="3"/>
  <c r="M786" i="3"/>
  <c r="N786" i="3"/>
  <c r="M787" i="3"/>
  <c r="N787" i="3"/>
  <c r="M788" i="3"/>
  <c r="N788" i="3"/>
  <c r="M789" i="3"/>
  <c r="N789" i="3"/>
  <c r="M790" i="3"/>
  <c r="N790" i="3"/>
  <c r="M791" i="3"/>
  <c r="N791" i="3"/>
  <c r="M792" i="3"/>
  <c r="N792" i="3"/>
  <c r="M793" i="3"/>
  <c r="N793" i="3"/>
  <c r="M794" i="3"/>
  <c r="N794" i="3"/>
  <c r="M795" i="3"/>
  <c r="N795" i="3"/>
  <c r="M796" i="3"/>
  <c r="N796" i="3"/>
  <c r="M797" i="3"/>
  <c r="N797" i="3"/>
  <c r="M798" i="3"/>
  <c r="N798" i="3"/>
  <c r="M799" i="3"/>
  <c r="N799" i="3"/>
  <c r="M800" i="3"/>
  <c r="N800" i="3"/>
  <c r="M801" i="3"/>
  <c r="N801" i="3"/>
  <c r="M802" i="3"/>
  <c r="N802" i="3"/>
  <c r="M803" i="3"/>
  <c r="N803" i="3"/>
  <c r="M804" i="3"/>
  <c r="N804" i="3"/>
  <c r="M805" i="3"/>
  <c r="N805" i="3"/>
  <c r="M806" i="3"/>
  <c r="N806" i="3"/>
  <c r="M807" i="3"/>
  <c r="N807" i="3"/>
  <c r="M808" i="3"/>
  <c r="N808" i="3"/>
  <c r="M809" i="3"/>
  <c r="N809" i="3"/>
  <c r="M810" i="3"/>
  <c r="N810" i="3"/>
  <c r="M811" i="3"/>
  <c r="N811" i="3"/>
  <c r="M812" i="3"/>
  <c r="N812" i="3"/>
  <c r="M813" i="3"/>
  <c r="N813" i="3"/>
  <c r="M814" i="3"/>
  <c r="N814" i="3"/>
  <c r="M815" i="3"/>
  <c r="N815" i="3"/>
  <c r="M816" i="3"/>
  <c r="N816" i="3"/>
  <c r="M817" i="3"/>
  <c r="N817" i="3"/>
  <c r="M818" i="3"/>
  <c r="N818" i="3"/>
  <c r="M819" i="3"/>
  <c r="N819" i="3"/>
  <c r="M820" i="3"/>
  <c r="N820" i="3"/>
  <c r="M821" i="3"/>
  <c r="N821" i="3"/>
  <c r="M822" i="3"/>
  <c r="N822" i="3"/>
  <c r="M823" i="3"/>
  <c r="N823" i="3"/>
  <c r="M824" i="3"/>
  <c r="N824" i="3"/>
  <c r="M825" i="3"/>
  <c r="N825" i="3"/>
  <c r="M826" i="3"/>
  <c r="N826" i="3"/>
  <c r="M827" i="3"/>
  <c r="N827" i="3"/>
  <c r="M828" i="3"/>
  <c r="N828" i="3"/>
  <c r="M829" i="3"/>
  <c r="N829" i="3"/>
  <c r="M830" i="3"/>
  <c r="N830" i="3"/>
  <c r="M831" i="3"/>
  <c r="N831" i="3"/>
  <c r="M832" i="3"/>
  <c r="N832" i="3"/>
  <c r="M833" i="3"/>
  <c r="N833" i="3"/>
  <c r="M834" i="3"/>
  <c r="N834" i="3"/>
  <c r="M835" i="3"/>
  <c r="N835" i="3"/>
  <c r="M836" i="3"/>
  <c r="N836" i="3"/>
  <c r="M837" i="3"/>
  <c r="N837" i="3"/>
  <c r="M838" i="3"/>
  <c r="N838" i="3"/>
  <c r="M839" i="3"/>
  <c r="N839" i="3"/>
  <c r="M840" i="3"/>
  <c r="N840" i="3"/>
  <c r="M841" i="3"/>
  <c r="N841" i="3"/>
  <c r="M842" i="3"/>
  <c r="N842" i="3"/>
  <c r="M843" i="3"/>
  <c r="N843" i="3"/>
  <c r="M844" i="3"/>
  <c r="N844" i="3"/>
  <c r="M845" i="3"/>
  <c r="N845" i="3"/>
  <c r="M846" i="3"/>
  <c r="N846" i="3"/>
  <c r="M847" i="3"/>
  <c r="N847" i="3"/>
  <c r="M848" i="3"/>
  <c r="N848" i="3"/>
  <c r="M849" i="3"/>
  <c r="N849" i="3"/>
  <c r="M850" i="3"/>
  <c r="N850" i="3"/>
  <c r="M851" i="3"/>
  <c r="N851" i="3"/>
  <c r="M852" i="3"/>
  <c r="N852" i="3"/>
  <c r="M853" i="3"/>
  <c r="N853" i="3"/>
  <c r="M854" i="3"/>
  <c r="N854" i="3"/>
  <c r="M855" i="3"/>
  <c r="N855" i="3"/>
  <c r="M856" i="3"/>
  <c r="N856" i="3"/>
  <c r="M857" i="3"/>
  <c r="N857" i="3"/>
  <c r="M858" i="3"/>
  <c r="N858" i="3"/>
  <c r="M859" i="3"/>
  <c r="N859" i="3"/>
  <c r="M860" i="3"/>
  <c r="N860" i="3"/>
  <c r="M861" i="3"/>
  <c r="N861" i="3"/>
  <c r="M862" i="3"/>
  <c r="N862" i="3"/>
  <c r="M863" i="3"/>
  <c r="N863" i="3"/>
  <c r="M864" i="3"/>
  <c r="N864" i="3"/>
  <c r="M865" i="3"/>
  <c r="N865" i="3"/>
  <c r="M866" i="3"/>
  <c r="N866" i="3"/>
  <c r="M867" i="3"/>
  <c r="N867" i="3"/>
  <c r="M868" i="3"/>
  <c r="N868" i="3"/>
  <c r="M869" i="3"/>
  <c r="N869" i="3"/>
  <c r="M870" i="3"/>
  <c r="N870" i="3"/>
  <c r="M871" i="3"/>
  <c r="N871" i="3"/>
  <c r="M872" i="3"/>
  <c r="N872" i="3"/>
  <c r="M873" i="3"/>
  <c r="N873" i="3"/>
  <c r="M874" i="3"/>
  <c r="N874" i="3"/>
  <c r="M875" i="3"/>
  <c r="N875" i="3"/>
  <c r="M876" i="3"/>
  <c r="N876" i="3"/>
  <c r="M877" i="3"/>
  <c r="N877" i="3"/>
  <c r="M878" i="3"/>
  <c r="N878" i="3"/>
  <c r="M879" i="3"/>
  <c r="N879" i="3"/>
  <c r="M880" i="3"/>
  <c r="N880" i="3"/>
  <c r="M881" i="3"/>
  <c r="N881" i="3"/>
  <c r="M882" i="3"/>
  <c r="N882" i="3"/>
  <c r="M883" i="3"/>
  <c r="N883" i="3"/>
  <c r="M884" i="3"/>
  <c r="N884" i="3"/>
  <c r="M885" i="3"/>
  <c r="N885" i="3"/>
  <c r="M886" i="3"/>
  <c r="N886" i="3"/>
  <c r="M887" i="3"/>
  <c r="N887" i="3"/>
  <c r="M888" i="3"/>
  <c r="N888" i="3"/>
  <c r="M889" i="3"/>
  <c r="N889" i="3"/>
  <c r="M890" i="3"/>
  <c r="N890" i="3"/>
  <c r="M891" i="3"/>
  <c r="N891" i="3"/>
  <c r="M892" i="3"/>
  <c r="N892" i="3"/>
  <c r="M893" i="3"/>
  <c r="N893" i="3"/>
  <c r="M894" i="3"/>
  <c r="N894" i="3"/>
  <c r="M895" i="3"/>
  <c r="N895" i="3"/>
  <c r="M896" i="3"/>
  <c r="N896" i="3"/>
  <c r="M897" i="3"/>
  <c r="N897" i="3"/>
  <c r="M898" i="3"/>
  <c r="N898" i="3"/>
  <c r="M899" i="3"/>
  <c r="N899" i="3"/>
  <c r="M900" i="3"/>
  <c r="N900" i="3"/>
  <c r="M901" i="3"/>
  <c r="N901" i="3"/>
  <c r="M902" i="3"/>
  <c r="N902" i="3"/>
  <c r="M903" i="3"/>
  <c r="N903" i="3"/>
  <c r="M904" i="3"/>
  <c r="N904" i="3"/>
  <c r="M905" i="3"/>
  <c r="N905" i="3"/>
  <c r="M906" i="3"/>
  <c r="N906" i="3"/>
  <c r="M907" i="3"/>
  <c r="N907" i="3"/>
  <c r="M908" i="3"/>
  <c r="N908" i="3"/>
  <c r="M909" i="3"/>
  <c r="N909" i="3"/>
  <c r="M910" i="3"/>
  <c r="N910" i="3"/>
  <c r="M911" i="3"/>
  <c r="N911" i="3"/>
  <c r="M912" i="3"/>
  <c r="N912" i="3"/>
  <c r="M913" i="3"/>
  <c r="N913" i="3"/>
  <c r="M914" i="3"/>
  <c r="N914" i="3"/>
  <c r="M915" i="3"/>
  <c r="N915" i="3"/>
  <c r="M916" i="3"/>
  <c r="N916" i="3"/>
  <c r="M917" i="3"/>
  <c r="N917" i="3"/>
  <c r="M918" i="3"/>
  <c r="N918" i="3"/>
  <c r="M919" i="3"/>
  <c r="N919" i="3"/>
  <c r="M920" i="3"/>
  <c r="N920" i="3"/>
  <c r="M921" i="3"/>
  <c r="N921" i="3"/>
  <c r="M922" i="3"/>
  <c r="N922" i="3"/>
  <c r="M923" i="3"/>
  <c r="N923" i="3"/>
  <c r="M924" i="3"/>
  <c r="N924" i="3"/>
  <c r="M925" i="3"/>
  <c r="N925" i="3"/>
  <c r="M926" i="3"/>
  <c r="N926" i="3"/>
  <c r="M927" i="3"/>
  <c r="N927" i="3"/>
  <c r="M928" i="3"/>
  <c r="N928" i="3"/>
  <c r="M929" i="3"/>
  <c r="N929" i="3"/>
  <c r="M930" i="3"/>
  <c r="N930" i="3"/>
  <c r="M931" i="3"/>
  <c r="N931" i="3"/>
  <c r="M932" i="3"/>
  <c r="N932" i="3"/>
  <c r="M933" i="3"/>
  <c r="N933" i="3"/>
  <c r="M934" i="3"/>
  <c r="N934" i="3"/>
  <c r="M935" i="3"/>
  <c r="N935" i="3"/>
  <c r="M936" i="3"/>
  <c r="N936" i="3"/>
  <c r="M937" i="3"/>
  <c r="N937" i="3"/>
  <c r="M938" i="3"/>
  <c r="N938" i="3"/>
  <c r="M939" i="3"/>
  <c r="N939" i="3"/>
  <c r="M940" i="3"/>
  <c r="N940" i="3"/>
  <c r="M941" i="3"/>
  <c r="N941" i="3"/>
  <c r="M942" i="3"/>
  <c r="N942" i="3"/>
  <c r="M943" i="3"/>
  <c r="N943" i="3"/>
  <c r="M944" i="3"/>
  <c r="N944" i="3"/>
  <c r="M945" i="3"/>
  <c r="N945" i="3"/>
  <c r="M946" i="3"/>
  <c r="N946" i="3"/>
  <c r="M947" i="3"/>
  <c r="N947" i="3"/>
  <c r="M948" i="3"/>
  <c r="N948" i="3"/>
  <c r="M949" i="3"/>
  <c r="N949" i="3"/>
  <c r="M950" i="3"/>
  <c r="N950" i="3"/>
  <c r="M951" i="3"/>
  <c r="N951" i="3"/>
  <c r="M952" i="3"/>
  <c r="N952" i="3"/>
  <c r="M953" i="3"/>
  <c r="N953" i="3"/>
  <c r="M954" i="3"/>
  <c r="N954" i="3"/>
  <c r="M955" i="3"/>
  <c r="N955" i="3"/>
  <c r="M956" i="3"/>
  <c r="N956" i="3"/>
  <c r="M957" i="3"/>
  <c r="N957" i="3"/>
  <c r="M958" i="3"/>
  <c r="N958" i="3"/>
  <c r="M959" i="3"/>
  <c r="N959" i="3"/>
  <c r="M960" i="3"/>
  <c r="N960" i="3"/>
  <c r="M961" i="3"/>
  <c r="N961" i="3"/>
  <c r="M962" i="3"/>
  <c r="N962" i="3"/>
  <c r="M963" i="3"/>
  <c r="N963" i="3"/>
  <c r="M964" i="3"/>
  <c r="N964" i="3"/>
  <c r="M965" i="3"/>
  <c r="N965" i="3"/>
  <c r="M966" i="3"/>
  <c r="N966" i="3"/>
  <c r="M967" i="3"/>
  <c r="N967" i="3"/>
  <c r="M968" i="3"/>
  <c r="N968" i="3"/>
  <c r="M969" i="3"/>
  <c r="N969" i="3"/>
  <c r="M970" i="3"/>
  <c r="N970" i="3"/>
  <c r="M971" i="3"/>
  <c r="N971" i="3"/>
  <c r="M972" i="3"/>
  <c r="N972" i="3"/>
  <c r="M973" i="3"/>
  <c r="N973" i="3"/>
  <c r="M974" i="3"/>
  <c r="N974" i="3"/>
  <c r="M975" i="3"/>
  <c r="N975" i="3"/>
  <c r="M976" i="3"/>
  <c r="N976" i="3"/>
  <c r="M977" i="3"/>
  <c r="N977" i="3"/>
  <c r="M978" i="3"/>
  <c r="N978" i="3"/>
  <c r="M979" i="3"/>
  <c r="N979" i="3"/>
  <c r="M980" i="3"/>
  <c r="N980" i="3"/>
  <c r="M981" i="3"/>
  <c r="N981" i="3"/>
  <c r="M982" i="3"/>
  <c r="N982" i="3"/>
  <c r="M983" i="3"/>
  <c r="N983" i="3"/>
  <c r="M984" i="3"/>
  <c r="N984" i="3"/>
  <c r="M985" i="3"/>
  <c r="N985" i="3"/>
  <c r="M986" i="3"/>
  <c r="N986" i="3"/>
  <c r="M987" i="3"/>
  <c r="N987" i="3"/>
  <c r="M988" i="3"/>
  <c r="N988" i="3"/>
  <c r="M989" i="3"/>
  <c r="N989" i="3"/>
  <c r="M990" i="3"/>
  <c r="N990" i="3"/>
  <c r="M991" i="3"/>
  <c r="N991" i="3"/>
  <c r="M992" i="3"/>
  <c r="N992" i="3"/>
  <c r="M993" i="3"/>
  <c r="N993" i="3"/>
  <c r="M994" i="3"/>
  <c r="N994" i="3"/>
  <c r="M995" i="3"/>
  <c r="N995" i="3"/>
  <c r="M996" i="3"/>
  <c r="N996" i="3"/>
  <c r="M997" i="3"/>
  <c r="N997" i="3"/>
  <c r="M998" i="3"/>
  <c r="N998" i="3"/>
  <c r="M999" i="3"/>
  <c r="N999" i="3"/>
  <c r="M1000" i="3"/>
  <c r="N1000" i="3"/>
  <c r="M1001" i="3"/>
  <c r="N1001" i="3"/>
  <c r="M1002" i="3"/>
  <c r="N1002" i="3"/>
  <c r="M1003" i="3"/>
  <c r="N1003" i="3"/>
  <c r="M1004" i="3"/>
  <c r="N1004" i="3"/>
  <c r="M1005" i="3"/>
  <c r="N1005" i="3"/>
  <c r="M1006" i="3"/>
  <c r="N1006" i="3"/>
  <c r="M1007" i="3"/>
  <c r="N1007" i="3"/>
  <c r="M1008" i="3"/>
  <c r="N1008" i="3"/>
  <c r="M1009" i="3"/>
  <c r="N1009" i="3"/>
  <c r="M1010" i="3"/>
  <c r="N1010" i="3"/>
  <c r="M1011" i="3"/>
  <c r="N1011" i="3"/>
  <c r="M1012" i="3"/>
  <c r="N1012" i="3"/>
  <c r="M1013" i="3"/>
  <c r="N1013" i="3"/>
  <c r="M1014" i="3"/>
  <c r="N1014" i="3"/>
  <c r="M1015" i="3"/>
  <c r="N1015" i="3"/>
  <c r="M1016" i="3"/>
  <c r="N1016" i="3"/>
  <c r="M1017" i="3"/>
  <c r="N1017" i="3"/>
  <c r="M1018" i="3"/>
  <c r="N1018" i="3"/>
  <c r="M1019" i="3"/>
  <c r="N1019" i="3"/>
  <c r="M1020" i="3"/>
  <c r="N1020" i="3"/>
  <c r="M1021" i="3"/>
  <c r="N1021" i="3"/>
  <c r="M1022" i="3"/>
  <c r="N1022" i="3"/>
  <c r="M1023" i="3"/>
  <c r="N1023" i="3"/>
  <c r="M1024" i="3"/>
  <c r="N1024" i="3"/>
  <c r="M1025" i="3"/>
  <c r="N1025" i="3"/>
  <c r="M1026" i="3"/>
  <c r="N1026" i="3"/>
  <c r="M1027" i="3"/>
  <c r="N1027" i="3"/>
  <c r="M1028" i="3"/>
  <c r="N1028" i="3"/>
  <c r="M1029" i="3"/>
  <c r="N1029" i="3"/>
  <c r="M1030" i="3"/>
  <c r="N1030" i="3"/>
  <c r="M1031" i="3"/>
  <c r="N1031" i="3"/>
  <c r="M1032" i="3"/>
  <c r="N1032" i="3"/>
  <c r="M1033" i="3"/>
  <c r="N1033" i="3"/>
  <c r="M1034" i="3"/>
  <c r="N1034" i="3"/>
  <c r="M1035" i="3"/>
  <c r="N1035" i="3"/>
  <c r="M1036" i="3"/>
  <c r="N1036" i="3"/>
  <c r="M1037" i="3"/>
  <c r="N1037" i="3"/>
  <c r="M1038" i="3"/>
  <c r="N1038" i="3"/>
  <c r="M1039" i="3"/>
  <c r="N1039" i="3"/>
  <c r="M1040" i="3"/>
  <c r="N1040" i="3"/>
  <c r="M1041" i="3"/>
  <c r="N1041" i="3"/>
  <c r="M1042" i="3"/>
  <c r="N1042" i="3"/>
  <c r="M1043" i="3"/>
  <c r="N1043" i="3"/>
  <c r="M1044" i="3"/>
  <c r="N1044" i="3"/>
  <c r="M1045" i="3"/>
  <c r="N1045" i="3"/>
  <c r="M1046" i="3"/>
  <c r="N1046" i="3"/>
  <c r="M1047" i="3"/>
  <c r="N1047" i="3"/>
  <c r="M1048" i="3"/>
  <c r="N1048" i="3"/>
  <c r="M1049" i="3"/>
  <c r="N1049" i="3"/>
  <c r="M1050" i="3"/>
  <c r="N1050" i="3"/>
  <c r="M1051" i="3"/>
  <c r="N1051" i="3"/>
  <c r="M1052" i="3"/>
  <c r="N1052" i="3"/>
  <c r="M1053" i="3"/>
  <c r="N1053" i="3"/>
  <c r="M1054" i="3"/>
  <c r="N1054" i="3"/>
  <c r="M1055" i="3"/>
  <c r="N1055" i="3"/>
  <c r="M1056" i="3"/>
  <c r="N1056" i="3"/>
  <c r="M1057" i="3"/>
  <c r="N1057" i="3"/>
  <c r="M1058" i="3"/>
  <c r="N1058" i="3"/>
  <c r="M1059" i="3"/>
  <c r="N1059" i="3"/>
  <c r="M1060" i="3"/>
  <c r="N1060" i="3"/>
  <c r="M1061" i="3"/>
  <c r="N1061" i="3"/>
  <c r="M1062" i="3"/>
  <c r="N1062" i="3"/>
  <c r="M1063" i="3"/>
  <c r="N1063" i="3"/>
  <c r="M1064" i="3"/>
  <c r="N1064" i="3"/>
  <c r="M1065" i="3"/>
  <c r="N1065" i="3"/>
  <c r="M1066" i="3"/>
  <c r="N1066" i="3"/>
  <c r="M1067" i="3"/>
  <c r="N1067" i="3"/>
  <c r="M1068" i="3"/>
  <c r="N1068" i="3"/>
  <c r="M1069" i="3"/>
  <c r="N1069" i="3"/>
  <c r="M1070" i="3"/>
  <c r="N1070" i="3"/>
  <c r="M1071" i="3"/>
  <c r="N1071" i="3"/>
  <c r="M1072" i="3"/>
  <c r="N1072" i="3"/>
  <c r="M1073" i="3"/>
  <c r="N1073" i="3"/>
  <c r="M1074" i="3"/>
  <c r="N1074" i="3"/>
  <c r="M1075" i="3"/>
  <c r="N1075" i="3"/>
  <c r="M1076" i="3"/>
  <c r="N1076" i="3"/>
  <c r="M1077" i="3"/>
  <c r="N1077" i="3"/>
  <c r="M1078" i="3"/>
  <c r="N1078" i="3"/>
  <c r="M1079" i="3"/>
  <c r="N1079" i="3"/>
  <c r="M1080" i="3"/>
  <c r="N1080" i="3"/>
  <c r="M1081" i="3"/>
  <c r="N1081" i="3"/>
  <c r="M1082" i="3"/>
  <c r="N1082" i="3"/>
  <c r="M1083" i="3"/>
  <c r="N1083" i="3"/>
  <c r="M1084" i="3"/>
  <c r="N1084" i="3"/>
  <c r="M1085" i="3"/>
  <c r="N1085" i="3"/>
  <c r="M1086" i="3"/>
  <c r="N1086" i="3"/>
  <c r="M1087" i="3"/>
  <c r="N1087" i="3"/>
  <c r="M1088" i="3"/>
  <c r="N1088" i="3"/>
  <c r="M1089" i="3"/>
  <c r="N1089" i="3"/>
  <c r="M1090" i="3"/>
  <c r="N1090" i="3"/>
  <c r="M1091" i="3"/>
  <c r="N1091" i="3"/>
  <c r="M1092" i="3"/>
  <c r="N1092" i="3"/>
  <c r="M1093" i="3"/>
  <c r="N1093" i="3"/>
  <c r="M1094" i="3"/>
  <c r="N1094" i="3"/>
  <c r="M1095" i="3"/>
  <c r="N1095" i="3"/>
  <c r="M1096" i="3"/>
  <c r="N1096" i="3"/>
  <c r="M1097" i="3"/>
  <c r="N1097" i="3"/>
  <c r="M1098" i="3"/>
  <c r="N1098" i="3"/>
  <c r="M1099" i="3"/>
  <c r="N1099" i="3"/>
  <c r="M1100" i="3"/>
  <c r="N1100" i="3"/>
  <c r="M1101" i="3"/>
  <c r="N1101" i="3"/>
  <c r="M1102" i="3"/>
  <c r="N1102" i="3"/>
  <c r="M1103" i="3"/>
  <c r="N1103" i="3"/>
  <c r="M1104" i="3"/>
  <c r="N1104" i="3"/>
  <c r="M1105" i="3"/>
  <c r="N1105" i="3"/>
  <c r="M1106" i="3"/>
  <c r="N1106" i="3"/>
  <c r="M1107" i="3"/>
  <c r="N1107" i="3"/>
  <c r="M1108" i="3"/>
  <c r="N1108" i="3"/>
  <c r="M1109" i="3"/>
  <c r="N1109" i="3"/>
  <c r="M1110" i="3"/>
  <c r="N1110" i="3"/>
  <c r="M1111" i="3"/>
  <c r="N1111" i="3"/>
  <c r="M1112" i="3"/>
  <c r="N1112" i="3"/>
  <c r="M1113" i="3"/>
  <c r="N1113" i="3"/>
  <c r="M1114" i="3"/>
  <c r="N1114" i="3"/>
  <c r="M1115" i="3"/>
  <c r="N1115" i="3"/>
  <c r="M1116" i="3"/>
  <c r="N1116" i="3"/>
  <c r="M1117" i="3"/>
  <c r="N1117" i="3"/>
  <c r="M1118" i="3"/>
  <c r="N1118" i="3"/>
  <c r="M1119" i="3"/>
  <c r="N1119" i="3"/>
  <c r="M1120" i="3"/>
  <c r="N1120" i="3"/>
  <c r="M1121" i="3"/>
  <c r="N1121" i="3"/>
  <c r="M1122" i="3"/>
  <c r="N1122" i="3"/>
  <c r="M1123" i="3"/>
  <c r="N1123" i="3"/>
  <c r="M1124" i="3"/>
  <c r="N1124" i="3"/>
  <c r="M1125" i="3"/>
  <c r="N1125" i="3"/>
  <c r="M1126" i="3"/>
  <c r="N1126" i="3"/>
  <c r="M1127" i="3"/>
  <c r="N1127" i="3"/>
  <c r="M1128" i="3"/>
  <c r="N1128" i="3"/>
  <c r="M1129" i="3"/>
  <c r="N1129" i="3"/>
  <c r="M1130" i="3"/>
  <c r="N1130" i="3"/>
  <c r="M1131" i="3"/>
  <c r="N1131" i="3"/>
  <c r="M1132" i="3"/>
  <c r="N1132" i="3"/>
  <c r="M1133" i="3"/>
  <c r="N1133" i="3"/>
  <c r="M1134" i="3"/>
  <c r="N1134" i="3"/>
  <c r="M1135" i="3"/>
  <c r="N1135" i="3"/>
  <c r="M1136" i="3"/>
  <c r="N1136" i="3"/>
  <c r="M1137" i="3"/>
  <c r="N1137" i="3"/>
  <c r="M1138" i="3"/>
  <c r="N1138" i="3"/>
  <c r="M1139" i="3"/>
  <c r="N1139" i="3"/>
  <c r="M1140" i="3"/>
  <c r="N1140" i="3"/>
  <c r="M1141" i="3"/>
  <c r="N1141" i="3"/>
  <c r="M1142" i="3"/>
  <c r="N1142" i="3"/>
  <c r="M1143" i="3"/>
  <c r="N1143" i="3"/>
  <c r="M1144" i="3"/>
  <c r="N1144" i="3"/>
  <c r="M1145" i="3"/>
  <c r="N1145" i="3"/>
  <c r="M1146" i="3"/>
  <c r="N1146" i="3"/>
  <c r="M1147" i="3"/>
  <c r="N1147" i="3"/>
  <c r="M1148" i="3"/>
  <c r="N1148" i="3"/>
  <c r="M1149" i="3"/>
  <c r="N1149" i="3"/>
  <c r="M1150" i="3"/>
  <c r="N1150" i="3"/>
  <c r="M1151" i="3"/>
  <c r="N1151" i="3"/>
  <c r="M1152" i="3"/>
  <c r="N1152" i="3"/>
  <c r="M1153" i="3"/>
  <c r="N1153" i="3"/>
  <c r="M1154" i="3"/>
  <c r="N1154" i="3"/>
  <c r="M1155" i="3"/>
  <c r="N1155" i="3"/>
  <c r="M1156" i="3"/>
  <c r="N1156" i="3"/>
  <c r="M1157" i="3"/>
  <c r="N1157" i="3"/>
  <c r="M1158" i="3"/>
  <c r="N1158" i="3"/>
  <c r="M1159" i="3"/>
  <c r="N1159" i="3"/>
  <c r="M1160" i="3"/>
  <c r="N1160" i="3"/>
  <c r="M1161" i="3"/>
  <c r="N1161" i="3"/>
  <c r="M1162" i="3"/>
  <c r="N1162" i="3"/>
  <c r="M1163" i="3"/>
  <c r="N1163" i="3"/>
  <c r="M1164" i="3"/>
  <c r="N1164" i="3"/>
  <c r="M1165" i="3"/>
  <c r="N1165" i="3"/>
  <c r="M1166" i="3"/>
  <c r="N1166" i="3"/>
  <c r="M1167" i="3"/>
  <c r="N1167" i="3"/>
  <c r="M1168" i="3"/>
  <c r="N1168" i="3"/>
  <c r="M1169" i="3"/>
  <c r="N1169" i="3"/>
  <c r="M1170" i="3"/>
  <c r="N1170" i="3"/>
  <c r="M1171" i="3"/>
  <c r="N1171" i="3"/>
  <c r="M1172" i="3"/>
  <c r="N1172" i="3"/>
  <c r="M1173" i="3"/>
  <c r="N1173" i="3"/>
  <c r="M1174" i="3"/>
  <c r="N1174" i="3"/>
  <c r="M1175" i="3"/>
  <c r="N1175" i="3"/>
  <c r="M1176" i="3"/>
  <c r="N1176" i="3"/>
  <c r="M1177" i="3"/>
  <c r="N1177" i="3"/>
  <c r="M1178" i="3"/>
  <c r="N1178" i="3"/>
  <c r="M1179" i="3"/>
  <c r="N1179" i="3"/>
  <c r="M1180" i="3"/>
  <c r="N1180" i="3"/>
  <c r="M1181" i="3"/>
  <c r="N1181" i="3"/>
  <c r="M1182" i="3"/>
  <c r="N1182" i="3"/>
  <c r="M1183" i="3"/>
  <c r="N1183" i="3"/>
  <c r="M1184" i="3"/>
  <c r="N1184" i="3"/>
  <c r="M1185" i="3"/>
  <c r="N1185" i="3"/>
  <c r="M1186" i="3"/>
  <c r="N1186" i="3"/>
  <c r="M1187" i="3"/>
  <c r="N1187" i="3"/>
  <c r="M1188" i="3"/>
  <c r="N1188" i="3"/>
  <c r="M1189" i="3"/>
  <c r="N1189" i="3"/>
  <c r="M1190" i="3"/>
  <c r="N1190" i="3"/>
  <c r="M1191" i="3"/>
  <c r="N1191" i="3"/>
  <c r="M1192" i="3"/>
  <c r="N1192" i="3"/>
  <c r="M1193" i="3"/>
  <c r="N1193" i="3"/>
  <c r="M1194" i="3"/>
  <c r="N1194" i="3"/>
  <c r="M1195" i="3"/>
  <c r="N1195" i="3"/>
  <c r="M1196" i="3"/>
  <c r="N1196" i="3"/>
  <c r="M1197" i="3"/>
  <c r="N1197" i="3"/>
  <c r="M1198" i="3"/>
  <c r="N1198" i="3"/>
  <c r="M1199" i="3"/>
  <c r="N1199" i="3"/>
  <c r="M1200" i="3"/>
  <c r="N1200" i="3"/>
  <c r="M1201" i="3"/>
  <c r="N1201" i="3"/>
  <c r="M1202" i="3"/>
  <c r="N1202" i="3"/>
  <c r="M1203" i="3"/>
  <c r="N1203" i="3"/>
  <c r="M1204" i="3"/>
  <c r="N1204" i="3"/>
  <c r="M1205" i="3"/>
  <c r="N1205" i="3"/>
  <c r="M1206" i="3"/>
  <c r="N1206" i="3"/>
  <c r="M608" i="3"/>
  <c r="N608" i="3"/>
  <c r="M609" i="3"/>
  <c r="N609" i="3"/>
  <c r="M610" i="3"/>
  <c r="N610" i="3"/>
  <c r="M611" i="3"/>
  <c r="N611" i="3"/>
  <c r="M612" i="3"/>
  <c r="N612" i="3"/>
  <c r="M613" i="3"/>
  <c r="N613" i="3"/>
  <c r="M614" i="3"/>
  <c r="N614" i="3"/>
  <c r="M615" i="3"/>
  <c r="N615" i="3"/>
  <c r="M616" i="3"/>
  <c r="N616" i="3"/>
  <c r="M617" i="3"/>
  <c r="N617" i="3"/>
  <c r="M618" i="3"/>
  <c r="N618" i="3"/>
  <c r="M619" i="3"/>
  <c r="N619" i="3"/>
  <c r="M620" i="3"/>
  <c r="N620" i="3"/>
  <c r="M621" i="3"/>
  <c r="N621" i="3"/>
  <c r="M622" i="3"/>
  <c r="N622" i="3"/>
  <c r="M623" i="3"/>
  <c r="N623" i="3"/>
  <c r="M624" i="3"/>
  <c r="N624" i="3"/>
  <c r="M607" i="3"/>
  <c r="N60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5" i="3"/>
  <c r="N6" i="3"/>
  <c r="N7" i="3"/>
  <c r="N4" i="3"/>
  <c r="K52" i="3"/>
  <c r="K68" i="3"/>
  <c r="K84" i="3"/>
  <c r="K100" i="3"/>
  <c r="K116" i="3"/>
  <c r="K132" i="3"/>
  <c r="K148" i="3"/>
  <c r="K164" i="3"/>
  <c r="L53" i="3"/>
  <c r="L69" i="3"/>
  <c r="L85" i="3"/>
  <c r="L101" i="3"/>
  <c r="L117" i="3"/>
  <c r="L133" i="3"/>
  <c r="L149" i="3"/>
  <c r="M50" i="3"/>
  <c r="M66" i="3"/>
  <c r="M82" i="3"/>
  <c r="M98" i="3"/>
  <c r="M114" i="3"/>
  <c r="M130" i="3"/>
  <c r="M146" i="3"/>
  <c r="L167" i="3"/>
  <c r="M183" i="3"/>
  <c r="M199" i="3"/>
  <c r="M215" i="3"/>
  <c r="M231" i="3"/>
  <c r="M247" i="3"/>
  <c r="M263" i="3"/>
  <c r="M279" i="3"/>
  <c r="K172" i="3"/>
  <c r="K188" i="3"/>
  <c r="K57" i="3"/>
  <c r="K73" i="3"/>
  <c r="K89" i="3"/>
  <c r="K105" i="3"/>
  <c r="K121" i="3"/>
  <c r="K137" i="3"/>
  <c r="K153" i="3"/>
  <c r="L42" i="3"/>
  <c r="L58" i="3"/>
  <c r="L74" i="3"/>
  <c r="L90" i="3"/>
  <c r="L106" i="3"/>
  <c r="L122" i="3"/>
  <c r="L138" i="3"/>
  <c r="L154" i="3"/>
  <c r="M55" i="3"/>
  <c r="M71" i="3"/>
  <c r="M87" i="3"/>
  <c r="M103" i="3"/>
  <c r="M119" i="3"/>
  <c r="M135" i="3"/>
  <c r="M151" i="3"/>
  <c r="M172" i="3"/>
  <c r="M188" i="3"/>
  <c r="M204" i="3"/>
  <c r="M220" i="3"/>
  <c r="M236" i="3"/>
  <c r="M252" i="3"/>
  <c r="M268" i="3"/>
  <c r="M163" i="3"/>
  <c r="K177" i="3"/>
  <c r="K42" i="3"/>
  <c r="K58" i="3"/>
  <c r="K74" i="3"/>
  <c r="K90" i="3"/>
  <c r="K106" i="3"/>
  <c r="K122" i="3"/>
  <c r="K138" i="3"/>
  <c r="K154" i="3"/>
  <c r="L43" i="3"/>
  <c r="L59" i="3"/>
  <c r="L75" i="3"/>
  <c r="L91" i="3"/>
  <c r="L107" i="3"/>
  <c r="L123" i="3"/>
  <c r="L139" i="3"/>
  <c r="L155" i="3"/>
  <c r="M56" i="3"/>
  <c r="M72" i="3"/>
  <c r="M88" i="3"/>
  <c r="M104" i="3"/>
  <c r="M120" i="3"/>
  <c r="M136" i="3"/>
  <c r="M152" i="3"/>
  <c r="M173" i="3"/>
  <c r="M189" i="3"/>
  <c r="M205" i="3"/>
  <c r="M221" i="3"/>
  <c r="M237" i="3"/>
  <c r="M253" i="3"/>
  <c r="M269" i="3"/>
  <c r="L166" i="3"/>
  <c r="K178" i="3"/>
  <c r="K63" i="3"/>
  <c r="K127" i="3"/>
  <c r="L64" i="3"/>
  <c r="L128" i="3"/>
  <c r="M77" i="3"/>
  <c r="M141" i="3"/>
  <c r="M210" i="3"/>
  <c r="M274" i="3"/>
  <c r="K196" i="3"/>
  <c r="K212" i="3"/>
  <c r="K228" i="3"/>
  <c r="K244" i="3"/>
  <c r="K260" i="3"/>
  <c r="K276" i="3"/>
  <c r="L160" i="3"/>
  <c r="L180" i="3"/>
  <c r="L196" i="3"/>
  <c r="L212" i="3"/>
  <c r="L228" i="3"/>
  <c r="L244" i="3"/>
  <c r="L260" i="3"/>
  <c r="L289" i="3"/>
  <c r="M305" i="3"/>
  <c r="M321" i="3"/>
  <c r="M337" i="3"/>
  <c r="M353" i="3"/>
  <c r="M369" i="3"/>
  <c r="M385" i="3"/>
  <c r="L280" i="3"/>
  <c r="L301" i="3"/>
  <c r="L317" i="3"/>
  <c r="L333" i="3"/>
  <c r="K56" i="3"/>
  <c r="K72" i="3"/>
  <c r="K88" i="3"/>
  <c r="K104" i="3"/>
  <c r="K120" i="3"/>
  <c r="K136" i="3"/>
  <c r="K152" i="3"/>
  <c r="K168" i="3"/>
  <c r="L57" i="3"/>
  <c r="L73" i="3"/>
  <c r="L89" i="3"/>
  <c r="L105" i="3"/>
  <c r="L121" i="3"/>
  <c r="L137" i="3"/>
  <c r="L153" i="3"/>
  <c r="M54" i="3"/>
  <c r="M70" i="3"/>
  <c r="M86" i="3"/>
  <c r="M102" i="3"/>
  <c r="M118" i="3"/>
  <c r="M134" i="3"/>
  <c r="M150" i="3"/>
  <c r="M171" i="3"/>
  <c r="M187" i="3"/>
  <c r="M203" i="3"/>
  <c r="M219" i="3"/>
  <c r="M235" i="3"/>
  <c r="M251" i="3"/>
  <c r="M267" i="3"/>
  <c r="L162" i="3"/>
  <c r="K176" i="3"/>
  <c r="K45" i="3"/>
  <c r="K61" i="3"/>
  <c r="K77" i="3"/>
  <c r="K93" i="3"/>
  <c r="K109" i="3"/>
  <c r="K125" i="3"/>
  <c r="K141" i="3"/>
  <c r="K157" i="3"/>
  <c r="L46" i="3"/>
  <c r="L62" i="3"/>
  <c r="L78" i="3"/>
  <c r="L94" i="3"/>
  <c r="L110" i="3"/>
  <c r="L126" i="3"/>
  <c r="L142" i="3"/>
  <c r="M43" i="3"/>
  <c r="M59" i="3"/>
  <c r="M75" i="3"/>
  <c r="M91" i="3"/>
  <c r="M107" i="3"/>
  <c r="M123" i="3"/>
  <c r="M139" i="3"/>
  <c r="M155" i="3"/>
  <c r="M176" i="3"/>
  <c r="M192" i="3"/>
  <c r="M208" i="3"/>
  <c r="M224" i="3"/>
  <c r="M240" i="3"/>
  <c r="M256" i="3"/>
  <c r="M272" i="3"/>
  <c r="L161" i="3"/>
  <c r="K181" i="3"/>
  <c r="K46" i="3"/>
  <c r="K62" i="3"/>
  <c r="K78" i="3"/>
  <c r="K94" i="3"/>
  <c r="K110" i="3"/>
  <c r="K126" i="3"/>
  <c r="K142" i="3"/>
  <c r="K158" i="3"/>
  <c r="L47" i="3"/>
  <c r="L63" i="3"/>
  <c r="L79" i="3"/>
  <c r="L95" i="3"/>
  <c r="L111" i="3"/>
  <c r="L127" i="3"/>
  <c r="L143" i="3"/>
  <c r="M44" i="3"/>
  <c r="M60" i="3"/>
  <c r="M76" i="3"/>
  <c r="M92" i="3"/>
  <c r="M108" i="3"/>
  <c r="M124" i="3"/>
  <c r="M140" i="3"/>
  <c r="M156" i="3"/>
  <c r="M177" i="3"/>
  <c r="M193" i="3"/>
  <c r="M209" i="3"/>
  <c r="M225" i="3"/>
  <c r="M241" i="3"/>
  <c r="M257" i="3"/>
  <c r="M273" i="3"/>
  <c r="M162" i="3"/>
  <c r="K182" i="3"/>
  <c r="K79" i="3"/>
  <c r="K143" i="3"/>
  <c r="L80" i="3"/>
  <c r="L144" i="3"/>
  <c r="M93" i="3"/>
  <c r="M157" i="3"/>
  <c r="M226" i="3"/>
  <c r="L165" i="3"/>
  <c r="K200" i="3"/>
  <c r="K216" i="3"/>
  <c r="K232" i="3"/>
  <c r="K248" i="3"/>
  <c r="K264" i="3"/>
  <c r="K280" i="3"/>
  <c r="L168" i="3"/>
  <c r="L184" i="3"/>
  <c r="L200" i="3"/>
  <c r="L216" i="3"/>
  <c r="L232" i="3"/>
  <c r="L248" i="3"/>
  <c r="L265" i="3"/>
  <c r="M293" i="3"/>
  <c r="M309" i="3"/>
  <c r="M325" i="3"/>
  <c r="M341" i="3"/>
  <c r="M357" i="3"/>
  <c r="M373" i="3"/>
  <c r="L284" i="3"/>
  <c r="M287" i="3"/>
  <c r="L305" i="3"/>
  <c r="L321" i="3"/>
  <c r="L337" i="3"/>
  <c r="K44" i="3"/>
  <c r="K60" i="3"/>
  <c r="K76" i="3"/>
  <c r="K92" i="3"/>
  <c r="K108" i="3"/>
  <c r="K124" i="3"/>
  <c r="K140" i="3"/>
  <c r="K156" i="3"/>
  <c r="L45" i="3"/>
  <c r="L61" i="3"/>
  <c r="L77" i="3"/>
  <c r="L93" i="3"/>
  <c r="L109" i="3"/>
  <c r="L125" i="3"/>
  <c r="L141" i="3"/>
  <c r="M42" i="3"/>
  <c r="M58" i="3"/>
  <c r="M74" i="3"/>
  <c r="M90" i="3"/>
  <c r="M106" i="3"/>
  <c r="M122" i="3"/>
  <c r="M138" i="3"/>
  <c r="M154" i="3"/>
  <c r="M175" i="3"/>
  <c r="M191" i="3"/>
  <c r="M207" i="3"/>
  <c r="M223" i="3"/>
  <c r="M239" i="3"/>
  <c r="M255" i="3"/>
  <c r="M271" i="3"/>
  <c r="M158" i="3"/>
  <c r="K180" i="3"/>
  <c r="K49" i="3"/>
  <c r="K65" i="3"/>
  <c r="K81" i="3"/>
  <c r="K97" i="3"/>
  <c r="K113" i="3"/>
  <c r="K129" i="3"/>
  <c r="K145" i="3"/>
  <c r="K161" i="3"/>
  <c r="L50" i="3"/>
  <c r="L66" i="3"/>
  <c r="L82" i="3"/>
  <c r="L98" i="3"/>
  <c r="L114" i="3"/>
  <c r="L130" i="3"/>
  <c r="L146" i="3"/>
  <c r="M47" i="3"/>
  <c r="M63" i="3"/>
  <c r="M79" i="3"/>
  <c r="M95" i="3"/>
  <c r="M111" i="3"/>
  <c r="M127" i="3"/>
  <c r="M143" i="3"/>
  <c r="M160" i="3"/>
  <c r="M180" i="3"/>
  <c r="M196" i="3"/>
  <c r="M212" i="3"/>
  <c r="M228" i="3"/>
  <c r="M244" i="3"/>
  <c r="M260" i="3"/>
  <c r="M276" i="3"/>
  <c r="K169" i="3"/>
  <c r="K185" i="3"/>
  <c r="K50" i="3"/>
  <c r="K66" i="3"/>
  <c r="K82" i="3"/>
  <c r="K98" i="3"/>
  <c r="K114" i="3"/>
  <c r="K130" i="3"/>
  <c r="K146" i="3"/>
  <c r="K162" i="3"/>
  <c r="L51" i="3"/>
  <c r="L67" i="3"/>
  <c r="L83" i="3"/>
  <c r="L99" i="3"/>
  <c r="L115" i="3"/>
  <c r="L131" i="3"/>
  <c r="L147" i="3"/>
  <c r="M48" i="3"/>
  <c r="M64" i="3"/>
  <c r="M80" i="3"/>
  <c r="M96" i="3"/>
  <c r="M112" i="3"/>
  <c r="M128" i="3"/>
  <c r="M144" i="3"/>
  <c r="L163" i="3"/>
  <c r="M181" i="3"/>
  <c r="M197" i="3"/>
  <c r="M213" i="3"/>
  <c r="M229" i="3"/>
  <c r="M245" i="3"/>
  <c r="M261" i="3"/>
  <c r="M277" i="3"/>
  <c r="K170" i="3"/>
  <c r="K186" i="3"/>
  <c r="K95" i="3"/>
  <c r="K159" i="3"/>
  <c r="L96" i="3"/>
  <c r="M45" i="3"/>
  <c r="M109" i="3"/>
  <c r="M178" i="3"/>
  <c r="M242" i="3"/>
  <c r="K183" i="3"/>
  <c r="K204" i="3"/>
  <c r="K220" i="3"/>
  <c r="K236" i="3"/>
  <c r="K252" i="3"/>
  <c r="K268" i="3"/>
  <c r="K284" i="3"/>
  <c r="L172" i="3"/>
  <c r="L188" i="3"/>
  <c r="L204" i="3"/>
  <c r="L220" i="3"/>
  <c r="L236" i="3"/>
  <c r="L252" i="3"/>
  <c r="L273" i="3"/>
  <c r="M297" i="3"/>
  <c r="M313" i="3"/>
  <c r="M329" i="3"/>
  <c r="M345" i="3"/>
  <c r="M361" i="3"/>
  <c r="M377" i="3"/>
  <c r="L264" i="3"/>
  <c r="L293" i="3"/>
  <c r="L309" i="3"/>
  <c r="L325" i="3"/>
  <c r="K48" i="3"/>
  <c r="K64" i="3"/>
  <c r="K80" i="3"/>
  <c r="K96" i="3"/>
  <c r="K112" i="3"/>
  <c r="K128" i="3"/>
  <c r="K144" i="3"/>
  <c r="K160" i="3"/>
  <c r="L49" i="3"/>
  <c r="L65" i="3"/>
  <c r="L81" i="3"/>
  <c r="L97" i="3"/>
  <c r="L113" i="3"/>
  <c r="L129" i="3"/>
  <c r="L145" i="3"/>
  <c r="M46" i="3"/>
  <c r="M62" i="3"/>
  <c r="M78" i="3"/>
  <c r="M94" i="3"/>
  <c r="M110" i="3"/>
  <c r="M126" i="3"/>
  <c r="M142" i="3"/>
  <c r="L159" i="3"/>
  <c r="M179" i="3"/>
  <c r="M195" i="3"/>
  <c r="M211" i="3"/>
  <c r="M227" i="3"/>
  <c r="M243" i="3"/>
  <c r="M259" i="3"/>
  <c r="M275" i="3"/>
  <c r="M166" i="3"/>
  <c r="K184" i="3"/>
  <c r="K53" i="3"/>
  <c r="K69" i="3"/>
  <c r="K85" i="3"/>
  <c r="K101" i="3"/>
  <c r="K117" i="3"/>
  <c r="K133" i="3"/>
  <c r="K149" i="3"/>
  <c r="K165" i="3"/>
  <c r="L54" i="3"/>
  <c r="L70" i="3"/>
  <c r="L86" i="3"/>
  <c r="L102" i="3"/>
  <c r="L118" i="3"/>
  <c r="L134" i="3"/>
  <c r="L150" i="3"/>
  <c r="M51" i="3"/>
  <c r="M67" i="3"/>
  <c r="M83" i="3"/>
  <c r="M99" i="3"/>
  <c r="M115" i="3"/>
  <c r="M131" i="3"/>
  <c r="M147" i="3"/>
  <c r="M168" i="3"/>
  <c r="M184" i="3"/>
  <c r="M200" i="3"/>
  <c r="M216" i="3"/>
  <c r="M232" i="3"/>
  <c r="M248" i="3"/>
  <c r="M264" i="3"/>
  <c r="M280" i="3"/>
  <c r="K173" i="3"/>
  <c r="K189" i="3"/>
  <c r="K54" i="3"/>
  <c r="K70" i="3"/>
  <c r="K86" i="3"/>
  <c r="K102" i="3"/>
  <c r="K118" i="3"/>
  <c r="K134" i="3"/>
  <c r="K150" i="3"/>
  <c r="K166" i="3"/>
  <c r="L55" i="3"/>
  <c r="L71" i="3"/>
  <c r="L87" i="3"/>
  <c r="L103" i="3"/>
  <c r="L119" i="3"/>
  <c r="L135" i="3"/>
  <c r="L151" i="3"/>
  <c r="M52" i="3"/>
  <c r="M68" i="3"/>
  <c r="M84" i="3"/>
  <c r="M100" i="3"/>
  <c r="M116" i="3"/>
  <c r="M132" i="3"/>
  <c r="M148" i="3"/>
  <c r="M169" i="3"/>
  <c r="M185" i="3"/>
  <c r="M201" i="3"/>
  <c r="M217" i="3"/>
  <c r="M233" i="3"/>
  <c r="M249" i="3"/>
  <c r="M265" i="3"/>
  <c r="L158" i="3"/>
  <c r="K174" i="3"/>
  <c r="K47" i="3"/>
  <c r="K111" i="3"/>
  <c r="L48" i="3"/>
  <c r="L112" i="3"/>
  <c r="M61" i="3"/>
  <c r="M125" i="3"/>
  <c r="M194" i="3"/>
  <c r="M258" i="3"/>
  <c r="K192" i="3"/>
  <c r="K208" i="3"/>
  <c r="K224" i="3"/>
  <c r="K240" i="3"/>
  <c r="K256" i="3"/>
  <c r="K272" i="3"/>
  <c r="K288" i="3"/>
  <c r="L176" i="3"/>
  <c r="L192" i="3"/>
  <c r="L208" i="3"/>
  <c r="L224" i="3"/>
  <c r="L240" i="3"/>
  <c r="L256" i="3"/>
  <c r="L281" i="3"/>
  <c r="M301" i="3"/>
  <c r="M317" i="3"/>
  <c r="M333" i="3"/>
  <c r="M349" i="3"/>
  <c r="M365" i="3"/>
  <c r="M381" i="3"/>
  <c r="L272" i="3"/>
  <c r="L297" i="3"/>
  <c r="L313" i="3"/>
  <c r="L329" i="3"/>
  <c r="L341" i="3"/>
  <c r="L357" i="3"/>
  <c r="L373" i="3"/>
  <c r="L389" i="3"/>
  <c r="L405" i="3"/>
  <c r="K303" i="3"/>
  <c r="K335" i="3"/>
  <c r="K367" i="3"/>
  <c r="M399" i="3"/>
  <c r="M406" i="3"/>
  <c r="K426" i="3"/>
  <c r="K442" i="3"/>
  <c r="K458" i="3"/>
  <c r="K474" i="3"/>
  <c r="K490" i="3"/>
  <c r="K506" i="3"/>
  <c r="K522" i="3"/>
  <c r="K308" i="3"/>
  <c r="K340" i="3"/>
  <c r="K372" i="3"/>
  <c r="K404" i="3"/>
  <c r="L424" i="3"/>
  <c r="L440" i="3"/>
  <c r="L456" i="3"/>
  <c r="M392" i="3"/>
  <c r="M426" i="3"/>
  <c r="M458" i="3"/>
  <c r="L490" i="3"/>
  <c r="L522" i="3"/>
  <c r="M540" i="3"/>
  <c r="M556" i="3"/>
  <c r="M572" i="3"/>
  <c r="K51" i="3"/>
  <c r="K115" i="3"/>
  <c r="L52" i="3"/>
  <c r="L116" i="3"/>
  <c r="M65" i="3"/>
  <c r="M129" i="3"/>
  <c r="M198" i="3"/>
  <c r="M262" i="3"/>
  <c r="K193" i="3"/>
  <c r="K209" i="3"/>
  <c r="K225" i="3"/>
  <c r="K241" i="3"/>
  <c r="K257" i="3"/>
  <c r="K273" i="3"/>
  <c r="K289" i="3"/>
  <c r="L177" i="3"/>
  <c r="L193" i="3"/>
  <c r="L209" i="3"/>
  <c r="L225" i="3"/>
  <c r="L241" i="3"/>
  <c r="L257" i="3"/>
  <c r="M282" i="3"/>
  <c r="M302" i="3"/>
  <c r="M318" i="3"/>
  <c r="M334" i="3"/>
  <c r="M350" i="3"/>
  <c r="M366" i="3"/>
  <c r="M382" i="3"/>
  <c r="L274" i="3"/>
  <c r="L298" i="3"/>
  <c r="L314" i="3"/>
  <c r="L330" i="3"/>
  <c r="L346" i="3"/>
  <c r="L362" i="3"/>
  <c r="L378" i="3"/>
  <c r="L394" i="3"/>
  <c r="L410" i="3"/>
  <c r="K313" i="3"/>
  <c r="K345" i="3"/>
  <c r="K377" i="3"/>
  <c r="K410" i="3"/>
  <c r="K415" i="3"/>
  <c r="K431" i="3"/>
  <c r="K447" i="3"/>
  <c r="K463" i="3"/>
  <c r="K479" i="3"/>
  <c r="K495" i="3"/>
  <c r="K511" i="3"/>
  <c r="K527" i="3"/>
  <c r="K318" i="3"/>
  <c r="K350" i="3"/>
  <c r="K382" i="3"/>
  <c r="L413" i="3"/>
  <c r="L429" i="3"/>
  <c r="L445" i="3"/>
  <c r="L461" i="3"/>
  <c r="K403" i="3"/>
  <c r="M436" i="3"/>
  <c r="M468" i="3"/>
  <c r="M499" i="3"/>
  <c r="M529" i="3"/>
  <c r="M545" i="3"/>
  <c r="M561" i="3"/>
  <c r="M577" i="3"/>
  <c r="K103" i="3"/>
  <c r="L104" i="3"/>
  <c r="M117" i="3"/>
  <c r="M250" i="3"/>
  <c r="K206" i="3"/>
  <c r="K238" i="3"/>
  <c r="K270" i="3"/>
  <c r="L174" i="3"/>
  <c r="L206" i="3"/>
  <c r="L238" i="3"/>
  <c r="L277" i="3"/>
  <c r="M315" i="3"/>
  <c r="M347" i="3"/>
  <c r="M379" i="3"/>
  <c r="L295" i="3"/>
  <c r="L327" i="3"/>
  <c r="L359" i="3"/>
  <c r="L391" i="3"/>
  <c r="K307" i="3"/>
  <c r="K371" i="3"/>
  <c r="M410" i="3"/>
  <c r="K444" i="3"/>
  <c r="K476" i="3"/>
  <c r="K508" i="3"/>
  <c r="K312" i="3"/>
  <c r="K376" i="3"/>
  <c r="L426" i="3"/>
  <c r="K139" i="3"/>
  <c r="L140" i="3"/>
  <c r="M153" i="3"/>
  <c r="M167" i="3"/>
  <c r="K215" i="3"/>
  <c r="L345" i="3"/>
  <c r="L361" i="3"/>
  <c r="L377" i="3"/>
  <c r="L393" i="3"/>
  <c r="L409" i="3"/>
  <c r="K311" i="3"/>
  <c r="K343" i="3"/>
  <c r="K375" i="3"/>
  <c r="M407" i="3"/>
  <c r="K414" i="3"/>
  <c r="K430" i="3"/>
  <c r="K446" i="3"/>
  <c r="K462" i="3"/>
  <c r="K478" i="3"/>
  <c r="K494" i="3"/>
  <c r="K510" i="3"/>
  <c r="K526" i="3"/>
  <c r="K316" i="3"/>
  <c r="K348" i="3"/>
  <c r="K380" i="3"/>
  <c r="K412" i="3"/>
  <c r="L428" i="3"/>
  <c r="L444" i="3"/>
  <c r="L460" i="3"/>
  <c r="M400" i="3"/>
  <c r="M434" i="3"/>
  <c r="M466" i="3"/>
  <c r="L498" i="3"/>
  <c r="M528" i="3"/>
  <c r="M544" i="3"/>
  <c r="M560" i="3"/>
  <c r="M576" i="3"/>
  <c r="K67" i="3"/>
  <c r="K131" i="3"/>
  <c r="L68" i="3"/>
  <c r="L132" i="3"/>
  <c r="M81" i="3"/>
  <c r="M145" i="3"/>
  <c r="M214" i="3"/>
  <c r="M278" i="3"/>
  <c r="K197" i="3"/>
  <c r="K213" i="3"/>
  <c r="K229" i="3"/>
  <c r="K245" i="3"/>
  <c r="K261" i="3"/>
  <c r="K277" i="3"/>
  <c r="M161" i="3"/>
  <c r="L181" i="3"/>
  <c r="L197" i="3"/>
  <c r="L213" i="3"/>
  <c r="L229" i="3"/>
  <c r="L245" i="3"/>
  <c r="L261" i="3"/>
  <c r="M290" i="3"/>
  <c r="M306" i="3"/>
  <c r="M322" i="3"/>
  <c r="M338" i="3"/>
  <c r="M354" i="3"/>
  <c r="M370" i="3"/>
  <c r="M386" i="3"/>
  <c r="L282" i="3"/>
  <c r="L302" i="3"/>
  <c r="L318" i="3"/>
  <c r="L334" i="3"/>
  <c r="L350" i="3"/>
  <c r="L366" i="3"/>
  <c r="L382" i="3"/>
  <c r="L398" i="3"/>
  <c r="M288" i="3"/>
  <c r="K321" i="3"/>
  <c r="K353" i="3"/>
  <c r="K385" i="3"/>
  <c r="K393" i="3"/>
  <c r="K419" i="3"/>
  <c r="K435" i="3"/>
  <c r="K451" i="3"/>
  <c r="K467" i="3"/>
  <c r="K483" i="3"/>
  <c r="K499" i="3"/>
  <c r="K515" i="3"/>
  <c r="K294" i="3"/>
  <c r="K326" i="3"/>
  <c r="K358" i="3"/>
  <c r="M389" i="3"/>
  <c r="L417" i="3"/>
  <c r="L433" i="3"/>
  <c r="L449" i="3"/>
  <c r="L465" i="3"/>
  <c r="M412" i="3"/>
  <c r="M444" i="3"/>
  <c r="M475" i="3"/>
  <c r="M507" i="3"/>
  <c r="M533" i="3"/>
  <c r="M549" i="3"/>
  <c r="M565" i="3"/>
  <c r="M581" i="3"/>
  <c r="K135" i="3"/>
  <c r="L136" i="3"/>
  <c r="M149" i="3"/>
  <c r="M159" i="3"/>
  <c r="K214" i="3"/>
  <c r="K246" i="3"/>
  <c r="K278" i="3"/>
  <c r="L182" i="3"/>
  <c r="L214" i="3"/>
  <c r="L246" i="3"/>
  <c r="M291" i="3"/>
  <c r="M323" i="3"/>
  <c r="M355" i="3"/>
  <c r="M387" i="3"/>
  <c r="L303" i="3"/>
  <c r="L335" i="3"/>
  <c r="L367" i="3"/>
  <c r="L399" i="3"/>
  <c r="K323" i="3"/>
  <c r="K387" i="3"/>
  <c r="K420" i="3"/>
  <c r="K452" i="3"/>
  <c r="K484" i="3"/>
  <c r="K516" i="3"/>
  <c r="K328" i="3"/>
  <c r="K392" i="3"/>
  <c r="K43" i="3"/>
  <c r="L44" i="3"/>
  <c r="M57" i="3"/>
  <c r="M190" i="3"/>
  <c r="K191" i="3"/>
  <c r="L349" i="3"/>
  <c r="L365" i="3"/>
  <c r="L381" i="3"/>
  <c r="L397" i="3"/>
  <c r="L283" i="3"/>
  <c r="K319" i="3"/>
  <c r="K351" i="3"/>
  <c r="K383" i="3"/>
  <c r="M390" i="3"/>
  <c r="K418" i="3"/>
  <c r="K434" i="3"/>
  <c r="K450" i="3"/>
  <c r="K466" i="3"/>
  <c r="K482" i="3"/>
  <c r="K498" i="3"/>
  <c r="K514" i="3"/>
  <c r="K292" i="3"/>
  <c r="K324" i="3"/>
  <c r="K356" i="3"/>
  <c r="K388" i="3"/>
  <c r="L416" i="3"/>
  <c r="L432" i="3"/>
  <c r="L448" i="3"/>
  <c r="L464" i="3"/>
  <c r="M408" i="3"/>
  <c r="M442" i="3"/>
  <c r="L474" i="3"/>
  <c r="L506" i="3"/>
  <c r="M532" i="3"/>
  <c r="M548" i="3"/>
  <c r="M564" i="3"/>
  <c r="M580" i="3"/>
  <c r="K83" i="3"/>
  <c r="K147" i="3"/>
  <c r="L84" i="3"/>
  <c r="L148" i="3"/>
  <c r="M97" i="3"/>
  <c r="M164" i="3"/>
  <c r="M230" i="3"/>
  <c r="K171" i="3"/>
  <c r="K201" i="3"/>
  <c r="K217" i="3"/>
  <c r="K233" i="3"/>
  <c r="K249" i="3"/>
  <c r="K265" i="3"/>
  <c r="K281" i="3"/>
  <c r="L169" i="3"/>
  <c r="L185" i="3"/>
  <c r="L201" i="3"/>
  <c r="L217" i="3"/>
  <c r="L233" i="3"/>
  <c r="L249" i="3"/>
  <c r="L267" i="3"/>
  <c r="M294" i="3"/>
  <c r="M310" i="3"/>
  <c r="M326" i="3"/>
  <c r="M342" i="3"/>
  <c r="M358" i="3"/>
  <c r="M374" i="3"/>
  <c r="M285" i="3"/>
  <c r="L290" i="3"/>
  <c r="L306" i="3"/>
  <c r="L322" i="3"/>
  <c r="L338" i="3"/>
  <c r="L354" i="3"/>
  <c r="L370" i="3"/>
  <c r="L386" i="3"/>
  <c r="L402" i="3"/>
  <c r="K297" i="3"/>
  <c r="K329" i="3"/>
  <c r="K361" i="3"/>
  <c r="K394" i="3"/>
  <c r="K401" i="3"/>
  <c r="K423" i="3"/>
  <c r="K439" i="3"/>
  <c r="K455" i="3"/>
  <c r="K471" i="3"/>
  <c r="K487" i="3"/>
  <c r="K503" i="3"/>
  <c r="K519" i="3"/>
  <c r="K302" i="3"/>
  <c r="K334" i="3"/>
  <c r="K366" i="3"/>
  <c r="M397" i="3"/>
  <c r="L421" i="3"/>
  <c r="L437" i="3"/>
  <c r="L453" i="3"/>
  <c r="L469" i="3"/>
  <c r="M420" i="3"/>
  <c r="M452" i="3"/>
  <c r="M483" i="3"/>
  <c r="M515" i="3"/>
  <c r="M537" i="3"/>
  <c r="M553" i="3"/>
  <c r="M569" i="3"/>
  <c r="M585" i="3"/>
  <c r="K167" i="3"/>
  <c r="M53" i="3"/>
  <c r="M186" i="3"/>
  <c r="K190" i="3"/>
  <c r="K222" i="3"/>
  <c r="K254" i="3"/>
  <c r="K286" i="3"/>
  <c r="L190" i="3"/>
  <c r="L222" i="3"/>
  <c r="L254" i="3"/>
  <c r="M299" i="3"/>
  <c r="M331" i="3"/>
  <c r="M363" i="3"/>
  <c r="L268" i="3"/>
  <c r="L311" i="3"/>
  <c r="L343" i="3"/>
  <c r="L375" i="3"/>
  <c r="L407" i="3"/>
  <c r="K339" i="3"/>
  <c r="M403" i="3"/>
  <c r="K428" i="3"/>
  <c r="K460" i="3"/>
  <c r="K492" i="3"/>
  <c r="K524" i="3"/>
  <c r="K344" i="3"/>
  <c r="K408" i="3"/>
  <c r="K75" i="3"/>
  <c r="L76" i="3"/>
  <c r="M89" i="3"/>
  <c r="M222" i="3"/>
  <c r="K199" i="3"/>
  <c r="L353" i="3"/>
  <c r="K295" i="3"/>
  <c r="M398" i="3"/>
  <c r="K470" i="3"/>
  <c r="K300" i="3"/>
  <c r="L420" i="3"/>
  <c r="M418" i="3"/>
  <c r="M536" i="3"/>
  <c r="K99" i="3"/>
  <c r="M113" i="3"/>
  <c r="K205" i="3"/>
  <c r="K269" i="3"/>
  <c r="L205" i="3"/>
  <c r="L275" i="3"/>
  <c r="M346" i="3"/>
  <c r="L294" i="3"/>
  <c r="L358" i="3"/>
  <c r="K305" i="3"/>
  <c r="K409" i="3"/>
  <c r="K475" i="3"/>
  <c r="K310" i="3"/>
  <c r="L425" i="3"/>
  <c r="M428" i="3"/>
  <c r="M541" i="3"/>
  <c r="L72" i="3"/>
  <c r="K230" i="3"/>
  <c r="L230" i="3"/>
  <c r="M371" i="3"/>
  <c r="L383" i="3"/>
  <c r="K436" i="3"/>
  <c r="K360" i="3"/>
  <c r="M121" i="3"/>
  <c r="K231" i="3"/>
  <c r="K263" i="3"/>
  <c r="M165" i="3"/>
  <c r="L199" i="3"/>
  <c r="L231" i="3"/>
  <c r="L263" i="3"/>
  <c r="M308" i="3"/>
  <c r="M340" i="3"/>
  <c r="M372" i="3"/>
  <c r="L286" i="3"/>
  <c r="L320" i="3"/>
  <c r="L352" i="3"/>
  <c r="L384" i="3"/>
  <c r="K293" i="3"/>
  <c r="K357" i="3"/>
  <c r="K397" i="3"/>
  <c r="K437" i="3"/>
  <c r="K469" i="3"/>
  <c r="K501" i="3"/>
  <c r="K298" i="3"/>
  <c r="K362" i="3"/>
  <c r="L419" i="3"/>
  <c r="L451" i="3"/>
  <c r="M416" i="3"/>
  <c r="M479" i="3"/>
  <c r="M535" i="3"/>
  <c r="M567" i="3"/>
  <c r="K87" i="3"/>
  <c r="L88" i="3"/>
  <c r="M101" i="3"/>
  <c r="M234" i="3"/>
  <c r="K202" i="3"/>
  <c r="K234" i="3"/>
  <c r="K266" i="3"/>
  <c r="L170" i="3"/>
  <c r="L202" i="3"/>
  <c r="L234" i="3"/>
  <c r="L269" i="3"/>
  <c r="M311" i="3"/>
  <c r="M343" i="3"/>
  <c r="M375" i="3"/>
  <c r="L291" i="3"/>
  <c r="L323" i="3"/>
  <c r="L355" i="3"/>
  <c r="L387" i="3"/>
  <c r="K299" i="3"/>
  <c r="K363" i="3"/>
  <c r="M402" i="3"/>
  <c r="K440" i="3"/>
  <c r="K472" i="3"/>
  <c r="K504" i="3"/>
  <c r="K304" i="3"/>
  <c r="K368" i="3"/>
  <c r="L422" i="3"/>
  <c r="L454" i="3"/>
  <c r="M422" i="3"/>
  <c r="L486" i="3"/>
  <c r="M538" i="3"/>
  <c r="M570" i="3"/>
  <c r="M137" i="3"/>
  <c r="K275" i="3"/>
  <c r="M286" i="3"/>
  <c r="L300" i="3"/>
  <c r="K317" i="3"/>
  <c r="K481" i="3"/>
  <c r="L431" i="3"/>
  <c r="M440" i="3"/>
  <c r="M547" i="3"/>
  <c r="M592" i="3"/>
  <c r="L485" i="3"/>
  <c r="L517" i="3"/>
  <c r="M431" i="3"/>
  <c r="M463" i="3"/>
  <c r="L496" i="3"/>
  <c r="K528" i="3"/>
  <c r="K544" i="3"/>
  <c r="K560" i="3"/>
  <c r="K576" i="3"/>
  <c r="K592" i="3"/>
  <c r="L601" i="3"/>
  <c r="L495" i="3"/>
  <c r="L527" i="3"/>
  <c r="L543" i="3"/>
  <c r="L559" i="3"/>
  <c r="L575" i="3"/>
  <c r="L591" i="3"/>
  <c r="L580" i="3"/>
  <c r="L92" i="3"/>
  <c r="M376" i="3"/>
  <c r="K505" i="3"/>
  <c r="M558" i="3"/>
  <c r="M413" i="3"/>
  <c r="M501" i="3"/>
  <c r="K563" i="3"/>
  <c r="L599" i="3"/>
  <c r="L542" i="3"/>
  <c r="L369" i="3"/>
  <c r="K327" i="3"/>
  <c r="K422" i="3"/>
  <c r="K486" i="3"/>
  <c r="K332" i="3"/>
  <c r="L436" i="3"/>
  <c r="M450" i="3"/>
  <c r="M552" i="3"/>
  <c r="K163" i="3"/>
  <c r="M182" i="3"/>
  <c r="K221" i="3"/>
  <c r="K285" i="3"/>
  <c r="L221" i="3"/>
  <c r="M298" i="3"/>
  <c r="M362" i="3"/>
  <c r="L310" i="3"/>
  <c r="L374" i="3"/>
  <c r="K337" i="3"/>
  <c r="K427" i="3"/>
  <c r="K491" i="3"/>
  <c r="K342" i="3"/>
  <c r="L441" i="3"/>
  <c r="M460" i="3"/>
  <c r="M557" i="3"/>
  <c r="M85" i="3"/>
  <c r="K262" i="3"/>
  <c r="L262" i="3"/>
  <c r="M283" i="3"/>
  <c r="K291" i="3"/>
  <c r="K468" i="3"/>
  <c r="L418" i="3"/>
  <c r="M254" i="3"/>
  <c r="K239" i="3"/>
  <c r="K271" i="3"/>
  <c r="L175" i="3"/>
  <c r="L207" i="3"/>
  <c r="L239" i="3"/>
  <c r="L279" i="3"/>
  <c r="M316" i="3"/>
  <c r="M348" i="3"/>
  <c r="M380" i="3"/>
  <c r="L296" i="3"/>
  <c r="L328" i="3"/>
  <c r="L360" i="3"/>
  <c r="L392" i="3"/>
  <c r="K309" i="3"/>
  <c r="K373" i="3"/>
  <c r="K413" i="3"/>
  <c r="K445" i="3"/>
  <c r="K477" i="3"/>
  <c r="K509" i="3"/>
  <c r="K314" i="3"/>
  <c r="K378" i="3"/>
  <c r="L427" i="3"/>
  <c r="L459" i="3"/>
  <c r="M432" i="3"/>
  <c r="M495" i="3"/>
  <c r="M543" i="3"/>
  <c r="M575" i="3"/>
  <c r="K119" i="3"/>
  <c r="L120" i="3"/>
  <c r="M133" i="3"/>
  <c r="M266" i="3"/>
  <c r="K210" i="3"/>
  <c r="K242" i="3"/>
  <c r="K274" i="3"/>
  <c r="L178" i="3"/>
  <c r="L210" i="3"/>
  <c r="L242" i="3"/>
  <c r="L285" i="3"/>
  <c r="M319" i="3"/>
  <c r="M351" i="3"/>
  <c r="M383" i="3"/>
  <c r="L299" i="3"/>
  <c r="L331" i="3"/>
  <c r="L363" i="3"/>
  <c r="L395" i="3"/>
  <c r="K315" i="3"/>
  <c r="K379" i="3"/>
  <c r="K416" i="3"/>
  <c r="K448" i="3"/>
  <c r="K480" i="3"/>
  <c r="K512" i="3"/>
  <c r="K320" i="3"/>
  <c r="K384" i="3"/>
  <c r="L430" i="3"/>
  <c r="L462" i="3"/>
  <c r="M438" i="3"/>
  <c r="L502" i="3"/>
  <c r="M546" i="3"/>
  <c r="M578" i="3"/>
  <c r="M270" i="3"/>
  <c r="L179" i="3"/>
  <c r="M320" i="3"/>
  <c r="L332" i="3"/>
  <c r="K381" i="3"/>
  <c r="K513" i="3"/>
  <c r="L447" i="3"/>
  <c r="M471" i="3"/>
  <c r="M563" i="3"/>
  <c r="M596" i="3"/>
  <c r="L493" i="3"/>
  <c r="L525" i="3"/>
  <c r="M439" i="3"/>
  <c r="L472" i="3"/>
  <c r="L504" i="3"/>
  <c r="K532" i="3"/>
  <c r="K548" i="3"/>
  <c r="K564" i="3"/>
  <c r="K580" i="3"/>
  <c r="K596" i="3"/>
  <c r="L471" i="3"/>
  <c r="L503" i="3"/>
  <c r="L531" i="3"/>
  <c r="L547" i="3"/>
  <c r="L385" i="3"/>
  <c r="K359" i="3"/>
  <c r="K438" i="3"/>
  <c r="K502" i="3"/>
  <c r="K364" i="3"/>
  <c r="L452" i="3"/>
  <c r="L482" i="3"/>
  <c r="M568" i="3"/>
  <c r="L100" i="3"/>
  <c r="M246" i="3"/>
  <c r="K237" i="3"/>
  <c r="L173" i="3"/>
  <c r="L237" i="3"/>
  <c r="M314" i="3"/>
  <c r="M378" i="3"/>
  <c r="L326" i="3"/>
  <c r="L390" i="3"/>
  <c r="K369" i="3"/>
  <c r="K443" i="3"/>
  <c r="K507" i="3"/>
  <c r="K374" i="3"/>
  <c r="L457" i="3"/>
  <c r="M491" i="3"/>
  <c r="M573" i="3"/>
  <c r="M218" i="3"/>
  <c r="L164" i="3"/>
  <c r="M307" i="3"/>
  <c r="L319" i="3"/>
  <c r="K355" i="3"/>
  <c r="K500" i="3"/>
  <c r="K107" i="3"/>
  <c r="K207" i="3"/>
  <c r="K247" i="3"/>
  <c r="K279" i="3"/>
  <c r="L183" i="3"/>
  <c r="L215" i="3"/>
  <c r="L247" i="3"/>
  <c r="M292" i="3"/>
  <c r="M324" i="3"/>
  <c r="M356" i="3"/>
  <c r="M281" i="3"/>
  <c r="L304" i="3"/>
  <c r="L336" i="3"/>
  <c r="L368" i="3"/>
  <c r="L400" i="3"/>
  <c r="K325" i="3"/>
  <c r="K390" i="3"/>
  <c r="K421" i="3"/>
  <c r="K453" i="3"/>
  <c r="K485" i="3"/>
  <c r="K517" i="3"/>
  <c r="K330" i="3"/>
  <c r="M393" i="3"/>
  <c r="L435" i="3"/>
  <c r="L467" i="3"/>
  <c r="M448" i="3"/>
  <c r="M511" i="3"/>
  <c r="M551" i="3"/>
  <c r="M583" i="3"/>
  <c r="K151" i="3"/>
  <c r="L152" i="3"/>
  <c r="M170" i="3"/>
  <c r="K175" i="3"/>
  <c r="K218" i="3"/>
  <c r="K250" i="3"/>
  <c r="K282" i="3"/>
  <c r="L186" i="3"/>
  <c r="L218" i="3"/>
  <c r="L250" i="3"/>
  <c r="M295" i="3"/>
  <c r="M327" i="3"/>
  <c r="M359" i="3"/>
  <c r="L288" i="3"/>
  <c r="L307" i="3"/>
  <c r="L339" i="3"/>
  <c r="L371" i="3"/>
  <c r="L403" i="3"/>
  <c r="K331" i="3"/>
  <c r="M395" i="3"/>
  <c r="K424" i="3"/>
  <c r="K456" i="3"/>
  <c r="K488" i="3"/>
  <c r="K520" i="3"/>
  <c r="K336" i="3"/>
  <c r="K400" i="3"/>
  <c r="L438" i="3"/>
  <c r="M388" i="3"/>
  <c r="M454" i="3"/>
  <c r="L518" i="3"/>
  <c r="M554" i="3"/>
  <c r="K123" i="3"/>
  <c r="K211" i="3"/>
  <c r="L211" i="3"/>
  <c r="M352" i="3"/>
  <c r="L364" i="3"/>
  <c r="K417" i="3"/>
  <c r="K322" i="3"/>
  <c r="L463" i="3"/>
  <c r="M503" i="3"/>
  <c r="M579" i="3"/>
  <c r="M602" i="3"/>
  <c r="L501" i="3"/>
  <c r="M415" i="3"/>
  <c r="M447" i="3"/>
  <c r="L480" i="3"/>
  <c r="L512" i="3"/>
  <c r="K536" i="3"/>
  <c r="K552" i="3"/>
  <c r="K568" i="3"/>
  <c r="K584" i="3"/>
  <c r="K600" i="3"/>
  <c r="L479" i="3"/>
  <c r="L511" i="3"/>
  <c r="L535" i="3"/>
  <c r="L551" i="3"/>
  <c r="L567" i="3"/>
  <c r="L583" i="3"/>
  <c r="L564" i="3"/>
  <c r="L600" i="3"/>
  <c r="L171" i="3"/>
  <c r="K365" i="3"/>
  <c r="M396" i="3"/>
  <c r="M474" i="3"/>
  <c r="M453" i="3"/>
  <c r="K539" i="3"/>
  <c r="K583" i="3"/>
  <c r="M508" i="3"/>
  <c r="L401" i="3"/>
  <c r="M391" i="3"/>
  <c r="K454" i="3"/>
  <c r="K518" i="3"/>
  <c r="K396" i="3"/>
  <c r="L468" i="3"/>
  <c r="L514" i="3"/>
  <c r="M584" i="3"/>
  <c r="M49" i="3"/>
  <c r="K187" i="3"/>
  <c r="K253" i="3"/>
  <c r="L189" i="3"/>
  <c r="L253" i="3"/>
  <c r="M330" i="3"/>
  <c r="L266" i="3"/>
  <c r="L342" i="3"/>
  <c r="L406" i="3"/>
  <c r="K402" i="3"/>
  <c r="K459" i="3"/>
  <c r="K523" i="3"/>
  <c r="M405" i="3"/>
  <c r="K395" i="3"/>
  <c r="M523" i="3"/>
  <c r="K71" i="3"/>
  <c r="K198" i="3"/>
  <c r="L198" i="3"/>
  <c r="M339" i="3"/>
  <c r="L351" i="3"/>
  <c r="M394" i="3"/>
  <c r="K296" i="3"/>
  <c r="L108" i="3"/>
  <c r="K223" i="3"/>
  <c r="K255" i="3"/>
  <c r="K287" i="3"/>
  <c r="L191" i="3"/>
  <c r="L223" i="3"/>
  <c r="L255" i="3"/>
  <c r="M300" i="3"/>
  <c r="M332" i="3"/>
  <c r="M364" i="3"/>
  <c r="L270" i="3"/>
  <c r="L312" i="3"/>
  <c r="L344" i="3"/>
  <c r="L376" i="3"/>
  <c r="L408" i="3"/>
  <c r="K341" i="3"/>
  <c r="K406" i="3"/>
  <c r="K429" i="3"/>
  <c r="K461" i="3"/>
  <c r="K493" i="3"/>
  <c r="K525" i="3"/>
  <c r="K346" i="3"/>
  <c r="M409" i="3"/>
  <c r="L443" i="3"/>
  <c r="K399" i="3"/>
  <c r="M464" i="3"/>
  <c r="M527" i="3"/>
  <c r="M559" i="3"/>
  <c r="K55" i="3"/>
  <c r="L56" i="3"/>
  <c r="M69" i="3"/>
  <c r="M202" i="3"/>
  <c r="K194" i="3"/>
  <c r="K226" i="3"/>
  <c r="K258" i="3"/>
  <c r="K290" i="3"/>
  <c r="L194" i="3"/>
  <c r="L226" i="3"/>
  <c r="L258" i="3"/>
  <c r="M303" i="3"/>
  <c r="M335" i="3"/>
  <c r="M367" i="3"/>
  <c r="L276" i="3"/>
  <c r="L315" i="3"/>
  <c r="L347" i="3"/>
  <c r="L379" i="3"/>
  <c r="L411" i="3"/>
  <c r="K347" i="3"/>
  <c r="M411" i="3"/>
  <c r="K432" i="3"/>
  <c r="K464" i="3"/>
  <c r="K496" i="3"/>
  <c r="M284" i="3"/>
  <c r="K352" i="3"/>
  <c r="L470" i="3"/>
  <c r="K243" i="3"/>
  <c r="K449" i="3"/>
  <c r="M588" i="3"/>
  <c r="M455" i="3"/>
  <c r="K556" i="3"/>
  <c r="L487" i="3"/>
  <c r="L563" i="3"/>
  <c r="L598" i="3"/>
  <c r="K203" i="3"/>
  <c r="L423" i="3"/>
  <c r="M429" i="3"/>
  <c r="K571" i="3"/>
  <c r="L550" i="3"/>
  <c r="M600" i="3"/>
  <c r="K179" i="3"/>
  <c r="L187" i="3"/>
  <c r="M328" i="3"/>
  <c r="L340" i="3"/>
  <c r="K398" i="3"/>
  <c r="K521" i="3"/>
  <c r="L450" i="3"/>
  <c r="L478" i="3"/>
  <c r="M566" i="3"/>
  <c r="M597" i="3"/>
  <c r="M494" i="3"/>
  <c r="M526" i="3"/>
  <c r="M441" i="3"/>
  <c r="M473" i="3"/>
  <c r="M505" i="3"/>
  <c r="K533" i="3"/>
  <c r="K549" i="3"/>
  <c r="K565" i="3"/>
  <c r="K581" i="3"/>
  <c r="K597" i="3"/>
  <c r="M472" i="3"/>
  <c r="M504" i="3"/>
  <c r="L532" i="3"/>
  <c r="L548" i="3"/>
  <c r="L568" i="3"/>
  <c r="L602" i="3"/>
  <c r="L235" i="3"/>
  <c r="K405" i="3"/>
  <c r="L526" i="3"/>
  <c r="M498" i="3"/>
  <c r="M469" i="3"/>
  <c r="K543" i="3"/>
  <c r="K591" i="3"/>
  <c r="M516" i="3"/>
  <c r="L566" i="3"/>
  <c r="L60" i="3"/>
  <c r="K227" i="3"/>
  <c r="L227" i="3"/>
  <c r="M368" i="3"/>
  <c r="L380" i="3"/>
  <c r="K433" i="3"/>
  <c r="K354" i="3"/>
  <c r="K391" i="3"/>
  <c r="M519" i="3"/>
  <c r="M586" i="3"/>
  <c r="L473" i="3"/>
  <c r="L505" i="3"/>
  <c r="M419" i="3"/>
  <c r="M451" i="3"/>
  <c r="L484" i="3"/>
  <c r="L516" i="3"/>
  <c r="K538" i="3"/>
  <c r="K554" i="3"/>
  <c r="K570" i="3"/>
  <c r="K586" i="3"/>
  <c r="K602" i="3"/>
  <c r="L483" i="3"/>
  <c r="L515" i="3"/>
  <c r="L537" i="3"/>
  <c r="L553" i="3"/>
  <c r="L569" i="3"/>
  <c r="L585" i="3"/>
  <c r="L203" i="3"/>
  <c r="K473" i="3"/>
  <c r="M542" i="3"/>
  <c r="M514" i="3"/>
  <c r="M509" i="3"/>
  <c r="K575" i="3"/>
  <c r="M500" i="3"/>
  <c r="L570" i="3"/>
  <c r="L488" i="3"/>
  <c r="L571" i="3"/>
  <c r="L271" i="3"/>
  <c r="M477" i="3"/>
  <c r="L562" i="3"/>
  <c r="K219" i="3"/>
  <c r="M360" i="3"/>
  <c r="K425" i="3"/>
  <c r="L466" i="3"/>
  <c r="M582" i="3"/>
  <c r="M502" i="3"/>
  <c r="M449" i="3"/>
  <c r="M513" i="3"/>
  <c r="K553" i="3"/>
  <c r="K585" i="3"/>
  <c r="M480" i="3"/>
  <c r="L536" i="3"/>
  <c r="L576" i="3"/>
  <c r="M344" i="3"/>
  <c r="M574" i="3"/>
  <c r="M493" i="3"/>
  <c r="K599" i="3"/>
  <c r="L578" i="3"/>
  <c r="K259" i="3"/>
  <c r="L278" i="3"/>
  <c r="K465" i="3"/>
  <c r="M424" i="3"/>
  <c r="M590" i="3"/>
  <c r="L513" i="3"/>
  <c r="M459" i="3"/>
  <c r="L524" i="3"/>
  <c r="K558" i="3"/>
  <c r="K590" i="3"/>
  <c r="L491" i="3"/>
  <c r="L541" i="3"/>
  <c r="L573" i="3"/>
  <c r="M312" i="3"/>
  <c r="M587" i="3"/>
  <c r="K531" i="3"/>
  <c r="M524" i="3"/>
  <c r="L414" i="3"/>
  <c r="M530" i="3"/>
  <c r="L243" i="3"/>
  <c r="K386" i="3"/>
  <c r="L477" i="3"/>
  <c r="L446" i="3"/>
  <c r="M562" i="3"/>
  <c r="M384" i="3"/>
  <c r="K407" i="3"/>
  <c r="L509" i="3"/>
  <c r="L520" i="3"/>
  <c r="K588" i="3"/>
  <c r="L539" i="3"/>
  <c r="L579" i="3"/>
  <c r="L588" i="3"/>
  <c r="L356" i="3"/>
  <c r="M591" i="3"/>
  <c r="M525" i="3"/>
  <c r="M484" i="3"/>
  <c r="L574" i="3"/>
  <c r="L156" i="3"/>
  <c r="K251" i="3"/>
  <c r="L251" i="3"/>
  <c r="M289" i="3"/>
  <c r="L404" i="3"/>
  <c r="K457" i="3"/>
  <c r="M401" i="3"/>
  <c r="M414" i="3"/>
  <c r="M534" i="3"/>
  <c r="M589" i="3"/>
  <c r="M478" i="3"/>
  <c r="M510" i="3"/>
  <c r="M425" i="3"/>
  <c r="M457" i="3"/>
  <c r="M489" i="3"/>
  <c r="M521" i="3"/>
  <c r="K541" i="3"/>
  <c r="K557" i="3"/>
  <c r="K573" i="3"/>
  <c r="K589" i="3"/>
  <c r="L595" i="3"/>
  <c r="M488" i="3"/>
  <c r="M520" i="3"/>
  <c r="L540" i="3"/>
  <c r="L556" i="3"/>
  <c r="L584" i="3"/>
  <c r="M238" i="3"/>
  <c r="L324" i="3"/>
  <c r="L442" i="3"/>
  <c r="M595" i="3"/>
  <c r="M421" i="3"/>
  <c r="M517" i="3"/>
  <c r="K567" i="3"/>
  <c r="M603" i="3"/>
  <c r="L546" i="3"/>
  <c r="L590" i="3"/>
  <c r="M206" i="3"/>
  <c r="L157" i="3"/>
  <c r="M304" i="3"/>
  <c r="L316" i="3"/>
  <c r="K349" i="3"/>
  <c r="K497" i="3"/>
  <c r="L439" i="3"/>
  <c r="M456" i="3"/>
  <c r="M555" i="3"/>
  <c r="M594" i="3"/>
  <c r="L489" i="3"/>
  <c r="L521" i="3"/>
  <c r="M435" i="3"/>
  <c r="M467" i="3"/>
  <c r="L500" i="3"/>
  <c r="K530" i="3"/>
  <c r="K546" i="3"/>
  <c r="K562" i="3"/>
  <c r="K578" i="3"/>
  <c r="K594" i="3"/>
  <c r="M601" i="3"/>
  <c r="L499" i="3"/>
  <c r="L529" i="3"/>
  <c r="L545" i="3"/>
  <c r="L561" i="3"/>
  <c r="L577" i="3"/>
  <c r="M105" i="3"/>
  <c r="L292" i="3"/>
  <c r="L458" i="3"/>
  <c r="M599" i="3"/>
  <c r="M461" i="3"/>
  <c r="K547" i="3"/>
  <c r="K603" i="3"/>
  <c r="L538" i="3"/>
  <c r="L596" i="3"/>
  <c r="L582" i="3"/>
  <c r="M404" i="3"/>
  <c r="L124" i="3"/>
  <c r="L396" i="3"/>
  <c r="M531" i="3"/>
  <c r="M423" i="3"/>
  <c r="K540" i="3"/>
  <c r="L592" i="3"/>
  <c r="L555" i="3"/>
  <c r="L587" i="3"/>
  <c r="L594" i="3"/>
  <c r="K441" i="3"/>
  <c r="M506" i="3"/>
  <c r="K551" i="3"/>
  <c r="L530" i="3"/>
  <c r="L586" i="3"/>
  <c r="M174" i="3"/>
  <c r="K283" i="3"/>
  <c r="M296" i="3"/>
  <c r="L308" i="3"/>
  <c r="K333" i="3"/>
  <c r="K489" i="3"/>
  <c r="L434" i="3"/>
  <c r="M446" i="3"/>
  <c r="M550" i="3"/>
  <c r="M593" i="3"/>
  <c r="M486" i="3"/>
  <c r="M518" i="3"/>
  <c r="M433" i="3"/>
  <c r="M465" i="3"/>
  <c r="M497" i="3"/>
  <c r="K529" i="3"/>
  <c r="K545" i="3"/>
  <c r="K561" i="3"/>
  <c r="K577" i="3"/>
  <c r="K593" i="3"/>
  <c r="L603" i="3"/>
  <c r="M496" i="3"/>
  <c r="L528" i="3"/>
  <c r="L544" i="3"/>
  <c r="L560" i="3"/>
  <c r="L593" i="3"/>
  <c r="K267" i="3"/>
  <c r="K301" i="3"/>
  <c r="M430" i="3"/>
  <c r="M482" i="3"/>
  <c r="M445" i="3"/>
  <c r="K535" i="3"/>
  <c r="K579" i="3"/>
  <c r="M492" i="3"/>
  <c r="L554" i="3"/>
  <c r="K59" i="3"/>
  <c r="K195" i="3"/>
  <c r="L195" i="3"/>
  <c r="M336" i="3"/>
  <c r="L348" i="3"/>
  <c r="K389" i="3"/>
  <c r="L287" i="3"/>
  <c r="L455" i="3"/>
  <c r="M487" i="3"/>
  <c r="M571" i="3"/>
  <c r="M598" i="3"/>
  <c r="L497" i="3"/>
  <c r="K411" i="3"/>
  <c r="M443" i="3"/>
  <c r="L476" i="3"/>
  <c r="L508" i="3"/>
  <c r="K534" i="3"/>
  <c r="K550" i="3"/>
  <c r="K566" i="3"/>
  <c r="K582" i="3"/>
  <c r="K598" i="3"/>
  <c r="L475" i="3"/>
  <c r="L507" i="3"/>
  <c r="L533" i="3"/>
  <c r="L549" i="3"/>
  <c r="L565" i="3"/>
  <c r="L581" i="3"/>
  <c r="K235" i="3"/>
  <c r="L388" i="3"/>
  <c r="M462" i="3"/>
  <c r="M490" i="3"/>
  <c r="M485" i="3"/>
  <c r="K559" i="3"/>
  <c r="M476" i="3"/>
  <c r="L558" i="3"/>
  <c r="K572" i="3"/>
  <c r="L519" i="3"/>
  <c r="L572" i="3"/>
  <c r="L494" i="3"/>
  <c r="K595" i="3"/>
  <c r="K155" i="3"/>
  <c r="L219" i="3"/>
  <c r="L372" i="3"/>
  <c r="K338" i="3"/>
  <c r="L510" i="3"/>
  <c r="M470" i="3"/>
  <c r="M417" i="3"/>
  <c r="M481" i="3"/>
  <c r="K537" i="3"/>
  <c r="K569" i="3"/>
  <c r="K601" i="3"/>
  <c r="M512" i="3"/>
  <c r="L552" i="3"/>
  <c r="K91" i="3"/>
  <c r="K306" i="3"/>
  <c r="M522" i="3"/>
  <c r="K555" i="3"/>
  <c r="L534" i="3"/>
  <c r="M73" i="3"/>
  <c r="L259" i="3"/>
  <c r="L412" i="3"/>
  <c r="L415" i="3"/>
  <c r="M539" i="3"/>
  <c r="L481" i="3"/>
  <c r="M427" i="3"/>
  <c r="L492" i="3"/>
  <c r="K542" i="3"/>
  <c r="K574" i="3"/>
  <c r="L597" i="3"/>
  <c r="L523" i="3"/>
  <c r="L557" i="3"/>
  <c r="L589" i="3"/>
  <c r="K370" i="3"/>
  <c r="M437" i="3"/>
  <c r="K587" i="3"/>
  <c r="O1171" i="3"/>
  <c r="O1107" i="3"/>
  <c r="O1043" i="3"/>
  <c r="O979" i="3"/>
  <c r="O915" i="3"/>
  <c r="O851" i="3"/>
  <c r="O787" i="3"/>
  <c r="O723" i="3"/>
  <c r="O1166" i="3"/>
  <c r="O1102" i="3"/>
  <c r="O1038" i="3"/>
  <c r="O974" i="3"/>
  <c r="O910" i="3"/>
  <c r="O846" i="3"/>
  <c r="O782" i="3"/>
  <c r="O718" i="3"/>
  <c r="O1161" i="3"/>
  <c r="O1097" i="3"/>
  <c r="O1033" i="3"/>
  <c r="O969" i="3"/>
  <c r="O905" i="3"/>
  <c r="O841" i="3"/>
  <c r="O777" i="3"/>
  <c r="O713" i="3"/>
  <c r="O1156" i="3"/>
  <c r="O1092" i="3"/>
  <c r="O1028" i="3"/>
  <c r="O964" i="3"/>
  <c r="O900" i="3"/>
  <c r="O836" i="3"/>
  <c r="O772" i="3"/>
  <c r="O708" i="3"/>
  <c r="O1167" i="3"/>
  <c r="O1103" i="3"/>
  <c r="O1039" i="3"/>
  <c r="O975" i="3"/>
  <c r="O911" i="3"/>
  <c r="O847" i="3"/>
  <c r="O783" i="3"/>
  <c r="O719" i="3"/>
  <c r="O1162" i="3"/>
  <c r="O1098" i="3"/>
  <c r="O1034" i="3"/>
  <c r="O970" i="3"/>
  <c r="O906" i="3"/>
  <c r="O842" i="3"/>
  <c r="O778" i="3"/>
  <c r="O714" i="3"/>
  <c r="O1157" i="3"/>
  <c r="O1093" i="3"/>
  <c r="O1029" i="3"/>
  <c r="O965" i="3"/>
  <c r="O901" i="3"/>
  <c r="O837" i="3"/>
  <c r="O773" i="3"/>
  <c r="O709" i="3"/>
  <c r="O1152" i="3"/>
  <c r="O1088" i="3"/>
  <c r="O1024" i="3"/>
  <c r="O960" i="3"/>
  <c r="O896" i="3"/>
  <c r="O832" i="3"/>
  <c r="O768" i="3"/>
  <c r="O704" i="3"/>
  <c r="O1163" i="3"/>
  <c r="O1099" i="3"/>
  <c r="O1035" i="3"/>
  <c r="O971" i="3"/>
  <c r="O907" i="3"/>
  <c r="O843" i="3"/>
  <c r="O779" i="3"/>
  <c r="O715" i="3"/>
  <c r="O1158" i="3"/>
  <c r="O1094" i="3"/>
  <c r="O1030" i="3"/>
  <c r="O966" i="3"/>
  <c r="O902" i="3"/>
  <c r="O838" i="3"/>
  <c r="O774" i="3"/>
  <c r="O710" i="3"/>
  <c r="O1153" i="3"/>
  <c r="O1089" i="3"/>
  <c r="O1025" i="3"/>
  <c r="O961" i="3"/>
  <c r="O897" i="3"/>
  <c r="O833" i="3"/>
  <c r="O769" i="3"/>
  <c r="O705" i="3"/>
  <c r="O1148" i="3"/>
  <c r="O1084" i="3"/>
  <c r="O1020" i="3"/>
  <c r="O956" i="3"/>
  <c r="O892" i="3"/>
  <c r="O828" i="3"/>
  <c r="O764" i="3"/>
  <c r="O700" i="3"/>
  <c r="O1159" i="3"/>
  <c r="O1095" i="3"/>
  <c r="O1031" i="3"/>
  <c r="O967" i="3"/>
  <c r="O903" i="3"/>
  <c r="O839" i="3"/>
  <c r="O775" i="3"/>
  <c r="O711" i="3"/>
  <c r="O1154" i="3"/>
  <c r="O1090" i="3"/>
  <c r="O1026" i="3"/>
  <c r="O962" i="3"/>
  <c r="O898" i="3"/>
  <c r="O834" i="3"/>
  <c r="O770" i="3"/>
  <c r="O706" i="3"/>
  <c r="O1149" i="3"/>
  <c r="O1085" i="3"/>
  <c r="O1021" i="3"/>
  <c r="O957" i="3"/>
  <c r="O893" i="3"/>
  <c r="O829" i="3"/>
  <c r="O765" i="3"/>
  <c r="O701" i="3"/>
  <c r="O1144" i="3"/>
  <c r="O1080" i="3"/>
  <c r="O1016" i="3"/>
  <c r="O952" i="3"/>
  <c r="O888" i="3"/>
  <c r="O824" i="3"/>
  <c r="O760" i="3"/>
  <c r="O664" i="3"/>
  <c r="O663" i="3"/>
  <c r="O654" i="3"/>
  <c r="O660" i="3"/>
  <c r="O673" i="3"/>
  <c r="O609" i="3"/>
  <c r="L9" i="3"/>
  <c r="L34" i="3"/>
  <c r="L28" i="3"/>
  <c r="K10" i="3"/>
  <c r="K39" i="3"/>
  <c r="O1155" i="3"/>
  <c r="O1091" i="3"/>
  <c r="O1027" i="3"/>
  <c r="O963" i="3"/>
  <c r="O899" i="3"/>
  <c r="O835" i="3"/>
  <c r="O771" i="3"/>
  <c r="O707" i="3"/>
  <c r="O1150" i="3"/>
  <c r="O1086" i="3"/>
  <c r="O1022" i="3"/>
  <c r="O958" i="3"/>
  <c r="O894" i="3"/>
  <c r="O830" i="3"/>
  <c r="O766" i="3"/>
  <c r="O702" i="3"/>
  <c r="O1145" i="3"/>
  <c r="O1081" i="3"/>
  <c r="O1017" i="3"/>
  <c r="O953" i="3"/>
  <c r="O889" i="3"/>
  <c r="O825" i="3"/>
  <c r="O761" i="3"/>
  <c r="O1204" i="3"/>
  <c r="O1140" i="3"/>
  <c r="O1076" i="3"/>
  <c r="O1012" i="3"/>
  <c r="O948" i="3"/>
  <c r="O884" i="3"/>
  <c r="O820" i="3"/>
  <c r="O756" i="3"/>
  <c r="O652" i="3"/>
  <c r="O1151" i="3"/>
  <c r="O1087" i="3"/>
  <c r="O1023" i="3"/>
  <c r="O959" i="3"/>
  <c r="O895" i="3"/>
  <c r="O831" i="3"/>
  <c r="O767" i="3"/>
  <c r="O703" i="3"/>
  <c r="O1146" i="3"/>
  <c r="O1082" i="3"/>
  <c r="O1018" i="3"/>
  <c r="O954" i="3"/>
  <c r="O890" i="3"/>
  <c r="O826" i="3"/>
  <c r="O762" i="3"/>
  <c r="O1205" i="3"/>
  <c r="O1141" i="3"/>
  <c r="O1077" i="3"/>
  <c r="O1013" i="3"/>
  <c r="O949" i="3"/>
  <c r="O885" i="3"/>
  <c r="O821" i="3"/>
  <c r="O757" i="3"/>
  <c r="O1200" i="3"/>
  <c r="O1136" i="3"/>
  <c r="O1072" i="3"/>
  <c r="O1008" i="3"/>
  <c r="O944" i="3"/>
  <c r="O880" i="3"/>
  <c r="O816" i="3"/>
  <c r="O752" i="3"/>
  <c r="O640" i="3"/>
  <c r="O1147" i="3"/>
  <c r="O1083" i="3"/>
  <c r="O1019" i="3"/>
  <c r="O955" i="3"/>
  <c r="O891" i="3"/>
  <c r="O827" i="3"/>
  <c r="O763" i="3"/>
  <c r="O1206" i="3"/>
  <c r="O1142" i="3"/>
  <c r="O1078" i="3"/>
  <c r="O1014" i="3"/>
  <c r="O950" i="3"/>
  <c r="O886" i="3"/>
  <c r="O822" i="3"/>
  <c r="O758" i="3"/>
  <c r="O1201" i="3"/>
  <c r="O1137" i="3"/>
  <c r="O1073" i="3"/>
  <c r="O1009" i="3"/>
  <c r="O945" i="3"/>
  <c r="O881" i="3"/>
  <c r="O817" i="3"/>
  <c r="O753" i="3"/>
  <c r="O1196" i="3"/>
  <c r="O1132" i="3"/>
  <c r="O1068" i="3"/>
  <c r="O1004" i="3"/>
  <c r="O940" i="3"/>
  <c r="O876" i="3"/>
  <c r="O812" i="3"/>
  <c r="O748" i="3"/>
  <c r="O620" i="3"/>
  <c r="O1143" i="3"/>
  <c r="O1079" i="3"/>
  <c r="O1015" i="3"/>
  <c r="O951" i="3"/>
  <c r="O887" i="3"/>
  <c r="O823" i="3"/>
  <c r="O759" i="3"/>
  <c r="O1202" i="3"/>
  <c r="O1138" i="3"/>
  <c r="O1074" i="3"/>
  <c r="O1010" i="3"/>
  <c r="O946" i="3"/>
  <c r="O882" i="3"/>
  <c r="O818" i="3"/>
  <c r="O754" i="3"/>
  <c r="O1197" i="3"/>
  <c r="O1133" i="3"/>
  <c r="O1069" i="3"/>
  <c r="O1005" i="3"/>
  <c r="O941" i="3"/>
  <c r="O877" i="3"/>
  <c r="O813" i="3"/>
  <c r="O749" i="3"/>
  <c r="O1192" i="3"/>
  <c r="O1128" i="3"/>
  <c r="O1064" i="3"/>
  <c r="O1000" i="3"/>
  <c r="O936" i="3"/>
  <c r="O872" i="3"/>
  <c r="O808" i="3"/>
  <c r="O744" i="3"/>
  <c r="O608" i="3"/>
  <c r="O619" i="3"/>
  <c r="O638" i="3"/>
  <c r="O616" i="3"/>
  <c r="O657" i="3"/>
  <c r="O676" i="3"/>
  <c r="L25" i="3"/>
  <c r="L15" i="3"/>
  <c r="L4" i="3"/>
  <c r="K26" i="3"/>
  <c r="K20" i="3"/>
  <c r="O675" i="3"/>
  <c r="O666" i="3"/>
  <c r="O688" i="3"/>
  <c r="O669" i="3"/>
  <c r="O668" i="3"/>
  <c r="L29" i="3"/>
  <c r="L19" i="3"/>
  <c r="K5" i="3"/>
  <c r="K30" i="3"/>
  <c r="K24" i="3"/>
  <c r="O671" i="3"/>
  <c r="O662" i="3"/>
  <c r="O680" i="3"/>
  <c r="O681" i="3"/>
  <c r="O617" i="3"/>
  <c r="O611" i="3"/>
  <c r="L26" i="3"/>
  <c r="O1203" i="3"/>
  <c r="O1139" i="3"/>
  <c r="O1075" i="3"/>
  <c r="O1011" i="3"/>
  <c r="O947" i="3"/>
  <c r="O883" i="3"/>
  <c r="O819" i="3"/>
  <c r="O755" i="3"/>
  <c r="O1198" i="3"/>
  <c r="O1134" i="3"/>
  <c r="O1070" i="3"/>
  <c r="O1006" i="3"/>
  <c r="O942" i="3"/>
  <c r="O878" i="3"/>
  <c r="O814" i="3"/>
  <c r="O750" i="3"/>
  <c r="O1193" i="3"/>
  <c r="O1129" i="3"/>
  <c r="O1065" i="3"/>
  <c r="O1001" i="3"/>
  <c r="O937" i="3"/>
  <c r="O873" i="3"/>
  <c r="O809" i="3"/>
  <c r="O745" i="3"/>
  <c r="O1188" i="3"/>
  <c r="O1124" i="3"/>
  <c r="O1060" i="3"/>
  <c r="O996" i="3"/>
  <c r="O932" i="3"/>
  <c r="O868" i="3"/>
  <c r="O804" i="3"/>
  <c r="O740" i="3"/>
  <c r="O1199" i="3"/>
  <c r="O1135" i="3"/>
  <c r="O1071" i="3"/>
  <c r="O1007" i="3"/>
  <c r="O943" i="3"/>
  <c r="O879" i="3"/>
  <c r="O815" i="3"/>
  <c r="O751" i="3"/>
  <c r="O1194" i="3"/>
  <c r="O1130" i="3"/>
  <c r="O1066" i="3"/>
  <c r="O1002" i="3"/>
  <c r="O938" i="3"/>
  <c r="O874" i="3"/>
  <c r="O810" i="3"/>
  <c r="O746" i="3"/>
  <c r="O1189" i="3"/>
  <c r="O1125" i="3"/>
  <c r="O1061" i="3"/>
  <c r="O997" i="3"/>
  <c r="O933" i="3"/>
  <c r="O869" i="3"/>
  <c r="O805" i="3"/>
  <c r="O741" i="3"/>
  <c r="O1184" i="3"/>
  <c r="O1120" i="3"/>
  <c r="O1056" i="3"/>
  <c r="O992" i="3"/>
  <c r="O928" i="3"/>
  <c r="O864" i="3"/>
  <c r="O800" i="3"/>
  <c r="O736" i="3"/>
  <c r="O1195" i="3"/>
  <c r="O1131" i="3"/>
  <c r="O1067" i="3"/>
  <c r="O1003" i="3"/>
  <c r="O939" i="3"/>
  <c r="O875" i="3"/>
  <c r="O811" i="3"/>
  <c r="O747" i="3"/>
  <c r="O1190" i="3"/>
  <c r="O1126" i="3"/>
  <c r="O1062" i="3"/>
  <c r="O998" i="3"/>
  <c r="O934" i="3"/>
  <c r="O870" i="3"/>
  <c r="O806" i="3"/>
  <c r="O742" i="3"/>
  <c r="O1185" i="3"/>
  <c r="O1121" i="3"/>
  <c r="O1057" i="3"/>
  <c r="O993" i="3"/>
  <c r="O929" i="3"/>
  <c r="O865" i="3"/>
  <c r="O801" i="3"/>
  <c r="O737" i="3"/>
  <c r="O1180" i="3"/>
  <c r="O1116" i="3"/>
  <c r="O1052" i="3"/>
  <c r="O988" i="3"/>
  <c r="O924" i="3"/>
  <c r="O860" i="3"/>
  <c r="O796" i="3"/>
  <c r="O732" i="3"/>
  <c r="O1191" i="3"/>
  <c r="O1127" i="3"/>
  <c r="O1063" i="3"/>
  <c r="O999" i="3"/>
  <c r="O935" i="3"/>
  <c r="O871" i="3"/>
  <c r="O807" i="3"/>
  <c r="O743" i="3"/>
  <c r="O1186" i="3"/>
  <c r="O1122" i="3"/>
  <c r="O1058" i="3"/>
  <c r="O994" i="3"/>
  <c r="O930" i="3"/>
  <c r="O866" i="3"/>
  <c r="O802" i="3"/>
  <c r="O738" i="3"/>
  <c r="O1181" i="3"/>
  <c r="O1117" i="3"/>
  <c r="O1053" i="3"/>
  <c r="O989" i="3"/>
  <c r="O925" i="3"/>
  <c r="O861" i="3"/>
  <c r="O797" i="3"/>
  <c r="O733" i="3"/>
  <c r="O1176" i="3"/>
  <c r="O1112" i="3"/>
  <c r="O1048" i="3"/>
  <c r="O984" i="3"/>
  <c r="O920" i="3"/>
  <c r="O856" i="3"/>
  <c r="O792" i="3"/>
  <c r="O728" i="3"/>
  <c r="O695" i="3"/>
  <c r="O686" i="3"/>
  <c r="O622" i="3"/>
  <c r="O607" i="3"/>
  <c r="O641" i="3"/>
  <c r="O636" i="3"/>
  <c r="L41" i="3"/>
  <c r="L31" i="3"/>
  <c r="K17" i="3"/>
  <c r="K7" i="3"/>
  <c r="K36" i="3"/>
  <c r="O659" i="3"/>
  <c r="O650" i="3"/>
  <c r="O648" i="3"/>
  <c r="O653" i="3"/>
  <c r="O628" i="3"/>
  <c r="L6" i="3"/>
  <c r="L35" i="3"/>
  <c r="K21" i="3"/>
  <c r="K11" i="3"/>
  <c r="K40" i="3"/>
  <c r="O647" i="3"/>
  <c r="O646" i="3"/>
  <c r="O632" i="3"/>
  <c r="O665" i="3"/>
  <c r="O696" i="3"/>
  <c r="L17" i="3"/>
  <c r="L7" i="3"/>
  <c r="O1187" i="3"/>
  <c r="O1123" i="3"/>
  <c r="O1059" i="3"/>
  <c r="O995" i="3"/>
  <c r="O931" i="3"/>
  <c r="O867" i="3"/>
  <c r="O803" i="3"/>
  <c r="O739" i="3"/>
  <c r="O1182" i="3"/>
  <c r="O1118" i="3"/>
  <c r="O1054" i="3"/>
  <c r="O990" i="3"/>
  <c r="O926" i="3"/>
  <c r="O862" i="3"/>
  <c r="O798" i="3"/>
  <c r="O734" i="3"/>
  <c r="O1177" i="3"/>
  <c r="O1113" i="3"/>
  <c r="O1049" i="3"/>
  <c r="O985" i="3"/>
  <c r="O921" i="3"/>
  <c r="O857" i="3"/>
  <c r="O793" i="3"/>
  <c r="O729" i="3"/>
  <c r="O1172" i="3"/>
  <c r="O1108" i="3"/>
  <c r="O1044" i="3"/>
  <c r="O980" i="3"/>
  <c r="O916" i="3"/>
  <c r="O852" i="3"/>
  <c r="O788" i="3"/>
  <c r="O724" i="3"/>
  <c r="O1183" i="3"/>
  <c r="O1119" i="3"/>
  <c r="O1055" i="3"/>
  <c r="O991" i="3"/>
  <c r="O927" i="3"/>
  <c r="O863" i="3"/>
  <c r="O799" i="3"/>
  <c r="O735" i="3"/>
  <c r="O1178" i="3"/>
  <c r="O1114" i="3"/>
  <c r="O1050" i="3"/>
  <c r="O986" i="3"/>
  <c r="O922" i="3"/>
  <c r="O858" i="3"/>
  <c r="O794" i="3"/>
  <c r="O730" i="3"/>
  <c r="O1173" i="3"/>
  <c r="O1109" i="3"/>
  <c r="O1045" i="3"/>
  <c r="O981" i="3"/>
  <c r="O917" i="3"/>
  <c r="O853" i="3"/>
  <c r="O789" i="3"/>
  <c r="O725" i="3"/>
  <c r="O1168" i="3"/>
  <c r="O1104" i="3"/>
  <c r="O1040" i="3"/>
  <c r="O976" i="3"/>
  <c r="O912" i="3"/>
  <c r="O848" i="3"/>
  <c r="O784" i="3"/>
  <c r="O720" i="3"/>
  <c r="O1179" i="3"/>
  <c r="O1115" i="3"/>
  <c r="O1051" i="3"/>
  <c r="O987" i="3"/>
  <c r="O923" i="3"/>
  <c r="O859" i="3"/>
  <c r="O795" i="3"/>
  <c r="O731" i="3"/>
  <c r="O1174" i="3"/>
  <c r="O1110" i="3"/>
  <c r="O1046" i="3"/>
  <c r="O982" i="3"/>
  <c r="O918" i="3"/>
  <c r="O854" i="3"/>
  <c r="O790" i="3"/>
  <c r="O726" i="3"/>
  <c r="O1169" i="3"/>
  <c r="O1105" i="3"/>
  <c r="O1041" i="3"/>
  <c r="O977" i="3"/>
  <c r="O913" i="3"/>
  <c r="O849" i="3"/>
  <c r="O785" i="3"/>
  <c r="O721" i="3"/>
  <c r="O1164" i="3"/>
  <c r="O1100" i="3"/>
  <c r="O1036" i="3"/>
  <c r="O972" i="3"/>
  <c r="O908" i="3"/>
  <c r="O844" i="3"/>
  <c r="O780" i="3"/>
  <c r="O716" i="3"/>
  <c r="O1175" i="3"/>
  <c r="O1111" i="3"/>
  <c r="O1047" i="3"/>
  <c r="O983" i="3"/>
  <c r="O919" i="3"/>
  <c r="O855" i="3"/>
  <c r="O791" i="3"/>
  <c r="O727" i="3"/>
  <c r="O1170" i="3"/>
  <c r="O1106" i="3"/>
  <c r="O1042" i="3"/>
  <c r="O978" i="3"/>
  <c r="O914" i="3"/>
  <c r="O850" i="3"/>
  <c r="O786" i="3"/>
  <c r="O722" i="3"/>
  <c r="O1165" i="3"/>
  <c r="O1101" i="3"/>
  <c r="O1037" i="3"/>
  <c r="O973" i="3"/>
  <c r="O909" i="3"/>
  <c r="O845" i="3"/>
  <c r="O781" i="3"/>
  <c r="O717" i="3"/>
  <c r="O1160" i="3"/>
  <c r="O1096" i="3"/>
  <c r="O1032" i="3"/>
  <c r="O968" i="3"/>
  <c r="O904" i="3"/>
  <c r="O840" i="3"/>
  <c r="O776" i="3"/>
  <c r="O712" i="3"/>
  <c r="O689" i="3"/>
  <c r="L12" i="3"/>
  <c r="O691" i="3"/>
  <c r="O618" i="3"/>
  <c r="O621" i="3"/>
  <c r="L38" i="3"/>
  <c r="K14" i="3"/>
  <c r="O687" i="3"/>
  <c r="O614" i="3"/>
  <c r="O633" i="3"/>
  <c r="L10" i="3"/>
  <c r="L36" i="3"/>
  <c r="K18" i="3"/>
  <c r="K12" i="3"/>
  <c r="O683" i="3"/>
  <c r="O674" i="3"/>
  <c r="O610" i="3"/>
  <c r="O693" i="3"/>
  <c r="O629" i="3"/>
  <c r="O655" i="3"/>
  <c r="L14" i="3"/>
  <c r="L8" i="3"/>
  <c r="O679" i="3"/>
  <c r="O625" i="3"/>
  <c r="K33" i="3"/>
  <c r="O698" i="3"/>
  <c r="O651" i="3"/>
  <c r="O627" i="3"/>
  <c r="L16" i="3"/>
  <c r="K27" i="3"/>
  <c r="O694" i="3"/>
  <c r="O635" i="3"/>
  <c r="O656" i="3"/>
  <c r="L23" i="3"/>
  <c r="K9" i="3"/>
  <c r="K34" i="3"/>
  <c r="K28" i="3"/>
  <c r="O667" i="3"/>
  <c r="O658" i="3"/>
  <c r="O672" i="3"/>
  <c r="O677" i="3"/>
  <c r="O613" i="3"/>
  <c r="L5" i="3"/>
  <c r="L30" i="3"/>
  <c r="L24" i="3"/>
  <c r="K6" i="3"/>
  <c r="K35" i="3"/>
  <c r="L27" i="3"/>
  <c r="K38" i="3"/>
  <c r="K29" i="3"/>
  <c r="O670" i="3"/>
  <c r="O643" i="3"/>
  <c r="K23" i="3"/>
  <c r="O682" i="3"/>
  <c r="O685" i="3"/>
  <c r="L13" i="3"/>
  <c r="L32" i="3"/>
  <c r="K8" i="3"/>
  <c r="O678" i="3"/>
  <c r="O697" i="3"/>
  <c r="O612" i="3"/>
  <c r="L39" i="3"/>
  <c r="K25" i="3"/>
  <c r="K15" i="3"/>
  <c r="K4" i="3"/>
  <c r="O631" i="3"/>
  <c r="O642" i="3"/>
  <c r="O624" i="3"/>
  <c r="O661" i="3"/>
  <c r="O684" i="3"/>
  <c r="L21" i="3"/>
  <c r="L11" i="3"/>
  <c r="L40" i="3"/>
  <c r="K22" i="3"/>
  <c r="K16" i="3"/>
  <c r="L37" i="3"/>
  <c r="K32" i="3"/>
  <c r="K19" i="3"/>
  <c r="O692" i="3"/>
  <c r="L18" i="3"/>
  <c r="O639" i="3"/>
  <c r="O634" i="3"/>
  <c r="O637" i="3"/>
  <c r="L22" i="3"/>
  <c r="K37" i="3"/>
  <c r="O615" i="3"/>
  <c r="O630" i="3"/>
  <c r="O649" i="3"/>
  <c r="L33" i="3"/>
  <c r="L20" i="3"/>
  <c r="K41" i="3"/>
  <c r="K31" i="3"/>
  <c r="O699" i="3"/>
  <c r="O690" i="3"/>
  <c r="O626" i="3"/>
  <c r="O623" i="3"/>
  <c r="O645" i="3"/>
  <c r="O644" i="3"/>
  <c r="K13" i="3"/>
  <c r="P1083" i="3" l="1"/>
  <c r="Q1083" i="3"/>
  <c r="P969" i="3"/>
  <c r="Q969" i="3"/>
  <c r="Q896" i="3"/>
  <c r="P896" i="3"/>
  <c r="P837" i="3"/>
  <c r="Q837" i="3"/>
  <c r="P1046" i="3"/>
  <c r="Q1046" i="3"/>
  <c r="P1077" i="3"/>
  <c r="Q1077" i="3"/>
  <c r="Q1018" i="3"/>
  <c r="P1018" i="3"/>
  <c r="Q935" i="3"/>
  <c r="P935" i="3"/>
  <c r="Q835" i="3"/>
  <c r="P835" i="3"/>
  <c r="P1067" i="3"/>
  <c r="Q1067" i="3"/>
  <c r="Q674" i="3"/>
  <c r="P674" i="3"/>
  <c r="P1155" i="3"/>
  <c r="Q1155" i="3"/>
  <c r="Q1001" i="3"/>
  <c r="P1001" i="3"/>
  <c r="Q1173" i="3"/>
  <c r="P1173" i="3"/>
  <c r="P1157" i="3"/>
  <c r="Q1157" i="3"/>
  <c r="Q982" i="3"/>
  <c r="P982" i="3"/>
  <c r="P1123" i="3"/>
  <c r="Q1123" i="3"/>
  <c r="P803" i="3"/>
  <c r="Q803" i="3"/>
  <c r="Q1195" i="3"/>
  <c r="P1195" i="3"/>
  <c r="Q849" i="3"/>
  <c r="P849" i="3"/>
  <c r="P1203" i="3"/>
  <c r="Q1203" i="3"/>
  <c r="P976" i="3"/>
  <c r="Q976" i="3"/>
  <c r="Q1125" i="3"/>
  <c r="P1125" i="3"/>
  <c r="P663" i="3"/>
  <c r="Q663" i="3"/>
  <c r="P1061" i="3"/>
  <c r="Q1061" i="3"/>
  <c r="P937" i="3"/>
  <c r="Q937" i="3"/>
  <c r="Q1126" i="3"/>
  <c r="P1126" i="3"/>
  <c r="P1205" i="3"/>
  <c r="Q1205" i="3"/>
  <c r="Q802" i="3"/>
  <c r="P802" i="3"/>
  <c r="P886" i="3"/>
  <c r="Q886" i="3"/>
  <c r="Q1189" i="3"/>
  <c r="P1189" i="3"/>
  <c r="P944" i="3"/>
  <c r="Q944" i="3"/>
  <c r="P1105" i="3"/>
  <c r="Q1105" i="3"/>
  <c r="Q1171" i="3"/>
  <c r="P1171" i="3"/>
  <c r="Q961" i="3"/>
  <c r="P961" i="3"/>
  <c r="Q733" i="3"/>
  <c r="P733" i="3"/>
  <c r="Q817" i="3"/>
  <c r="P817" i="3"/>
  <c r="Q853" i="3"/>
  <c r="P853" i="3"/>
  <c r="P1074" i="3"/>
  <c r="Q1074" i="3"/>
  <c r="P1177" i="3"/>
  <c r="Q1177" i="3"/>
  <c r="Q1139" i="3"/>
  <c r="P1139" i="3"/>
  <c r="P979" i="3"/>
  <c r="Q979" i="3"/>
  <c r="Q1110" i="3"/>
  <c r="P1110" i="3"/>
  <c r="Q872" i="3"/>
  <c r="P872" i="3"/>
  <c r="P1008" i="3"/>
  <c r="Q1008" i="3"/>
  <c r="Q610" i="3"/>
  <c r="P610" i="3"/>
  <c r="P1045" i="3"/>
  <c r="Q1045" i="3"/>
  <c r="Q918" i="3"/>
  <c r="P918" i="3"/>
  <c r="Q1149" i="3"/>
  <c r="P1149" i="3"/>
  <c r="P915" i="3"/>
  <c r="Q915" i="3"/>
  <c r="Q878" i="3"/>
  <c r="P878" i="3"/>
  <c r="Q974" i="3"/>
  <c r="P974" i="3"/>
  <c r="Q681" i="3"/>
  <c r="P681" i="3"/>
  <c r="Q1160" i="3"/>
  <c r="P1160" i="3"/>
  <c r="P1099" i="3"/>
  <c r="Q1099" i="3"/>
  <c r="Q903" i="3"/>
  <c r="P903" i="3"/>
  <c r="P1134" i="3"/>
  <c r="Q1134" i="3"/>
  <c r="P843" i="3"/>
  <c r="Q843" i="3"/>
  <c r="P1138" i="3"/>
  <c r="Q1138" i="3"/>
  <c r="Q806" i="3"/>
  <c r="P806" i="3"/>
  <c r="P984" i="3"/>
  <c r="Q984" i="3"/>
  <c r="P1059" i="3"/>
  <c r="Q1059" i="3"/>
  <c r="Q827" i="3"/>
  <c r="P827" i="3"/>
  <c r="P1023" i="3"/>
  <c r="Q1023" i="3"/>
  <c r="P917" i="3"/>
  <c r="Q917" i="3"/>
  <c r="P1148" i="3"/>
  <c r="Q1148" i="3"/>
  <c r="Q947" i="3"/>
  <c r="P947" i="3"/>
  <c r="P763" i="3"/>
  <c r="Q763" i="3"/>
  <c r="P950" i="3"/>
  <c r="Q950" i="3"/>
  <c r="P1113" i="3"/>
  <c r="Q1113" i="3"/>
  <c r="Q995" i="3"/>
  <c r="P995" i="3"/>
  <c r="Q1096" i="3"/>
  <c r="P1096" i="3"/>
  <c r="Q991" i="3"/>
  <c r="P991" i="3"/>
  <c r="Q959" i="3"/>
  <c r="P959" i="3"/>
  <c r="Q942" i="3"/>
  <c r="P942" i="3"/>
  <c r="P1187" i="3"/>
  <c r="Q1187" i="3"/>
  <c r="Q1206" i="3"/>
  <c r="P1206" i="3"/>
  <c r="Q695" i="3"/>
  <c r="P695" i="3"/>
  <c r="P1159" i="3"/>
  <c r="Q1159" i="3"/>
  <c r="P986" i="3"/>
  <c r="Q986" i="3"/>
  <c r="Q1055" i="3"/>
  <c r="P1055" i="3"/>
  <c r="P787" i="3"/>
  <c r="Q787" i="3"/>
  <c r="P921" i="3"/>
  <c r="Q921" i="3"/>
  <c r="Q880" i="3"/>
  <c r="P880" i="3"/>
  <c r="P704" i="3"/>
  <c r="Q704" i="3"/>
  <c r="P929" i="3"/>
  <c r="Q929" i="3"/>
  <c r="Q905" i="3"/>
  <c r="P905" i="3"/>
  <c r="Q673" i="3"/>
  <c r="P673" i="3"/>
  <c r="Q1202" i="3"/>
  <c r="P1202" i="3"/>
  <c r="Q1040" i="3"/>
  <c r="P1040" i="3"/>
  <c r="Q968" i="3"/>
  <c r="P968" i="3"/>
  <c r="P977" i="3"/>
  <c r="Q977" i="3"/>
  <c r="P1091" i="3"/>
  <c r="Q1091" i="3"/>
  <c r="P983" i="3"/>
  <c r="Q983" i="3"/>
  <c r="P1164" i="3"/>
  <c r="Q1164" i="3"/>
  <c r="Q727" i="3"/>
  <c r="P727" i="3"/>
  <c r="Q1132" i="3"/>
  <c r="P1132" i="3"/>
  <c r="Q993" i="3"/>
  <c r="P993" i="3"/>
  <c r="Q1034" i="3"/>
  <c r="P1034" i="3"/>
  <c r="Q1032" i="3"/>
  <c r="P1032" i="3"/>
  <c r="P943" i="3"/>
  <c r="Q943" i="3"/>
  <c r="P747" i="3"/>
  <c r="Q747" i="3"/>
  <c r="P1145" i="3"/>
  <c r="Q1145" i="3"/>
  <c r="P1081" i="3"/>
  <c r="Q1081" i="3"/>
  <c r="P767" i="3"/>
  <c r="Q767" i="3"/>
  <c r="Q1056" i="3"/>
  <c r="P1056" i="3"/>
  <c r="P1025" i="3"/>
  <c r="Q1025" i="3"/>
  <c r="P910" i="3"/>
  <c r="Q910" i="3"/>
  <c r="P631" i="3"/>
  <c r="Q631" i="3"/>
  <c r="Q607" i="3"/>
  <c r="P783" i="3"/>
  <c r="Q783" i="3"/>
  <c r="Q854" i="3"/>
  <c r="P854" i="3"/>
  <c r="Q786" i="3"/>
  <c r="P786" i="3"/>
  <c r="Q1060" i="3"/>
  <c r="P1060" i="3"/>
  <c r="Q949" i="3"/>
  <c r="P949" i="3"/>
  <c r="P1179" i="3"/>
  <c r="Q1179" i="3"/>
  <c r="Q966" i="3"/>
  <c r="P966" i="3"/>
  <c r="Q1200" i="3"/>
  <c r="P1200" i="3"/>
  <c r="Q844" i="3"/>
  <c r="P844" i="3"/>
  <c r="P994" i="3"/>
  <c r="Q994" i="3"/>
  <c r="Q1180" i="3"/>
  <c r="P1180" i="3"/>
  <c r="Q1141" i="3"/>
  <c r="P1141" i="3"/>
  <c r="P1158" i="3"/>
  <c r="Q1158" i="3"/>
  <c r="P865" i="3"/>
  <c r="Q865" i="3"/>
  <c r="P1109" i="3"/>
  <c r="Q1109" i="3"/>
  <c r="P1064" i="3"/>
  <c r="Q1064" i="3"/>
  <c r="Q936" i="3"/>
  <c r="P936" i="3"/>
  <c r="Q821" i="3"/>
  <c r="P821" i="3"/>
  <c r="P833" i="3"/>
  <c r="Q833" i="3"/>
  <c r="Q1112" i="3"/>
  <c r="P1112" i="3"/>
  <c r="Q1093" i="3"/>
  <c r="P1093" i="3"/>
  <c r="P1156" i="3"/>
  <c r="Q1156" i="3"/>
  <c r="Q1013" i="3"/>
  <c r="P1013" i="3"/>
  <c r="Q930" i="3"/>
  <c r="P930" i="3"/>
  <c r="Q928" i="3"/>
  <c r="P928" i="3"/>
  <c r="P1174" i="3"/>
  <c r="Q1174" i="3"/>
  <c r="P1080" i="3"/>
  <c r="Q1080" i="3"/>
  <c r="P1000" i="3"/>
  <c r="Q1000" i="3"/>
  <c r="Q1131" i="3"/>
  <c r="P1131" i="3"/>
  <c r="Q1073" i="3"/>
  <c r="P1073" i="3"/>
  <c r="Q1190" i="3"/>
  <c r="P1190" i="3"/>
  <c r="Q1142" i="3"/>
  <c r="P1142" i="3"/>
  <c r="P967" i="3"/>
  <c r="Q967" i="3"/>
  <c r="Q1048" i="3"/>
  <c r="P1048" i="3"/>
  <c r="Q1198" i="3"/>
  <c r="P1198" i="3"/>
  <c r="P1127" i="3"/>
  <c r="Q1127" i="3"/>
  <c r="Q1095" i="3"/>
  <c r="P1095" i="3"/>
  <c r="P1196" i="3"/>
  <c r="Q1196" i="3"/>
  <c r="Q1116" i="3"/>
  <c r="P1116" i="3"/>
  <c r="Q1035" i="3"/>
  <c r="P1035" i="3"/>
  <c r="Q1118" i="3"/>
  <c r="P1118" i="3"/>
  <c r="P901" i="3"/>
  <c r="Q901" i="3"/>
  <c r="P1079" i="3"/>
  <c r="Q1079" i="3"/>
  <c r="P879" i="3"/>
  <c r="Q879" i="3"/>
  <c r="P881" i="3"/>
  <c r="Q881" i="3"/>
  <c r="P655" i="3"/>
  <c r="Q655" i="3"/>
  <c r="P913" i="3"/>
  <c r="Q913" i="3"/>
  <c r="P856" i="3"/>
  <c r="Q856" i="3"/>
  <c r="Q1103" i="3"/>
  <c r="P1103" i="3"/>
  <c r="Q809" i="3"/>
  <c r="P809" i="3"/>
  <c r="P736" i="3"/>
  <c r="Q736" i="3"/>
  <c r="Q625" i="3"/>
  <c r="P625" i="3"/>
  <c r="Q953" i="3"/>
  <c r="P953" i="3"/>
  <c r="P1114" i="3"/>
  <c r="Q1114" i="3"/>
  <c r="Q808" i="3"/>
  <c r="P808" i="3"/>
  <c r="Q889" i="3"/>
  <c r="P889" i="3"/>
  <c r="Q952" i="3"/>
  <c r="P952" i="3"/>
  <c r="P811" i="3"/>
  <c r="Q811" i="3"/>
  <c r="P1151" i="3"/>
  <c r="Q1151" i="3"/>
  <c r="Q1169" i="3"/>
  <c r="P1169" i="3"/>
  <c r="Q998" i="3"/>
  <c r="P998" i="3"/>
  <c r="P992" i="3"/>
  <c r="Q992" i="3"/>
  <c r="Q1047" i="3"/>
  <c r="P1047" i="3"/>
  <c r="Q710" i="3"/>
  <c r="P710" i="3"/>
  <c r="Q1106" i="3"/>
  <c r="P1106" i="3"/>
  <c r="Q1137" i="3"/>
  <c r="P1137" i="3"/>
  <c r="P1009" i="3"/>
  <c r="Q1009" i="3"/>
  <c r="Q1038" i="3"/>
  <c r="P1038" i="3"/>
  <c r="Q840" i="3"/>
  <c r="P840" i="3"/>
  <c r="P1086" i="3"/>
  <c r="Q1086" i="3"/>
  <c r="Q869" i="3"/>
  <c r="P869" i="3"/>
  <c r="P900" i="3"/>
  <c r="Q900" i="3"/>
  <c r="Q762" i="3"/>
  <c r="P762" i="3"/>
  <c r="P834" i="3"/>
  <c r="Q834" i="3"/>
  <c r="Q1014" i="3"/>
  <c r="P1014" i="3"/>
  <c r="P818" i="3"/>
  <c r="Q818" i="3"/>
  <c r="Q664" i="3"/>
  <c r="P664" i="3"/>
  <c r="P1152" i="3"/>
  <c r="Q1152" i="3"/>
  <c r="Q1063" i="3"/>
  <c r="P1063" i="3"/>
  <c r="P1120" i="3"/>
  <c r="Q1120" i="3"/>
  <c r="P1182" i="3"/>
  <c r="Q1182" i="3"/>
  <c r="P1183" i="3"/>
  <c r="Q1183" i="3"/>
  <c r="P1104" i="3"/>
  <c r="Q1104" i="3"/>
  <c r="Q743" i="3"/>
  <c r="P743" i="3"/>
  <c r="Q948" i="3"/>
  <c r="P948" i="3"/>
  <c r="Q975" i="3"/>
  <c r="P975" i="3"/>
  <c r="P1031" i="3"/>
  <c r="Q1031" i="3"/>
  <c r="Q690" i="3"/>
  <c r="P690" i="3"/>
  <c r="P1042" i="3"/>
  <c r="Q1042" i="3"/>
  <c r="Q709" i="3"/>
  <c r="P709" i="3"/>
  <c r="Q1002" i="3"/>
  <c r="P1002" i="3"/>
  <c r="P1191" i="3"/>
  <c r="Q1191" i="3"/>
  <c r="Q766" i="3"/>
  <c r="P766" i="3"/>
  <c r="Q800" i="3"/>
  <c r="P800" i="3"/>
  <c r="P847" i="3"/>
  <c r="Q847" i="3"/>
  <c r="Q894" i="3"/>
  <c r="P894" i="3"/>
  <c r="P1181" i="3"/>
  <c r="Q1181" i="3"/>
  <c r="Q960" i="3"/>
  <c r="P960" i="3"/>
  <c r="P941" i="3"/>
  <c r="Q941" i="3"/>
  <c r="P870" i="3"/>
  <c r="Q870" i="3"/>
  <c r="P1170" i="3"/>
  <c r="Q1170" i="3"/>
  <c r="Q1192" i="3"/>
  <c r="P1192" i="3"/>
  <c r="Q731" i="3"/>
  <c r="P731" i="3"/>
  <c r="P1049" i="3"/>
  <c r="Q1049" i="3"/>
  <c r="Q988" i="3"/>
  <c r="P988" i="3"/>
  <c r="P1146" i="3"/>
  <c r="Q1146" i="3"/>
  <c r="P1100" i="3"/>
  <c r="Q1100" i="3"/>
  <c r="P989" i="3"/>
  <c r="Q989" i="3"/>
  <c r="Q699" i="3"/>
  <c r="P699" i="3"/>
  <c r="Q678" i="3"/>
  <c r="P678" i="3"/>
  <c r="Q757" i="3"/>
  <c r="P757" i="3"/>
  <c r="P868" i="3"/>
  <c r="Q868" i="3"/>
  <c r="Q700" i="3"/>
  <c r="P700" i="3"/>
  <c r="Q1115" i="3"/>
  <c r="P1115" i="3"/>
  <c r="Q851" i="3"/>
  <c r="P851" i="3"/>
  <c r="P883" i="3"/>
  <c r="Q883" i="3"/>
  <c r="P1024" i="3"/>
  <c r="Q1024" i="3"/>
  <c r="P951" i="3"/>
  <c r="Q951" i="3"/>
  <c r="P791" i="3"/>
  <c r="Q791" i="3"/>
  <c r="P1039" i="3"/>
  <c r="Q1039" i="3"/>
  <c r="Q1128" i="3"/>
  <c r="P1128" i="3"/>
  <c r="P884" i="3"/>
  <c r="Q884" i="3"/>
  <c r="P866" i="3"/>
  <c r="Q866" i="3"/>
  <c r="P768" i="3"/>
  <c r="Q768" i="3"/>
  <c r="Q945" i="3"/>
  <c r="P945" i="3"/>
  <c r="P1140" i="3"/>
  <c r="Q1140" i="3"/>
  <c r="P1016" i="3"/>
  <c r="Q1016" i="3"/>
  <c r="P1204" i="3"/>
  <c r="Q1204" i="3"/>
  <c r="Q1070" i="3"/>
  <c r="P1070" i="3"/>
  <c r="Q832" i="3"/>
  <c r="P832" i="3"/>
  <c r="P1087" i="3"/>
  <c r="Q1087" i="3"/>
  <c r="Q749" i="3"/>
  <c r="P749" i="3"/>
  <c r="Q858" i="3"/>
  <c r="P858" i="3"/>
  <c r="P1085" i="3"/>
  <c r="Q1085" i="3"/>
  <c r="P934" i="3"/>
  <c r="Q934" i="3"/>
  <c r="Q857" i="3"/>
  <c r="P857" i="3"/>
  <c r="Q1133" i="3"/>
  <c r="P1133" i="3"/>
  <c r="P1107" i="3"/>
  <c r="Q1107" i="3"/>
  <c r="P1143" i="3"/>
  <c r="Q1143" i="3"/>
  <c r="P1178" i="3"/>
  <c r="Q1178" i="3"/>
  <c r="Q1017" i="3"/>
  <c r="P1017" i="3"/>
  <c r="P1078" i="3"/>
  <c r="Q1078" i="3"/>
  <c r="P1163" i="3"/>
  <c r="Q1163" i="3"/>
  <c r="P895" i="3"/>
  <c r="Q895" i="3"/>
  <c r="P716" i="3"/>
  <c r="Q716" i="3"/>
  <c r="Q1162" i="3"/>
  <c r="P1162" i="3"/>
  <c r="Q939" i="3"/>
  <c r="P939" i="3"/>
  <c r="P1057" i="3"/>
  <c r="Q1057" i="3"/>
  <c r="P785" i="3"/>
  <c r="Q785" i="3"/>
  <c r="P842" i="3"/>
  <c r="Q842" i="3"/>
  <c r="Q814" i="3"/>
  <c r="P814" i="3"/>
  <c r="P825" i="3"/>
  <c r="Q825" i="3"/>
  <c r="Q778" i="3"/>
  <c r="P778" i="3"/>
  <c r="P735" i="3"/>
  <c r="Q735" i="3"/>
  <c r="P792" i="3"/>
  <c r="Q792" i="3"/>
  <c r="Q1053" i="3"/>
  <c r="P1053" i="3"/>
  <c r="Q781" i="3"/>
  <c r="P781" i="3"/>
  <c r="Q897" i="3"/>
  <c r="P897" i="3"/>
  <c r="Q920" i="3"/>
  <c r="P920" i="3"/>
  <c r="P923" i="3"/>
  <c r="Q923" i="3"/>
  <c r="P1167" i="3"/>
  <c r="Q1167" i="3"/>
  <c r="Q990" i="3"/>
  <c r="P990" i="3"/>
  <c r="Q1098" i="3"/>
  <c r="P1098" i="3"/>
  <c r="Q1161" i="3"/>
  <c r="P1161" i="3"/>
  <c r="P1121" i="3"/>
  <c r="Q1121" i="3"/>
  <c r="P963" i="3"/>
  <c r="Q963" i="3"/>
  <c r="P841" i="3"/>
  <c r="Q841" i="3"/>
  <c r="P1197" i="3"/>
  <c r="Q1197" i="3"/>
  <c r="Q1117" i="3"/>
  <c r="P1117" i="3"/>
  <c r="Q922" i="3"/>
  <c r="P922" i="3"/>
  <c r="P1184" i="3"/>
  <c r="Q1184" i="3"/>
  <c r="Q624" i="3"/>
  <c r="P624" i="3"/>
  <c r="Q732" i="3"/>
  <c r="P732" i="3"/>
  <c r="P1027" i="3"/>
  <c r="Q1027" i="3"/>
  <c r="P1058" i="3"/>
  <c r="Q1058" i="3"/>
  <c r="P902" i="3"/>
  <c r="Q902" i="3"/>
  <c r="Q642" i="3"/>
  <c r="P642" i="3"/>
  <c r="P1069" i="3"/>
  <c r="Q1069" i="3"/>
  <c r="Q708" i="3"/>
  <c r="P708" i="3"/>
  <c r="P679" i="3"/>
  <c r="Q679" i="3"/>
  <c r="Q777" i="3"/>
  <c r="P777" i="3"/>
  <c r="Q958" i="3"/>
  <c r="P958" i="3"/>
  <c r="P1094" i="3"/>
  <c r="Q1094" i="3"/>
  <c r="P1175" i="3"/>
  <c r="Q1175" i="3"/>
  <c r="P871" i="3"/>
  <c r="Q871" i="3"/>
  <c r="P898" i="3"/>
  <c r="Q898" i="3"/>
  <c r="P1172" i="3"/>
  <c r="Q1172" i="3"/>
  <c r="Q1150" i="3"/>
  <c r="P1150" i="3"/>
  <c r="Q916" i="3"/>
  <c r="P916" i="3"/>
  <c r="Q848" i="3"/>
  <c r="P848" i="3"/>
  <c r="Q1020" i="3"/>
  <c r="P1020" i="3"/>
  <c r="Q759" i="3"/>
  <c r="P759" i="3"/>
  <c r="Q684" i="3"/>
  <c r="P684" i="3"/>
  <c r="Q1007" i="3"/>
  <c r="P1007" i="3"/>
  <c r="Q671" i="3"/>
  <c r="P671" i="3"/>
  <c r="Q980" i="3"/>
  <c r="P980" i="3"/>
  <c r="P807" i="3"/>
  <c r="Q807" i="3"/>
  <c r="P751" i="3"/>
  <c r="Q751" i="3"/>
  <c r="Q1144" i="3"/>
  <c r="P1144" i="3"/>
  <c r="P1005" i="3"/>
  <c r="Q1005" i="3"/>
  <c r="P634" i="3"/>
  <c r="Q634" i="3"/>
  <c r="Q1129" i="3"/>
  <c r="P1129" i="3"/>
  <c r="P754" i="3"/>
  <c r="Q754" i="3"/>
  <c r="Q987" i="3"/>
  <c r="P987" i="3"/>
  <c r="P1088" i="3"/>
  <c r="Q1088" i="3"/>
  <c r="P1188" i="3"/>
  <c r="Q1188" i="3"/>
  <c r="P1102" i="3"/>
  <c r="Q1102" i="3"/>
  <c r="Q734" i="3"/>
  <c r="P734" i="3"/>
  <c r="P828" i="3"/>
  <c r="Q828" i="3"/>
  <c r="Q621" i="3"/>
  <c r="P621" i="3"/>
  <c r="P1003" i="3"/>
  <c r="Q1003" i="3"/>
  <c r="Q1199" i="3"/>
  <c r="P1199" i="3"/>
  <c r="P1122" i="3"/>
  <c r="Q1122" i="3"/>
  <c r="P1176" i="3"/>
  <c r="Q1176" i="3"/>
  <c r="Q985" i="3"/>
  <c r="P985" i="3"/>
  <c r="P862" i="3"/>
  <c r="Q862" i="3"/>
  <c r="P1166" i="3"/>
  <c r="Q1166" i="3"/>
  <c r="Q773" i="3"/>
  <c r="P773" i="3"/>
  <c r="Q788" i="3"/>
  <c r="P788" i="3"/>
  <c r="Q794" i="3"/>
  <c r="P794" i="3"/>
  <c r="P782" i="3"/>
  <c r="Q782" i="3"/>
  <c r="P703" i="3"/>
  <c r="Q703" i="3"/>
  <c r="P705" i="3"/>
  <c r="Q705" i="3"/>
  <c r="P702" i="3"/>
  <c r="Q702" i="3"/>
  <c r="P1201" i="3"/>
  <c r="Q1201" i="3"/>
  <c r="P1021" i="3"/>
  <c r="Q1021" i="3"/>
  <c r="P1092" i="3"/>
  <c r="Q1092" i="3"/>
  <c r="P1044" i="3"/>
  <c r="Q1044" i="3"/>
  <c r="P933" i="3"/>
  <c r="Q933" i="3"/>
  <c r="P863" i="3"/>
  <c r="Q863" i="3"/>
  <c r="P1130" i="3"/>
  <c r="Q1130" i="3"/>
  <c r="Q819" i="3"/>
  <c r="P819" i="3"/>
  <c r="Q635" i="3"/>
  <c r="P635" i="3"/>
  <c r="P761" i="3"/>
  <c r="Q761" i="3"/>
  <c r="Q730" i="3"/>
  <c r="P730" i="3"/>
  <c r="Q1124" i="3"/>
  <c r="P1124" i="3"/>
  <c r="P1065" i="3"/>
  <c r="Q1065" i="3"/>
  <c r="P1010" i="3"/>
  <c r="Q1010" i="3"/>
  <c r="Q719" i="3"/>
  <c r="P719" i="3"/>
  <c r="Q724" i="3"/>
  <c r="P724" i="3"/>
  <c r="Q752" i="3"/>
  <c r="P752" i="3"/>
  <c r="Q662" i="3"/>
  <c r="P662" i="3"/>
  <c r="P779" i="3"/>
  <c r="Q779" i="3"/>
  <c r="P1165" i="3"/>
  <c r="Q1165" i="3"/>
  <c r="Q746" i="3"/>
  <c r="P746" i="3"/>
  <c r="P999" i="3"/>
  <c r="Q999" i="3"/>
  <c r="Q931" i="3"/>
  <c r="P931" i="3"/>
  <c r="Q956" i="3"/>
  <c r="P956" i="3"/>
  <c r="P962" i="3"/>
  <c r="Q962" i="3"/>
  <c r="Q957" i="3"/>
  <c r="P957" i="3"/>
  <c r="Q826" i="3"/>
  <c r="P826" i="3"/>
  <c r="Q1119" i="3"/>
  <c r="P1119" i="3"/>
  <c r="P926" i="3"/>
  <c r="Q926" i="3"/>
  <c r="P824" i="3"/>
  <c r="Q824" i="3"/>
  <c r="Q1041" i="3"/>
  <c r="P1041" i="3"/>
  <c r="Q1135" i="3"/>
  <c r="P1135" i="3"/>
  <c r="P643" i="3"/>
  <c r="Q643" i="3"/>
  <c r="Q784" i="3"/>
  <c r="P784" i="3"/>
  <c r="P725" i="3"/>
  <c r="Q725" i="3"/>
  <c r="Q908" i="3"/>
  <c r="P908" i="3"/>
  <c r="Q927" i="3"/>
  <c r="P927" i="3"/>
  <c r="P742" i="3"/>
  <c r="Q742" i="3"/>
  <c r="P1072" i="3"/>
  <c r="Q1072" i="3"/>
  <c r="Q1026" i="3"/>
  <c r="P1026" i="3"/>
  <c r="Q1089" i="3"/>
  <c r="P1089" i="3"/>
  <c r="Q882" i="3"/>
  <c r="P882" i="3"/>
  <c r="Q823" i="3"/>
  <c r="P823" i="3"/>
  <c r="P665" i="3"/>
  <c r="Q665" i="3"/>
  <c r="P971" i="3"/>
  <c r="Q971" i="3"/>
  <c r="P626" i="3"/>
  <c r="Q626" i="3"/>
  <c r="P1015" i="3"/>
  <c r="Q1015" i="3"/>
  <c r="Q693" i="3"/>
  <c r="P693" i="3"/>
  <c r="Q1075" i="3"/>
  <c r="P1075" i="3"/>
  <c r="P885" i="3"/>
  <c r="Q885" i="3"/>
  <c r="P1194" i="3"/>
  <c r="Q1194" i="3"/>
  <c r="Q954" i="3"/>
  <c r="P954" i="3"/>
  <c r="Q760" i="3"/>
  <c r="P760" i="3"/>
  <c r="P670" i="3"/>
  <c r="Q670" i="3"/>
  <c r="P1136" i="3"/>
  <c r="Q1136" i="3"/>
  <c r="P623" i="3"/>
  <c r="Q623" i="3"/>
  <c r="P812" i="3"/>
  <c r="Q812" i="3"/>
  <c r="Q720" i="3"/>
  <c r="P720" i="3"/>
  <c r="P838" i="3"/>
  <c r="Q838" i="3"/>
  <c r="Q1185" i="3"/>
  <c r="P1185" i="3"/>
  <c r="Q661" i="3"/>
  <c r="P661" i="3"/>
  <c r="P728" i="3"/>
  <c r="Q728" i="3"/>
  <c r="Q877" i="3"/>
  <c r="P877" i="3"/>
  <c r="Q981" i="3"/>
  <c r="P981" i="3"/>
  <c r="Q1028" i="3"/>
  <c r="P1028" i="3"/>
  <c r="Q765" i="3"/>
  <c r="P765" i="3"/>
  <c r="Q1108" i="3"/>
  <c r="P1108" i="3"/>
  <c r="Q795" i="3"/>
  <c r="P795" i="3"/>
  <c r="P696" i="3"/>
  <c r="Q696" i="3"/>
  <c r="Q1022" i="3"/>
  <c r="P1022" i="3"/>
  <c r="P861" i="3"/>
  <c r="Q861" i="3"/>
  <c r="P698" i="3"/>
  <c r="Q698" i="3"/>
  <c r="Q859" i="3"/>
  <c r="P859" i="3"/>
  <c r="Q830" i="3"/>
  <c r="P830" i="3"/>
  <c r="P729" i="3"/>
  <c r="Q729" i="3"/>
  <c r="P1147" i="3"/>
  <c r="Q1147" i="3"/>
  <c r="Q771" i="3"/>
  <c r="P771" i="3"/>
  <c r="P633" i="3"/>
  <c r="Q633" i="3"/>
  <c r="Q707" i="3"/>
  <c r="P707" i="3"/>
  <c r="Q706" i="3"/>
  <c r="P706" i="3"/>
  <c r="P1097" i="3"/>
  <c r="Q1097" i="3"/>
  <c r="P946" i="3"/>
  <c r="Q946" i="3"/>
  <c r="P1004" i="3"/>
  <c r="Q1004" i="3"/>
  <c r="P685" i="3"/>
  <c r="Q685" i="3"/>
  <c r="Q646" i="3"/>
  <c r="P646" i="3"/>
  <c r="Q1050" i="3"/>
  <c r="P1050" i="3"/>
  <c r="Q839" i="3"/>
  <c r="P839" i="3"/>
  <c r="Q1043" i="3"/>
  <c r="P1043" i="3"/>
  <c r="P892" i="3"/>
  <c r="Q892" i="3"/>
  <c r="P904" i="3"/>
  <c r="Q904" i="3"/>
  <c r="Q717" i="3"/>
  <c r="P717" i="3"/>
  <c r="Q780" i="3"/>
  <c r="P780" i="3"/>
  <c r="P701" i="3"/>
  <c r="Q701" i="3"/>
  <c r="P845" i="3"/>
  <c r="Q845" i="3"/>
  <c r="P726" i="3"/>
  <c r="Q726" i="3"/>
  <c r="Q712" i="3"/>
  <c r="P712" i="3"/>
  <c r="Q609" i="3"/>
  <c r="P609" i="3"/>
  <c r="P893" i="3"/>
  <c r="Q893" i="3"/>
  <c r="P1076" i="3"/>
  <c r="Q1076" i="3"/>
  <c r="Q772" i="3"/>
  <c r="P772" i="3"/>
  <c r="Q1052" i="3"/>
  <c r="P1052" i="3"/>
  <c r="Q613" i="3"/>
  <c r="P613" i="3"/>
  <c r="Q914" i="3"/>
  <c r="P914" i="3"/>
  <c r="P713" i="3"/>
  <c r="Q713" i="3"/>
  <c r="Q829" i="3"/>
  <c r="P829" i="3"/>
  <c r="Q799" i="3"/>
  <c r="P799" i="3"/>
  <c r="P647" i="3"/>
  <c r="Q647" i="3"/>
  <c r="Q1019" i="3"/>
  <c r="P1019" i="3"/>
  <c r="P864" i="3"/>
  <c r="Q864" i="3"/>
  <c r="Q996" i="3"/>
  <c r="P996" i="3"/>
  <c r="Q774" i="3"/>
  <c r="P774" i="3"/>
  <c r="Q932" i="3"/>
  <c r="P932" i="3"/>
  <c r="P764" i="3"/>
  <c r="Q764" i="3"/>
  <c r="Q1186" i="3"/>
  <c r="P1186" i="3"/>
  <c r="Q1037" i="3"/>
  <c r="P1037" i="3"/>
  <c r="P756" i="3"/>
  <c r="Q756" i="3"/>
  <c r="P855" i="3"/>
  <c r="Q855" i="3"/>
  <c r="Q973" i="3"/>
  <c r="P973" i="3"/>
  <c r="P1084" i="3"/>
  <c r="Q1084" i="3"/>
  <c r="P810" i="3"/>
  <c r="Q810" i="3"/>
  <c r="P769" i="3"/>
  <c r="Q769" i="3"/>
  <c r="Q750" i="3"/>
  <c r="P750" i="3"/>
  <c r="P657" i="3"/>
  <c r="Q657" i="3"/>
  <c r="P620" i="3"/>
  <c r="Q620" i="3"/>
  <c r="Q615" i="3"/>
  <c r="P615" i="3"/>
  <c r="P660" i="3"/>
  <c r="Q660" i="3"/>
  <c r="Q1193" i="3"/>
  <c r="P1193" i="3"/>
  <c r="P1153" i="3"/>
  <c r="Q1153" i="3"/>
  <c r="Q965" i="3"/>
  <c r="P965" i="3"/>
  <c r="Q940" i="3"/>
  <c r="P940" i="3"/>
  <c r="Q758" i="3"/>
  <c r="P758" i="3"/>
  <c r="Q689" i="3"/>
  <c r="P689" i="3"/>
  <c r="P938" i="3"/>
  <c r="Q938" i="3"/>
  <c r="P628" i="3"/>
  <c r="Q628" i="3"/>
  <c r="P688" i="3"/>
  <c r="Q688" i="3"/>
  <c r="Q813" i="3"/>
  <c r="P813" i="3"/>
  <c r="Q649" i="3"/>
  <c r="P649" i="3"/>
  <c r="Q723" i="3"/>
  <c r="P723" i="3"/>
  <c r="Q1111" i="3"/>
  <c r="P1111" i="3"/>
  <c r="P876" i="3"/>
  <c r="Q876" i="3"/>
  <c r="P611" i="3"/>
  <c r="Q611" i="3"/>
  <c r="Q632" i="3"/>
  <c r="P632" i="3"/>
  <c r="Q890" i="3"/>
  <c r="P890" i="3"/>
  <c r="P694" i="3"/>
  <c r="Q694" i="3"/>
  <c r="P1066" i="3"/>
  <c r="Q1066" i="3"/>
  <c r="Q888" i="3"/>
  <c r="P888" i="3"/>
  <c r="P667" i="3"/>
  <c r="Q667" i="3"/>
  <c r="Q668" i="3"/>
  <c r="P668" i="3"/>
  <c r="Q1012" i="3"/>
  <c r="P1012" i="3"/>
  <c r="P836" i="3"/>
  <c r="Q836" i="3"/>
  <c r="P909" i="3"/>
  <c r="Q909" i="3"/>
  <c r="P867" i="3"/>
  <c r="Q867" i="3"/>
  <c r="Q846" i="3"/>
  <c r="P846" i="3"/>
  <c r="P650" i="3"/>
  <c r="Q650" i="3"/>
  <c r="P739" i="3"/>
  <c r="Q739" i="3"/>
  <c r="P672" i="3"/>
  <c r="Q672" i="3"/>
  <c r="Q873" i="3"/>
  <c r="P873" i="3"/>
  <c r="Q775" i="3"/>
  <c r="P775" i="3"/>
  <c r="P912" i="3"/>
  <c r="Q912" i="3"/>
  <c r="Q789" i="3"/>
  <c r="P789" i="3"/>
  <c r="Q925" i="3"/>
  <c r="P925" i="3"/>
  <c r="Q875" i="3"/>
  <c r="P875" i="3"/>
  <c r="P639" i="3"/>
  <c r="Q639" i="3"/>
  <c r="P790" i="3"/>
  <c r="Q790" i="3"/>
  <c r="Q964" i="3"/>
  <c r="P964" i="3"/>
  <c r="P970" i="3"/>
  <c r="Q970" i="3"/>
  <c r="P721" i="3"/>
  <c r="Q721" i="3"/>
  <c r="P675" i="3"/>
  <c r="Q675" i="3"/>
  <c r="P1090" i="3"/>
  <c r="Q1090" i="3"/>
  <c r="P1101" i="3"/>
  <c r="Q1101" i="3"/>
  <c r="P680" i="3"/>
  <c r="Q680" i="3"/>
  <c r="P641" i="3"/>
  <c r="Q641" i="3"/>
  <c r="Q715" i="3"/>
  <c r="P715" i="3"/>
  <c r="Q1051" i="3"/>
  <c r="P1051" i="3"/>
  <c r="P815" i="3"/>
  <c r="Q815" i="3"/>
  <c r="P820" i="3"/>
  <c r="Q820" i="3"/>
  <c r="P887" i="3"/>
  <c r="Q887" i="3"/>
  <c r="P738" i="3"/>
  <c r="Q738" i="3"/>
  <c r="P686" i="3"/>
  <c r="Q686" i="3"/>
  <c r="Q612" i="3"/>
  <c r="P612" i="3"/>
  <c r="Q1062" i="3"/>
  <c r="P1062" i="3"/>
  <c r="Q1011" i="3"/>
  <c r="P1011" i="3"/>
  <c r="Q1071" i="3"/>
  <c r="P1071" i="3"/>
  <c r="P1030" i="3"/>
  <c r="Q1030" i="3"/>
  <c r="Q797" i="3"/>
  <c r="P797" i="3"/>
  <c r="Q741" i="3"/>
  <c r="P741" i="3"/>
  <c r="P1033" i="3"/>
  <c r="Q1033" i="3"/>
  <c r="P691" i="3"/>
  <c r="Q691" i="3"/>
  <c r="P874" i="3"/>
  <c r="Q874" i="3"/>
  <c r="Q656" i="3"/>
  <c r="P656" i="3"/>
  <c r="Q617" i="3"/>
  <c r="P617" i="3"/>
  <c r="Q852" i="3"/>
  <c r="P852" i="3"/>
  <c r="Q1036" i="3"/>
  <c r="P1036" i="3"/>
  <c r="P776" i="3"/>
  <c r="Q776" i="3"/>
  <c r="Q1006" i="3"/>
  <c r="P1006" i="3"/>
  <c r="Q687" i="3"/>
  <c r="P687" i="3"/>
  <c r="P622" i="3"/>
  <c r="Q622" i="3"/>
  <c r="Q801" i="3"/>
  <c r="P801" i="3"/>
  <c r="Q907" i="3"/>
  <c r="P907" i="3"/>
  <c r="Q804" i="3"/>
  <c r="P804" i="3"/>
  <c r="P906" i="3"/>
  <c r="Q906" i="3"/>
  <c r="Q816" i="3"/>
  <c r="P816" i="3"/>
  <c r="P718" i="3"/>
  <c r="Q718" i="3"/>
  <c r="P652" i="3"/>
  <c r="Q652" i="3"/>
  <c r="P911" i="3"/>
  <c r="Q911" i="3"/>
  <c r="P899" i="3"/>
  <c r="Q899" i="3"/>
  <c r="Q796" i="3"/>
  <c r="P796" i="3"/>
  <c r="Q1054" i="3"/>
  <c r="P1054" i="3"/>
  <c r="Q1068" i="3"/>
  <c r="P1068" i="3"/>
  <c r="P1168" i="3"/>
  <c r="Q1168" i="3"/>
  <c r="Q737" i="3"/>
  <c r="P737" i="3"/>
  <c r="P924" i="3"/>
  <c r="Q924" i="3"/>
  <c r="Q850" i="3"/>
  <c r="P850" i="3"/>
  <c r="P755" i="3"/>
  <c r="Q755" i="3"/>
  <c r="P919" i="3"/>
  <c r="Q919" i="3"/>
  <c r="P793" i="3"/>
  <c r="Q793" i="3"/>
  <c r="Q618" i="3"/>
  <c r="P618" i="3"/>
  <c r="Q860" i="3"/>
  <c r="P860" i="3"/>
  <c r="Q644" i="3"/>
  <c r="P644" i="3"/>
  <c r="Q805" i="3"/>
  <c r="P805" i="3"/>
  <c r="Q997" i="3"/>
  <c r="P997" i="3"/>
  <c r="Q972" i="3"/>
  <c r="P972" i="3"/>
  <c r="Q653" i="3"/>
  <c r="P653" i="3"/>
  <c r="P978" i="3"/>
  <c r="Q978" i="3"/>
  <c r="Q614" i="3"/>
  <c r="P614" i="3"/>
  <c r="P798" i="3"/>
  <c r="Q798" i="3"/>
  <c r="Q645" i="3"/>
  <c r="P645" i="3"/>
  <c r="P666" i="3"/>
  <c r="Q666" i="3"/>
  <c r="Q831" i="3"/>
  <c r="P831" i="3"/>
  <c r="P891" i="3"/>
  <c r="Q891" i="3"/>
  <c r="Q636" i="3"/>
  <c r="P636" i="3"/>
  <c r="Q711" i="3"/>
  <c r="P711" i="3"/>
  <c r="P1082" i="3"/>
  <c r="Q1082" i="3"/>
  <c r="Q822" i="3"/>
  <c r="P822" i="3"/>
  <c r="Q744" i="3"/>
  <c r="P744" i="3"/>
  <c r="Q654" i="3"/>
  <c r="P654" i="3"/>
  <c r="P770" i="3"/>
  <c r="Q770" i="3"/>
  <c r="Q1154" i="3"/>
  <c r="P1154" i="3"/>
  <c r="P1029" i="3"/>
  <c r="Q1029" i="3"/>
  <c r="Q955" i="3"/>
  <c r="P955" i="3"/>
  <c r="Q692" i="3"/>
  <c r="P692" i="3"/>
  <c r="P651" i="3"/>
  <c r="Q651" i="3"/>
  <c r="Q629" i="3"/>
  <c r="P629" i="3"/>
  <c r="Q697" i="3"/>
  <c r="P697" i="3"/>
  <c r="Q677" i="3"/>
  <c r="P677" i="3"/>
  <c r="Q638" i="3"/>
  <c r="P638" i="3"/>
  <c r="P748" i="3"/>
  <c r="Q748" i="3"/>
  <c r="Q658" i="3"/>
  <c r="P658" i="3"/>
  <c r="P616" i="3"/>
  <c r="Q616" i="3"/>
  <c r="P619" i="3"/>
  <c r="Q619" i="3"/>
  <c r="Q745" i="3"/>
  <c r="P745" i="3"/>
  <c r="P659" i="3"/>
  <c r="Q659" i="3"/>
  <c r="P676" i="3"/>
  <c r="Q676" i="3"/>
  <c r="P637" i="3"/>
  <c r="Q637" i="3"/>
  <c r="P740" i="3"/>
  <c r="Q740" i="3"/>
  <c r="Q714" i="3"/>
  <c r="P714" i="3"/>
  <c r="Q640" i="3"/>
  <c r="P640" i="3"/>
  <c r="P683" i="3"/>
  <c r="Q683" i="3"/>
  <c r="P669" i="3"/>
  <c r="Q669" i="3"/>
  <c r="P630" i="3"/>
  <c r="Q630" i="3"/>
  <c r="P682" i="3"/>
  <c r="Q682" i="3"/>
  <c r="Q608" i="3"/>
  <c r="P608" i="3"/>
  <c r="Q627" i="3"/>
  <c r="P627" i="3"/>
  <c r="P753" i="3"/>
  <c r="Q753" i="3"/>
  <c r="P722" i="3"/>
  <c r="Q722" i="3"/>
  <c r="P648" i="3"/>
  <c r="Q648" i="3"/>
  <c r="Q1207" i="3" l="1"/>
  <c r="P1207" i="3"/>
  <c r="U1200" i="3"/>
  <c r="U904" i="3"/>
  <c r="U963" i="3"/>
  <c r="U1034" i="3"/>
  <c r="U677" i="3"/>
  <c r="U985" i="3"/>
  <c r="R649" i="3"/>
  <c r="U795" i="3"/>
  <c r="U1197" i="3"/>
  <c r="U1046" i="3"/>
  <c r="U909" i="3"/>
  <c r="U1076" i="3"/>
  <c r="U807" i="3"/>
  <c r="U881" i="3"/>
  <c r="U751" i="3"/>
  <c r="U880" i="3"/>
  <c r="U727" i="3"/>
  <c r="U1124" i="3"/>
  <c r="U1024" i="3"/>
  <c r="R646" i="3"/>
  <c r="U1074" i="3"/>
  <c r="U1022" i="3"/>
  <c r="U1030" i="3"/>
  <c r="U893" i="3"/>
  <c r="U1008" i="3"/>
  <c r="U815" i="3"/>
  <c r="U934" i="3"/>
  <c r="U1133" i="3"/>
  <c r="R630" i="3"/>
  <c r="R803" i="3"/>
  <c r="R695" i="3"/>
  <c r="U721" i="3"/>
  <c r="U702" i="3"/>
  <c r="R682" i="3"/>
  <c r="R758" i="3"/>
  <c r="R881" i="3"/>
  <c r="U899" i="3"/>
  <c r="U931" i="3"/>
  <c r="R669" i="3"/>
  <c r="R706" i="3"/>
  <c r="U1075" i="3"/>
  <c r="U967" i="3"/>
  <c r="R780" i="3"/>
  <c r="U775" i="3"/>
  <c r="R960" i="3"/>
  <c r="U1179" i="3"/>
  <c r="R989" i="3"/>
  <c r="K800" i="3"/>
  <c r="L734" i="3"/>
  <c r="R1091" i="3"/>
  <c r="R973" i="3"/>
  <c r="U1126" i="3"/>
  <c r="R708" i="3"/>
  <c r="R1008" i="3"/>
  <c r="U647" i="3"/>
  <c r="R981" i="3"/>
  <c r="K1156" i="3"/>
  <c r="R1126" i="3"/>
  <c r="R1194" i="3"/>
  <c r="K824" i="3"/>
  <c r="R808" i="3"/>
  <c r="R742" i="3"/>
  <c r="U793" i="3"/>
  <c r="R720" i="3"/>
  <c r="U1114" i="3"/>
  <c r="U1005" i="3"/>
  <c r="U740" i="3"/>
  <c r="U1015" i="3"/>
  <c r="U757" i="3"/>
  <c r="U973" i="3"/>
  <c r="U846" i="3"/>
  <c r="U1007" i="3"/>
  <c r="U882" i="3"/>
  <c r="U851" i="3"/>
  <c r="U1180" i="3"/>
  <c r="U1105" i="3"/>
  <c r="U797" i="3"/>
  <c r="U1175" i="3"/>
  <c r="R712" i="3"/>
  <c r="U971" i="3"/>
  <c r="U932" i="3"/>
  <c r="U698" i="3"/>
  <c r="U1155" i="3"/>
  <c r="U691" i="3"/>
  <c r="U897" i="3"/>
  <c r="U1096" i="3"/>
  <c r="U771" i="3"/>
  <c r="U642" i="3"/>
  <c r="U989" i="3"/>
  <c r="U735" i="3"/>
  <c r="U1011" i="3"/>
  <c r="U988" i="3"/>
  <c r="K658" i="3"/>
  <c r="U820" i="3"/>
  <c r="R859" i="3"/>
  <c r="U874" i="3"/>
  <c r="U861" i="3"/>
  <c r="R946" i="3"/>
  <c r="R756" i="3"/>
  <c r="U746" i="3"/>
  <c r="U993" i="3"/>
  <c r="U743" i="3"/>
  <c r="U1157" i="3"/>
  <c r="R785" i="3"/>
  <c r="U783" i="3"/>
  <c r="U1202" i="3"/>
  <c r="U998" i="3"/>
  <c r="U732" i="3"/>
  <c r="U1108" i="3"/>
  <c r="U837" i="3"/>
  <c r="U715" i="3"/>
  <c r="U926" i="3"/>
  <c r="U1191" i="3"/>
  <c r="U695" i="3"/>
  <c r="U1120" i="3"/>
  <c r="U1003" i="3"/>
  <c r="U1169" i="3"/>
  <c r="U1135" i="3"/>
  <c r="U975" i="3"/>
  <c r="U1079" i="3"/>
  <c r="U1054" i="3"/>
  <c r="U812" i="3"/>
  <c r="U689" i="3"/>
  <c r="U1098" i="3"/>
  <c r="R685" i="3"/>
  <c r="U730" i="3"/>
  <c r="U661" i="3"/>
  <c r="U840" i="3"/>
  <c r="U929" i="3"/>
  <c r="U818" i="3"/>
  <c r="U816" i="3"/>
  <c r="U1085" i="3"/>
  <c r="U1182" i="3"/>
  <c r="U1177" i="3"/>
  <c r="R661" i="3"/>
  <c r="R972" i="3"/>
  <c r="R838" i="3"/>
  <c r="U1035" i="3"/>
  <c r="U637" i="3"/>
  <c r="R940" i="3"/>
  <c r="R858" i="3"/>
  <c r="U709" i="3"/>
  <c r="U610" i="3"/>
  <c r="R1001" i="3"/>
  <c r="R781" i="3"/>
  <c r="R820" i="3"/>
  <c r="U990" i="3"/>
  <c r="U1004" i="3"/>
  <c r="U1103" i="3"/>
  <c r="R684" i="3"/>
  <c r="U639" i="3"/>
  <c r="R670" i="3"/>
  <c r="L824" i="3"/>
  <c r="R1084" i="3"/>
  <c r="R738" i="3"/>
  <c r="R947" i="3"/>
  <c r="R1035" i="3"/>
  <c r="K768" i="3"/>
  <c r="L645" i="3"/>
  <c r="R93" i="3"/>
  <c r="R898" i="3"/>
  <c r="U1061" i="3"/>
  <c r="R637" i="3"/>
  <c r="L611" i="3"/>
  <c r="R944" i="3"/>
  <c r="R923" i="3"/>
  <c r="R749" i="3"/>
  <c r="L726" i="3"/>
  <c r="R1206" i="3"/>
  <c r="U878" i="3"/>
  <c r="U766" i="3"/>
  <c r="U1188" i="3"/>
  <c r="U1158" i="3"/>
  <c r="U887" i="3"/>
  <c r="U1190" i="3"/>
  <c r="U854" i="3"/>
  <c r="R741" i="3"/>
  <c r="R623" i="3"/>
  <c r="R926" i="3"/>
  <c r="R716" i="3"/>
  <c r="R986" i="3"/>
  <c r="R876" i="3"/>
  <c r="R681" i="3"/>
  <c r="K835" i="3"/>
  <c r="K688" i="3"/>
  <c r="L1048" i="3"/>
  <c r="U1107" i="3"/>
  <c r="K837" i="3"/>
  <c r="U682" i="3"/>
  <c r="U697" i="3"/>
  <c r="U114" i="3"/>
  <c r="O104" i="3"/>
  <c r="R739" i="3"/>
  <c r="K645" i="3"/>
  <c r="L856" i="3"/>
  <c r="R718" i="3"/>
  <c r="K1127" i="3"/>
  <c r="K918" i="3"/>
  <c r="L679" i="3"/>
  <c r="K806" i="3"/>
  <c r="R1144" i="3"/>
  <c r="K1068" i="3"/>
  <c r="L1097" i="3"/>
  <c r="R53" i="3"/>
  <c r="K790" i="3"/>
  <c r="R846" i="3"/>
  <c r="L700" i="3"/>
  <c r="L796" i="3"/>
  <c r="R673" i="3"/>
  <c r="R1131" i="3"/>
  <c r="L1045" i="3"/>
  <c r="L1069" i="3"/>
  <c r="R1151" i="3"/>
  <c r="R1086" i="3"/>
  <c r="R925" i="3"/>
  <c r="L1032" i="3"/>
  <c r="R46" i="3"/>
  <c r="K1037" i="3"/>
  <c r="R804" i="3"/>
  <c r="L1009" i="3"/>
  <c r="K654" i="3"/>
  <c r="O58" i="3"/>
  <c r="R214" i="3"/>
  <c r="R104" i="3"/>
  <c r="L684" i="3"/>
  <c r="L1127" i="3"/>
  <c r="L1192" i="3"/>
  <c r="R1058" i="3"/>
  <c r="L759" i="3"/>
  <c r="K883" i="3"/>
  <c r="L648" i="3"/>
  <c r="L1121" i="3"/>
  <c r="U36" i="3"/>
  <c r="U900" i="3"/>
  <c r="U676" i="3"/>
  <c r="U1077" i="3"/>
  <c r="R625" i="3"/>
  <c r="U648" i="3"/>
  <c r="U655" i="3"/>
  <c r="U662" i="3"/>
  <c r="R769" i="3"/>
  <c r="R1013" i="3"/>
  <c r="R652" i="3"/>
  <c r="U1084" i="3"/>
  <c r="R674" i="3"/>
  <c r="R622" i="3"/>
  <c r="R902" i="3"/>
  <c r="R779" i="3"/>
  <c r="R837" i="3"/>
  <c r="U839" i="3"/>
  <c r="K702" i="3"/>
  <c r="K1031" i="3"/>
  <c r="R1059" i="3"/>
  <c r="U1172" i="3"/>
  <c r="K693" i="3"/>
  <c r="U1091" i="3"/>
  <c r="U1072" i="3"/>
  <c r="U862" i="3"/>
  <c r="U1143" i="3"/>
  <c r="U1006" i="3"/>
  <c r="U886" i="3"/>
  <c r="U684" i="3"/>
  <c r="U927" i="3"/>
  <c r="U1029" i="3"/>
  <c r="U685" i="3"/>
  <c r="R672" i="3"/>
  <c r="U705" i="3"/>
  <c r="U626" i="3"/>
  <c r="U1055" i="3"/>
  <c r="U612" i="3"/>
  <c r="U693" i="3"/>
  <c r="U892" i="3"/>
  <c r="U769" i="3"/>
  <c r="U699" i="3"/>
  <c r="U611" i="3"/>
  <c r="U1139" i="3"/>
  <c r="U838" i="3"/>
  <c r="U920" i="3"/>
  <c r="U1023" i="3"/>
  <c r="U898" i="3"/>
  <c r="U978" i="3"/>
  <c r="U742" i="3"/>
  <c r="U1071" i="3"/>
  <c r="R840" i="3"/>
  <c r="U825" i="3"/>
  <c r="R895" i="3"/>
  <c r="U1121" i="3"/>
  <c r="U1093" i="3"/>
  <c r="R829" i="3"/>
  <c r="R873" i="3"/>
  <c r="U1193" i="3"/>
  <c r="U1045" i="3"/>
  <c r="U1192" i="3"/>
  <c r="R767" i="3"/>
  <c r="U994" i="3"/>
  <c r="U803" i="3"/>
  <c r="U1064" i="3"/>
  <c r="U946" i="3"/>
  <c r="U942" i="3"/>
  <c r="U1001" i="3"/>
  <c r="R729" i="3"/>
  <c r="R870" i="3"/>
  <c r="R1141" i="3"/>
  <c r="K1124" i="3"/>
  <c r="K910" i="3"/>
  <c r="K649" i="3"/>
  <c r="U1053" i="3"/>
  <c r="K751" i="3"/>
  <c r="R1177" i="3"/>
  <c r="R610" i="3"/>
  <c r="U778" i="3"/>
  <c r="R1100" i="3"/>
  <c r="K843" i="3"/>
  <c r="U146" i="3"/>
  <c r="U663" i="3"/>
  <c r="K869" i="3"/>
  <c r="R1192" i="3"/>
  <c r="R1198" i="3"/>
  <c r="R1112" i="3"/>
  <c r="R680" i="3"/>
  <c r="U1041" i="3"/>
  <c r="R677" i="3"/>
  <c r="R614" i="3"/>
  <c r="U1080" i="3"/>
  <c r="U938" i="3"/>
  <c r="U836" i="3"/>
  <c r="U658" i="3"/>
  <c r="U1056" i="3"/>
  <c r="U679" i="3"/>
  <c r="U654" i="3"/>
  <c r="U922" i="3"/>
  <c r="U959" i="3"/>
  <c r="U767" i="3"/>
  <c r="U883" i="3"/>
  <c r="U773" i="3"/>
  <c r="U745" i="3"/>
  <c r="U1016" i="3"/>
  <c r="U1033" i="3"/>
  <c r="U924" i="3"/>
  <c r="U649" i="3"/>
  <c r="U918" i="3"/>
  <c r="U1095" i="3"/>
  <c r="U631" i="3"/>
  <c r="U759" i="3"/>
  <c r="U945" i="3"/>
  <c r="U822" i="3"/>
  <c r="U627" i="3"/>
  <c r="R783" i="3"/>
  <c r="K634" i="3"/>
  <c r="U761" i="3"/>
  <c r="K607" i="3"/>
  <c r="U1138" i="3"/>
  <c r="U656" i="3"/>
  <c r="U852" i="3"/>
  <c r="L632" i="3"/>
  <c r="R1018" i="3"/>
  <c r="U750" i="3"/>
  <c r="U1122" i="3"/>
  <c r="R828" i="3"/>
  <c r="U1161" i="3"/>
  <c r="U687" i="3"/>
  <c r="U1149" i="3"/>
  <c r="U956" i="3"/>
  <c r="U632" i="3"/>
  <c r="U1181" i="3"/>
  <c r="U1032" i="3"/>
  <c r="U764" i="3"/>
  <c r="U1195" i="3"/>
  <c r="U1176" i="3"/>
  <c r="U765" i="3"/>
  <c r="U668" i="3"/>
  <c r="U1066" i="3"/>
  <c r="U628" i="3"/>
  <c r="U1129" i="3"/>
  <c r="R699" i="3"/>
  <c r="U853" i="3"/>
  <c r="U962" i="3"/>
  <c r="U849" i="3"/>
  <c r="R648" i="3"/>
  <c r="U809" i="3"/>
  <c r="R688" i="3"/>
  <c r="U1000" i="3"/>
  <c r="U1014" i="3"/>
  <c r="U1097" i="3"/>
  <c r="U986" i="3"/>
  <c r="U1144" i="3"/>
  <c r="U902" i="3"/>
  <c r="U1165" i="3"/>
  <c r="R668" i="3"/>
  <c r="R906" i="3"/>
  <c r="U906" i="3"/>
  <c r="R1033" i="3"/>
  <c r="U958" i="3"/>
  <c r="U1086" i="3"/>
  <c r="U999" i="3"/>
  <c r="R642" i="3"/>
  <c r="U1189" i="3"/>
  <c r="U830" i="3"/>
  <c r="R721" i="3"/>
  <c r="R995" i="3"/>
  <c r="R967" i="3"/>
  <c r="R831" i="3"/>
  <c r="U781" i="3"/>
  <c r="R635" i="3"/>
  <c r="U1127" i="3"/>
  <c r="R930" i="3"/>
  <c r="U756" i="3"/>
  <c r="R1041" i="3"/>
  <c r="R791" i="3"/>
  <c r="K1020" i="3"/>
  <c r="L708" i="3"/>
  <c r="R788" i="3"/>
  <c r="R1062" i="3"/>
  <c r="U617" i="3"/>
  <c r="K642" i="3"/>
  <c r="U1173" i="3"/>
  <c r="R950" i="3"/>
  <c r="R847" i="3"/>
  <c r="R92" i="3"/>
  <c r="U843" i="3"/>
  <c r="K1063" i="3"/>
  <c r="K625" i="3"/>
  <c r="R817" i="3"/>
  <c r="R814" i="3"/>
  <c r="U841" i="3"/>
  <c r="U913" i="3"/>
  <c r="U937" i="3"/>
  <c r="U800" i="3"/>
  <c r="U1151" i="3"/>
  <c r="U1146" i="3"/>
  <c r="U1147" i="3"/>
  <c r="R724" i="3"/>
  <c r="R692" i="3"/>
  <c r="U1069" i="3"/>
  <c r="R1044" i="3"/>
  <c r="U954" i="3"/>
  <c r="R848" i="3"/>
  <c r="U1201" i="3"/>
  <c r="R935" i="3"/>
  <c r="L877" i="3"/>
  <c r="U919" i="3"/>
  <c r="L621" i="3"/>
  <c r="R663" i="3"/>
  <c r="R694" i="3"/>
  <c r="R727" i="3"/>
  <c r="R891" i="3"/>
  <c r="R969" i="3"/>
  <c r="R856" i="3"/>
  <c r="R1130" i="3"/>
  <c r="R937" i="3"/>
  <c r="R900" i="3"/>
  <c r="K1176" i="3"/>
  <c r="L932" i="3"/>
  <c r="R1157" i="3"/>
  <c r="R1203" i="3"/>
  <c r="L686" i="3"/>
  <c r="U8" i="3"/>
  <c r="R775" i="3"/>
  <c r="R1000" i="3"/>
  <c r="R924" i="3"/>
  <c r="K1149" i="3"/>
  <c r="K1092" i="3"/>
  <c r="L1141" i="3"/>
  <c r="R974" i="3"/>
  <c r="R854" i="3"/>
  <c r="L1080" i="3"/>
  <c r="O60" i="3"/>
  <c r="R845" i="3"/>
  <c r="L631" i="3"/>
  <c r="L1112" i="3"/>
  <c r="K1180" i="3"/>
  <c r="K709" i="3"/>
  <c r="K1060" i="3"/>
  <c r="O20" i="3"/>
  <c r="U1171" i="3"/>
  <c r="U966" i="3"/>
  <c r="U700" i="3"/>
  <c r="U976" i="3"/>
  <c r="U805" i="3"/>
  <c r="U1134" i="3"/>
  <c r="U844" i="3"/>
  <c r="U983" i="3"/>
  <c r="U724" i="3"/>
  <c r="U1104" i="3"/>
  <c r="U748" i="3"/>
  <c r="U1140" i="3"/>
  <c r="R608" i="3"/>
  <c r="U712" i="3"/>
  <c r="U752" i="3"/>
  <c r="U1027" i="3"/>
  <c r="U796" i="3"/>
  <c r="U690" i="3"/>
  <c r="U630" i="3"/>
  <c r="U950" i="3"/>
  <c r="R713" i="3"/>
  <c r="U696" i="3"/>
  <c r="U1088" i="3"/>
  <c r="U674" i="3"/>
  <c r="U744" i="3"/>
  <c r="U736" i="3"/>
  <c r="U860" i="3"/>
  <c r="U864" i="3"/>
  <c r="U741" i="3"/>
  <c r="R658" i="3"/>
  <c r="U996" i="3"/>
  <c r="U1205" i="3"/>
  <c r="U872" i="3"/>
  <c r="U749" i="3"/>
  <c r="U908" i="3"/>
  <c r="U785" i="3"/>
  <c r="U782" i="3"/>
  <c r="U866" i="3"/>
  <c r="R667" i="3"/>
  <c r="U894" i="3"/>
  <c r="U955" i="3"/>
  <c r="U850" i="3"/>
  <c r="R616" i="3"/>
  <c r="U794" i="3"/>
  <c r="U688" i="3"/>
  <c r="U856" i="3"/>
  <c r="U729" i="3"/>
  <c r="U834" i="3"/>
  <c r="U891" i="3"/>
  <c r="U1117" i="3"/>
  <c r="U1148" i="3"/>
  <c r="U1198" i="3"/>
  <c r="R993" i="3"/>
  <c r="R696" i="3"/>
  <c r="R1054" i="3"/>
  <c r="U1170" i="3"/>
  <c r="U616" i="3"/>
  <c r="R644" i="3"/>
  <c r="R770" i="3"/>
  <c r="L671" i="3"/>
  <c r="U667" i="3"/>
  <c r="U791" i="3"/>
  <c r="U969" i="3"/>
  <c r="R740" i="3"/>
  <c r="R735" i="3"/>
  <c r="U943" i="3"/>
  <c r="U1039" i="3"/>
  <c r="O32" i="3"/>
  <c r="K924" i="3"/>
  <c r="U739" i="3"/>
  <c r="U965" i="3"/>
  <c r="U915" i="3"/>
  <c r="R899" i="3"/>
  <c r="L630" i="3"/>
  <c r="R611" i="3"/>
  <c r="L837" i="3"/>
  <c r="L1001" i="3"/>
  <c r="U1166" i="3"/>
  <c r="K748" i="3"/>
  <c r="R1043" i="3"/>
  <c r="K1116" i="3"/>
  <c r="O67" i="3"/>
  <c r="K704" i="3"/>
  <c r="R799" i="3"/>
  <c r="R914" i="3"/>
  <c r="K1158" i="3"/>
  <c r="K895" i="3"/>
  <c r="U972" i="3"/>
  <c r="U859" i="3"/>
  <c r="R697" i="3"/>
  <c r="U681" i="3"/>
  <c r="U964" i="3"/>
  <c r="U821" i="3"/>
  <c r="U686" i="3"/>
  <c r="U833" i="3"/>
  <c r="U707" i="3"/>
  <c r="U831" i="3"/>
  <c r="U935" i="3"/>
  <c r="U777" i="3"/>
  <c r="U1036" i="3"/>
  <c r="R638" i="3"/>
  <c r="U646" i="3"/>
  <c r="U957" i="3"/>
  <c r="R659" i="3"/>
  <c r="U873" i="3"/>
  <c r="U629" i="3"/>
  <c r="U1204" i="3"/>
  <c r="U737" i="3"/>
  <c r="U768" i="3"/>
  <c r="U733" i="3"/>
  <c r="U871" i="3"/>
  <c r="U613" i="3"/>
  <c r="R627" i="3"/>
  <c r="U694" i="3"/>
  <c r="U888" i="3"/>
  <c r="R1166" i="3"/>
  <c r="U650" i="3"/>
  <c r="U634" i="3"/>
  <c r="R822" i="3"/>
  <c r="U720" i="3"/>
  <c r="R1010" i="3"/>
  <c r="R736" i="3"/>
  <c r="R723" i="3"/>
  <c r="R865" i="3"/>
  <c r="U835" i="3"/>
  <c r="R885" i="3"/>
  <c r="U1168" i="3"/>
  <c r="R1019" i="3"/>
  <c r="U992" i="3"/>
  <c r="U824" i="3"/>
  <c r="U798" i="3"/>
  <c r="U948" i="3"/>
  <c r="U1038" i="3"/>
  <c r="U901" i="3"/>
  <c r="R693" i="3"/>
  <c r="U1094" i="3"/>
  <c r="U867" i="3"/>
  <c r="U939" i="3"/>
  <c r="U829" i="3"/>
  <c r="U1002" i="3"/>
  <c r="U865" i="3"/>
  <c r="U801" i="3"/>
  <c r="U827" i="3"/>
  <c r="U703" i="3"/>
  <c r="U652" i="3"/>
  <c r="U1050" i="3"/>
  <c r="U930" i="3"/>
  <c r="U879" i="3"/>
  <c r="U947" i="3"/>
  <c r="U848" i="3"/>
  <c r="U936" i="3"/>
  <c r="U813" i="3"/>
  <c r="U914" i="3"/>
  <c r="U1167" i="3"/>
  <c r="U774" i="3"/>
  <c r="U911" i="3"/>
  <c r="U651" i="3"/>
  <c r="R759" i="3"/>
  <c r="R655" i="3"/>
  <c r="R805" i="3"/>
  <c r="U1020" i="3"/>
  <c r="U1119" i="3"/>
  <c r="R772" i="3"/>
  <c r="R815" i="3"/>
  <c r="U1142" i="3"/>
  <c r="U790" i="3"/>
  <c r="R643" i="3"/>
  <c r="R953" i="3"/>
  <c r="R1180" i="3"/>
  <c r="R764" i="3"/>
  <c r="U638" i="3"/>
  <c r="R955" i="3"/>
  <c r="U1106" i="3"/>
  <c r="R750" i="3"/>
  <c r="K648" i="3"/>
  <c r="U855" i="3"/>
  <c r="L736" i="3"/>
  <c r="K719" i="3"/>
  <c r="R929" i="3"/>
  <c r="R1183" i="3"/>
  <c r="L747" i="3"/>
  <c r="R971" i="3"/>
  <c r="K808" i="3"/>
  <c r="R878" i="3"/>
  <c r="K1135" i="3"/>
  <c r="R639" i="3"/>
  <c r="R1161" i="3"/>
  <c r="K974" i="3"/>
  <c r="R732" i="3"/>
  <c r="R919" i="3"/>
  <c r="R1105" i="3"/>
  <c r="R1188" i="3"/>
  <c r="U623" i="3"/>
  <c r="U995" i="3"/>
  <c r="U1183" i="3"/>
  <c r="U1060" i="3"/>
  <c r="U1047" i="3"/>
  <c r="U928" i="3"/>
  <c r="R666" i="3"/>
  <c r="R624" i="3"/>
  <c r="R613" i="3"/>
  <c r="U1070" i="3"/>
  <c r="K1117" i="3"/>
  <c r="U1113" i="3"/>
  <c r="K902" i="3"/>
  <c r="R978" i="3"/>
  <c r="L721" i="3"/>
  <c r="R768" i="3"/>
  <c r="R1145" i="3"/>
  <c r="R968" i="3"/>
  <c r="R609" i="3"/>
  <c r="R786" i="3"/>
  <c r="R1009" i="3"/>
  <c r="R778" i="3"/>
  <c r="L638" i="3"/>
  <c r="R1014" i="3"/>
  <c r="R1142" i="3"/>
  <c r="R894" i="3"/>
  <c r="R807" i="3"/>
  <c r="U725" i="3"/>
  <c r="K793" i="3"/>
  <c r="L805" i="3"/>
  <c r="K672" i="3"/>
  <c r="L900" i="3"/>
  <c r="R686" i="3"/>
  <c r="R1056" i="3"/>
  <c r="K992" i="3"/>
  <c r="O21" i="3"/>
  <c r="R1068" i="3"/>
  <c r="L1077" i="3"/>
  <c r="O53" i="3"/>
  <c r="K1184" i="3"/>
  <c r="R141" i="3"/>
  <c r="L1160" i="3"/>
  <c r="K655" i="3"/>
  <c r="R862" i="3"/>
  <c r="L1165" i="3"/>
  <c r="R915" i="3"/>
  <c r="K943" i="3"/>
  <c r="L1058" i="3"/>
  <c r="K927" i="3"/>
  <c r="R896" i="3"/>
  <c r="K830" i="3"/>
  <c r="L750" i="3"/>
  <c r="R987" i="3"/>
  <c r="L681" i="3"/>
  <c r="R193" i="3"/>
  <c r="K699" i="3"/>
  <c r="K1094" i="3"/>
  <c r="R98" i="3"/>
  <c r="L634" i="3"/>
  <c r="K700" i="3"/>
  <c r="R178" i="3"/>
  <c r="K881" i="3"/>
  <c r="U10" i="3"/>
  <c r="L914" i="3"/>
  <c r="U620" i="3"/>
  <c r="U806" i="3"/>
  <c r="U1185" i="3"/>
  <c r="U1065" i="3"/>
  <c r="U858" i="3"/>
  <c r="U758" i="3"/>
  <c r="U896" i="3"/>
  <c r="U692" i="3"/>
  <c r="R784" i="3"/>
  <c r="R619" i="3"/>
  <c r="K1021" i="3"/>
  <c r="U1159" i="3"/>
  <c r="L1101" i="3"/>
  <c r="R806" i="3"/>
  <c r="L646" i="3"/>
  <c r="R1205" i="3"/>
  <c r="U1154" i="3"/>
  <c r="R1036" i="3"/>
  <c r="R1196" i="3"/>
  <c r="L732" i="3"/>
  <c r="R951" i="3"/>
  <c r="R751" i="3"/>
  <c r="K991" i="3"/>
  <c r="U961" i="3"/>
  <c r="R641" i="3"/>
  <c r="U1111" i="3"/>
  <c r="R752" i="3"/>
  <c r="R961" i="3"/>
  <c r="R628" i="3"/>
  <c r="K845" i="3"/>
  <c r="L627" i="3"/>
  <c r="R790" i="3"/>
  <c r="K937" i="3"/>
  <c r="U1012" i="3"/>
  <c r="U885" i="3"/>
  <c r="U683" i="3"/>
  <c r="U1125" i="3"/>
  <c r="U977" i="3"/>
  <c r="U1194" i="3"/>
  <c r="U614" i="3"/>
  <c r="R1023" i="3"/>
  <c r="R675" i="3"/>
  <c r="K758" i="3"/>
  <c r="R911" i="3"/>
  <c r="U708" i="3"/>
  <c r="U847" i="3"/>
  <c r="U710" i="3"/>
  <c r="U731" i="3"/>
  <c r="U1137" i="3"/>
  <c r="U754" i="3"/>
  <c r="R852" i="3"/>
  <c r="L710" i="3"/>
  <c r="U884" i="3"/>
  <c r="L651" i="3"/>
  <c r="R1046" i="3"/>
  <c r="R762" i="3"/>
  <c r="R1093" i="3"/>
  <c r="R687" i="3"/>
  <c r="R1022" i="3"/>
  <c r="U1040" i="3"/>
  <c r="U772" i="3"/>
  <c r="U1062" i="3"/>
  <c r="U706" i="3"/>
  <c r="R901" i="3"/>
  <c r="R884" i="3"/>
  <c r="U811" i="3"/>
  <c r="R1027" i="3"/>
  <c r="L789" i="3"/>
  <c r="U916" i="3"/>
  <c r="K829" i="3"/>
  <c r="L697" i="3"/>
  <c r="K941" i="3"/>
  <c r="K1047" i="3"/>
  <c r="L714" i="3"/>
  <c r="R100" i="3"/>
  <c r="U55" i="3"/>
  <c r="L887" i="3"/>
  <c r="L1012" i="3"/>
  <c r="L870" i="3"/>
  <c r="U917" i="3"/>
  <c r="U877" i="3"/>
  <c r="U982" i="3"/>
  <c r="R612" i="3"/>
  <c r="R903" i="3"/>
  <c r="U952" i="3"/>
  <c r="R927" i="3"/>
  <c r="K710" i="3"/>
  <c r="R1031" i="3"/>
  <c r="K821" i="3"/>
  <c r="K636" i="3"/>
  <c r="K1006" i="3"/>
  <c r="R1101" i="3"/>
  <c r="K840" i="3"/>
  <c r="R962" i="3"/>
  <c r="R717" i="3"/>
  <c r="L659" i="3"/>
  <c r="K964" i="3"/>
  <c r="L744" i="3"/>
  <c r="L916" i="3"/>
  <c r="U48" i="3"/>
  <c r="L848" i="3"/>
  <c r="R877" i="3"/>
  <c r="K815" i="3"/>
  <c r="K769" i="3"/>
  <c r="L640" i="3"/>
  <c r="K1132" i="3"/>
  <c r="K1028" i="3"/>
  <c r="R938" i="3"/>
  <c r="R1095" i="3"/>
  <c r="L1090" i="3"/>
  <c r="L688" i="3"/>
  <c r="K887" i="3"/>
  <c r="K1182" i="3"/>
  <c r="R1187" i="3"/>
  <c r="R37" i="3"/>
  <c r="K856" i="3"/>
  <c r="K1100" i="3"/>
  <c r="R710" i="3"/>
  <c r="O69" i="3"/>
  <c r="U63" i="3"/>
  <c r="R792" i="3"/>
  <c r="K983" i="3"/>
  <c r="L1007" i="3"/>
  <c r="L1116" i="3"/>
  <c r="U71" i="3"/>
  <c r="U62" i="3"/>
  <c r="R268" i="3"/>
  <c r="K673" i="3"/>
  <c r="K961" i="3"/>
  <c r="R11" i="3"/>
  <c r="L1111" i="3"/>
  <c r="U1021" i="3"/>
  <c r="U713" i="3"/>
  <c r="U1130" i="3"/>
  <c r="U1051" i="3"/>
  <c r="U905" i="3"/>
  <c r="U960" i="3"/>
  <c r="U1087" i="3"/>
  <c r="U619" i="3"/>
  <c r="U671" i="3"/>
  <c r="R645" i="3"/>
  <c r="U645" i="3"/>
  <c r="U1019" i="3"/>
  <c r="R796" i="3"/>
  <c r="R959" i="3"/>
  <c r="R662" i="3"/>
  <c r="U57" i="3"/>
  <c r="R998" i="3"/>
  <c r="L1143" i="3"/>
  <c r="R744" i="3"/>
  <c r="K639" i="3"/>
  <c r="K1061" i="3"/>
  <c r="L731" i="3"/>
  <c r="K1029" i="3"/>
  <c r="R984" i="3"/>
  <c r="K1095" i="3"/>
  <c r="K989" i="3"/>
  <c r="R1119" i="3"/>
  <c r="L929" i="3"/>
  <c r="K728" i="3"/>
  <c r="K706" i="3"/>
  <c r="K957" i="3"/>
  <c r="R14" i="3"/>
  <c r="R163" i="3"/>
  <c r="O51" i="3"/>
  <c r="R125" i="3"/>
  <c r="K670" i="3"/>
  <c r="K903" i="3"/>
  <c r="R892" i="3"/>
  <c r="O31" i="3"/>
  <c r="L773" i="3"/>
  <c r="K638" i="3"/>
  <c r="K1077" i="3"/>
  <c r="R1123" i="3"/>
  <c r="R988" i="3"/>
  <c r="U1141" i="3"/>
  <c r="U1109" i="3"/>
  <c r="U641" i="3"/>
  <c r="U1153" i="3"/>
  <c r="U1131" i="3"/>
  <c r="U1049" i="3"/>
  <c r="U1043" i="3"/>
  <c r="U678" i="3"/>
  <c r="R753" i="3"/>
  <c r="R725" i="3"/>
  <c r="L1200" i="3"/>
  <c r="U618" i="3"/>
  <c r="R722" i="3"/>
  <c r="U997" i="3"/>
  <c r="K872" i="3"/>
  <c r="R999" i="3"/>
  <c r="K647" i="3"/>
  <c r="R760" i="3"/>
  <c r="L869" i="3"/>
  <c r="R1017" i="3"/>
  <c r="U1026" i="3"/>
  <c r="U95" i="3"/>
  <c r="R77" i="3"/>
  <c r="R657" i="3"/>
  <c r="K725" i="3"/>
  <c r="R1021" i="3"/>
  <c r="K934" i="3"/>
  <c r="R913" i="3"/>
  <c r="K783" i="3"/>
  <c r="K1055" i="3"/>
  <c r="K766" i="3"/>
  <c r="R16" i="3"/>
  <c r="O43" i="3"/>
  <c r="R773" i="3"/>
  <c r="L1196" i="3"/>
  <c r="R991" i="3"/>
  <c r="K717" i="3"/>
  <c r="L867" i="3"/>
  <c r="U19" i="3"/>
  <c r="R907" i="3"/>
  <c r="K1154" i="3"/>
  <c r="L1194" i="3"/>
  <c r="M20" i="3"/>
  <c r="L785" i="3"/>
  <c r="L874" i="3"/>
  <c r="O80" i="3"/>
  <c r="R1066" i="3"/>
  <c r="L980" i="3"/>
  <c r="R118" i="3"/>
  <c r="R801" i="3"/>
  <c r="L1052" i="3"/>
  <c r="L725" i="3"/>
  <c r="U203" i="3"/>
  <c r="R1186" i="3"/>
  <c r="R49" i="3"/>
  <c r="L712" i="3"/>
  <c r="U252" i="3"/>
  <c r="O35" i="3"/>
  <c r="K792" i="3"/>
  <c r="O42" i="3"/>
  <c r="U113" i="3"/>
  <c r="R872" i="3"/>
  <c r="L944" i="3"/>
  <c r="U228" i="3"/>
  <c r="R273" i="3"/>
  <c r="R920" i="3"/>
  <c r="O163" i="3"/>
  <c r="L1186" i="3"/>
  <c r="K1003" i="3"/>
  <c r="U607" i="3"/>
  <c r="L1124" i="3"/>
  <c r="K1193" i="3"/>
  <c r="L1017" i="3"/>
  <c r="O26" i="3"/>
  <c r="K865" i="3"/>
  <c r="L994" i="3"/>
  <c r="L935" i="3"/>
  <c r="U92" i="3"/>
  <c r="U167" i="3"/>
  <c r="L683" i="3"/>
  <c r="L1010" i="3"/>
  <c r="R922" i="3"/>
  <c r="R64" i="3"/>
  <c r="O15" i="3"/>
  <c r="R206" i="3"/>
  <c r="L1109" i="3"/>
  <c r="R307" i="3"/>
  <c r="R1065" i="3"/>
  <c r="O254" i="3"/>
  <c r="L875" i="3"/>
  <c r="L889" i="3"/>
  <c r="O224" i="3"/>
  <c r="O423" i="3"/>
  <c r="R730" i="3"/>
  <c r="O264" i="3"/>
  <c r="O233" i="3"/>
  <c r="L963" i="3"/>
  <c r="L800" i="3"/>
  <c r="L1203" i="3"/>
  <c r="U921" i="3"/>
  <c r="K785" i="3"/>
  <c r="R1045" i="3"/>
  <c r="K663" i="3"/>
  <c r="K948" i="3"/>
  <c r="U789" i="3"/>
  <c r="R963" i="3"/>
  <c r="R952" i="3"/>
  <c r="R812" i="3"/>
  <c r="U728" i="3"/>
  <c r="U1089" i="3"/>
  <c r="O44" i="3"/>
  <c r="U1178" i="3"/>
  <c r="R1174" i="3"/>
  <c r="U633" i="3"/>
  <c r="U1067" i="3"/>
  <c r="U760" i="3"/>
  <c r="U1206" i="3"/>
  <c r="U787" i="3"/>
  <c r="U714" i="3"/>
  <c r="U1163" i="3"/>
  <c r="U869" i="3"/>
  <c r="R683" i="3"/>
  <c r="U1099" i="3"/>
  <c r="R909" i="3"/>
  <c r="U664" i="3"/>
  <c r="U991" i="3"/>
  <c r="U792" i="3"/>
  <c r="R690" i="3"/>
  <c r="U876" i="3"/>
  <c r="U755" i="3"/>
  <c r="U949" i="3"/>
  <c r="U974" i="3"/>
  <c r="R886" i="3"/>
  <c r="R678" i="3"/>
  <c r="R1026" i="3"/>
  <c r="R826" i="3"/>
  <c r="R691" i="3"/>
  <c r="L906" i="3"/>
  <c r="U615" i="3"/>
  <c r="R851" i="3"/>
  <c r="U1112" i="3"/>
  <c r="U817" i="3"/>
  <c r="U1150" i="3"/>
  <c r="R855" i="3"/>
  <c r="R1172" i="3"/>
  <c r="R1148" i="3"/>
  <c r="R827" i="3"/>
  <c r="L1021" i="3"/>
  <c r="O29" i="3"/>
  <c r="L770" i="3"/>
  <c r="U1009" i="3"/>
  <c r="K650" i="3"/>
  <c r="K803" i="3"/>
  <c r="L799" i="3"/>
  <c r="O363" i="3"/>
  <c r="L1063" i="3"/>
  <c r="K1177" i="3"/>
  <c r="K635" i="3"/>
  <c r="K696" i="3"/>
  <c r="O113" i="3"/>
  <c r="U1081" i="3"/>
  <c r="U1128" i="3"/>
  <c r="U875" i="3"/>
  <c r="U640" i="3"/>
  <c r="R932" i="3"/>
  <c r="U621" i="3"/>
  <c r="L791" i="3"/>
  <c r="O134" i="3"/>
  <c r="K1036" i="3"/>
  <c r="R636" i="3"/>
  <c r="R1128" i="3"/>
  <c r="R698" i="3"/>
  <c r="R916" i="3"/>
  <c r="R1067" i="3"/>
  <c r="R19" i="3"/>
  <c r="R966" i="3"/>
  <c r="R737" i="3"/>
  <c r="L667" i="3"/>
  <c r="R1171" i="3"/>
  <c r="R1072" i="3"/>
  <c r="O91" i="3"/>
  <c r="U25" i="3"/>
  <c r="U98" i="3"/>
  <c r="K665" i="3"/>
  <c r="R1178" i="3"/>
  <c r="L762" i="3"/>
  <c r="O46" i="3"/>
  <c r="U940" i="3"/>
  <c r="O174" i="3"/>
  <c r="L755" i="3"/>
  <c r="L685" i="3"/>
  <c r="R1108" i="3"/>
  <c r="K735" i="3"/>
  <c r="R1103" i="3"/>
  <c r="R719" i="3"/>
  <c r="R883" i="3"/>
  <c r="L982" i="3"/>
  <c r="L873" i="3"/>
  <c r="R800" i="3"/>
  <c r="R25" i="3"/>
  <c r="K886" i="3"/>
  <c r="L1093" i="3"/>
  <c r="K1043" i="3"/>
  <c r="L959" i="3"/>
  <c r="K1197" i="3"/>
  <c r="L760" i="3"/>
  <c r="O12" i="3"/>
  <c r="U31" i="3"/>
  <c r="O23" i="3"/>
  <c r="K1121" i="3"/>
  <c r="R42" i="3"/>
  <c r="L851" i="3"/>
  <c r="U609" i="3"/>
  <c r="U680" i="3"/>
  <c r="U1013" i="3"/>
  <c r="U1203" i="3"/>
  <c r="U1118" i="3"/>
  <c r="U1052" i="3"/>
  <c r="U718" i="3"/>
  <c r="R1156" i="3"/>
  <c r="U1186" i="3"/>
  <c r="U910" i="3"/>
  <c r="U608" i="3"/>
  <c r="R1025" i="3"/>
  <c r="R715" i="3"/>
  <c r="R879" i="3"/>
  <c r="K966" i="3"/>
  <c r="U659" i="3"/>
  <c r="R933" i="3"/>
  <c r="R1110" i="3"/>
  <c r="R660" i="3"/>
  <c r="L845" i="3"/>
  <c r="R1193" i="3"/>
  <c r="R633" i="3"/>
  <c r="U9" i="3"/>
  <c r="R958" i="3"/>
  <c r="R867" i="3"/>
  <c r="U810" i="3"/>
  <c r="K615" i="3"/>
  <c r="K1084" i="3"/>
  <c r="L820" i="3"/>
  <c r="L1053" i="3"/>
  <c r="K784" i="3"/>
  <c r="K1161" i="3"/>
  <c r="L780" i="3"/>
  <c r="U82" i="3"/>
  <c r="R816" i="3"/>
  <c r="L613" i="3"/>
  <c r="R798" i="3"/>
  <c r="K1103" i="3"/>
  <c r="K1010" i="3"/>
  <c r="L812" i="3"/>
  <c r="U1090" i="3"/>
  <c r="U701" i="3"/>
  <c r="R1002" i="3"/>
  <c r="K809" i="3"/>
  <c r="U845" i="3"/>
  <c r="U889" i="3"/>
  <c r="R1162" i="3"/>
  <c r="R761" i="3"/>
  <c r="R980" i="3"/>
  <c r="R703" i="3"/>
  <c r="U868" i="3"/>
  <c r="U673" i="3"/>
  <c r="U987" i="3"/>
  <c r="U832" i="3"/>
  <c r="U1187" i="3"/>
  <c r="U1115" i="3"/>
  <c r="U719" i="3"/>
  <c r="R702" i="3"/>
  <c r="R832" i="3"/>
  <c r="L781" i="3"/>
  <c r="R640" i="3"/>
  <c r="U944" i="3"/>
  <c r="U669" i="3"/>
  <c r="U786" i="3"/>
  <c r="U770" i="3"/>
  <c r="U776" i="3"/>
  <c r="U984" i="3"/>
  <c r="R676" i="3"/>
  <c r="R1134" i="3"/>
  <c r="U1116" i="3"/>
  <c r="U923" i="3"/>
  <c r="U981" i="3"/>
  <c r="R707" i="3"/>
  <c r="R1011" i="3"/>
  <c r="O45" i="3"/>
  <c r="R1075" i="3"/>
  <c r="U802" i="3"/>
  <c r="U823" i="3"/>
  <c r="R728" i="3"/>
  <c r="R834" i="3"/>
  <c r="R1083" i="3"/>
  <c r="R882" i="3"/>
  <c r="R1052" i="3"/>
  <c r="R1199" i="3"/>
  <c r="U74" i="3"/>
  <c r="L1184" i="3"/>
  <c r="K777" i="3"/>
  <c r="L1138" i="3"/>
  <c r="R864" i="3"/>
  <c r="L813" i="3"/>
  <c r="L1137" i="3"/>
  <c r="K1146" i="3"/>
  <c r="O25" i="3"/>
  <c r="U15" i="3"/>
  <c r="K1152" i="3"/>
  <c r="U763" i="3"/>
  <c r="U979" i="3"/>
  <c r="U1100" i="3"/>
  <c r="U1174" i="3"/>
  <c r="U925" i="3"/>
  <c r="U907" i="3"/>
  <c r="R810" i="3"/>
  <c r="R1061" i="3"/>
  <c r="K919" i="3"/>
  <c r="R990" i="3"/>
  <c r="L974" i="3"/>
  <c r="K1052" i="3"/>
  <c r="R1037" i="3"/>
  <c r="O136" i="3"/>
  <c r="U665" i="3"/>
  <c r="U643" i="3"/>
  <c r="U1184" i="3"/>
  <c r="L739" i="3"/>
  <c r="L1182" i="3"/>
  <c r="L745" i="3"/>
  <c r="R888" i="3"/>
  <c r="L660" i="3"/>
  <c r="L1015" i="3"/>
  <c r="K1033" i="3"/>
  <c r="O6" i="3"/>
  <c r="R35" i="3"/>
  <c r="L1117" i="3"/>
  <c r="L945" i="3"/>
  <c r="L1197" i="3"/>
  <c r="R936" i="3"/>
  <c r="U58" i="3"/>
  <c r="L1079" i="3"/>
  <c r="L678" i="3"/>
  <c r="U24" i="3"/>
  <c r="L729" i="3"/>
  <c r="R1109" i="3"/>
  <c r="L610" i="3"/>
  <c r="K982" i="3"/>
  <c r="R74" i="3"/>
  <c r="R1030" i="3"/>
  <c r="K1053" i="3"/>
  <c r="K911" i="3"/>
  <c r="K1016" i="3"/>
  <c r="K742" i="3"/>
  <c r="K1074" i="3"/>
  <c r="K633" i="3"/>
  <c r="R349" i="3"/>
  <c r="U107" i="3"/>
  <c r="L735" i="3"/>
  <c r="U182" i="3"/>
  <c r="O59" i="3"/>
  <c r="K904" i="3"/>
  <c r="L895" i="3"/>
  <c r="U716" i="3"/>
  <c r="U1010" i="3"/>
  <c r="U804" i="3"/>
  <c r="U672" i="3"/>
  <c r="U1082" i="3"/>
  <c r="U675" i="3"/>
  <c r="U970" i="3"/>
  <c r="R917" i="3"/>
  <c r="R743" i="3"/>
  <c r="R757" i="3"/>
  <c r="R983" i="3"/>
  <c r="U1156" i="3"/>
  <c r="R1076" i="3"/>
  <c r="L637" i="3"/>
  <c r="L680" i="3"/>
  <c r="R1137" i="3"/>
  <c r="R20" i="3"/>
  <c r="L702" i="3"/>
  <c r="U64" i="3"/>
  <c r="R982" i="3"/>
  <c r="U903" i="3"/>
  <c r="U1199" i="3"/>
  <c r="R689" i="3"/>
  <c r="K754" i="3"/>
  <c r="R1129" i="3"/>
  <c r="R997" i="3"/>
  <c r="R819" i="3"/>
  <c r="L625" i="3"/>
  <c r="R679" i="3"/>
  <c r="R776" i="3"/>
  <c r="R1147" i="3"/>
  <c r="U60" i="3"/>
  <c r="L616" i="3"/>
  <c r="K1139" i="3"/>
  <c r="R106" i="3"/>
  <c r="L699" i="3"/>
  <c r="K870" i="3"/>
  <c r="K1071" i="3"/>
  <c r="L943" i="3"/>
  <c r="R802" i="3"/>
  <c r="K851" i="3"/>
  <c r="L670" i="3"/>
  <c r="R1047" i="3"/>
  <c r="K703" i="3"/>
  <c r="U784" i="3"/>
  <c r="U941" i="3"/>
  <c r="U890" i="3"/>
  <c r="U814" i="3"/>
  <c r="U657" i="3"/>
  <c r="U1057" i="3"/>
  <c r="U980" i="3"/>
  <c r="U1068" i="3"/>
  <c r="U1031" i="3"/>
  <c r="R754" i="3"/>
  <c r="U870" i="3"/>
  <c r="R620" i="3"/>
  <c r="R705" i="3"/>
  <c r="U40" i="3"/>
  <c r="R956" i="3"/>
  <c r="R931" i="3"/>
  <c r="R1078" i="3"/>
  <c r="R650" i="3"/>
  <c r="R1055" i="3"/>
  <c r="R1104" i="3"/>
  <c r="L772" i="3"/>
  <c r="K867" i="3"/>
  <c r="R992" i="3"/>
  <c r="U1102" i="3"/>
  <c r="L650" i="3"/>
  <c r="L966" i="3"/>
  <c r="L635" i="3"/>
  <c r="R766" i="3"/>
  <c r="K1125" i="3"/>
  <c r="R1173" i="3"/>
  <c r="R771" i="3"/>
  <c r="O156" i="3"/>
  <c r="L607" i="3"/>
  <c r="O48" i="3"/>
  <c r="K972" i="3"/>
  <c r="R1158" i="3"/>
  <c r="U1196" i="3"/>
  <c r="L991" i="3"/>
  <c r="K996" i="3"/>
  <c r="L976" i="3"/>
  <c r="L724" i="3"/>
  <c r="U171" i="3"/>
  <c r="L1087" i="3"/>
  <c r="L1031" i="3"/>
  <c r="K863" i="3"/>
  <c r="R777" i="3"/>
  <c r="R32" i="3"/>
  <c r="U133" i="3"/>
  <c r="K882" i="3"/>
  <c r="R85" i="3"/>
  <c r="L793" i="3"/>
  <c r="L948" i="3"/>
  <c r="L696" i="3"/>
  <c r="R1090" i="3"/>
  <c r="K632" i="3"/>
  <c r="L1033" i="3"/>
  <c r="O22" i="3"/>
  <c r="K814" i="3"/>
  <c r="K805" i="3"/>
  <c r="K1188" i="3"/>
  <c r="L865" i="3"/>
  <c r="R182" i="3"/>
  <c r="U1058" i="3"/>
  <c r="L620" i="3"/>
  <c r="K1191" i="3"/>
  <c r="U172" i="3"/>
  <c r="L658" i="3"/>
  <c r="K1128" i="3"/>
  <c r="L668" i="3"/>
  <c r="K694" i="3"/>
  <c r="R825" i="3"/>
  <c r="U97" i="3"/>
  <c r="O70" i="3"/>
  <c r="L886" i="3"/>
  <c r="L705" i="3"/>
  <c r="R384" i="3"/>
  <c r="R887" i="3"/>
  <c r="K999" i="3"/>
  <c r="U603" i="3"/>
  <c r="K1067" i="3"/>
  <c r="U379" i="3"/>
  <c r="K767" i="3"/>
  <c r="K711" i="3"/>
  <c r="L1034" i="3"/>
  <c r="U5" i="3"/>
  <c r="K893" i="3"/>
  <c r="L809" i="3"/>
  <c r="U382" i="3"/>
  <c r="R1092" i="3"/>
  <c r="R54" i="3"/>
  <c r="K921" i="3"/>
  <c r="R58" i="3"/>
  <c r="R396" i="3"/>
  <c r="R12" i="3"/>
  <c r="K901" i="3"/>
  <c r="L879" i="3"/>
  <c r="R451" i="3"/>
  <c r="R51" i="3"/>
  <c r="K1143" i="3"/>
  <c r="K1157" i="3"/>
  <c r="K951" i="3"/>
  <c r="L624" i="3"/>
  <c r="L829" i="3"/>
  <c r="R617" i="3"/>
  <c r="U857" i="3"/>
  <c r="L815" i="3"/>
  <c r="R1179" i="3"/>
  <c r="U1145" i="3"/>
  <c r="U788" i="3"/>
  <c r="R897" i="3"/>
  <c r="L742" i="3"/>
  <c r="R1060" i="3"/>
  <c r="R866" i="3"/>
  <c r="R731" i="3"/>
  <c r="U953" i="3"/>
  <c r="U723" i="3"/>
  <c r="U1101" i="3"/>
  <c r="U1092" i="3"/>
  <c r="U624" i="3"/>
  <c r="U863" i="3"/>
  <c r="R860" i="3"/>
  <c r="R949" i="3"/>
  <c r="R1176" i="3"/>
  <c r="U780" i="3"/>
  <c r="U826" i="3"/>
  <c r="U828" i="3"/>
  <c r="U912" i="3"/>
  <c r="U636" i="3"/>
  <c r="U653" i="3"/>
  <c r="U779" i="3"/>
  <c r="R631" i="3"/>
  <c r="U1164" i="3"/>
  <c r="L783" i="3"/>
  <c r="U670" i="3"/>
  <c r="U1028" i="3"/>
  <c r="U895" i="3"/>
  <c r="R1124" i="3"/>
  <c r="K644" i="3"/>
  <c r="K956" i="3"/>
  <c r="U734" i="3"/>
  <c r="R1116" i="3"/>
  <c r="U1136" i="3"/>
  <c r="L653" i="3"/>
  <c r="K734" i="3"/>
  <c r="L1189" i="3"/>
  <c r="R1099" i="3"/>
  <c r="K1175" i="3"/>
  <c r="R1135" i="3"/>
  <c r="R651" i="3"/>
  <c r="U123" i="3"/>
  <c r="L983" i="3"/>
  <c r="L628" i="3"/>
  <c r="O158" i="3"/>
  <c r="R1121" i="3"/>
  <c r="U42" i="3"/>
  <c r="U453" i="3"/>
  <c r="L920" i="3"/>
  <c r="U525" i="3"/>
  <c r="U666" i="3"/>
  <c r="U762" i="3"/>
  <c r="U1025" i="3"/>
  <c r="U1162" i="3"/>
  <c r="U1017" i="3"/>
  <c r="R830" i="3"/>
  <c r="K724" i="3"/>
  <c r="L737" i="3"/>
  <c r="L1037" i="3"/>
  <c r="R957" i="3"/>
  <c r="R664" i="3"/>
  <c r="K664" i="3"/>
  <c r="L1166" i="3"/>
  <c r="U45" i="3"/>
  <c r="K938" i="3"/>
  <c r="K781" i="3"/>
  <c r="L647" i="3"/>
  <c r="U933" i="3"/>
  <c r="R948" i="3"/>
  <c r="R745" i="3"/>
  <c r="R665" i="3"/>
  <c r="R850" i="3"/>
  <c r="R994" i="3"/>
  <c r="O120" i="3"/>
  <c r="L767" i="3"/>
  <c r="R1024" i="3"/>
  <c r="L662" i="3"/>
  <c r="K652" i="3"/>
  <c r="U1110" i="3"/>
  <c r="U1123" i="3"/>
  <c r="U726" i="3"/>
  <c r="U635" i="3"/>
  <c r="R985" i="3"/>
  <c r="R634" i="3"/>
  <c r="K884" i="3"/>
  <c r="R711" i="3"/>
  <c r="R1077" i="3"/>
  <c r="U644" i="3"/>
  <c r="R868" i="3"/>
  <c r="K1069" i="3"/>
  <c r="L1133" i="3"/>
  <c r="R861" i="3"/>
  <c r="U61" i="3"/>
  <c r="L1006" i="3"/>
  <c r="O190" i="3"/>
  <c r="K1002" i="3"/>
  <c r="K1062" i="3"/>
  <c r="R1113" i="3"/>
  <c r="L1168" i="3"/>
  <c r="L985" i="3"/>
  <c r="O237" i="3"/>
  <c r="K940" i="3"/>
  <c r="U168" i="3"/>
  <c r="O227" i="3"/>
  <c r="R654" i="3"/>
  <c r="K680" i="3"/>
  <c r="K1059" i="3"/>
  <c r="K1014" i="3"/>
  <c r="U139" i="3"/>
  <c r="L928" i="3"/>
  <c r="U514" i="3"/>
  <c r="U184" i="3"/>
  <c r="R70" i="3"/>
  <c r="K908" i="3"/>
  <c r="O157" i="3"/>
  <c r="L618" i="3"/>
  <c r="K985" i="3"/>
  <c r="L1088" i="3"/>
  <c r="K816" i="3"/>
  <c r="L779" i="3"/>
  <c r="L1055" i="3"/>
  <c r="U371" i="3"/>
  <c r="O510" i="3"/>
  <c r="R181" i="3"/>
  <c r="R755" i="3"/>
  <c r="O128" i="3"/>
  <c r="R596" i="3"/>
  <c r="L1026" i="3"/>
  <c r="L669" i="3"/>
  <c r="K775" i="3"/>
  <c r="K689" i="3"/>
  <c r="U155" i="3"/>
  <c r="R121" i="3"/>
  <c r="L992" i="3"/>
  <c r="R1015" i="3"/>
  <c r="O196" i="3"/>
  <c r="O356" i="3"/>
  <c r="L1056" i="3"/>
  <c r="O286" i="3"/>
  <c r="U88" i="3"/>
  <c r="O482" i="3"/>
  <c r="K1076" i="3"/>
  <c r="K1130" i="3"/>
  <c r="L844" i="3"/>
  <c r="R1136" i="3"/>
  <c r="L954" i="3"/>
  <c r="K1035" i="3"/>
  <c r="O7" i="3"/>
  <c r="L1000" i="3"/>
  <c r="K849" i="3"/>
  <c r="L905" i="3"/>
  <c r="K876" i="3"/>
  <c r="O209" i="3"/>
  <c r="U622" i="3"/>
  <c r="R252" i="3"/>
  <c r="L614" i="3"/>
  <c r="K1051" i="3"/>
  <c r="R1120" i="3"/>
  <c r="L952" i="3"/>
  <c r="L706" i="3"/>
  <c r="L775" i="3"/>
  <c r="K1137" i="3"/>
  <c r="U117" i="3"/>
  <c r="R102" i="3"/>
  <c r="U476" i="3"/>
  <c r="L804" i="3"/>
  <c r="K732" i="3"/>
  <c r="R1195" i="3"/>
  <c r="L967" i="3"/>
  <c r="K620" i="3"/>
  <c r="K1107" i="3"/>
  <c r="L908" i="3"/>
  <c r="K935" i="3"/>
  <c r="K1172" i="3"/>
  <c r="L1074" i="3"/>
  <c r="R170" i="3"/>
  <c r="O200" i="3"/>
  <c r="K787" i="3"/>
  <c r="L617" i="3"/>
  <c r="R1118" i="3"/>
  <c r="L664" i="3"/>
  <c r="K1113" i="3"/>
  <c r="L1024" i="3"/>
  <c r="R1098" i="3"/>
  <c r="R457" i="3"/>
  <c r="R194" i="3"/>
  <c r="U273" i="3"/>
  <c r="U73" i="3"/>
  <c r="U344" i="3"/>
  <c r="K1111" i="3"/>
  <c r="R1102" i="3"/>
  <c r="R1115" i="3"/>
  <c r="K1112" i="3"/>
  <c r="L1085" i="3"/>
  <c r="K662" i="3"/>
  <c r="K853" i="3"/>
  <c r="R1053" i="3"/>
  <c r="R21" i="3"/>
  <c r="R1202" i="3"/>
  <c r="K907" i="3"/>
  <c r="R174" i="3"/>
  <c r="L1096" i="3"/>
  <c r="U376" i="3"/>
  <c r="K616" i="3"/>
  <c r="O222" i="3"/>
  <c r="K1168" i="3"/>
  <c r="O142" i="3"/>
  <c r="K1109" i="3"/>
  <c r="K939" i="3"/>
  <c r="L1159" i="3"/>
  <c r="K1075" i="3"/>
  <c r="U488" i="3"/>
  <c r="O186" i="3"/>
  <c r="O88" i="3"/>
  <c r="L890" i="3"/>
  <c r="K914" i="3"/>
  <c r="K930" i="3"/>
  <c r="R1182" i="3"/>
  <c r="K822" i="3"/>
  <c r="U34" i="3"/>
  <c r="U94" i="3"/>
  <c r="R1200" i="3"/>
  <c r="O112" i="3"/>
  <c r="K716" i="3"/>
  <c r="O172" i="3"/>
  <c r="K1196" i="3"/>
  <c r="K917" i="3"/>
  <c r="R245" i="3"/>
  <c r="O168" i="3"/>
  <c r="K774" i="3"/>
  <c r="U66" i="3"/>
  <c r="L872" i="3"/>
  <c r="R905" i="3"/>
  <c r="R1122" i="3"/>
  <c r="U276" i="3"/>
  <c r="L1125" i="3"/>
  <c r="K973" i="3"/>
  <c r="L1161" i="3"/>
  <c r="L883" i="3"/>
  <c r="O226" i="3"/>
  <c r="R139" i="3"/>
  <c r="L1027" i="3"/>
  <c r="R43" i="3"/>
  <c r="K1200" i="3"/>
  <c r="R105" i="3"/>
  <c r="L1013" i="3"/>
  <c r="L1064" i="3"/>
  <c r="O443" i="3"/>
  <c r="R149" i="3"/>
  <c r="R506" i="3"/>
  <c r="L1075" i="3"/>
  <c r="O179" i="3"/>
  <c r="U281" i="3"/>
  <c r="L862" i="3"/>
  <c r="R1190" i="3"/>
  <c r="U198" i="3"/>
  <c r="K909" i="3"/>
  <c r="K623" i="3"/>
  <c r="L884" i="3"/>
  <c r="R833" i="3"/>
  <c r="K942" i="3"/>
  <c r="R1125" i="3"/>
  <c r="L609" i="3"/>
  <c r="R208" i="3"/>
  <c r="L1187" i="3"/>
  <c r="K643" i="3"/>
  <c r="R116" i="3"/>
  <c r="L703" i="3"/>
  <c r="O440" i="3"/>
  <c r="K825" i="3"/>
  <c r="R61" i="3"/>
  <c r="K722" i="3"/>
  <c r="K993" i="3"/>
  <c r="K1198" i="3"/>
  <c r="U215" i="3"/>
  <c r="O38" i="3"/>
  <c r="L1016" i="3"/>
  <c r="U111" i="3"/>
  <c r="R135" i="3"/>
  <c r="R818" i="3"/>
  <c r="L888" i="3"/>
  <c r="R977" i="3"/>
  <c r="R130" i="3"/>
  <c r="K1169" i="3"/>
  <c r="O177" i="3"/>
  <c r="K1027" i="3"/>
  <c r="O40" i="3"/>
  <c r="K1144" i="3"/>
  <c r="K864" i="3"/>
  <c r="R1167" i="3"/>
  <c r="L960" i="3"/>
  <c r="O313" i="3"/>
  <c r="O519" i="3"/>
  <c r="L832" i="3"/>
  <c r="K912" i="3"/>
  <c r="K846" i="3"/>
  <c r="K669" i="3"/>
  <c r="R1184" i="3"/>
  <c r="R531" i="3"/>
  <c r="K1123" i="3"/>
  <c r="K953" i="3"/>
  <c r="L1201" i="3"/>
  <c r="L1148" i="3"/>
  <c r="U41" i="3"/>
  <c r="O135" i="3"/>
  <c r="K771" i="3"/>
  <c r="R28" i="3"/>
  <c r="L643" i="3"/>
  <c r="O193" i="3"/>
  <c r="L838" i="3"/>
  <c r="K626" i="3"/>
  <c r="R1201" i="3"/>
  <c r="R908" i="3"/>
  <c r="K686" i="3"/>
  <c r="L1176" i="3"/>
  <c r="L786" i="3"/>
  <c r="L1114" i="3"/>
  <c r="R1085" i="3"/>
  <c r="R1132" i="3"/>
  <c r="L757" i="3"/>
  <c r="L911" i="3"/>
  <c r="K923" i="3"/>
  <c r="R653" i="3"/>
  <c r="U1018" i="3"/>
  <c r="R921" i="3"/>
  <c r="U1044" i="3"/>
  <c r="R656" i="3"/>
  <c r="K759" i="3"/>
  <c r="K880" i="3"/>
  <c r="K1004" i="3"/>
  <c r="L1198" i="3"/>
  <c r="U47" i="3"/>
  <c r="R615" i="3"/>
  <c r="R849" i="3"/>
  <c r="U1042" i="3"/>
  <c r="U1132" i="3"/>
  <c r="U951" i="3"/>
  <c r="U808" i="3"/>
  <c r="L654" i="3"/>
  <c r="R1070" i="3"/>
  <c r="R1038" i="3"/>
  <c r="U842" i="3"/>
  <c r="U39" i="3"/>
  <c r="O30" i="3"/>
  <c r="R18" i="3"/>
  <c r="R975" i="3"/>
  <c r="R1169" i="3"/>
  <c r="R797" i="3"/>
  <c r="R836" i="3"/>
  <c r="L619" i="3"/>
  <c r="U23" i="3"/>
  <c r="R1106" i="3"/>
  <c r="K651" i="3"/>
  <c r="K965" i="3"/>
  <c r="K791" i="3"/>
  <c r="K1183" i="3"/>
  <c r="L707" i="3"/>
  <c r="R123" i="3"/>
  <c r="L849" i="3"/>
  <c r="L623" i="3"/>
  <c r="R714" i="3"/>
  <c r="O100" i="3"/>
  <c r="L730" i="3"/>
  <c r="K878" i="3"/>
  <c r="L1190" i="3"/>
  <c r="L1105" i="3"/>
  <c r="K823" i="3"/>
  <c r="U214" i="3"/>
  <c r="L1151" i="3"/>
  <c r="O37" i="3"/>
  <c r="O65" i="3"/>
  <c r="K836" i="3"/>
  <c r="K731" i="3"/>
  <c r="K1072" i="3"/>
  <c r="R1163" i="3"/>
  <c r="R71" i="3"/>
  <c r="K928" i="3"/>
  <c r="R114" i="3"/>
  <c r="K891" i="3"/>
  <c r="U121" i="3"/>
  <c r="R257" i="3"/>
  <c r="L898" i="3"/>
  <c r="M31" i="3"/>
  <c r="L641" i="3"/>
  <c r="K776" i="3"/>
  <c r="K629" i="3"/>
  <c r="L687" i="3"/>
  <c r="L1206" i="3"/>
  <c r="L999" i="3"/>
  <c r="K782" i="3"/>
  <c r="O36" i="3"/>
  <c r="L769" i="3"/>
  <c r="R63" i="3"/>
  <c r="K1070" i="3"/>
  <c r="U392" i="3"/>
  <c r="O149" i="3"/>
  <c r="R207" i="3"/>
  <c r="O115" i="3"/>
  <c r="K967" i="3"/>
  <c r="L1158" i="3"/>
  <c r="K743" i="3"/>
  <c r="L673" i="3"/>
  <c r="K1056" i="3"/>
  <c r="K832" i="3"/>
  <c r="R29" i="3"/>
  <c r="K1190" i="3"/>
  <c r="U80" i="3"/>
  <c r="L1152" i="3"/>
  <c r="U109" i="3"/>
  <c r="L1181" i="3"/>
  <c r="R422" i="3"/>
  <c r="O92" i="3"/>
  <c r="K944" i="3"/>
  <c r="K1064" i="3"/>
  <c r="K726" i="3"/>
  <c r="L1180" i="3"/>
  <c r="R1080" i="3"/>
  <c r="L661" i="3"/>
  <c r="U164" i="3"/>
  <c r="K749" i="3"/>
  <c r="U178" i="3"/>
  <c r="R794" i="3"/>
  <c r="K954" i="3"/>
  <c r="U76" i="3"/>
  <c r="L1128" i="3"/>
  <c r="R671" i="3"/>
  <c r="O96" i="3"/>
  <c r="L1162" i="3"/>
  <c r="L777" i="3"/>
  <c r="K1108" i="3"/>
  <c r="L1095" i="3"/>
  <c r="K990" i="3"/>
  <c r="R291" i="3"/>
  <c r="L817" i="3"/>
  <c r="R629" i="3"/>
  <c r="L788" i="3"/>
  <c r="O16" i="3"/>
  <c r="U135" i="3"/>
  <c r="O287" i="3"/>
  <c r="O295" i="3"/>
  <c r="O500" i="3"/>
  <c r="K668" i="3"/>
  <c r="L827" i="3"/>
  <c r="R172" i="3"/>
  <c r="R843" i="3"/>
  <c r="L672" i="3"/>
  <c r="K614" i="3"/>
  <c r="R934" i="3"/>
  <c r="K720" i="3"/>
  <c r="K1148" i="3"/>
  <c r="U91" i="3"/>
  <c r="L1179" i="3"/>
  <c r="R1003" i="3"/>
  <c r="O50" i="3"/>
  <c r="R68" i="3"/>
  <c r="K841" i="3"/>
  <c r="O119" i="3"/>
  <c r="K1110" i="3"/>
  <c r="K1102" i="3"/>
  <c r="R161" i="3"/>
  <c r="K1170" i="3"/>
  <c r="R789" i="3"/>
  <c r="K1007" i="3"/>
  <c r="R1138" i="3"/>
  <c r="U33" i="3"/>
  <c r="L682" i="3"/>
  <c r="K1096" i="3"/>
  <c r="L1174" i="3"/>
  <c r="U1063" i="3"/>
  <c r="O106" i="3"/>
  <c r="R286" i="3"/>
  <c r="K1046" i="3"/>
  <c r="L912" i="3"/>
  <c r="U119" i="3"/>
  <c r="U417" i="3"/>
  <c r="R108" i="3"/>
  <c r="K947" i="3"/>
  <c r="U340" i="3"/>
  <c r="L819" i="3"/>
  <c r="U341" i="3"/>
  <c r="L722" i="3"/>
  <c r="L1047" i="3"/>
  <c r="L782" i="3"/>
  <c r="K1115" i="3"/>
  <c r="O118" i="3"/>
  <c r="L797" i="3"/>
  <c r="R621" i="3"/>
  <c r="L843" i="3"/>
  <c r="L1060" i="3"/>
  <c r="L652" i="3"/>
  <c r="K977" i="3"/>
  <c r="L861" i="3"/>
  <c r="L740" i="3"/>
  <c r="L761" i="3"/>
  <c r="K1098" i="3"/>
  <c r="K1093" i="3"/>
  <c r="R112" i="3"/>
  <c r="U65" i="3"/>
  <c r="U403" i="3"/>
  <c r="R979" i="3"/>
  <c r="O49" i="3"/>
  <c r="R137" i="3"/>
  <c r="R774" i="3"/>
  <c r="K926" i="3"/>
  <c r="R40" i="3"/>
  <c r="U312" i="3"/>
  <c r="O130" i="3"/>
  <c r="O281" i="3"/>
  <c r="R1032" i="3"/>
  <c r="L802" i="3"/>
  <c r="O97" i="3"/>
  <c r="R1005" i="3"/>
  <c r="L1149" i="3"/>
  <c r="U59" i="3"/>
  <c r="O39" i="3"/>
  <c r="K1150" i="3"/>
  <c r="R288" i="3"/>
  <c r="K746" i="3"/>
  <c r="K730" i="3"/>
  <c r="R66" i="3"/>
  <c r="R157" i="3"/>
  <c r="L806" i="3"/>
  <c r="O114" i="3"/>
  <c r="R179" i="3"/>
  <c r="U237" i="3"/>
  <c r="L663" i="3"/>
  <c r="R709" i="3"/>
  <c r="R432" i="3"/>
  <c r="O63" i="3"/>
  <c r="L666" i="3"/>
  <c r="O362" i="3"/>
  <c r="R1204" i="3"/>
  <c r="L713" i="3"/>
  <c r="O181" i="3"/>
  <c r="O377" i="3"/>
  <c r="R857" i="3"/>
  <c r="K978" i="3"/>
  <c r="O292" i="3"/>
  <c r="R84" i="3"/>
  <c r="R942" i="3"/>
  <c r="K986" i="3"/>
  <c r="K1048" i="3"/>
  <c r="K789" i="3"/>
  <c r="L1164" i="3"/>
  <c r="O62" i="3"/>
  <c r="R890" i="3"/>
  <c r="K984" i="3"/>
  <c r="O41" i="3"/>
  <c r="U144" i="3"/>
  <c r="O161" i="3"/>
  <c r="K678" i="3"/>
  <c r="L881" i="3"/>
  <c r="O475" i="3"/>
  <c r="L674" i="3"/>
  <c r="L970" i="3"/>
  <c r="K894" i="3"/>
  <c r="U16" i="3"/>
  <c r="K936" i="3"/>
  <c r="L1154" i="3"/>
  <c r="K1133" i="3"/>
  <c r="R166" i="3"/>
  <c r="K889" i="3"/>
  <c r="L1191" i="3"/>
  <c r="L830" i="3"/>
  <c r="R1029" i="3"/>
  <c r="R844" i="3"/>
  <c r="U660" i="3"/>
  <c r="R893" i="3"/>
  <c r="R15" i="3"/>
  <c r="K1099" i="3"/>
  <c r="K1101" i="3"/>
  <c r="R821" i="3"/>
  <c r="L629" i="3"/>
  <c r="R945" i="3"/>
  <c r="L1178" i="3"/>
  <c r="R34" i="3"/>
  <c r="U1152" i="3"/>
  <c r="U738" i="3"/>
  <c r="U1037" i="3"/>
  <c r="R1139" i="3"/>
  <c r="L998" i="3"/>
  <c r="U1160" i="3"/>
  <c r="R1146" i="3"/>
  <c r="K988" i="3"/>
  <c r="O132" i="3"/>
  <c r="U7" i="3"/>
  <c r="R1069" i="3"/>
  <c r="R853" i="3"/>
  <c r="U110" i="3"/>
  <c r="U1059" i="3"/>
  <c r="U704" i="3"/>
  <c r="U1083" i="3"/>
  <c r="U722" i="3"/>
  <c r="K949" i="3"/>
  <c r="U968" i="3"/>
  <c r="R863" i="3"/>
  <c r="U717" i="3"/>
  <c r="O117" i="3"/>
  <c r="K657" i="3"/>
  <c r="K877" i="3"/>
  <c r="R910" i="3"/>
  <c r="R976" i="3"/>
  <c r="U1078" i="3"/>
  <c r="L746" i="3"/>
  <c r="K1085" i="3"/>
  <c r="R1034" i="3"/>
  <c r="R69" i="3"/>
  <c r="L677" i="3"/>
  <c r="K1192" i="3"/>
  <c r="L642" i="3"/>
  <c r="K1164" i="3"/>
  <c r="U232" i="3"/>
  <c r="K770" i="3"/>
  <c r="R541" i="3"/>
  <c r="K1001" i="3"/>
  <c r="L1119" i="3"/>
  <c r="R1168" i="3"/>
  <c r="R44" i="3"/>
  <c r="K1008" i="3"/>
  <c r="L822" i="3"/>
  <c r="K661" i="3"/>
  <c r="K609" i="3"/>
  <c r="K1024" i="3"/>
  <c r="L615" i="3"/>
  <c r="K681" i="3"/>
  <c r="L1050" i="3"/>
  <c r="R700" i="3"/>
  <c r="O54" i="3"/>
  <c r="K646" i="3"/>
  <c r="K1120" i="3"/>
  <c r="K1087" i="3"/>
  <c r="U70" i="3"/>
  <c r="L841" i="3"/>
  <c r="R747" i="3"/>
  <c r="L878" i="3"/>
  <c r="R271" i="3"/>
  <c r="R326" i="3"/>
  <c r="U75" i="3"/>
  <c r="L978" i="3"/>
  <c r="K862" i="3"/>
  <c r="K847" i="3"/>
  <c r="K718" i="3"/>
  <c r="L1172" i="3"/>
  <c r="L958" i="3"/>
  <c r="K890" i="3"/>
  <c r="L716" i="3"/>
  <c r="R647" i="3"/>
  <c r="R89" i="3"/>
  <c r="R76" i="3"/>
  <c r="O145" i="3"/>
  <c r="K1009" i="3"/>
  <c r="O597" i="3"/>
  <c r="R107" i="3"/>
  <c r="U137" i="3"/>
  <c r="K630" i="3"/>
  <c r="U220" i="3"/>
  <c r="K714" i="3"/>
  <c r="K685" i="3"/>
  <c r="R1012" i="3"/>
  <c r="O8" i="3"/>
  <c r="O27" i="3"/>
  <c r="U166" i="3"/>
  <c r="R372" i="3"/>
  <c r="R216" i="3"/>
  <c r="R835" i="3"/>
  <c r="R1165" i="3"/>
  <c r="R30" i="3"/>
  <c r="K970" i="3"/>
  <c r="L1153" i="3"/>
  <c r="K773" i="3"/>
  <c r="R26" i="3"/>
  <c r="R380" i="3"/>
  <c r="U35" i="3"/>
  <c r="L810" i="3"/>
  <c r="L665" i="3"/>
  <c r="K871" i="3"/>
  <c r="K1057" i="3"/>
  <c r="R1006" i="3"/>
  <c r="U162" i="3"/>
  <c r="R433" i="3"/>
  <c r="U328" i="3"/>
  <c r="R965" i="3"/>
  <c r="L692" i="3"/>
  <c r="U50" i="3"/>
  <c r="U18" i="3"/>
  <c r="U433" i="3"/>
  <c r="K1015" i="3"/>
  <c r="O398" i="3"/>
  <c r="K811" i="3"/>
  <c r="K619" i="3"/>
  <c r="L913" i="3"/>
  <c r="K885" i="3"/>
  <c r="U291" i="3"/>
  <c r="L754" i="3"/>
  <c r="O268" i="3"/>
  <c r="L857" i="3"/>
  <c r="O309" i="3"/>
  <c r="R415" i="3"/>
  <c r="R411" i="3"/>
  <c r="K756" i="3"/>
  <c r="R1057" i="3"/>
  <c r="K727" i="3"/>
  <c r="L969" i="3"/>
  <c r="L794" i="3"/>
  <c r="R1140" i="3"/>
  <c r="R91" i="3"/>
  <c r="L612" i="3"/>
  <c r="L1023" i="3"/>
  <c r="K612" i="3"/>
  <c r="R1107" i="3"/>
  <c r="R875" i="3"/>
  <c r="L718" i="3"/>
  <c r="U17" i="3"/>
  <c r="L801" i="3"/>
  <c r="L1002" i="3"/>
  <c r="L675" i="3"/>
  <c r="K1038" i="3"/>
  <c r="R371" i="3"/>
  <c r="L639" i="3"/>
  <c r="O231" i="3"/>
  <c r="K820" i="3"/>
  <c r="L711" i="3"/>
  <c r="L1204" i="3"/>
  <c r="O77" i="3"/>
  <c r="O213" i="3"/>
  <c r="O393" i="3"/>
  <c r="R1064" i="3"/>
  <c r="O236" i="3"/>
  <c r="R1164" i="3"/>
  <c r="U421" i="3"/>
  <c r="K1134" i="3"/>
  <c r="K960" i="3"/>
  <c r="L1008" i="3"/>
  <c r="K779" i="3"/>
  <c r="U424" i="3"/>
  <c r="L897" i="3"/>
  <c r="U21" i="3"/>
  <c r="L880" i="3"/>
  <c r="K708" i="3"/>
  <c r="K852" i="3"/>
  <c r="K1097" i="3"/>
  <c r="L968" i="3"/>
  <c r="U287" i="3"/>
  <c r="R1143" i="3"/>
  <c r="U103" i="3"/>
  <c r="L903" i="3"/>
  <c r="K980" i="3"/>
  <c r="O376" i="3"/>
  <c r="K969" i="3"/>
  <c r="U12" i="3"/>
  <c r="K698" i="3"/>
  <c r="R67" i="3"/>
  <c r="L698" i="3"/>
  <c r="K831" i="3"/>
  <c r="R939" i="3"/>
  <c r="K925" i="3"/>
  <c r="O75" i="3"/>
  <c r="O318" i="3"/>
  <c r="O437" i="3"/>
  <c r="K1040" i="3"/>
  <c r="R569" i="3"/>
  <c r="L1092" i="3"/>
  <c r="R492" i="3"/>
  <c r="K798" i="3"/>
  <c r="K801" i="3"/>
  <c r="K950" i="3"/>
  <c r="K1126" i="3"/>
  <c r="L892" i="3"/>
  <c r="R1094" i="3"/>
  <c r="K687" i="3"/>
  <c r="R1088" i="3"/>
  <c r="L1175" i="3"/>
  <c r="U116" i="3"/>
  <c r="K695" i="3"/>
  <c r="K679" i="3"/>
  <c r="U96" i="3"/>
  <c r="R50" i="3"/>
  <c r="K873" i="3"/>
  <c r="K968" i="3"/>
  <c r="L676" i="3"/>
  <c r="K1078" i="3"/>
  <c r="O95" i="3"/>
  <c r="L853" i="3"/>
  <c r="O66" i="3"/>
  <c r="U329" i="3"/>
  <c r="K888" i="3"/>
  <c r="K898" i="3"/>
  <c r="K838" i="3"/>
  <c r="R247" i="3"/>
  <c r="K1079" i="3"/>
  <c r="R455" i="3"/>
  <c r="L1030" i="3"/>
  <c r="L962" i="3"/>
  <c r="O187" i="3"/>
  <c r="L1042" i="3"/>
  <c r="K1000" i="3"/>
  <c r="O85" i="3"/>
  <c r="K819" i="3"/>
  <c r="O10" i="3"/>
  <c r="L927" i="3"/>
  <c r="U46" i="3"/>
  <c r="R133" i="3"/>
  <c r="L720" i="3"/>
  <c r="U131" i="3"/>
  <c r="O217" i="3"/>
  <c r="L1018" i="3"/>
  <c r="O548" i="3"/>
  <c r="O449" i="3"/>
  <c r="K1049" i="3"/>
  <c r="K1022" i="3"/>
  <c r="K1141" i="3"/>
  <c r="U30" i="3"/>
  <c r="K1019" i="3"/>
  <c r="K868" i="3"/>
  <c r="L752" i="3"/>
  <c r="L1120" i="3"/>
  <c r="L738" i="3"/>
  <c r="K906" i="3"/>
  <c r="K1017" i="3"/>
  <c r="R96" i="3"/>
  <c r="R954" i="3"/>
  <c r="O101" i="3"/>
  <c r="K807" i="3"/>
  <c r="R765" i="3"/>
  <c r="U79" i="3"/>
  <c r="K671" i="3"/>
  <c r="K958" i="3"/>
  <c r="L1061" i="3"/>
  <c r="K975" i="3"/>
  <c r="O24" i="3"/>
  <c r="R519" i="3"/>
  <c r="L1177" i="3"/>
  <c r="U1073" i="3"/>
  <c r="R704" i="3"/>
  <c r="U711" i="3"/>
  <c r="R918" i="3"/>
  <c r="K761" i="3"/>
  <c r="K981" i="3"/>
  <c r="L656" i="3"/>
  <c r="L821" i="3"/>
  <c r="R134" i="3"/>
  <c r="K741" i="3"/>
  <c r="R109" i="3"/>
  <c r="K712" i="3"/>
  <c r="U753" i="3"/>
  <c r="U819" i="3"/>
  <c r="U625" i="3"/>
  <c r="R1150" i="3"/>
  <c r="R813" i="3"/>
  <c r="O64" i="3"/>
  <c r="U747" i="3"/>
  <c r="R1050" i="3"/>
  <c r="K1013" i="3"/>
  <c r="R632" i="3"/>
  <c r="R733" i="3"/>
  <c r="R871" i="3"/>
  <c r="R943" i="3"/>
  <c r="K1030" i="3"/>
  <c r="R1087" i="3"/>
  <c r="L1205" i="3"/>
  <c r="L764" i="3"/>
  <c r="K892" i="3"/>
  <c r="L1098" i="3"/>
  <c r="K1044" i="3"/>
  <c r="K1145" i="3"/>
  <c r="K622" i="3"/>
  <c r="L818" i="3"/>
  <c r="L984" i="3"/>
  <c r="R156" i="3"/>
  <c r="L808" i="3"/>
  <c r="K875" i="3"/>
  <c r="R103" i="3"/>
  <c r="K920" i="3"/>
  <c r="O14" i="3"/>
  <c r="R94" i="3"/>
  <c r="K1025" i="3"/>
  <c r="R869" i="3"/>
  <c r="R928" i="3"/>
  <c r="L694" i="3"/>
  <c r="L1171" i="3"/>
  <c r="K736" i="3"/>
  <c r="K1081" i="3"/>
  <c r="U112" i="3"/>
  <c r="L1041" i="3"/>
  <c r="L691" i="3"/>
  <c r="O335" i="3"/>
  <c r="L795" i="3"/>
  <c r="L743" i="3"/>
  <c r="K1153" i="3"/>
  <c r="U307" i="3"/>
  <c r="U259" i="3"/>
  <c r="K874" i="3"/>
  <c r="R444" i="3"/>
  <c r="R1004" i="3"/>
  <c r="R941" i="3"/>
  <c r="R1020" i="3"/>
  <c r="K848" i="3"/>
  <c r="R1082" i="3"/>
  <c r="L951" i="3"/>
  <c r="O111" i="3"/>
  <c r="R48" i="3"/>
  <c r="R27" i="3"/>
  <c r="R177" i="3"/>
  <c r="L953" i="3"/>
  <c r="R23" i="3"/>
  <c r="K952" i="3"/>
  <c r="K998" i="3"/>
  <c r="L915" i="3"/>
  <c r="R793" i="3"/>
  <c r="K900" i="3"/>
  <c r="O247" i="3"/>
  <c r="R1040" i="3"/>
  <c r="L787" i="3"/>
  <c r="L896" i="3"/>
  <c r="O93" i="3"/>
  <c r="K976" i="3"/>
  <c r="K1160" i="3"/>
  <c r="K962" i="3"/>
  <c r="K833" i="3"/>
  <c r="K1065" i="3"/>
  <c r="K1119" i="3"/>
  <c r="O434" i="3"/>
  <c r="U383" i="3"/>
  <c r="R1073" i="3"/>
  <c r="K674" i="3"/>
  <c r="L1129" i="3"/>
  <c r="U38" i="3"/>
  <c r="K1166" i="3"/>
  <c r="U78" i="3"/>
  <c r="L704" i="3"/>
  <c r="K915" i="3"/>
  <c r="L1073" i="3"/>
  <c r="L1144" i="3"/>
  <c r="O188" i="3"/>
  <c r="O411" i="3"/>
  <c r="L1081" i="3"/>
  <c r="K1118" i="3"/>
  <c r="K701" i="3"/>
  <c r="R101" i="3"/>
  <c r="R889" i="3"/>
  <c r="R1189" i="3"/>
  <c r="K611" i="3"/>
  <c r="O116" i="3"/>
  <c r="K1204" i="3"/>
  <c r="R842" i="3"/>
  <c r="L1049" i="3"/>
  <c r="L977" i="3"/>
  <c r="R398" i="3"/>
  <c r="L871" i="3"/>
  <c r="O513" i="3"/>
  <c r="U194" i="3"/>
  <c r="R176" i="3"/>
  <c r="K745" i="3"/>
  <c r="U37" i="3"/>
  <c r="L846" i="3"/>
  <c r="L657" i="3"/>
  <c r="K916" i="3"/>
  <c r="L835" i="3"/>
  <c r="L778" i="3"/>
  <c r="R964" i="3"/>
  <c r="K932" i="3"/>
  <c r="O76" i="3"/>
  <c r="R1155" i="3"/>
  <c r="L758" i="3"/>
  <c r="K1201" i="3"/>
  <c r="O13" i="3"/>
  <c r="U187" i="3"/>
  <c r="U199" i="3"/>
  <c r="L833" i="3"/>
  <c r="K1089" i="3"/>
  <c r="K1012" i="3"/>
  <c r="L1066" i="3"/>
  <c r="R308" i="3"/>
  <c r="L924" i="3"/>
  <c r="U250" i="3"/>
  <c r="R1096" i="3"/>
  <c r="L748" i="3"/>
  <c r="L1029" i="3"/>
  <c r="O98" i="3"/>
  <c r="R234" i="3"/>
  <c r="L608" i="3"/>
  <c r="R65" i="3"/>
  <c r="K839" i="3"/>
  <c r="L1136" i="3"/>
  <c r="L771" i="3"/>
  <c r="R1042" i="3"/>
  <c r="K1186" i="3"/>
  <c r="K1091" i="3"/>
  <c r="O170" i="3"/>
  <c r="K1131" i="3"/>
  <c r="U69" i="3"/>
  <c r="L882" i="3"/>
  <c r="U225" i="3"/>
  <c r="K729" i="3"/>
  <c r="K896" i="3"/>
  <c r="L1113" i="3"/>
  <c r="K1142" i="3"/>
  <c r="K628" i="3"/>
  <c r="L847" i="3"/>
  <c r="O341" i="3"/>
  <c r="K1174" i="3"/>
  <c r="R1185" i="3"/>
  <c r="L986" i="3"/>
  <c r="K799" i="3"/>
  <c r="K1104" i="3"/>
  <c r="L1169" i="3"/>
  <c r="U142" i="3"/>
  <c r="L1193" i="3"/>
  <c r="R970" i="3"/>
  <c r="K631" i="3"/>
  <c r="L942" i="3"/>
  <c r="K1206" i="3"/>
  <c r="R189" i="3"/>
  <c r="K945" i="3"/>
  <c r="R571" i="3"/>
  <c r="L979" i="3"/>
  <c r="R240" i="3"/>
  <c r="U231" i="3"/>
  <c r="R72" i="3"/>
  <c r="L864" i="3"/>
  <c r="U799" i="3"/>
  <c r="K959" i="3"/>
  <c r="L950" i="3"/>
  <c r="L938" i="3"/>
  <c r="K753" i="3"/>
  <c r="L765" i="3"/>
  <c r="L1122" i="3"/>
  <c r="L1130" i="3"/>
  <c r="R209" i="3"/>
  <c r="L1025" i="3"/>
  <c r="R1079" i="3"/>
  <c r="O204" i="3"/>
  <c r="K844" i="3"/>
  <c r="K750" i="3"/>
  <c r="L655" i="3"/>
  <c r="L1106" i="3"/>
  <c r="K866" i="3"/>
  <c r="K997" i="3"/>
  <c r="L961" i="3"/>
  <c r="R1154" i="3"/>
  <c r="L1185" i="3"/>
  <c r="L715" i="3"/>
  <c r="R480" i="3"/>
  <c r="K1080" i="3"/>
  <c r="L1173" i="3"/>
  <c r="U180" i="3"/>
  <c r="K879" i="3"/>
  <c r="L1195" i="3"/>
  <c r="L1145" i="3"/>
  <c r="U540" i="3"/>
  <c r="O350" i="3"/>
  <c r="K1088" i="3"/>
  <c r="K813" i="3"/>
  <c r="K1032" i="3"/>
  <c r="R90" i="3"/>
  <c r="L922" i="3"/>
  <c r="R229" i="3"/>
  <c r="L763" i="3"/>
  <c r="K1039" i="3"/>
  <c r="R362" i="3"/>
  <c r="R626" i="3"/>
  <c r="L1103" i="3"/>
  <c r="O330" i="3"/>
  <c r="L1065" i="3"/>
  <c r="K963" i="3"/>
  <c r="L644" i="3"/>
  <c r="R1016" i="3"/>
  <c r="K827" i="3"/>
  <c r="U20" i="3"/>
  <c r="L919" i="3"/>
  <c r="L811" i="3"/>
  <c r="O5" i="3"/>
  <c r="K1023" i="3"/>
  <c r="L1163" i="3"/>
  <c r="R159" i="3"/>
  <c r="O81" i="3"/>
  <c r="R823" i="3"/>
  <c r="U141" i="3"/>
  <c r="R237" i="3"/>
  <c r="O148" i="3"/>
  <c r="O571" i="3"/>
  <c r="U384" i="3"/>
  <c r="R383" i="3"/>
  <c r="L866" i="3"/>
  <c r="R319" i="3"/>
  <c r="K857" i="3"/>
  <c r="R315" i="3"/>
  <c r="U366" i="3"/>
  <c r="R355" i="3"/>
  <c r="U122" i="3"/>
  <c r="O332" i="3"/>
  <c r="O153" i="3"/>
  <c r="U454" i="3"/>
  <c r="K802" i="3"/>
  <c r="U126" i="3"/>
  <c r="R205" i="3"/>
  <c r="U181" i="3"/>
  <c r="O358" i="3"/>
  <c r="K1136" i="3"/>
  <c r="O562" i="3"/>
  <c r="O491" i="3"/>
  <c r="O514" i="3"/>
  <c r="U400" i="3"/>
  <c r="R122" i="3"/>
  <c r="U170" i="3"/>
  <c r="U213" i="3"/>
  <c r="U461" i="3"/>
  <c r="O401" i="3"/>
  <c r="O212" i="3"/>
  <c r="L989" i="3"/>
  <c r="U235" i="3"/>
  <c r="R365" i="3"/>
  <c r="U388" i="3"/>
  <c r="U330" i="3"/>
  <c r="K1205" i="3"/>
  <c r="U358" i="3"/>
  <c r="O261" i="3"/>
  <c r="U148" i="3"/>
  <c r="R527" i="3"/>
  <c r="R258" i="3"/>
  <c r="U418" i="3"/>
  <c r="L1005" i="3"/>
  <c r="O238" i="3"/>
  <c r="L839" i="3"/>
  <c r="R748" i="3"/>
  <c r="K780" i="3"/>
  <c r="O429" i="3"/>
  <c r="O320" i="3"/>
  <c r="L1199" i="3"/>
  <c r="R215" i="3"/>
  <c r="O102" i="3"/>
  <c r="U51" i="3"/>
  <c r="R839" i="3"/>
  <c r="U303" i="3"/>
  <c r="R183" i="3"/>
  <c r="O257" i="3"/>
  <c r="U124" i="3"/>
  <c r="L751" i="3"/>
  <c r="R346" i="3"/>
  <c r="U380" i="3"/>
  <c r="K733" i="3"/>
  <c r="U425" i="3"/>
  <c r="U420" i="3"/>
  <c r="O595" i="3"/>
  <c r="M18" i="3"/>
  <c r="R566" i="3"/>
  <c r="O175" i="3"/>
  <c r="L749" i="3"/>
  <c r="R52" i="3"/>
  <c r="R403" i="3"/>
  <c r="U205" i="3"/>
  <c r="R419" i="3"/>
  <c r="K617" i="3"/>
  <c r="L842" i="3"/>
  <c r="O159" i="3"/>
  <c r="L859" i="3"/>
  <c r="R1089" i="3"/>
  <c r="R1152" i="3"/>
  <c r="R79" i="3"/>
  <c r="L1057" i="3"/>
  <c r="U274" i="3"/>
  <c r="O205" i="3"/>
  <c r="R280" i="3"/>
  <c r="U169" i="3"/>
  <c r="L1051" i="3"/>
  <c r="R126" i="3"/>
  <c r="R484" i="3"/>
  <c r="O543" i="3"/>
  <c r="U106" i="3"/>
  <c r="U188" i="3"/>
  <c r="O419" i="3"/>
  <c r="O578" i="3"/>
  <c r="K637" i="3"/>
  <c r="R330" i="3"/>
  <c r="L1094" i="3"/>
  <c r="R17" i="3"/>
  <c r="K763" i="3"/>
  <c r="U277" i="3"/>
  <c r="O319" i="3"/>
  <c r="O215" i="3"/>
  <c r="R212" i="3"/>
  <c r="R87" i="3"/>
  <c r="R8" i="3"/>
  <c r="R507" i="3"/>
  <c r="R516" i="3"/>
  <c r="L894" i="3"/>
  <c r="R279" i="3"/>
  <c r="U261" i="3"/>
  <c r="O305" i="3"/>
  <c r="U447" i="3"/>
  <c r="O565" i="3"/>
  <c r="R522" i="3"/>
  <c r="U324" i="3"/>
  <c r="O484" i="3"/>
  <c r="R465" i="3"/>
  <c r="M16" i="3"/>
  <c r="O314" i="3"/>
  <c r="O308" i="3"/>
  <c r="R81" i="3"/>
  <c r="U478" i="3"/>
  <c r="L1046" i="3"/>
  <c r="O324" i="3"/>
  <c r="O436" i="3"/>
  <c r="O520" i="3"/>
  <c r="U160" i="3"/>
  <c r="U507" i="3"/>
  <c r="U450" i="3"/>
  <c r="O406" i="3"/>
  <c r="R429" i="3"/>
  <c r="O447" i="3"/>
  <c r="L1183" i="3"/>
  <c r="O569" i="3"/>
  <c r="O263" i="3"/>
  <c r="U592" i="3"/>
  <c r="U292" i="3"/>
  <c r="O415" i="3"/>
  <c r="R591" i="3"/>
  <c r="U332" i="3"/>
  <c r="R249" i="3"/>
  <c r="O418" i="3"/>
  <c r="R599" i="3"/>
  <c r="R306" i="3"/>
  <c r="K1082" i="3"/>
  <c r="O567" i="3"/>
  <c r="O155" i="3"/>
  <c r="R483" i="3"/>
  <c r="O591" i="3"/>
  <c r="O558" i="3"/>
  <c r="K656" i="3"/>
  <c r="U455" i="3"/>
  <c r="O402" i="3"/>
  <c r="U197" i="3"/>
  <c r="R173" i="3"/>
  <c r="R494" i="3"/>
  <c r="U149" i="3"/>
  <c r="L1167" i="3"/>
  <c r="R598" i="3"/>
  <c r="O199" i="3"/>
  <c r="R266" i="3"/>
  <c r="U386" i="3"/>
  <c r="R341" i="3"/>
  <c r="U564" i="3"/>
  <c r="U224" i="3"/>
  <c r="U254" i="3"/>
  <c r="O33" i="3"/>
  <c r="R83" i="3"/>
  <c r="U104" i="3"/>
  <c r="R188" i="3"/>
  <c r="O464" i="3"/>
  <c r="O307" i="3"/>
  <c r="K739" i="3"/>
  <c r="O229" i="3"/>
  <c r="O462" i="3"/>
  <c r="U557" i="3"/>
  <c r="R110" i="3"/>
  <c r="U493" i="3"/>
  <c r="O208" i="3"/>
  <c r="U572" i="3"/>
  <c r="O403" i="3"/>
  <c r="K618" i="3"/>
  <c r="R551" i="3"/>
  <c r="U152" i="3"/>
  <c r="O280" i="3"/>
  <c r="R1114" i="3"/>
  <c r="R445" i="3"/>
  <c r="O299" i="3"/>
  <c r="R811" i="3"/>
  <c r="K1179" i="3"/>
  <c r="L981" i="3"/>
  <c r="R1181" i="3"/>
  <c r="U159" i="3"/>
  <c r="R1028" i="3"/>
  <c r="R618" i="3"/>
  <c r="L1040" i="3"/>
  <c r="O457" i="3"/>
  <c r="O494" i="3"/>
  <c r="O536" i="3"/>
  <c r="U584" i="3"/>
  <c r="R270" i="3"/>
  <c r="U174" i="3"/>
  <c r="R33" i="3"/>
  <c r="R167" i="3"/>
  <c r="L1038" i="3"/>
  <c r="R388" i="3"/>
  <c r="O184" i="3"/>
  <c r="R339" i="3"/>
  <c r="U444" i="3"/>
  <c r="O72" i="3"/>
  <c r="U56" i="3"/>
  <c r="L1059" i="3"/>
  <c r="U409" i="3"/>
  <c r="U193" i="3"/>
  <c r="K995" i="3"/>
  <c r="O144" i="3"/>
  <c r="O259" i="3"/>
  <c r="M39" i="3"/>
  <c r="O164" i="3"/>
  <c r="O373" i="3"/>
  <c r="R461" i="3"/>
  <c r="R440" i="3"/>
  <c r="U309" i="3"/>
  <c r="U163" i="3"/>
  <c r="R350" i="3"/>
  <c r="U32" i="3"/>
  <c r="O471" i="3"/>
  <c r="K796" i="3"/>
  <c r="L917" i="3"/>
  <c r="U256" i="3"/>
  <c r="U348" i="3"/>
  <c r="O526" i="3"/>
  <c r="R418" i="3"/>
  <c r="U207" i="3"/>
  <c r="R305" i="3"/>
  <c r="O516" i="3"/>
  <c r="U14" i="3"/>
  <c r="U230" i="3"/>
  <c r="R364" i="3"/>
  <c r="U238" i="3"/>
  <c r="R289" i="3"/>
  <c r="R221" i="3"/>
  <c r="O579" i="3"/>
  <c r="U363" i="3"/>
  <c r="L934" i="3"/>
  <c r="O448" i="3"/>
  <c r="K817" i="3"/>
  <c r="U435" i="3"/>
  <c r="U518" i="3"/>
  <c r="O492" i="3"/>
  <c r="R597" i="3"/>
  <c r="R400" i="3"/>
  <c r="O86" i="3"/>
  <c r="R287" i="3"/>
  <c r="U84" i="3"/>
  <c r="O547" i="3"/>
  <c r="L931" i="3"/>
  <c r="O394" i="3"/>
  <c r="K788" i="3"/>
  <c r="R299" i="3"/>
  <c r="R210" i="3"/>
  <c r="R99" i="3"/>
  <c r="U202" i="3"/>
  <c r="R540" i="3"/>
  <c r="O243" i="3"/>
  <c r="O79" i="3"/>
  <c r="O195" i="3"/>
  <c r="O125" i="3"/>
  <c r="O366" i="3"/>
  <c r="U150" i="3"/>
  <c r="L768" i="3"/>
  <c r="R132" i="3"/>
  <c r="K810" i="3"/>
  <c r="O511" i="3"/>
  <c r="K1018" i="3"/>
  <c r="O450" i="3"/>
  <c r="M27" i="3"/>
  <c r="R88" i="3"/>
  <c r="O478" i="3"/>
  <c r="O68" i="3"/>
  <c r="L933" i="3"/>
  <c r="R146" i="3"/>
  <c r="K1171" i="3"/>
  <c r="U246" i="3"/>
  <c r="R184" i="3"/>
  <c r="U377" i="3"/>
  <c r="U216" i="3"/>
  <c r="O601" i="3"/>
  <c r="R401" i="3"/>
  <c r="R366" i="3"/>
  <c r="L840" i="3"/>
  <c r="L803" i="3"/>
  <c r="U140" i="3"/>
  <c r="O325" i="3"/>
  <c r="U365" i="3"/>
  <c r="R434" i="3"/>
  <c r="O47" i="3"/>
  <c r="O459" i="3"/>
  <c r="K1194" i="3"/>
  <c r="R414" i="3"/>
  <c r="R416" i="3"/>
  <c r="R200" i="3"/>
  <c r="R294" i="3"/>
  <c r="K675" i="3"/>
  <c r="R243" i="3"/>
  <c r="O477" i="3"/>
  <c r="L1070" i="3"/>
  <c r="K987" i="3"/>
  <c r="R317" i="3"/>
  <c r="L949" i="3"/>
  <c r="O146" i="3"/>
  <c r="R236" i="3"/>
  <c r="U234" i="3"/>
  <c r="R1111" i="3"/>
  <c r="U100" i="3"/>
  <c r="U87" i="3"/>
  <c r="R397" i="3"/>
  <c r="L1188" i="3"/>
  <c r="U498" i="3"/>
  <c r="R545" i="3"/>
  <c r="U419" i="3"/>
  <c r="O599" i="3"/>
  <c r="U397" i="3"/>
  <c r="O474" i="3"/>
  <c r="R420" i="3"/>
  <c r="L1003" i="3"/>
  <c r="K1199" i="3"/>
  <c r="U452" i="3"/>
  <c r="O533" i="3"/>
  <c r="U22" i="3"/>
  <c r="L925" i="3"/>
  <c r="R1071" i="3"/>
  <c r="U28" i="3"/>
  <c r="R508" i="3"/>
  <c r="U54" i="3"/>
  <c r="U519" i="3"/>
  <c r="U407" i="3"/>
  <c r="U423" i="3"/>
  <c r="U367" i="3"/>
  <c r="O343" i="3"/>
  <c r="U574" i="3"/>
  <c r="O78" i="3"/>
  <c r="O379" i="3"/>
  <c r="R559" i="3"/>
  <c r="U502" i="3"/>
  <c r="O183" i="3"/>
  <c r="U323" i="3"/>
  <c r="O539" i="3"/>
  <c r="O311" i="3"/>
  <c r="K1090" i="3"/>
  <c r="O228" i="3"/>
  <c r="O180" i="3"/>
  <c r="M8" i="3"/>
  <c r="R336" i="3"/>
  <c r="O431" i="3"/>
  <c r="R880" i="3"/>
  <c r="K1114" i="3"/>
  <c r="O109" i="3"/>
  <c r="L1108" i="3"/>
  <c r="K684" i="3"/>
  <c r="R75" i="3"/>
  <c r="U282" i="3"/>
  <c r="R485" i="3"/>
  <c r="O404" i="3"/>
  <c r="R1074" i="3"/>
  <c r="R395" i="3"/>
  <c r="R570" i="3"/>
  <c r="U434" i="3"/>
  <c r="O262" i="3"/>
  <c r="R13" i="3"/>
  <c r="R528" i="3"/>
  <c r="R201" i="3"/>
  <c r="U582" i="3"/>
  <c r="K705" i="3"/>
  <c r="M6" i="3"/>
  <c r="M4" i="3"/>
  <c r="U545" i="3"/>
  <c r="K834" i="3"/>
  <c r="R544" i="3"/>
  <c r="U543" i="3"/>
  <c r="R547" i="3"/>
  <c r="R41" i="3"/>
  <c r="K1155" i="3"/>
  <c r="K1058" i="3"/>
  <c r="R589" i="3"/>
  <c r="O83" i="3"/>
  <c r="U356" i="3"/>
  <c r="L1068" i="3"/>
  <c r="O465" i="3"/>
  <c r="R1191" i="3"/>
  <c r="L756" i="3"/>
  <c r="O528" i="3"/>
  <c r="U523" i="3"/>
  <c r="R536" i="3"/>
  <c r="R57" i="3"/>
  <c r="O234" i="3"/>
  <c r="U129" i="3"/>
  <c r="O422" i="3"/>
  <c r="L955" i="3"/>
  <c r="R582" i="3"/>
  <c r="R22" i="3"/>
  <c r="R514" i="3"/>
  <c r="O192" i="3"/>
  <c r="O143" i="3"/>
  <c r="O348" i="3"/>
  <c r="K812" i="3"/>
  <c r="U278" i="3"/>
  <c r="U538" i="3"/>
  <c r="U522" i="3"/>
  <c r="R795" i="3"/>
  <c r="R276" i="3"/>
  <c r="R80" i="3"/>
  <c r="R587" i="3"/>
  <c r="U362" i="3"/>
  <c r="R230" i="3"/>
  <c r="R316" i="3"/>
  <c r="O498" i="3"/>
  <c r="U319" i="3"/>
  <c r="U394" i="3"/>
  <c r="R782" i="3"/>
  <c r="U77" i="3"/>
  <c r="R352" i="3"/>
  <c r="U393" i="3"/>
  <c r="R124" i="3"/>
  <c r="O346" i="3"/>
  <c r="U389" i="3"/>
  <c r="O55" i="3"/>
  <c r="U456" i="3"/>
  <c r="U264" i="3"/>
  <c r="R377" i="3"/>
  <c r="L901" i="3"/>
  <c r="U415" i="3"/>
  <c r="O400" i="3"/>
  <c r="O551" i="3"/>
  <c r="O127" i="3"/>
  <c r="O304" i="3"/>
  <c r="R590" i="3"/>
  <c r="K667" i="3"/>
  <c r="M15" i="3"/>
  <c r="U185" i="3"/>
  <c r="U217" i="3"/>
  <c r="R387" i="3"/>
  <c r="R577" i="3"/>
  <c r="U466" i="3"/>
  <c r="K1140" i="3"/>
  <c r="U295" i="3"/>
  <c r="O220" i="3"/>
  <c r="R511" i="3"/>
  <c r="U101" i="3"/>
  <c r="R567" i="3"/>
  <c r="O279" i="3"/>
  <c r="L863" i="3"/>
  <c r="O203" i="3"/>
  <c r="O397" i="3"/>
  <c r="R575" i="3"/>
  <c r="R197" i="3"/>
  <c r="R203" i="3"/>
  <c r="O435" i="3"/>
  <c r="L695" i="3"/>
  <c r="K692" i="3"/>
  <c r="K858" i="3"/>
  <c r="O327" i="3"/>
  <c r="R151" i="3"/>
  <c r="O298" i="3"/>
  <c r="L690" i="3"/>
  <c r="U26" i="3"/>
  <c r="R334" i="3"/>
  <c r="U484" i="3"/>
  <c r="K682" i="3"/>
  <c r="O328" i="3"/>
  <c r="R497" i="3"/>
  <c r="L1083" i="3"/>
  <c r="O584" i="3"/>
  <c r="K804" i="3"/>
  <c r="R553" i="3"/>
  <c r="L1126" i="3"/>
  <c r="O74" i="3"/>
  <c r="U186" i="3"/>
  <c r="R504" i="3"/>
  <c r="O372" i="3"/>
  <c r="M35" i="3"/>
  <c r="O107" i="3"/>
  <c r="K855" i="3"/>
  <c r="L727" i="3"/>
  <c r="K608" i="3"/>
  <c r="R356" i="3"/>
  <c r="L1020" i="3"/>
  <c r="L940" i="3"/>
  <c r="K897" i="3"/>
  <c r="O329" i="3"/>
  <c r="L990" i="3"/>
  <c r="R254" i="3"/>
  <c r="R427" i="3"/>
  <c r="R238" i="3"/>
  <c r="R439" i="3"/>
  <c r="U482" i="3"/>
  <c r="O250" i="3"/>
  <c r="R358" i="3"/>
  <c r="U483" i="3"/>
  <c r="U313" i="3"/>
  <c r="O191" i="3"/>
  <c r="O19" i="3"/>
  <c r="L910" i="3"/>
  <c r="R579" i="3"/>
  <c r="R555" i="3"/>
  <c r="O570" i="3"/>
  <c r="R220" i="3"/>
  <c r="R525" i="3"/>
  <c r="U72" i="3"/>
  <c r="U512" i="3"/>
  <c r="R417" i="3"/>
  <c r="R458" i="3"/>
  <c r="R190" i="3"/>
  <c r="U85" i="3"/>
  <c r="R348" i="3"/>
  <c r="K690" i="3"/>
  <c r="O568" i="3"/>
  <c r="R409" i="3"/>
  <c r="R198" i="3"/>
  <c r="O273" i="3"/>
  <c r="K740" i="3"/>
  <c r="U299" i="3"/>
  <c r="R524" i="3"/>
  <c r="U218" i="3"/>
  <c r="R300" i="3"/>
  <c r="R904" i="3"/>
  <c r="U204" i="3"/>
  <c r="R127" i="3"/>
  <c r="R568" i="3"/>
  <c r="U308" i="3"/>
  <c r="O334" i="3"/>
  <c r="R351" i="3"/>
  <c r="R297" i="3"/>
  <c r="R1081" i="3"/>
  <c r="K624" i="3"/>
  <c r="U67" i="3"/>
  <c r="O524" i="3"/>
  <c r="U536" i="3"/>
  <c r="R248" i="3"/>
  <c r="U336" i="3"/>
  <c r="K1147" i="3"/>
  <c r="O245" i="3"/>
  <c r="R165" i="3"/>
  <c r="O581" i="3"/>
  <c r="U13" i="3"/>
  <c r="L956" i="3"/>
  <c r="R148" i="3"/>
  <c r="L1147" i="3"/>
  <c r="R264" i="3"/>
  <c r="U373" i="3"/>
  <c r="O368" i="3"/>
  <c r="K1187" i="3"/>
  <c r="L1078" i="3"/>
  <c r="K828" i="3"/>
  <c r="R9" i="3"/>
  <c r="R82" i="3"/>
  <c r="U570" i="3"/>
  <c r="R78" i="3"/>
  <c r="U524" i="3"/>
  <c r="O141" i="3"/>
  <c r="O337" i="3"/>
  <c r="K723" i="3"/>
  <c r="O360" i="3"/>
  <c r="O73" i="3"/>
  <c r="K899" i="3"/>
  <c r="K760" i="3"/>
  <c r="U497" i="3"/>
  <c r="O576" i="3"/>
  <c r="O589" i="3"/>
  <c r="L792" i="3"/>
  <c r="U236" i="3"/>
  <c r="O390" i="3"/>
  <c r="R196" i="3"/>
  <c r="R558" i="3"/>
  <c r="R564" i="3"/>
  <c r="R482" i="3"/>
  <c r="U463" i="3"/>
  <c r="U321" i="3"/>
  <c r="U378" i="3"/>
  <c r="U422" i="3"/>
  <c r="U304" i="3"/>
  <c r="L1123" i="3"/>
  <c r="U211" i="3"/>
  <c r="L1134" i="3"/>
  <c r="O367" i="3"/>
  <c r="O592" i="3"/>
  <c r="R824" i="3"/>
  <c r="R763" i="3"/>
  <c r="U248" i="3"/>
  <c r="O453" i="3"/>
  <c r="U245" i="3"/>
  <c r="R233" i="3"/>
  <c r="R412" i="3"/>
  <c r="U255" i="3"/>
  <c r="U571" i="3"/>
  <c r="O461" i="3"/>
  <c r="O317" i="3"/>
  <c r="R164" i="3"/>
  <c r="R557" i="3"/>
  <c r="O218" i="3"/>
  <c r="U222" i="3"/>
  <c r="O503" i="3"/>
  <c r="L1107" i="3"/>
  <c r="R284" i="3"/>
  <c r="U436" i="3"/>
  <c r="M10" i="3"/>
  <c r="U147" i="3"/>
  <c r="U29" i="3"/>
  <c r="O284" i="3"/>
  <c r="U469" i="3"/>
  <c r="R532" i="3"/>
  <c r="O176" i="3"/>
  <c r="K613" i="3"/>
  <c r="L831" i="3"/>
  <c r="K1181" i="3"/>
  <c r="R443" i="3"/>
  <c r="R361" i="3"/>
  <c r="R491" i="3"/>
  <c r="U475" i="3"/>
  <c r="L1086" i="3"/>
  <c r="R381" i="3"/>
  <c r="R459" i="3"/>
  <c r="R391" i="3"/>
  <c r="U412" i="3"/>
  <c r="K621" i="3"/>
  <c r="R593" i="3"/>
  <c r="O244" i="3"/>
  <c r="L946" i="3"/>
  <c r="R265" i="3"/>
  <c r="R10" i="3"/>
  <c r="U4" i="3"/>
  <c r="U89" i="3"/>
  <c r="K1165" i="3"/>
  <c r="K1163" i="3"/>
  <c r="U500" i="3"/>
  <c r="L936" i="3"/>
  <c r="O425" i="3"/>
  <c r="R367" i="3"/>
  <c r="U561" i="3"/>
  <c r="O534" i="3"/>
  <c r="M40" i="3"/>
  <c r="O451" i="3"/>
  <c r="R481" i="3"/>
  <c r="L1022" i="3"/>
  <c r="U175" i="3"/>
  <c r="O344" i="3"/>
  <c r="M17" i="3"/>
  <c r="R357" i="3"/>
  <c r="L909" i="3"/>
  <c r="O470" i="3"/>
  <c r="U134" i="3"/>
  <c r="O202" i="3"/>
  <c r="R62" i="3"/>
  <c r="R136" i="3"/>
  <c r="O129" i="3"/>
  <c r="O249" i="3"/>
  <c r="R24" i="3"/>
  <c r="R304" i="3"/>
  <c r="U402" i="3"/>
  <c r="R131" i="3"/>
  <c r="L701" i="3"/>
  <c r="U298" i="3"/>
  <c r="R38" i="3"/>
  <c r="R487" i="3"/>
  <c r="L1115" i="3"/>
  <c r="R1127" i="3"/>
  <c r="U297" i="3"/>
  <c r="U196" i="3"/>
  <c r="R1051" i="3"/>
  <c r="U492" i="3"/>
  <c r="R275" i="3"/>
  <c r="O288" i="3"/>
  <c r="K1073" i="3"/>
  <c r="O399" i="3"/>
  <c r="U183" i="3"/>
  <c r="L1146" i="3"/>
  <c r="U201" i="3"/>
  <c r="R407" i="3"/>
  <c r="R379" i="3"/>
  <c r="K931" i="3"/>
  <c r="O219" i="3"/>
  <c r="U158" i="3"/>
  <c r="R463" i="3"/>
  <c r="O590" i="3"/>
  <c r="O198" i="3"/>
  <c r="R467" i="3"/>
  <c r="R1153" i="3"/>
  <c r="R537" i="3"/>
  <c r="O495" i="3"/>
  <c r="K765" i="3"/>
  <c r="U445" i="3"/>
  <c r="R529" i="3"/>
  <c r="U370" i="3"/>
  <c r="U485" i="3"/>
  <c r="U549" i="3"/>
  <c r="U490" i="3"/>
  <c r="K795" i="3"/>
  <c r="R224" i="3"/>
  <c r="R386" i="3"/>
  <c r="O559" i="3"/>
  <c r="R143" i="3"/>
  <c r="O499" i="3"/>
  <c r="U449" i="3"/>
  <c r="R187" i="3"/>
  <c r="U491" i="3"/>
  <c r="O248" i="3"/>
  <c r="R302" i="3"/>
  <c r="R295" i="3"/>
  <c r="L823" i="3"/>
  <c r="R262" i="3"/>
  <c r="R601" i="3"/>
  <c r="O260" i="3"/>
  <c r="U289" i="3"/>
  <c r="O258" i="3"/>
  <c r="K778" i="3"/>
  <c r="U451" i="3"/>
  <c r="R474" i="3"/>
  <c r="O351" i="3"/>
  <c r="R263" i="3"/>
  <c r="O274" i="3"/>
  <c r="L622" i="3"/>
  <c r="O361" i="3"/>
  <c r="U355" i="3"/>
  <c r="O506" i="3"/>
  <c r="K1167" i="3"/>
  <c r="O139" i="3"/>
  <c r="L868" i="3"/>
  <c r="L636" i="3"/>
  <c r="U247" i="3"/>
  <c r="K659" i="3"/>
  <c r="O255" i="3"/>
  <c r="R1159" i="3"/>
  <c r="O416" i="3"/>
  <c r="R128" i="3"/>
  <c r="R734" i="3"/>
  <c r="R199" i="3"/>
  <c r="U385" i="3"/>
  <c r="R7" i="3"/>
  <c r="K922" i="3"/>
  <c r="U177" i="3"/>
  <c r="O269" i="3"/>
  <c r="U508" i="3"/>
  <c r="U275" i="3"/>
  <c r="L995" i="3"/>
  <c r="O582" i="3"/>
  <c r="O166" i="3"/>
  <c r="K1151" i="3"/>
  <c r="R470" i="3"/>
  <c r="U258" i="3"/>
  <c r="R117" i="3"/>
  <c r="U460" i="3"/>
  <c r="O504" i="3"/>
  <c r="U191" i="3"/>
  <c r="L1071" i="3"/>
  <c r="L766" i="3"/>
  <c r="U546" i="3"/>
  <c r="K1138" i="3"/>
  <c r="R321" i="3"/>
  <c r="L1084" i="3"/>
  <c r="R253" i="3"/>
  <c r="U315" i="3"/>
  <c r="O71" i="3"/>
  <c r="K1202" i="3"/>
  <c r="R244" i="3"/>
  <c r="O489" i="3"/>
  <c r="O596" i="3"/>
  <c r="O541" i="3"/>
  <c r="R235" i="3"/>
  <c r="U343" i="3"/>
  <c r="O275" i="3"/>
  <c r="L1011" i="3"/>
  <c r="O357" i="3"/>
  <c r="R360" i="3"/>
  <c r="U479" i="3"/>
  <c r="U209" i="3"/>
  <c r="R538" i="3"/>
  <c r="O162" i="3"/>
  <c r="U161" i="3"/>
  <c r="R530" i="3"/>
  <c r="O386" i="3"/>
  <c r="U516" i="3"/>
  <c r="O532" i="3"/>
  <c r="R385" i="3"/>
  <c r="O412" i="3"/>
  <c r="K660" i="3"/>
  <c r="O454" i="3"/>
  <c r="R337" i="3"/>
  <c r="L893" i="3"/>
  <c r="K757" i="3"/>
  <c r="U467" i="3"/>
  <c r="O472" i="3"/>
  <c r="R277" i="3"/>
  <c r="O417" i="3"/>
  <c r="U372" i="3"/>
  <c r="O598" i="3"/>
  <c r="L689" i="3"/>
  <c r="U472" i="3"/>
  <c r="R338" i="3"/>
  <c r="R241" i="3"/>
  <c r="U438" i="3"/>
  <c r="R318" i="3"/>
  <c r="M26" i="3"/>
  <c r="O345" i="3"/>
  <c r="K747" i="3"/>
  <c r="O433" i="3"/>
  <c r="O381" i="3"/>
  <c r="O508" i="3"/>
  <c r="U346" i="3"/>
  <c r="O326" i="3"/>
  <c r="U578" i="3"/>
  <c r="U157" i="3"/>
  <c r="L1155" i="3"/>
  <c r="O210" i="3"/>
  <c r="U251" i="3"/>
  <c r="U115" i="3"/>
  <c r="O483" i="3"/>
  <c r="L965" i="3"/>
  <c r="O392" i="3"/>
  <c r="O124" i="3"/>
  <c r="L836" i="3"/>
  <c r="O331" i="3"/>
  <c r="O575" i="3"/>
  <c r="O347" i="3"/>
  <c r="O121" i="3"/>
  <c r="O566" i="3"/>
  <c r="K859" i="3"/>
  <c r="R405" i="3"/>
  <c r="R303" i="3"/>
  <c r="O214" i="3"/>
  <c r="K744" i="3"/>
  <c r="R363" i="3"/>
  <c r="U192" i="3"/>
  <c r="U598" i="3"/>
  <c r="R1133" i="3"/>
  <c r="O487" i="3"/>
  <c r="O371" i="3"/>
  <c r="U151" i="3"/>
  <c r="O426" i="3"/>
  <c r="U357" i="3"/>
  <c r="K1159" i="3"/>
  <c r="U387" i="3"/>
  <c r="O154" i="3"/>
  <c r="L1067" i="3"/>
  <c r="R515" i="3"/>
  <c r="M33" i="3"/>
  <c r="U431" i="3"/>
  <c r="O301" i="3"/>
  <c r="R219" i="3"/>
  <c r="U265" i="3"/>
  <c r="O241" i="3"/>
  <c r="R561" i="3"/>
  <c r="U533" i="3"/>
  <c r="R912" i="3"/>
  <c r="R59" i="3"/>
  <c r="R283" i="3"/>
  <c r="U244" i="3"/>
  <c r="M14" i="3"/>
  <c r="K826" i="3"/>
  <c r="R5" i="3"/>
  <c r="K994" i="3"/>
  <c r="R436" i="3"/>
  <c r="O137" i="3"/>
  <c r="M38" i="3"/>
  <c r="L923" i="3"/>
  <c r="R378" i="3"/>
  <c r="O602" i="3"/>
  <c r="L899" i="3"/>
  <c r="O182" i="3"/>
  <c r="R450" i="3"/>
  <c r="R312" i="3"/>
  <c r="R332" i="3"/>
  <c r="R408" i="3"/>
  <c r="R548" i="3"/>
  <c r="U262" i="3"/>
  <c r="R501" i="3"/>
  <c r="U249" i="3"/>
  <c r="R449" i="3"/>
  <c r="O458" i="3"/>
  <c r="O452" i="3"/>
  <c r="U68" i="3"/>
  <c r="O167" i="3"/>
  <c r="R369" i="3"/>
  <c r="O497" i="3"/>
  <c r="U263" i="3"/>
  <c r="U338" i="3"/>
  <c r="R311" i="3"/>
  <c r="U577" i="3"/>
  <c r="O456" i="3"/>
  <c r="L1082" i="3"/>
  <c r="O525" i="3"/>
  <c r="R392" i="3"/>
  <c r="U288" i="3"/>
  <c r="U506" i="3"/>
  <c r="R325" i="3"/>
  <c r="R486" i="3"/>
  <c r="U480" i="3"/>
  <c r="O290" i="3"/>
  <c r="O342" i="3"/>
  <c r="R452" i="3"/>
  <c r="R404" i="3"/>
  <c r="R560" i="3"/>
  <c r="U390" i="3"/>
  <c r="R521" i="3"/>
  <c r="U513" i="3"/>
  <c r="O339" i="3"/>
  <c r="K1041" i="3"/>
  <c r="R320" i="3"/>
  <c r="L876" i="3"/>
  <c r="K842" i="3"/>
  <c r="M22" i="3"/>
  <c r="L918" i="3"/>
  <c r="R285" i="3"/>
  <c r="O476" i="3"/>
  <c r="R499" i="3"/>
  <c r="L996" i="3"/>
  <c r="L947" i="3"/>
  <c r="O82" i="3"/>
  <c r="R413" i="3"/>
  <c r="L709" i="3"/>
  <c r="R281" i="3"/>
  <c r="U462" i="3"/>
  <c r="O588" i="3"/>
  <c r="O126" i="3"/>
  <c r="U495" i="3"/>
  <c r="O206" i="3"/>
  <c r="U233" i="3"/>
  <c r="R298" i="3"/>
  <c r="U208" i="3"/>
  <c r="K1173" i="3"/>
  <c r="R394" i="3"/>
  <c r="M29" i="3"/>
  <c r="U448" i="3"/>
  <c r="R578" i="3"/>
  <c r="U266" i="3"/>
  <c r="O253" i="3"/>
  <c r="R466" i="3"/>
  <c r="O232" i="3"/>
  <c r="L858" i="3"/>
  <c r="R435" i="3"/>
  <c r="O507" i="3"/>
  <c r="O486" i="3"/>
  <c r="U99" i="3"/>
  <c r="L1150" i="3"/>
  <c r="O17" i="3"/>
  <c r="L1072" i="3"/>
  <c r="R140" i="3"/>
  <c r="K1045" i="3"/>
  <c r="L626" i="3"/>
  <c r="O201" i="3"/>
  <c r="R282" i="3"/>
  <c r="K627" i="3"/>
  <c r="O515" i="3"/>
  <c r="R154" i="3"/>
  <c r="O554" i="3"/>
  <c r="L1028" i="3"/>
  <c r="O550" i="3"/>
  <c r="O444" i="3"/>
  <c r="R446" i="3"/>
  <c r="R353" i="3"/>
  <c r="O278" i="3"/>
  <c r="K971" i="3"/>
  <c r="O557" i="3"/>
  <c r="R512" i="3"/>
  <c r="O302" i="3"/>
  <c r="R442" i="3"/>
  <c r="R144" i="3"/>
  <c r="R301" i="3"/>
  <c r="O481" i="3"/>
  <c r="U580" i="3"/>
  <c r="U599" i="3"/>
  <c r="O235" i="3"/>
  <c r="U353" i="3"/>
  <c r="M5" i="3"/>
  <c r="O545" i="3"/>
  <c r="R513" i="3"/>
  <c r="R550" i="3"/>
  <c r="O574" i="3"/>
  <c r="R584" i="3"/>
  <c r="O131" i="3"/>
  <c r="U302" i="3"/>
  <c r="O173" i="3"/>
  <c r="R232" i="3"/>
  <c r="U219" i="3"/>
  <c r="O310" i="3"/>
  <c r="O549" i="3"/>
  <c r="U391" i="3"/>
  <c r="U556" i="3"/>
  <c r="L964" i="3"/>
  <c r="R56" i="3"/>
  <c r="R726" i="3"/>
  <c r="U310" i="3"/>
  <c r="U504" i="3"/>
  <c r="O573" i="3"/>
  <c r="M25" i="3"/>
  <c r="L723" i="3"/>
  <c r="O271" i="3"/>
  <c r="O432" i="3"/>
  <c r="O553" i="3"/>
  <c r="L719" i="3"/>
  <c r="M28" i="3"/>
  <c r="U505" i="3"/>
  <c r="K752" i="3"/>
  <c r="U539" i="3"/>
  <c r="U552" i="3"/>
  <c r="R204" i="3"/>
  <c r="O375" i="3"/>
  <c r="U446" i="3"/>
  <c r="U600" i="3"/>
  <c r="O512" i="3"/>
  <c r="K1122" i="3"/>
  <c r="O333" i="3"/>
  <c r="R556" i="3"/>
  <c r="U331" i="3"/>
  <c r="U105" i="3"/>
  <c r="R329" i="3"/>
  <c r="U322" i="3"/>
  <c r="O353" i="3"/>
  <c r="L902" i="3"/>
  <c r="O285" i="3"/>
  <c r="R580" i="3"/>
  <c r="R228" i="3"/>
  <c r="K1086" i="3"/>
  <c r="R539" i="3"/>
  <c r="O430" i="3"/>
  <c r="L1100" i="3"/>
  <c r="U597" i="3"/>
  <c r="U239" i="3"/>
  <c r="R343" i="3"/>
  <c r="U465" i="3"/>
  <c r="O56" i="3"/>
  <c r="U229" i="3"/>
  <c r="M21" i="3"/>
  <c r="O282" i="3"/>
  <c r="R535" i="3"/>
  <c r="R475" i="3"/>
  <c r="U602" i="3"/>
  <c r="M24" i="3"/>
  <c r="K641" i="3"/>
  <c r="R95" i="3"/>
  <c r="U339" i="3"/>
  <c r="R113" i="3"/>
  <c r="O151" i="3"/>
  <c r="R119" i="3"/>
  <c r="O493" i="3"/>
  <c r="R342" i="3"/>
  <c r="O300" i="3"/>
  <c r="K1162" i="3"/>
  <c r="L850" i="3"/>
  <c r="R488" i="3"/>
  <c r="R431" i="3"/>
  <c r="K1026" i="3"/>
  <c r="U317" i="3"/>
  <c r="U83" i="3"/>
  <c r="O11" i="3"/>
  <c r="R382" i="3"/>
  <c r="R464" i="3"/>
  <c r="L1014" i="3"/>
  <c r="L1076" i="3"/>
  <c r="U1048" i="3"/>
  <c r="U190" i="3"/>
  <c r="L852" i="3"/>
  <c r="O427" i="3"/>
  <c r="R423" i="3"/>
  <c r="O297" i="3"/>
  <c r="U44" i="3"/>
  <c r="O239" i="3"/>
  <c r="O369" i="3"/>
  <c r="U559" i="3"/>
  <c r="U589" i="3"/>
  <c r="U118" i="3"/>
  <c r="U532" i="3"/>
  <c r="U127" i="3"/>
  <c r="U279" i="3"/>
  <c r="O133" i="3"/>
  <c r="O296" i="3"/>
  <c r="M34" i="3"/>
  <c r="U579" i="3"/>
  <c r="U294" i="3"/>
  <c r="O84" i="3"/>
  <c r="R6" i="3"/>
  <c r="K913" i="3"/>
  <c r="K850" i="3"/>
  <c r="R36" i="3"/>
  <c r="M36" i="3"/>
  <c r="U583" i="3"/>
  <c r="K1203" i="3"/>
  <c r="O52" i="3"/>
  <c r="O441" i="3"/>
  <c r="K1066" i="3"/>
  <c r="R1160" i="3"/>
  <c r="R448" i="3"/>
  <c r="O527" i="3"/>
  <c r="O410" i="3"/>
  <c r="U369" i="3"/>
  <c r="O505" i="3"/>
  <c r="U156" i="3"/>
  <c r="R600" i="3"/>
  <c r="U510" i="3"/>
  <c r="K677" i="3"/>
  <c r="U283" i="3"/>
  <c r="R45" i="3"/>
  <c r="R347" i="3"/>
  <c r="R374" i="3"/>
  <c r="R324" i="3"/>
  <c r="O267" i="3"/>
  <c r="U517" i="3"/>
  <c r="O355" i="3"/>
  <c r="U86" i="3"/>
  <c r="R239" i="3"/>
  <c r="R523" i="3"/>
  <c r="O438" i="3"/>
  <c r="U544" i="3"/>
  <c r="R510" i="3"/>
  <c r="U333" i="3"/>
  <c r="U489" i="3"/>
  <c r="U398" i="3"/>
  <c r="K1178" i="3"/>
  <c r="O265" i="3"/>
  <c r="U468" i="3"/>
  <c r="R251" i="3"/>
  <c r="R310" i="3"/>
  <c r="U554" i="3"/>
  <c r="R169" i="3"/>
  <c r="R393" i="3"/>
  <c r="U375" i="3"/>
  <c r="L907" i="3"/>
  <c r="R160" i="3"/>
  <c r="U227" i="3"/>
  <c r="U416" i="3"/>
  <c r="O428" i="3"/>
  <c r="U591" i="3"/>
  <c r="L807" i="3"/>
  <c r="U335" i="3"/>
  <c r="O152" i="3"/>
  <c r="R256" i="3"/>
  <c r="M19" i="3"/>
  <c r="K697" i="3"/>
  <c r="U406" i="3"/>
  <c r="U566" i="3"/>
  <c r="U550" i="3"/>
  <c r="U427" i="3"/>
  <c r="U457" i="3"/>
  <c r="O496" i="3"/>
  <c r="U399" i="3"/>
  <c r="U320" i="3"/>
  <c r="O560" i="3"/>
  <c r="O364" i="3"/>
  <c r="O315" i="3"/>
  <c r="R147" i="3"/>
  <c r="O277" i="3"/>
  <c r="R496" i="3"/>
  <c r="R60" i="3"/>
  <c r="U528" i="3"/>
  <c r="K676" i="3"/>
  <c r="L1102" i="3"/>
  <c r="R246" i="3"/>
  <c r="O28" i="3"/>
  <c r="U210" i="3"/>
  <c r="U596" i="3"/>
  <c r="O189" i="3"/>
  <c r="O140" i="3"/>
  <c r="L939" i="3"/>
  <c r="U520" i="3"/>
  <c r="R1117" i="3"/>
  <c r="L753" i="3"/>
  <c r="R430" i="3"/>
  <c r="R505" i="3"/>
  <c r="R1170" i="3"/>
  <c r="U314" i="3"/>
  <c r="L814" i="3"/>
  <c r="U360" i="3"/>
  <c r="U562" i="3"/>
  <c r="M9" i="3"/>
  <c r="U81" i="3"/>
  <c r="R1048" i="3"/>
  <c r="U337" i="3"/>
  <c r="U300" i="3"/>
  <c r="U90" i="3"/>
  <c r="K738" i="3"/>
  <c r="O61" i="3"/>
  <c r="U601" i="3"/>
  <c r="U268" i="3"/>
  <c r="U176" i="3"/>
  <c r="R389" i="3"/>
  <c r="O446" i="3"/>
  <c r="U271" i="3"/>
  <c r="L784" i="3"/>
  <c r="R47" i="3"/>
  <c r="R509" i="3"/>
  <c r="L904" i="3"/>
  <c r="K1054" i="3"/>
  <c r="L975" i="3"/>
  <c r="R787" i="3"/>
  <c r="U587" i="3"/>
  <c r="O303" i="3"/>
  <c r="L1044" i="3"/>
  <c r="U241" i="3"/>
  <c r="R603" i="3"/>
  <c r="R581" i="3"/>
  <c r="R534" i="3"/>
  <c r="R274" i="3"/>
  <c r="O123" i="3"/>
  <c r="O388" i="3"/>
  <c r="U260" i="3"/>
  <c r="U594" i="3"/>
  <c r="K797" i="3"/>
  <c r="U364" i="3"/>
  <c r="O517" i="3"/>
  <c r="R293" i="3"/>
  <c r="L973" i="3"/>
  <c r="U102" i="3"/>
  <c r="U242" i="3"/>
  <c r="K610" i="3"/>
  <c r="U189" i="3"/>
  <c r="U359" i="3"/>
  <c r="U486" i="3"/>
  <c r="U586" i="3"/>
  <c r="R602" i="3"/>
  <c r="R328" i="3"/>
  <c r="R267" i="3"/>
  <c r="O467" i="3"/>
  <c r="L957" i="3"/>
  <c r="O276" i="3"/>
  <c r="U143" i="3"/>
  <c r="O283" i="3"/>
  <c r="U285" i="3"/>
  <c r="K1011" i="3"/>
  <c r="U565" i="3"/>
  <c r="U342" i="3"/>
  <c r="U464" i="3"/>
  <c r="U179" i="3"/>
  <c r="R390" i="3"/>
  <c r="O89" i="3"/>
  <c r="U286" i="3"/>
  <c r="O586" i="3"/>
  <c r="O293" i="3"/>
  <c r="R1039" i="3"/>
  <c r="O9" i="3"/>
  <c r="R185" i="3"/>
  <c r="U316" i="3"/>
  <c r="U458" i="3"/>
  <c r="R585" i="3"/>
  <c r="K946" i="3"/>
  <c r="L972" i="3"/>
  <c r="U352" i="3"/>
  <c r="U401" i="3"/>
  <c r="R218" i="3"/>
  <c r="U440" i="3"/>
  <c r="U27" i="3"/>
  <c r="O463" i="3"/>
  <c r="O266" i="3"/>
  <c r="L693" i="3"/>
  <c r="R462" i="3"/>
  <c r="U477" i="3"/>
  <c r="U200" i="3"/>
  <c r="R477" i="3"/>
  <c r="O479" i="3"/>
  <c r="O485" i="3"/>
  <c r="L816" i="3"/>
  <c r="U487" i="3"/>
  <c r="K1083" i="3"/>
  <c r="R373" i="3"/>
  <c r="R4" i="3"/>
  <c r="U526" i="3"/>
  <c r="U253" i="3"/>
  <c r="L774" i="3"/>
  <c r="R86" i="3"/>
  <c r="R552" i="3"/>
  <c r="U374" i="3"/>
  <c r="O469" i="3"/>
  <c r="R549" i="3"/>
  <c r="R471" i="3"/>
  <c r="O246" i="3"/>
  <c r="R574" i="3"/>
  <c r="R269" i="3"/>
  <c r="R309" i="3"/>
  <c r="R1149" i="3"/>
  <c r="U541" i="3"/>
  <c r="U511" i="3"/>
  <c r="O230" i="3"/>
  <c r="O169" i="3"/>
  <c r="U52" i="3"/>
  <c r="L988" i="3"/>
  <c r="U128" i="3"/>
  <c r="O593" i="3"/>
  <c r="O405" i="3"/>
  <c r="R186" i="3"/>
  <c r="U296" i="3"/>
  <c r="O530" i="3"/>
  <c r="U437" i="3"/>
  <c r="M30" i="3"/>
  <c r="U590" i="3"/>
  <c r="U130" i="3"/>
  <c r="L1054" i="3"/>
  <c r="M13" i="3"/>
  <c r="R359" i="3"/>
  <c r="O480" i="3"/>
  <c r="K1195" i="3"/>
  <c r="O413" i="3"/>
  <c r="L1157" i="3"/>
  <c r="U443" i="3"/>
  <c r="U153" i="3"/>
  <c r="R155" i="3"/>
  <c r="R554" i="3"/>
  <c r="K1106" i="3"/>
  <c r="U132" i="3"/>
  <c r="K666" i="3"/>
  <c r="O466" i="3"/>
  <c r="R211" i="3"/>
  <c r="K713" i="3"/>
  <c r="K1050" i="3"/>
  <c r="U575" i="3"/>
  <c r="K1034" i="3"/>
  <c r="O171" i="3"/>
  <c r="L834" i="3"/>
  <c r="R292" i="3"/>
  <c r="U560" i="3"/>
  <c r="O407" i="3"/>
  <c r="O365" i="3"/>
  <c r="O252" i="3"/>
  <c r="R473" i="3"/>
  <c r="R533" i="3"/>
  <c r="O396" i="3"/>
  <c r="O488" i="3"/>
  <c r="U521" i="3"/>
  <c r="R259" i="3"/>
  <c r="R573" i="3"/>
  <c r="O94" i="3"/>
  <c r="R428" i="3"/>
  <c r="R518" i="3"/>
  <c r="O216" i="3"/>
  <c r="L649" i="3"/>
  <c r="R255" i="3"/>
  <c r="R498" i="3"/>
  <c r="O460" i="3"/>
  <c r="R526" i="3"/>
  <c r="U499" i="3"/>
  <c r="R572" i="3"/>
  <c r="O316" i="3"/>
  <c r="U284" i="3"/>
  <c r="O387" i="3"/>
  <c r="O223" i="3"/>
  <c r="U593" i="3"/>
  <c r="R399" i="3"/>
  <c r="O490" i="3"/>
  <c r="L855" i="3"/>
  <c r="O99" i="3"/>
  <c r="L1089" i="3"/>
  <c r="R402" i="3"/>
  <c r="U494" i="3"/>
  <c r="O211" i="3"/>
  <c r="U470" i="3"/>
  <c r="R456" i="3"/>
  <c r="K691" i="3"/>
  <c r="U354" i="3"/>
  <c r="U125" i="3"/>
  <c r="U563" i="3"/>
  <c r="R595" i="3"/>
  <c r="R520" i="3"/>
  <c r="R368" i="3"/>
  <c r="O563" i="3"/>
  <c r="L717" i="3"/>
  <c r="O585" i="3"/>
  <c r="R327" i="3"/>
  <c r="R202" i="3"/>
  <c r="R592" i="3"/>
  <c r="L1140" i="3"/>
  <c r="R345" i="3"/>
  <c r="U223" i="3"/>
  <c r="M12" i="3"/>
  <c r="U537" i="3"/>
  <c r="O225" i="3"/>
  <c r="R479" i="3"/>
  <c r="U576" i="3"/>
  <c r="U414" i="3"/>
  <c r="L997" i="3"/>
  <c r="U529" i="3"/>
  <c r="M11" i="3"/>
  <c r="U173" i="3"/>
  <c r="U442" i="3"/>
  <c r="U542" i="3"/>
  <c r="L1004" i="3"/>
  <c r="R495" i="3"/>
  <c r="U527" i="3"/>
  <c r="O105" i="3"/>
  <c r="O445" i="3"/>
  <c r="M32" i="3"/>
  <c r="L1156" i="3"/>
  <c r="R331" i="3"/>
  <c r="U428" i="3"/>
  <c r="O221" i="3"/>
  <c r="R192" i="3"/>
  <c r="O522" i="3"/>
  <c r="O251" i="3"/>
  <c r="O439" i="3"/>
  <c r="U429" i="3"/>
  <c r="R565" i="3"/>
  <c r="L1170" i="3"/>
  <c r="K1185" i="3"/>
  <c r="O442" i="3"/>
  <c r="L1142" i="3"/>
  <c r="L1091" i="3"/>
  <c r="U349" i="3"/>
  <c r="R39" i="3"/>
  <c r="U405" i="3"/>
  <c r="U548" i="3"/>
  <c r="R996" i="3"/>
  <c r="O110" i="3"/>
  <c r="O294" i="3"/>
  <c r="R701" i="3"/>
  <c r="U272" i="3"/>
  <c r="R460" i="3"/>
  <c r="U547" i="3"/>
  <c r="U345" i="3"/>
  <c r="L930" i="3"/>
  <c r="L891" i="3"/>
  <c r="R469" i="3"/>
  <c r="O382" i="3"/>
  <c r="R213" i="3"/>
  <c r="R97" i="3"/>
  <c r="R120" i="3"/>
  <c r="K979" i="3"/>
  <c r="O359" i="3"/>
  <c r="L1039" i="3"/>
  <c r="O455" i="3"/>
  <c r="K860" i="3"/>
  <c r="R594" i="3"/>
  <c r="U243" i="3"/>
  <c r="U361" i="3"/>
  <c r="R180" i="3"/>
  <c r="O540" i="3"/>
  <c r="R841" i="3"/>
  <c r="O338" i="3"/>
  <c r="O242" i="3"/>
  <c r="K755" i="3"/>
  <c r="L987" i="3"/>
  <c r="R472" i="3"/>
  <c r="O385" i="3"/>
  <c r="K861" i="3"/>
  <c r="L854" i="3"/>
  <c r="O424" i="3"/>
  <c r="R437" i="3"/>
  <c r="U325" i="3"/>
  <c r="R424" i="3"/>
  <c r="U535" i="3"/>
  <c r="R493" i="3"/>
  <c r="L790" i="3"/>
  <c r="R278" i="3"/>
  <c r="U381" i="3"/>
  <c r="U534" i="3"/>
  <c r="R410" i="3"/>
  <c r="R1063" i="3"/>
  <c r="O240" i="3"/>
  <c r="R543" i="3"/>
  <c r="O138" i="3"/>
  <c r="U411" i="3"/>
  <c r="U301" i="3"/>
  <c r="R438" i="3"/>
  <c r="U6" i="3"/>
  <c r="R1175" i="3"/>
  <c r="O270" i="3"/>
  <c r="L828" i="3"/>
  <c r="O580" i="3"/>
  <c r="L733" i="3"/>
  <c r="R150" i="3"/>
  <c r="O537" i="3"/>
  <c r="U496" i="3"/>
  <c r="O352" i="3"/>
  <c r="L1035" i="3"/>
  <c r="R242" i="3"/>
  <c r="O165" i="3"/>
  <c r="U347" i="3"/>
  <c r="O509" i="3"/>
  <c r="U165" i="3"/>
  <c r="O185" i="3"/>
  <c r="U531" i="3"/>
  <c r="O546" i="3"/>
  <c r="R441" i="3"/>
  <c r="R272" i="3"/>
  <c r="L1110" i="3"/>
  <c r="O306" i="3"/>
  <c r="O370" i="3"/>
  <c r="L1132" i="3"/>
  <c r="O523" i="3"/>
  <c r="O384" i="3"/>
  <c r="U459" i="3"/>
  <c r="U395" i="3"/>
  <c r="R490" i="3"/>
  <c r="R517" i="3"/>
  <c r="O502" i="3"/>
  <c r="R168" i="3"/>
  <c r="L1139" i="3"/>
  <c r="R375" i="3"/>
  <c r="U306" i="3"/>
  <c r="O603" i="3"/>
  <c r="U396" i="3"/>
  <c r="R223" i="3"/>
  <c r="U311" i="3"/>
  <c r="R746" i="3"/>
  <c r="U595" i="3"/>
  <c r="U503" i="3"/>
  <c r="R354" i="3"/>
  <c r="K933" i="3"/>
  <c r="R478" i="3"/>
  <c r="U551" i="3"/>
  <c r="L776" i="3"/>
  <c r="L798" i="3"/>
  <c r="U430" i="3"/>
  <c r="L1043" i="3"/>
  <c r="K955" i="3"/>
  <c r="U240" i="3"/>
  <c r="K764" i="3"/>
  <c r="O312" i="3"/>
  <c r="R335" i="3"/>
  <c r="O4" i="3"/>
  <c r="U145" i="3"/>
  <c r="K640" i="3"/>
  <c r="R55" i="3"/>
  <c r="U221" i="3"/>
  <c r="U573" i="3"/>
  <c r="L937" i="3"/>
  <c r="R195" i="3"/>
  <c r="O349" i="3"/>
  <c r="R31" i="3"/>
  <c r="R1197" i="3"/>
  <c r="R476" i="3"/>
  <c r="O529" i="3"/>
  <c r="L1135" i="3"/>
  <c r="K1105" i="3"/>
  <c r="U515" i="3"/>
  <c r="L825" i="3"/>
  <c r="U404" i="3"/>
  <c r="O556" i="3"/>
  <c r="R217" i="3"/>
  <c r="U581" i="3"/>
  <c r="R546" i="3"/>
  <c r="L885" i="3"/>
  <c r="U267" i="3"/>
  <c r="U53" i="3"/>
  <c r="K721" i="3"/>
  <c r="K707" i="3"/>
  <c r="O18" i="3"/>
  <c r="R563" i="3"/>
  <c r="R607" i="3"/>
  <c r="L1104" i="3"/>
  <c r="U49" i="3"/>
  <c r="O531" i="3"/>
  <c r="O207" i="3"/>
  <c r="O561" i="3"/>
  <c r="U269" i="3"/>
  <c r="R153" i="3"/>
  <c r="U138" i="3"/>
  <c r="K1129" i="3"/>
  <c r="L633" i="3"/>
  <c r="U206" i="3"/>
  <c r="U257" i="3"/>
  <c r="R158" i="3"/>
  <c r="R1097" i="3"/>
  <c r="U441" i="3"/>
  <c r="K929" i="3"/>
  <c r="L741" i="3"/>
  <c r="K818" i="3"/>
  <c r="O594" i="3"/>
  <c r="K653" i="3"/>
  <c r="U569" i="3"/>
  <c r="L1202" i="3"/>
  <c r="O408" i="3"/>
  <c r="R322" i="3"/>
  <c r="U555" i="3"/>
  <c r="R425" i="3"/>
  <c r="O555" i="3"/>
  <c r="K854" i="3"/>
  <c r="R344" i="3"/>
  <c r="R576" i="3"/>
  <c r="U136" i="3"/>
  <c r="K737" i="3"/>
  <c r="U270" i="3"/>
  <c r="R250" i="3"/>
  <c r="O380" i="3"/>
  <c r="O323" i="3"/>
  <c r="R406" i="3"/>
  <c r="O473" i="3"/>
  <c r="O321" i="3"/>
  <c r="U410" i="3"/>
  <c r="O57" i="3"/>
  <c r="R489" i="3"/>
  <c r="R191" i="3"/>
  <c r="O552" i="3"/>
  <c r="U473" i="3"/>
  <c r="U212" i="3"/>
  <c r="O178" i="3"/>
  <c r="U426" i="3"/>
  <c r="U474" i="3"/>
  <c r="R129" i="3"/>
  <c r="U120" i="3"/>
  <c r="O354" i="3"/>
  <c r="L728" i="3"/>
  <c r="O577" i="3"/>
  <c r="U558" i="3"/>
  <c r="O501" i="3"/>
  <c r="L1062" i="3"/>
  <c r="K794" i="3"/>
  <c r="K1189" i="3"/>
  <c r="O600" i="3"/>
  <c r="O289" i="3"/>
  <c r="R115" i="3"/>
  <c r="O291" i="3"/>
  <c r="O103" i="3"/>
  <c r="K772" i="3"/>
  <c r="U568" i="3"/>
  <c r="K762" i="3"/>
  <c r="R542" i="3"/>
  <c r="U413" i="3"/>
  <c r="M7" i="3"/>
  <c r="R73" i="3"/>
  <c r="M37" i="3"/>
  <c r="R500" i="3"/>
  <c r="O378" i="3"/>
  <c r="U471" i="3"/>
  <c r="R226" i="3"/>
  <c r="U509" i="3"/>
  <c r="M41" i="3"/>
  <c r="U327" i="3"/>
  <c r="U326" i="3"/>
  <c r="R171" i="3"/>
  <c r="O572" i="3"/>
  <c r="R421" i="3"/>
  <c r="R111" i="3"/>
  <c r="L971" i="3"/>
  <c r="R222" i="3"/>
  <c r="R261" i="3"/>
  <c r="U588" i="3"/>
  <c r="R290" i="3"/>
  <c r="R175" i="3"/>
  <c r="L860" i="3"/>
  <c r="O194" i="3"/>
  <c r="O389" i="3"/>
  <c r="R340" i="3"/>
  <c r="K715" i="3"/>
  <c r="L1131" i="3"/>
  <c r="U530" i="3"/>
  <c r="U280" i="3"/>
  <c r="R138" i="3"/>
  <c r="U290" i="3"/>
  <c r="R142" i="3"/>
  <c r="R447" i="3"/>
  <c r="U195" i="3"/>
  <c r="O414" i="3"/>
  <c r="R231" i="3"/>
  <c r="U501" i="3"/>
  <c r="R152" i="3"/>
  <c r="U93" i="3"/>
  <c r="R1007" i="3"/>
  <c r="O197" i="3"/>
  <c r="K1042" i="3"/>
  <c r="O336" i="3"/>
  <c r="R809" i="3"/>
  <c r="R225" i="3"/>
  <c r="O147" i="3"/>
  <c r="O272" i="3"/>
  <c r="L1036" i="3"/>
  <c r="L941" i="3"/>
  <c r="O340" i="3"/>
  <c r="U553" i="3"/>
  <c r="O256" i="3"/>
  <c r="L1019" i="3"/>
  <c r="R323" i="3"/>
  <c r="O383" i="3"/>
  <c r="R586" i="3"/>
  <c r="R162" i="3"/>
  <c r="R503" i="3"/>
  <c r="U351" i="3"/>
  <c r="O122" i="3"/>
  <c r="R333" i="3"/>
  <c r="U432" i="3"/>
  <c r="K786" i="3"/>
  <c r="U334" i="3"/>
  <c r="K1005" i="3"/>
  <c r="L921" i="3"/>
  <c r="K905" i="3"/>
  <c r="R426" i="3"/>
  <c r="O468" i="3"/>
  <c r="O518" i="3"/>
  <c r="O322" i="3"/>
  <c r="U585" i="3"/>
  <c r="O90" i="3"/>
  <c r="O542" i="3"/>
  <c r="R376" i="3"/>
  <c r="O587" i="3"/>
  <c r="R1049" i="3"/>
  <c r="R296" i="3"/>
  <c r="O538" i="3"/>
  <c r="O421" i="3"/>
  <c r="R370" i="3"/>
  <c r="U318" i="3"/>
  <c r="K683" i="3"/>
  <c r="O420" i="3"/>
  <c r="O544" i="3"/>
  <c r="R468" i="3"/>
  <c r="U481" i="3"/>
  <c r="R502" i="3"/>
  <c r="O521" i="3"/>
  <c r="L926" i="3"/>
  <c r="O391" i="3"/>
  <c r="R314" i="3"/>
  <c r="O395" i="3"/>
  <c r="O583" i="3"/>
  <c r="U43" i="3"/>
  <c r="U368" i="3"/>
  <c r="U154" i="3"/>
  <c r="R227" i="3"/>
  <c r="R260" i="3"/>
  <c r="O160" i="3"/>
  <c r="U350" i="3"/>
  <c r="O374" i="3"/>
  <c r="U108" i="3"/>
  <c r="R562" i="3"/>
  <c r="L826" i="3"/>
  <c r="O150" i="3"/>
  <c r="U408" i="3"/>
  <c r="O535" i="3"/>
  <c r="M23" i="3"/>
  <c r="R874" i="3"/>
  <c r="O409" i="3"/>
  <c r="L993" i="3"/>
  <c r="R454" i="3"/>
  <c r="O108" i="3"/>
  <c r="R588" i="3"/>
  <c r="R583" i="3"/>
  <c r="O87" i="3"/>
  <c r="R145" i="3"/>
  <c r="L1099" i="3"/>
  <c r="U305" i="3"/>
  <c r="U567" i="3"/>
  <c r="O564" i="3"/>
  <c r="L1118" i="3"/>
  <c r="U226" i="3"/>
  <c r="O34" i="3"/>
  <c r="R453" i="3"/>
  <c r="U11" i="3"/>
  <c r="U439" i="3"/>
  <c r="U293" i="3"/>
  <c r="R313" i="3"/>
  <c r="T313" i="3" l="1"/>
  <c r="S313" i="3"/>
  <c r="W293" i="3"/>
  <c r="V293" i="3"/>
  <c r="W439" i="3"/>
  <c r="V439" i="3"/>
  <c r="W11" i="3"/>
  <c r="T453" i="3"/>
  <c r="S453" i="3"/>
  <c r="P34" i="3"/>
  <c r="Q34" i="3"/>
  <c r="V226" i="3"/>
  <c r="W226" i="3"/>
  <c r="V1118" i="3"/>
  <c r="Q564" i="3"/>
  <c r="P564" i="3"/>
  <c r="W567" i="3"/>
  <c r="V567" i="3"/>
  <c r="V305" i="3"/>
  <c r="W305" i="3"/>
  <c r="V1099" i="3"/>
  <c r="T145" i="3"/>
  <c r="S145" i="3"/>
  <c r="Q87" i="3"/>
  <c r="P87" i="3"/>
  <c r="T583" i="3"/>
  <c r="S583" i="3"/>
  <c r="S588" i="3"/>
  <c r="T588" i="3"/>
  <c r="P108" i="3"/>
  <c r="Q108" i="3"/>
  <c r="T454" i="3"/>
  <c r="S454" i="3"/>
  <c r="V993" i="3"/>
  <c r="P409" i="3"/>
  <c r="Q409" i="3"/>
  <c r="T874" i="3"/>
  <c r="V23" i="3"/>
  <c r="Q535" i="3"/>
  <c r="P535" i="3"/>
  <c r="V408" i="3"/>
  <c r="W408" i="3"/>
  <c r="P150" i="3"/>
  <c r="Q150" i="3"/>
  <c r="V826" i="3"/>
  <c r="T562" i="3"/>
  <c r="S562" i="3"/>
  <c r="V108" i="3"/>
  <c r="W108" i="3"/>
  <c r="Q374" i="3"/>
  <c r="P374" i="3"/>
  <c r="W350" i="3"/>
  <c r="V350" i="3"/>
  <c r="P160" i="3"/>
  <c r="Q160" i="3"/>
  <c r="S260" i="3"/>
  <c r="T260" i="3"/>
  <c r="T227" i="3"/>
  <c r="S227" i="3"/>
  <c r="V154" i="3"/>
  <c r="W154" i="3"/>
  <c r="V368" i="3"/>
  <c r="W368" i="3"/>
  <c r="W43" i="3"/>
  <c r="V43" i="3"/>
  <c r="P583" i="3"/>
  <c r="Q583" i="3"/>
  <c r="Q395" i="3"/>
  <c r="P395" i="3"/>
  <c r="S314" i="3"/>
  <c r="T314" i="3"/>
  <c r="Q391" i="3"/>
  <c r="P391" i="3"/>
  <c r="V926" i="3"/>
  <c r="P521" i="3"/>
  <c r="Q521" i="3"/>
  <c r="S502" i="3"/>
  <c r="T502" i="3"/>
  <c r="W481" i="3"/>
  <c r="V481" i="3"/>
  <c r="T468" i="3"/>
  <c r="S468" i="3"/>
  <c r="P544" i="3"/>
  <c r="Q544" i="3"/>
  <c r="P420" i="3"/>
  <c r="Q420" i="3"/>
  <c r="S683" i="3"/>
  <c r="W318" i="3"/>
  <c r="V318" i="3"/>
  <c r="S370" i="3"/>
  <c r="T370" i="3"/>
  <c r="Q421" i="3"/>
  <c r="P421" i="3"/>
  <c r="P538" i="3"/>
  <c r="Q538" i="3"/>
  <c r="S296" i="3"/>
  <c r="T296" i="3"/>
  <c r="T1049" i="3"/>
  <c r="Q587" i="3"/>
  <c r="P587" i="3"/>
  <c r="T376" i="3"/>
  <c r="S376" i="3"/>
  <c r="Q542" i="3"/>
  <c r="P542" i="3"/>
  <c r="P90" i="3"/>
  <c r="Q90" i="3"/>
  <c r="V585" i="3"/>
  <c r="W585" i="3"/>
  <c r="P322" i="3"/>
  <c r="Q322" i="3"/>
  <c r="P518" i="3"/>
  <c r="Q518" i="3"/>
  <c r="P468" i="3"/>
  <c r="Q468" i="3"/>
  <c r="S426" i="3"/>
  <c r="T426" i="3"/>
  <c r="S905" i="3"/>
  <c r="V921" i="3"/>
  <c r="S1005" i="3"/>
  <c r="V334" i="3"/>
  <c r="W334" i="3"/>
  <c r="S786" i="3"/>
  <c r="V432" i="3"/>
  <c r="W432" i="3"/>
  <c r="S333" i="3"/>
  <c r="T333" i="3"/>
  <c r="P122" i="3"/>
  <c r="Q122" i="3"/>
  <c r="V351" i="3"/>
  <c r="W351" i="3"/>
  <c r="S503" i="3"/>
  <c r="T503" i="3"/>
  <c r="T162" i="3"/>
  <c r="S162" i="3"/>
  <c r="S586" i="3"/>
  <c r="T586" i="3"/>
  <c r="P383" i="3"/>
  <c r="Q383" i="3"/>
  <c r="S323" i="3"/>
  <c r="T323" i="3"/>
  <c r="V1019" i="3"/>
  <c r="Q256" i="3"/>
  <c r="P256" i="3"/>
  <c r="V553" i="3"/>
  <c r="W553" i="3"/>
  <c r="P340" i="3"/>
  <c r="Q340" i="3"/>
  <c r="V941" i="3"/>
  <c r="V1036" i="3"/>
  <c r="P272" i="3"/>
  <c r="Q272" i="3"/>
  <c r="P147" i="3"/>
  <c r="Q147" i="3"/>
  <c r="S225" i="3"/>
  <c r="T225" i="3"/>
  <c r="T809" i="3"/>
  <c r="P336" i="3"/>
  <c r="Q336" i="3"/>
  <c r="S1042" i="3"/>
  <c r="P197" i="3"/>
  <c r="Q197" i="3"/>
  <c r="T1007" i="3"/>
  <c r="V93" i="3"/>
  <c r="W93" i="3"/>
  <c r="S152" i="3"/>
  <c r="T152" i="3"/>
  <c r="V501" i="3"/>
  <c r="W501" i="3"/>
  <c r="S231" i="3"/>
  <c r="T231" i="3"/>
  <c r="P414" i="3"/>
  <c r="Q414" i="3"/>
  <c r="W195" i="3"/>
  <c r="V195" i="3"/>
  <c r="T447" i="3"/>
  <c r="S447" i="3"/>
  <c r="S142" i="3"/>
  <c r="T142" i="3"/>
  <c r="V290" i="3"/>
  <c r="W290" i="3"/>
  <c r="S138" i="3"/>
  <c r="T138" i="3"/>
  <c r="V280" i="3"/>
  <c r="W280" i="3"/>
  <c r="V530" i="3"/>
  <c r="W530" i="3"/>
  <c r="V1131" i="3"/>
  <c r="S715" i="3"/>
  <c r="S340" i="3"/>
  <c r="T340" i="3"/>
  <c r="P389" i="3"/>
  <c r="Q389" i="3"/>
  <c r="P194" i="3"/>
  <c r="Q194" i="3"/>
  <c r="V860" i="3"/>
  <c r="S175" i="3"/>
  <c r="T175" i="3"/>
  <c r="T290" i="3"/>
  <c r="S290" i="3"/>
  <c r="V588" i="3"/>
  <c r="W588" i="3"/>
  <c r="S261" i="3"/>
  <c r="T261" i="3"/>
  <c r="S222" i="3"/>
  <c r="T222" i="3"/>
  <c r="V971" i="3"/>
  <c r="S111" i="3"/>
  <c r="T111" i="3"/>
  <c r="T421" i="3"/>
  <c r="S421" i="3"/>
  <c r="Q572" i="3"/>
  <c r="P572" i="3"/>
  <c r="S171" i="3"/>
  <c r="T171" i="3"/>
  <c r="W326" i="3"/>
  <c r="V326" i="3"/>
  <c r="V327" i="3"/>
  <c r="W327" i="3"/>
  <c r="V41" i="3"/>
  <c r="V509" i="3"/>
  <c r="W509" i="3"/>
  <c r="S226" i="3"/>
  <c r="T226" i="3"/>
  <c r="V471" i="3"/>
  <c r="W471" i="3"/>
  <c r="Q378" i="3"/>
  <c r="P378" i="3"/>
  <c r="T500" i="3"/>
  <c r="S500" i="3"/>
  <c r="V37" i="3"/>
  <c r="T73" i="3"/>
  <c r="S73" i="3"/>
  <c r="V7" i="3"/>
  <c r="W413" i="3"/>
  <c r="V413" i="3"/>
  <c r="S542" i="3"/>
  <c r="T542" i="3"/>
  <c r="S762" i="3"/>
  <c r="V568" i="3"/>
  <c r="W568" i="3"/>
  <c r="S772" i="3"/>
  <c r="Q103" i="3"/>
  <c r="P103" i="3"/>
  <c r="Q291" i="3"/>
  <c r="P291" i="3"/>
  <c r="T115" i="3"/>
  <c r="S115" i="3"/>
  <c r="Q289" i="3"/>
  <c r="P289" i="3"/>
  <c r="Q600" i="3"/>
  <c r="P600" i="3"/>
  <c r="S1189" i="3"/>
  <c r="S794" i="3"/>
  <c r="V1062" i="3"/>
  <c r="Q501" i="3"/>
  <c r="P501" i="3"/>
  <c r="V558" i="3"/>
  <c r="W558" i="3"/>
  <c r="P577" i="3"/>
  <c r="Q577" i="3"/>
  <c r="V728" i="3"/>
  <c r="Q354" i="3"/>
  <c r="P354" i="3"/>
  <c r="W120" i="3"/>
  <c r="V120" i="3"/>
  <c r="S129" i="3"/>
  <c r="T129" i="3"/>
  <c r="V474" i="3"/>
  <c r="W474" i="3"/>
  <c r="W426" i="3"/>
  <c r="V426" i="3"/>
  <c r="Q178" i="3"/>
  <c r="P178" i="3"/>
  <c r="V212" i="3"/>
  <c r="W212" i="3"/>
  <c r="V473" i="3"/>
  <c r="W473" i="3"/>
  <c r="P552" i="3"/>
  <c r="Q552" i="3"/>
  <c r="T191" i="3"/>
  <c r="S191" i="3"/>
  <c r="S489" i="3"/>
  <c r="T489" i="3"/>
  <c r="P57" i="3"/>
  <c r="Q57" i="3"/>
  <c r="V410" i="3"/>
  <c r="W410" i="3"/>
  <c r="Q321" i="3"/>
  <c r="P321" i="3"/>
  <c r="P473" i="3"/>
  <c r="Q473" i="3"/>
  <c r="T406" i="3"/>
  <c r="S406" i="3"/>
  <c r="P323" i="3"/>
  <c r="Q323" i="3"/>
  <c r="P380" i="3"/>
  <c r="Q380" i="3"/>
  <c r="S250" i="3"/>
  <c r="T250" i="3"/>
  <c r="V270" i="3"/>
  <c r="W270" i="3"/>
  <c r="S737" i="3"/>
  <c r="V136" i="3"/>
  <c r="W136" i="3"/>
  <c r="S576" i="3"/>
  <c r="T576" i="3"/>
  <c r="T344" i="3"/>
  <c r="S344" i="3"/>
  <c r="S854" i="3"/>
  <c r="Q555" i="3"/>
  <c r="P555" i="3"/>
  <c r="S425" i="3"/>
  <c r="T425" i="3"/>
  <c r="V555" i="3"/>
  <c r="W555" i="3"/>
  <c r="S322" i="3"/>
  <c r="T322" i="3"/>
  <c r="P408" i="3"/>
  <c r="Q408" i="3"/>
  <c r="V1202" i="3"/>
  <c r="V569" i="3"/>
  <c r="W569" i="3"/>
  <c r="S653" i="3"/>
  <c r="Q594" i="3"/>
  <c r="P594" i="3"/>
  <c r="S818" i="3"/>
  <c r="V741" i="3"/>
  <c r="S929" i="3"/>
  <c r="W441" i="3"/>
  <c r="V441" i="3"/>
  <c r="T1097" i="3"/>
  <c r="T158" i="3"/>
  <c r="S158" i="3"/>
  <c r="V257" i="3"/>
  <c r="W257" i="3"/>
  <c r="V206" i="3"/>
  <c r="W206" i="3"/>
  <c r="V633" i="3"/>
  <c r="S1129" i="3"/>
  <c r="V138" i="3"/>
  <c r="W138" i="3"/>
  <c r="S153" i="3"/>
  <c r="T153" i="3"/>
  <c r="W269" i="3"/>
  <c r="V269" i="3"/>
  <c r="P561" i="3"/>
  <c r="Q561" i="3"/>
  <c r="P207" i="3"/>
  <c r="Q207" i="3"/>
  <c r="Q531" i="3"/>
  <c r="P531" i="3"/>
  <c r="V49" i="3"/>
  <c r="W49" i="3"/>
  <c r="V1104" i="3"/>
  <c r="T607" i="3"/>
  <c r="T563" i="3"/>
  <c r="S563" i="3"/>
  <c r="Q18" i="3"/>
  <c r="P18" i="3"/>
  <c r="S707" i="3"/>
  <c r="S721" i="3"/>
  <c r="V53" i="3"/>
  <c r="W53" i="3"/>
  <c r="W267" i="3"/>
  <c r="V267" i="3"/>
  <c r="V885" i="3"/>
  <c r="S546" i="3"/>
  <c r="T546" i="3"/>
  <c r="V581" i="3"/>
  <c r="W581" i="3"/>
  <c r="T217" i="3"/>
  <c r="S217" i="3"/>
  <c r="P556" i="3"/>
  <c r="Q556" i="3"/>
  <c r="W404" i="3"/>
  <c r="V404" i="3"/>
  <c r="V825" i="3"/>
  <c r="V515" i="3"/>
  <c r="W515" i="3"/>
  <c r="S1105" i="3"/>
  <c r="V1135" i="3"/>
  <c r="P529" i="3"/>
  <c r="Q529" i="3"/>
  <c r="S476" i="3"/>
  <c r="T476" i="3"/>
  <c r="T1197" i="3"/>
  <c r="S31" i="3"/>
  <c r="T31" i="3"/>
  <c r="P349" i="3"/>
  <c r="Q349" i="3"/>
  <c r="S195" i="3"/>
  <c r="T195" i="3"/>
  <c r="V937" i="3"/>
  <c r="V573" i="3"/>
  <c r="W573" i="3"/>
  <c r="W221" i="3"/>
  <c r="V221" i="3"/>
  <c r="T55" i="3"/>
  <c r="S55" i="3"/>
  <c r="S640" i="3"/>
  <c r="W145" i="3"/>
  <c r="V145" i="3"/>
  <c r="P4" i="3"/>
  <c r="Q4" i="3"/>
  <c r="T335" i="3"/>
  <c r="S335" i="3"/>
  <c r="Q312" i="3"/>
  <c r="P312" i="3"/>
  <c r="S764" i="3"/>
  <c r="V240" i="3"/>
  <c r="W240" i="3"/>
  <c r="S955" i="3"/>
  <c r="V1043" i="3"/>
  <c r="V430" i="3"/>
  <c r="W430" i="3"/>
  <c r="V798" i="3"/>
  <c r="V776" i="3"/>
  <c r="V551" i="3"/>
  <c r="W551" i="3"/>
  <c r="T478" i="3"/>
  <c r="S478" i="3"/>
  <c r="S933" i="3"/>
  <c r="S354" i="3"/>
  <c r="T354" i="3"/>
  <c r="W503" i="3"/>
  <c r="V503" i="3"/>
  <c r="V595" i="3"/>
  <c r="W595" i="3"/>
  <c r="T746" i="3"/>
  <c r="V311" i="3"/>
  <c r="W311" i="3"/>
  <c r="T223" i="3"/>
  <c r="S223" i="3"/>
  <c r="W396" i="3"/>
  <c r="V396" i="3"/>
  <c r="Q603" i="3"/>
  <c r="P603" i="3"/>
  <c r="W306" i="3"/>
  <c r="V306" i="3"/>
  <c r="S375" i="3"/>
  <c r="T375" i="3"/>
  <c r="V1139" i="3"/>
  <c r="S168" i="3"/>
  <c r="T168" i="3"/>
  <c r="Q502" i="3"/>
  <c r="P502" i="3"/>
  <c r="S517" i="3"/>
  <c r="T517" i="3"/>
  <c r="S490" i="3"/>
  <c r="T490" i="3"/>
  <c r="V395" i="3"/>
  <c r="W395" i="3"/>
  <c r="W459" i="3"/>
  <c r="V459" i="3"/>
  <c r="Q384" i="3"/>
  <c r="P384" i="3"/>
  <c r="P523" i="3"/>
  <c r="Q523" i="3"/>
  <c r="V1132" i="3"/>
  <c r="Q370" i="3"/>
  <c r="P370" i="3"/>
  <c r="P306" i="3"/>
  <c r="Q306" i="3"/>
  <c r="V1110" i="3"/>
  <c r="T272" i="3"/>
  <c r="S272" i="3"/>
  <c r="T441" i="3"/>
  <c r="S441" i="3"/>
  <c r="P546" i="3"/>
  <c r="Q546" i="3"/>
  <c r="V531" i="3"/>
  <c r="W531" i="3"/>
  <c r="P185" i="3"/>
  <c r="Q185" i="3"/>
  <c r="V165" i="3"/>
  <c r="W165" i="3"/>
  <c r="P509" i="3"/>
  <c r="Q509" i="3"/>
  <c r="V347" i="3"/>
  <c r="W347" i="3"/>
  <c r="Q165" i="3"/>
  <c r="P165" i="3"/>
  <c r="T242" i="3"/>
  <c r="S242" i="3"/>
  <c r="V1035" i="3"/>
  <c r="P352" i="3"/>
  <c r="Q352" i="3"/>
  <c r="V496" i="3"/>
  <c r="W496" i="3"/>
  <c r="Q537" i="3"/>
  <c r="P537" i="3"/>
  <c r="T150" i="3"/>
  <c r="S150" i="3"/>
  <c r="V733" i="3"/>
  <c r="Q580" i="3"/>
  <c r="P580" i="3"/>
  <c r="V828" i="3"/>
  <c r="P270" i="3"/>
  <c r="Q270" i="3"/>
  <c r="T1175" i="3"/>
  <c r="W6" i="3"/>
  <c r="T438" i="3"/>
  <c r="S438" i="3"/>
  <c r="W301" i="3"/>
  <c r="V301" i="3"/>
  <c r="V411" i="3"/>
  <c r="W411" i="3"/>
  <c r="P138" i="3"/>
  <c r="Q138" i="3"/>
  <c r="S543" i="3"/>
  <c r="T543" i="3"/>
  <c r="P240" i="3"/>
  <c r="Q240" i="3"/>
  <c r="T1063" i="3"/>
  <c r="S410" i="3"/>
  <c r="T410" i="3"/>
  <c r="V534" i="3"/>
  <c r="W534" i="3"/>
  <c r="V381" i="3"/>
  <c r="W381" i="3"/>
  <c r="T278" i="3"/>
  <c r="S278" i="3"/>
  <c r="V790" i="3"/>
  <c r="T493" i="3"/>
  <c r="S493" i="3"/>
  <c r="W535" i="3"/>
  <c r="V535" i="3"/>
  <c r="T424" i="3"/>
  <c r="S424" i="3"/>
  <c r="V325" i="3"/>
  <c r="W325" i="3"/>
  <c r="S437" i="3"/>
  <c r="T437" i="3"/>
  <c r="P424" i="3"/>
  <c r="Q424" i="3"/>
  <c r="V854" i="3"/>
  <c r="S861" i="3"/>
  <c r="P385" i="3"/>
  <c r="Q385" i="3"/>
  <c r="S472" i="3"/>
  <c r="T472" i="3"/>
  <c r="V987" i="3"/>
  <c r="S755" i="3"/>
  <c r="P242" i="3"/>
  <c r="Q242" i="3"/>
  <c r="P338" i="3"/>
  <c r="Q338" i="3"/>
  <c r="T841" i="3"/>
  <c r="Q540" i="3"/>
  <c r="P540" i="3"/>
  <c r="S180" i="3"/>
  <c r="T180" i="3"/>
  <c r="V361" i="3"/>
  <c r="W361" i="3"/>
  <c r="V243" i="3"/>
  <c r="W243" i="3"/>
  <c r="S594" i="3"/>
  <c r="T594" i="3"/>
  <c r="S860" i="3"/>
  <c r="Q455" i="3"/>
  <c r="P455" i="3"/>
  <c r="V1039" i="3"/>
  <c r="P359" i="3"/>
  <c r="Q359" i="3"/>
  <c r="S979" i="3"/>
  <c r="S120" i="3"/>
  <c r="T120" i="3"/>
  <c r="T97" i="3"/>
  <c r="S97" i="3"/>
  <c r="T213" i="3"/>
  <c r="S213" i="3"/>
  <c r="P382" i="3"/>
  <c r="Q382" i="3"/>
  <c r="S469" i="3"/>
  <c r="T469" i="3"/>
  <c r="V891" i="3"/>
  <c r="V930" i="3"/>
  <c r="V345" i="3"/>
  <c r="W345" i="3"/>
  <c r="V547" i="3"/>
  <c r="W547" i="3"/>
  <c r="T460" i="3"/>
  <c r="S460" i="3"/>
  <c r="V272" i="3"/>
  <c r="W272" i="3"/>
  <c r="T701" i="3"/>
  <c r="Q294" i="3"/>
  <c r="P294" i="3"/>
  <c r="Q110" i="3"/>
  <c r="P110" i="3"/>
  <c r="T996" i="3"/>
  <c r="V548" i="3"/>
  <c r="W548" i="3"/>
  <c r="V405" i="3"/>
  <c r="W405" i="3"/>
  <c r="S39" i="3"/>
  <c r="T39" i="3"/>
  <c r="W349" i="3"/>
  <c r="V349" i="3"/>
  <c r="V1091" i="3"/>
  <c r="V1142" i="3"/>
  <c r="P442" i="3"/>
  <c r="Q442" i="3"/>
  <c r="S1185" i="3"/>
  <c r="V1170" i="3"/>
  <c r="T565" i="3"/>
  <c r="S565" i="3"/>
  <c r="V429" i="3"/>
  <c r="W429" i="3"/>
  <c r="Q439" i="3"/>
  <c r="P439" i="3"/>
  <c r="Q251" i="3"/>
  <c r="P251" i="3"/>
  <c r="Q522" i="3"/>
  <c r="P522" i="3"/>
  <c r="T192" i="3"/>
  <c r="S192" i="3"/>
  <c r="Q221" i="3"/>
  <c r="P221" i="3"/>
  <c r="V428" i="3"/>
  <c r="W428" i="3"/>
  <c r="T331" i="3"/>
  <c r="S331" i="3"/>
  <c r="V1156" i="3"/>
  <c r="V32" i="3"/>
  <c r="Q445" i="3"/>
  <c r="P445" i="3"/>
  <c r="Q105" i="3"/>
  <c r="P105" i="3"/>
  <c r="V527" i="3"/>
  <c r="W527" i="3"/>
  <c r="T495" i="3"/>
  <c r="S495" i="3"/>
  <c r="V1004" i="3"/>
  <c r="W542" i="3"/>
  <c r="V542" i="3"/>
  <c r="W442" i="3"/>
  <c r="V442" i="3"/>
  <c r="W173" i="3"/>
  <c r="V173" i="3"/>
  <c r="V11" i="3"/>
  <c r="V529" i="3"/>
  <c r="W529" i="3"/>
  <c r="V997" i="3"/>
  <c r="W414" i="3"/>
  <c r="V414" i="3"/>
  <c r="W576" i="3"/>
  <c r="V576" i="3"/>
  <c r="T479" i="3"/>
  <c r="S479" i="3"/>
  <c r="Q225" i="3"/>
  <c r="P225" i="3"/>
  <c r="W537" i="3"/>
  <c r="V537" i="3"/>
  <c r="V12" i="3"/>
  <c r="V223" i="3"/>
  <c r="W223" i="3"/>
  <c r="S345" i="3"/>
  <c r="T345" i="3"/>
  <c r="V1140" i="3"/>
  <c r="T592" i="3"/>
  <c r="S592" i="3"/>
  <c r="T202" i="3"/>
  <c r="S202" i="3"/>
  <c r="S327" i="3"/>
  <c r="T327" i="3"/>
  <c r="P585" i="3"/>
  <c r="Q585" i="3"/>
  <c r="V717" i="3"/>
  <c r="Q563" i="3"/>
  <c r="P563" i="3"/>
  <c r="T368" i="3"/>
  <c r="S368" i="3"/>
  <c r="T520" i="3"/>
  <c r="S520" i="3"/>
  <c r="T595" i="3"/>
  <c r="S595" i="3"/>
  <c r="V563" i="3"/>
  <c r="W563" i="3"/>
  <c r="V125" i="3"/>
  <c r="W125" i="3"/>
  <c r="V354" i="3"/>
  <c r="W354" i="3"/>
  <c r="S691" i="3"/>
  <c r="S456" i="3"/>
  <c r="T456" i="3"/>
  <c r="V470" i="3"/>
  <c r="W470" i="3"/>
  <c r="P211" i="3"/>
  <c r="Q211" i="3"/>
  <c r="V494" i="3"/>
  <c r="W494" i="3"/>
  <c r="T402" i="3"/>
  <c r="S402" i="3"/>
  <c r="V1089" i="3"/>
  <c r="P99" i="3"/>
  <c r="Q99" i="3"/>
  <c r="V855" i="3"/>
  <c r="Q490" i="3"/>
  <c r="P490" i="3"/>
  <c r="S399" i="3"/>
  <c r="T399" i="3"/>
  <c r="V593" i="3"/>
  <c r="W593" i="3"/>
  <c r="P223" i="3"/>
  <c r="Q223" i="3"/>
  <c r="P387" i="3"/>
  <c r="Q387" i="3"/>
  <c r="V284" i="3"/>
  <c r="W284" i="3"/>
  <c r="Q316" i="3"/>
  <c r="P316" i="3"/>
  <c r="S572" i="3"/>
  <c r="T572" i="3"/>
  <c r="W499" i="3"/>
  <c r="V499" i="3"/>
  <c r="T526" i="3"/>
  <c r="S526" i="3"/>
  <c r="Q460" i="3"/>
  <c r="P460" i="3"/>
  <c r="S498" i="3"/>
  <c r="T498" i="3"/>
  <c r="S255" i="3"/>
  <c r="T255" i="3"/>
  <c r="V649" i="3"/>
  <c r="P216" i="3"/>
  <c r="Q216" i="3"/>
  <c r="S518" i="3"/>
  <c r="T518" i="3"/>
  <c r="S428" i="3"/>
  <c r="T428" i="3"/>
  <c r="P94" i="3"/>
  <c r="Q94" i="3"/>
  <c r="S573" i="3"/>
  <c r="T573" i="3"/>
  <c r="T259" i="3"/>
  <c r="S259" i="3"/>
  <c r="V521" i="3"/>
  <c r="W521" i="3"/>
  <c r="Q488" i="3"/>
  <c r="P488" i="3"/>
  <c r="P396" i="3"/>
  <c r="Q396" i="3"/>
  <c r="T533" i="3"/>
  <c r="S533" i="3"/>
  <c r="S473" i="3"/>
  <c r="T473" i="3"/>
  <c r="P252" i="3"/>
  <c r="Q252" i="3"/>
  <c r="P365" i="3"/>
  <c r="Q365" i="3"/>
  <c r="P407" i="3"/>
  <c r="Q407" i="3"/>
  <c r="W560" i="3"/>
  <c r="V560" i="3"/>
  <c r="S292" i="3"/>
  <c r="T292" i="3"/>
  <c r="V834" i="3"/>
  <c r="P171" i="3"/>
  <c r="Q171" i="3"/>
  <c r="S1034" i="3"/>
  <c r="W575" i="3"/>
  <c r="V575" i="3"/>
  <c r="S1050" i="3"/>
  <c r="S713" i="3"/>
  <c r="S211" i="3"/>
  <c r="T211" i="3"/>
  <c r="P466" i="3"/>
  <c r="Q466" i="3"/>
  <c r="S666" i="3"/>
  <c r="V132" i="3"/>
  <c r="W132" i="3"/>
  <c r="S1106" i="3"/>
  <c r="T554" i="3"/>
  <c r="S554" i="3"/>
  <c r="S155" i="3"/>
  <c r="T155" i="3"/>
  <c r="V153" i="3"/>
  <c r="W153" i="3"/>
  <c r="V443" i="3"/>
  <c r="W443" i="3"/>
  <c r="V1157" i="3"/>
  <c r="P413" i="3"/>
  <c r="Q413" i="3"/>
  <c r="S1195" i="3"/>
  <c r="P480" i="3"/>
  <c r="Q480" i="3"/>
  <c r="T359" i="3"/>
  <c r="S359" i="3"/>
  <c r="V13" i="3"/>
  <c r="V1054" i="3"/>
  <c r="V130" i="3"/>
  <c r="W130" i="3"/>
  <c r="V590" i="3"/>
  <c r="W590" i="3"/>
  <c r="V30" i="3"/>
  <c r="V437" i="3"/>
  <c r="W437" i="3"/>
  <c r="P530" i="3"/>
  <c r="Q530" i="3"/>
  <c r="V296" i="3"/>
  <c r="W296" i="3"/>
  <c r="S186" i="3"/>
  <c r="T186" i="3"/>
  <c r="P405" i="3"/>
  <c r="Q405" i="3"/>
  <c r="P593" i="3"/>
  <c r="Q593" i="3"/>
  <c r="V128" i="3"/>
  <c r="W128" i="3"/>
  <c r="V988" i="3"/>
  <c r="V52" i="3"/>
  <c r="W52" i="3"/>
  <c r="P169" i="3"/>
  <c r="Q169" i="3"/>
  <c r="P230" i="3"/>
  <c r="Q230" i="3"/>
  <c r="V511" i="3"/>
  <c r="W511" i="3"/>
  <c r="W541" i="3"/>
  <c r="V541" i="3"/>
  <c r="T1149" i="3"/>
  <c r="S309" i="3"/>
  <c r="T309" i="3"/>
  <c r="T269" i="3"/>
  <c r="S269" i="3"/>
  <c r="S574" i="3"/>
  <c r="T574" i="3"/>
  <c r="P246" i="3"/>
  <c r="Q246" i="3"/>
  <c r="S471" i="3"/>
  <c r="T471" i="3"/>
  <c r="S549" i="3"/>
  <c r="T549" i="3"/>
  <c r="Q469" i="3"/>
  <c r="P469" i="3"/>
  <c r="W374" i="3"/>
  <c r="V374" i="3"/>
  <c r="T552" i="3"/>
  <c r="S552" i="3"/>
  <c r="S86" i="3"/>
  <c r="T86" i="3"/>
  <c r="V774" i="3"/>
  <c r="V253" i="3"/>
  <c r="W253" i="3"/>
  <c r="W526" i="3"/>
  <c r="V526" i="3"/>
  <c r="T4" i="3"/>
  <c r="S4" i="3"/>
  <c r="T373" i="3"/>
  <c r="S373" i="3"/>
  <c r="S1083" i="3"/>
  <c r="V487" i="3"/>
  <c r="W487" i="3"/>
  <c r="V816" i="3"/>
  <c r="P485" i="3"/>
  <c r="Q485" i="3"/>
  <c r="Q479" i="3"/>
  <c r="P479" i="3"/>
  <c r="T477" i="3"/>
  <c r="S477" i="3"/>
  <c r="W200" i="3"/>
  <c r="V200" i="3"/>
  <c r="W477" i="3"/>
  <c r="V477" i="3"/>
  <c r="S462" i="3"/>
  <c r="T462" i="3"/>
  <c r="V693" i="3"/>
  <c r="P266" i="3"/>
  <c r="Q266" i="3"/>
  <c r="P463" i="3"/>
  <c r="Q463" i="3"/>
  <c r="W27" i="3"/>
  <c r="W440" i="3"/>
  <c r="V440" i="3"/>
  <c r="S218" i="3"/>
  <c r="T218" i="3"/>
  <c r="W401" i="3"/>
  <c r="V401" i="3"/>
  <c r="W352" i="3"/>
  <c r="V352" i="3"/>
  <c r="V972" i="3"/>
  <c r="S946" i="3"/>
  <c r="S585" i="3"/>
  <c r="T585" i="3"/>
  <c r="V458" i="3"/>
  <c r="W458" i="3"/>
  <c r="W316" i="3"/>
  <c r="V316" i="3"/>
  <c r="S185" i="3"/>
  <c r="T185" i="3"/>
  <c r="P9" i="3"/>
  <c r="Q9" i="3"/>
  <c r="T1039" i="3"/>
  <c r="Q293" i="3"/>
  <c r="P293" i="3"/>
  <c r="Q586" i="3"/>
  <c r="P586" i="3"/>
  <c r="V286" i="3"/>
  <c r="W286" i="3"/>
  <c r="Q89" i="3"/>
  <c r="P89" i="3"/>
  <c r="S390" i="3"/>
  <c r="T390" i="3"/>
  <c r="V179" i="3"/>
  <c r="W179" i="3"/>
  <c r="W464" i="3"/>
  <c r="V464" i="3"/>
  <c r="W342" i="3"/>
  <c r="V342" i="3"/>
  <c r="W565" i="3"/>
  <c r="V565" i="3"/>
  <c r="S1011" i="3"/>
  <c r="W285" i="3"/>
  <c r="V285" i="3"/>
  <c r="Q283" i="3"/>
  <c r="P283" i="3"/>
  <c r="V143" i="3"/>
  <c r="W143" i="3"/>
  <c r="Q276" i="3"/>
  <c r="P276" i="3"/>
  <c r="V957" i="3"/>
  <c r="Q467" i="3"/>
  <c r="P467" i="3"/>
  <c r="S267" i="3"/>
  <c r="T267" i="3"/>
  <c r="S328" i="3"/>
  <c r="T328" i="3"/>
  <c r="T602" i="3"/>
  <c r="S602" i="3"/>
  <c r="W586" i="3"/>
  <c r="V586" i="3"/>
  <c r="V486" i="3"/>
  <c r="W486" i="3"/>
  <c r="V359" i="3"/>
  <c r="W359" i="3"/>
  <c r="V189" i="3"/>
  <c r="W189" i="3"/>
  <c r="S610" i="3"/>
  <c r="V242" i="3"/>
  <c r="W242" i="3"/>
  <c r="W102" i="3"/>
  <c r="V102" i="3"/>
  <c r="V973" i="3"/>
  <c r="T293" i="3"/>
  <c r="S293" i="3"/>
  <c r="Q517" i="3"/>
  <c r="P517" i="3"/>
  <c r="W364" i="3"/>
  <c r="V364" i="3"/>
  <c r="S797" i="3"/>
  <c r="V594" i="3"/>
  <c r="W594" i="3"/>
  <c r="W260" i="3"/>
  <c r="V260" i="3"/>
  <c r="Q388" i="3"/>
  <c r="P388" i="3"/>
  <c r="Q123" i="3"/>
  <c r="P123" i="3"/>
  <c r="T274" i="3"/>
  <c r="S274" i="3"/>
  <c r="S534" i="3"/>
  <c r="T534" i="3"/>
  <c r="S581" i="3"/>
  <c r="T581" i="3"/>
  <c r="S603" i="3"/>
  <c r="T603" i="3"/>
  <c r="W241" i="3"/>
  <c r="V241" i="3"/>
  <c r="V1044" i="3"/>
  <c r="Q303" i="3"/>
  <c r="P303" i="3"/>
  <c r="V587" i="3"/>
  <c r="W587" i="3"/>
  <c r="T787" i="3"/>
  <c r="V975" i="3"/>
  <c r="S1054" i="3"/>
  <c r="V904" i="3"/>
  <c r="S509" i="3"/>
  <c r="T509" i="3"/>
  <c r="S47" i="3"/>
  <c r="T47" i="3"/>
  <c r="V784" i="3"/>
  <c r="V271" i="3"/>
  <c r="W271" i="3"/>
  <c r="P446" i="3"/>
  <c r="Q446" i="3"/>
  <c r="S389" i="3"/>
  <c r="T389" i="3"/>
  <c r="V176" i="3"/>
  <c r="W176" i="3"/>
  <c r="V268" i="3"/>
  <c r="W268" i="3"/>
  <c r="V601" i="3"/>
  <c r="W601" i="3"/>
  <c r="P61" i="3"/>
  <c r="Q61" i="3"/>
  <c r="S738" i="3"/>
  <c r="W90" i="3"/>
  <c r="V90" i="3"/>
  <c r="V300" i="3"/>
  <c r="W300" i="3"/>
  <c r="V337" i="3"/>
  <c r="W337" i="3"/>
  <c r="T1048" i="3"/>
  <c r="W81" i="3"/>
  <c r="V81" i="3"/>
  <c r="V9" i="3"/>
  <c r="V562" i="3"/>
  <c r="W562" i="3"/>
  <c r="V360" i="3"/>
  <c r="W360" i="3"/>
  <c r="V814" i="3"/>
  <c r="V314" i="3"/>
  <c r="W314" i="3"/>
  <c r="T1170" i="3"/>
  <c r="S505" i="3"/>
  <c r="T505" i="3"/>
  <c r="S430" i="3"/>
  <c r="T430" i="3"/>
  <c r="V753" i="3"/>
  <c r="T1117" i="3"/>
  <c r="W520" i="3"/>
  <c r="V520" i="3"/>
  <c r="V939" i="3"/>
  <c r="P140" i="3"/>
  <c r="Q140" i="3"/>
  <c r="P189" i="3"/>
  <c r="Q189" i="3"/>
  <c r="V596" i="3"/>
  <c r="W596" i="3"/>
  <c r="V210" i="3"/>
  <c r="W210" i="3"/>
  <c r="P28" i="3"/>
  <c r="Q28" i="3"/>
  <c r="S246" i="3"/>
  <c r="T246" i="3"/>
  <c r="V1102" i="3"/>
  <c r="S676" i="3"/>
  <c r="V528" i="3"/>
  <c r="W528" i="3"/>
  <c r="T60" i="3"/>
  <c r="S60" i="3"/>
  <c r="S496" i="3"/>
  <c r="T496" i="3"/>
  <c r="P277" i="3"/>
  <c r="Q277" i="3"/>
  <c r="T147" i="3"/>
  <c r="S147" i="3"/>
  <c r="P315" i="3"/>
  <c r="Q315" i="3"/>
  <c r="P364" i="3"/>
  <c r="Q364" i="3"/>
  <c r="P560" i="3"/>
  <c r="Q560" i="3"/>
  <c r="V320" i="3"/>
  <c r="W320" i="3"/>
  <c r="W399" i="3"/>
  <c r="V399" i="3"/>
  <c r="Q496" i="3"/>
  <c r="P496" i="3"/>
  <c r="W457" i="3"/>
  <c r="V457" i="3"/>
  <c r="W427" i="3"/>
  <c r="V427" i="3"/>
  <c r="V550" i="3"/>
  <c r="W550" i="3"/>
  <c r="V566" i="3"/>
  <c r="W566" i="3"/>
  <c r="W406" i="3"/>
  <c r="V406" i="3"/>
  <c r="S697" i="3"/>
  <c r="V19" i="3"/>
  <c r="S256" i="3"/>
  <c r="T256" i="3"/>
  <c r="P152" i="3"/>
  <c r="Q152" i="3"/>
  <c r="W335" i="3"/>
  <c r="V335" i="3"/>
  <c r="V807" i="3"/>
  <c r="V591" i="3"/>
  <c r="W591" i="3"/>
  <c r="P428" i="3"/>
  <c r="Q428" i="3"/>
  <c r="W416" i="3"/>
  <c r="V416" i="3"/>
  <c r="W227" i="3"/>
  <c r="V227" i="3"/>
  <c r="T160" i="3"/>
  <c r="S160" i="3"/>
  <c r="V907" i="3"/>
  <c r="W375" i="3"/>
  <c r="V375" i="3"/>
  <c r="S393" i="3"/>
  <c r="T393" i="3"/>
  <c r="T169" i="3"/>
  <c r="S169" i="3"/>
  <c r="W554" i="3"/>
  <c r="V554" i="3"/>
  <c r="T310" i="3"/>
  <c r="S310" i="3"/>
  <c r="T251" i="3"/>
  <c r="S251" i="3"/>
  <c r="W468" i="3"/>
  <c r="V468" i="3"/>
  <c r="P265" i="3"/>
  <c r="Q265" i="3"/>
  <c r="S1178" i="3"/>
  <c r="V398" i="3"/>
  <c r="W398" i="3"/>
  <c r="W489" i="3"/>
  <c r="V489" i="3"/>
  <c r="V333" i="3"/>
  <c r="W333" i="3"/>
  <c r="T510" i="3"/>
  <c r="S510" i="3"/>
  <c r="V544" i="3"/>
  <c r="W544" i="3"/>
  <c r="Q438" i="3"/>
  <c r="P438" i="3"/>
  <c r="S523" i="3"/>
  <c r="T523" i="3"/>
  <c r="S239" i="3"/>
  <c r="T239" i="3"/>
  <c r="W86" i="3"/>
  <c r="V86" i="3"/>
  <c r="P355" i="3"/>
  <c r="Q355" i="3"/>
  <c r="V517" i="3"/>
  <c r="W517" i="3"/>
  <c r="P267" i="3"/>
  <c r="Q267" i="3"/>
  <c r="S324" i="3"/>
  <c r="T324" i="3"/>
  <c r="T374" i="3"/>
  <c r="S374" i="3"/>
  <c r="S347" i="3"/>
  <c r="T347" i="3"/>
  <c r="S45" i="3"/>
  <c r="T45" i="3"/>
  <c r="V283" i="3"/>
  <c r="W283" i="3"/>
  <c r="S677" i="3"/>
  <c r="V510" i="3"/>
  <c r="W510" i="3"/>
  <c r="S600" i="3"/>
  <c r="T600" i="3"/>
  <c r="W156" i="3"/>
  <c r="V156" i="3"/>
  <c r="Q505" i="3"/>
  <c r="P505" i="3"/>
  <c r="V369" i="3"/>
  <c r="W369" i="3"/>
  <c r="Q410" i="3"/>
  <c r="P410" i="3"/>
  <c r="Q527" i="3"/>
  <c r="P527" i="3"/>
  <c r="S448" i="3"/>
  <c r="T448" i="3"/>
  <c r="T1160" i="3"/>
  <c r="S1066" i="3"/>
  <c r="P441" i="3"/>
  <c r="Q441" i="3"/>
  <c r="Q52" i="3"/>
  <c r="P52" i="3"/>
  <c r="S1203" i="3"/>
  <c r="W583" i="3"/>
  <c r="V583" i="3"/>
  <c r="V36" i="3"/>
  <c r="S36" i="3"/>
  <c r="T36" i="3"/>
  <c r="S850" i="3"/>
  <c r="S913" i="3"/>
  <c r="S6" i="3"/>
  <c r="T6" i="3"/>
  <c r="P84" i="3"/>
  <c r="Q84" i="3"/>
  <c r="V294" i="3"/>
  <c r="W294" i="3"/>
  <c r="W579" i="3"/>
  <c r="V579" i="3"/>
  <c r="V34" i="3"/>
  <c r="Q296" i="3"/>
  <c r="P296" i="3"/>
  <c r="Q133" i="3"/>
  <c r="P133" i="3"/>
  <c r="W279" i="3"/>
  <c r="V279" i="3"/>
  <c r="V127" i="3"/>
  <c r="W127" i="3"/>
  <c r="V532" i="3"/>
  <c r="W532" i="3"/>
  <c r="V118" i="3"/>
  <c r="W118" i="3"/>
  <c r="W589" i="3"/>
  <c r="V589" i="3"/>
  <c r="V559" i="3"/>
  <c r="W559" i="3"/>
  <c r="P369" i="3"/>
  <c r="Q369" i="3"/>
  <c r="Q239" i="3"/>
  <c r="P239" i="3"/>
  <c r="V44" i="3"/>
  <c r="W44" i="3"/>
  <c r="P297" i="3"/>
  <c r="Q297" i="3"/>
  <c r="S423" i="3"/>
  <c r="T423" i="3"/>
  <c r="P427" i="3"/>
  <c r="Q427" i="3"/>
  <c r="V852" i="3"/>
  <c r="W190" i="3"/>
  <c r="V190" i="3"/>
  <c r="W1048" i="3"/>
  <c r="V1076" i="3"/>
  <c r="V1014" i="3"/>
  <c r="S464" i="3"/>
  <c r="T464" i="3"/>
  <c r="T382" i="3"/>
  <c r="S382" i="3"/>
  <c r="Q11" i="3"/>
  <c r="P11" i="3"/>
  <c r="V83" i="3"/>
  <c r="W83" i="3"/>
  <c r="W317" i="3"/>
  <c r="V317" i="3"/>
  <c r="S1026" i="3"/>
  <c r="T431" i="3"/>
  <c r="S431" i="3"/>
  <c r="S488" i="3"/>
  <c r="T488" i="3"/>
  <c r="V850" i="3"/>
  <c r="S1162" i="3"/>
  <c r="Q300" i="3"/>
  <c r="P300" i="3"/>
  <c r="S342" i="3"/>
  <c r="T342" i="3"/>
  <c r="P493" i="3"/>
  <c r="Q493" i="3"/>
  <c r="S119" i="3"/>
  <c r="T119" i="3"/>
  <c r="P151" i="3"/>
  <c r="Q151" i="3"/>
  <c r="T113" i="3"/>
  <c r="S113" i="3"/>
  <c r="V339" i="3"/>
  <c r="W339" i="3"/>
  <c r="S95" i="3"/>
  <c r="T95" i="3"/>
  <c r="S641" i="3"/>
  <c r="V24" i="3"/>
  <c r="V602" i="3"/>
  <c r="W602" i="3"/>
  <c r="T475" i="3"/>
  <c r="S475" i="3"/>
  <c r="T535" i="3"/>
  <c r="S535" i="3"/>
  <c r="P282" i="3"/>
  <c r="Q282" i="3"/>
  <c r="V21" i="3"/>
  <c r="W229" i="3"/>
  <c r="V229" i="3"/>
  <c r="P56" i="3"/>
  <c r="Q56" i="3"/>
  <c r="W465" i="3"/>
  <c r="V465" i="3"/>
  <c r="T343" i="3"/>
  <c r="S343" i="3"/>
  <c r="V239" i="3"/>
  <c r="W239" i="3"/>
  <c r="V597" i="3"/>
  <c r="W597" i="3"/>
  <c r="V1100" i="3"/>
  <c r="P430" i="3"/>
  <c r="Q430" i="3"/>
  <c r="S539" i="3"/>
  <c r="T539" i="3"/>
  <c r="S1086" i="3"/>
  <c r="T228" i="3"/>
  <c r="S228" i="3"/>
  <c r="S580" i="3"/>
  <c r="T580" i="3"/>
  <c r="P285" i="3"/>
  <c r="Q285" i="3"/>
  <c r="V902" i="3"/>
  <c r="Q353" i="3"/>
  <c r="P353" i="3"/>
  <c r="W322" i="3"/>
  <c r="V322" i="3"/>
  <c r="S329" i="3"/>
  <c r="T329" i="3"/>
  <c r="W105" i="3"/>
  <c r="V105" i="3"/>
  <c r="W331" i="3"/>
  <c r="V331" i="3"/>
  <c r="S556" i="3"/>
  <c r="T556" i="3"/>
  <c r="P333" i="3"/>
  <c r="Q333" i="3"/>
  <c r="S1122" i="3"/>
  <c r="Q512" i="3"/>
  <c r="P512" i="3"/>
  <c r="V600" i="3"/>
  <c r="W600" i="3"/>
  <c r="V446" i="3"/>
  <c r="W446" i="3"/>
  <c r="Q375" i="3"/>
  <c r="P375" i="3"/>
  <c r="S204" i="3"/>
  <c r="T204" i="3"/>
  <c r="W552" i="3"/>
  <c r="V552" i="3"/>
  <c r="W539" i="3"/>
  <c r="V539" i="3"/>
  <c r="S752" i="3"/>
  <c r="V505" i="3"/>
  <c r="W505" i="3"/>
  <c r="V28" i="3"/>
  <c r="V719" i="3"/>
  <c r="P553" i="3"/>
  <c r="Q553" i="3"/>
  <c r="Q432" i="3"/>
  <c r="P432" i="3"/>
  <c r="P271" i="3"/>
  <c r="Q271" i="3"/>
  <c r="V723" i="3"/>
  <c r="V25" i="3"/>
  <c r="P573" i="3"/>
  <c r="Q573" i="3"/>
  <c r="W504" i="3"/>
  <c r="V504" i="3"/>
  <c r="W310" i="3"/>
  <c r="V310" i="3"/>
  <c r="T726" i="3"/>
  <c r="T56" i="3"/>
  <c r="S56" i="3"/>
  <c r="V964" i="3"/>
  <c r="W556" i="3"/>
  <c r="V556" i="3"/>
  <c r="W391" i="3"/>
  <c r="V391" i="3"/>
  <c r="P549" i="3"/>
  <c r="Q549" i="3"/>
  <c r="P310" i="3"/>
  <c r="Q310" i="3"/>
  <c r="W219" i="3"/>
  <c r="V219" i="3"/>
  <c r="S232" i="3"/>
  <c r="T232" i="3"/>
  <c r="Q173" i="3"/>
  <c r="P173" i="3"/>
  <c r="V302" i="3"/>
  <c r="W302" i="3"/>
  <c r="P131" i="3"/>
  <c r="Q131" i="3"/>
  <c r="T584" i="3"/>
  <c r="S584" i="3"/>
  <c r="Q574" i="3"/>
  <c r="P574" i="3"/>
  <c r="T550" i="3"/>
  <c r="S550" i="3"/>
  <c r="T513" i="3"/>
  <c r="S513" i="3"/>
  <c r="P545" i="3"/>
  <c r="Q545" i="3"/>
  <c r="V5" i="3"/>
  <c r="W353" i="3"/>
  <c r="V353" i="3"/>
  <c r="P235" i="3"/>
  <c r="Q235" i="3"/>
  <c r="W599" i="3"/>
  <c r="V599" i="3"/>
  <c r="V580" i="3"/>
  <c r="W580" i="3"/>
  <c r="P481" i="3"/>
  <c r="Q481" i="3"/>
  <c r="T301" i="3"/>
  <c r="S301" i="3"/>
  <c r="T144" i="3"/>
  <c r="S144" i="3"/>
  <c r="T442" i="3"/>
  <c r="S442" i="3"/>
  <c r="P302" i="3"/>
  <c r="Q302" i="3"/>
  <c r="T512" i="3"/>
  <c r="S512" i="3"/>
  <c r="P557" i="3"/>
  <c r="Q557" i="3"/>
  <c r="S971" i="3"/>
  <c r="Q278" i="3"/>
  <c r="P278" i="3"/>
  <c r="T353" i="3"/>
  <c r="S353" i="3"/>
  <c r="S446" i="3"/>
  <c r="T446" i="3"/>
  <c r="Q444" i="3"/>
  <c r="P444" i="3"/>
  <c r="Q550" i="3"/>
  <c r="P550" i="3"/>
  <c r="V1028" i="3"/>
  <c r="Q554" i="3"/>
  <c r="P554" i="3"/>
  <c r="S154" i="3"/>
  <c r="T154" i="3"/>
  <c r="Q515" i="3"/>
  <c r="P515" i="3"/>
  <c r="S627" i="3"/>
  <c r="S282" i="3"/>
  <c r="T282" i="3"/>
  <c r="Q201" i="3"/>
  <c r="P201" i="3"/>
  <c r="V626" i="3"/>
  <c r="S1045" i="3"/>
  <c r="S140" i="3"/>
  <c r="T140" i="3"/>
  <c r="V1072" i="3"/>
  <c r="P17" i="3"/>
  <c r="Q17" i="3"/>
  <c r="V1150" i="3"/>
  <c r="W99" i="3"/>
  <c r="V99" i="3"/>
  <c r="P486" i="3"/>
  <c r="Q486" i="3"/>
  <c r="P507" i="3"/>
  <c r="Q507" i="3"/>
  <c r="T435" i="3"/>
  <c r="S435" i="3"/>
  <c r="V858" i="3"/>
  <c r="P232" i="3"/>
  <c r="Q232" i="3"/>
  <c r="S466" i="3"/>
  <c r="T466" i="3"/>
  <c r="P253" i="3"/>
  <c r="Q253" i="3"/>
  <c r="V266" i="3"/>
  <c r="W266" i="3"/>
  <c r="T578" i="3"/>
  <c r="S578" i="3"/>
  <c r="W448" i="3"/>
  <c r="V448" i="3"/>
  <c r="V29" i="3"/>
  <c r="S394" i="3"/>
  <c r="T394" i="3"/>
  <c r="S1173" i="3"/>
  <c r="V208" i="3"/>
  <c r="W208" i="3"/>
  <c r="T298" i="3"/>
  <c r="S298" i="3"/>
  <c r="V233" i="3"/>
  <c r="W233" i="3"/>
  <c r="P206" i="3"/>
  <c r="Q206" i="3"/>
  <c r="W495" i="3"/>
  <c r="V495" i="3"/>
  <c r="Q126" i="3"/>
  <c r="P126" i="3"/>
  <c r="P588" i="3"/>
  <c r="Q588" i="3"/>
  <c r="V462" i="3"/>
  <c r="W462" i="3"/>
  <c r="S281" i="3"/>
  <c r="T281" i="3"/>
  <c r="V709" i="3"/>
  <c r="S413" i="3"/>
  <c r="T413" i="3"/>
  <c r="P82" i="3"/>
  <c r="Q82" i="3"/>
  <c r="V947" i="3"/>
  <c r="V996" i="3"/>
  <c r="S499" i="3"/>
  <c r="T499" i="3"/>
  <c r="P476" i="3"/>
  <c r="Q476" i="3"/>
  <c r="S285" i="3"/>
  <c r="T285" i="3"/>
  <c r="V918" i="3"/>
  <c r="V22" i="3"/>
  <c r="S842" i="3"/>
  <c r="V876" i="3"/>
  <c r="S320" i="3"/>
  <c r="T320" i="3"/>
  <c r="S1041" i="3"/>
  <c r="Q339" i="3"/>
  <c r="P339" i="3"/>
  <c r="V513" i="3"/>
  <c r="W513" i="3"/>
  <c r="T521" i="3"/>
  <c r="S521" i="3"/>
  <c r="V390" i="3"/>
  <c r="W390" i="3"/>
  <c r="S560" i="3"/>
  <c r="T560" i="3"/>
  <c r="T404" i="3"/>
  <c r="S404" i="3"/>
  <c r="T452" i="3"/>
  <c r="S452" i="3"/>
  <c r="Q342" i="3"/>
  <c r="P342" i="3"/>
  <c r="Q290" i="3"/>
  <c r="P290" i="3"/>
  <c r="W480" i="3"/>
  <c r="V480" i="3"/>
  <c r="S486" i="3"/>
  <c r="T486" i="3"/>
  <c r="S325" i="3"/>
  <c r="T325" i="3"/>
  <c r="V506" i="3"/>
  <c r="W506" i="3"/>
  <c r="V288" i="3"/>
  <c r="W288" i="3"/>
  <c r="T392" i="3"/>
  <c r="S392" i="3"/>
  <c r="Q525" i="3"/>
  <c r="P525" i="3"/>
  <c r="V1082" i="3"/>
  <c r="Q456" i="3"/>
  <c r="P456" i="3"/>
  <c r="V577" i="3"/>
  <c r="W577" i="3"/>
  <c r="S311" i="3"/>
  <c r="T311" i="3"/>
  <c r="W338" i="3"/>
  <c r="V338" i="3"/>
  <c r="W263" i="3"/>
  <c r="V263" i="3"/>
  <c r="Q497" i="3"/>
  <c r="P497" i="3"/>
  <c r="S369" i="3"/>
  <c r="T369" i="3"/>
  <c r="Q167" i="3"/>
  <c r="P167" i="3"/>
  <c r="W68" i="3"/>
  <c r="V68" i="3"/>
  <c r="Q452" i="3"/>
  <c r="P452" i="3"/>
  <c r="P458" i="3"/>
  <c r="Q458" i="3"/>
  <c r="T449" i="3"/>
  <c r="S449" i="3"/>
  <c r="W249" i="3"/>
  <c r="V249" i="3"/>
  <c r="T501" i="3"/>
  <c r="S501" i="3"/>
  <c r="W262" i="3"/>
  <c r="V262" i="3"/>
  <c r="S548" i="3"/>
  <c r="T548" i="3"/>
  <c r="S408" i="3"/>
  <c r="T408" i="3"/>
  <c r="S332" i="3"/>
  <c r="T332" i="3"/>
  <c r="T312" i="3"/>
  <c r="S312" i="3"/>
  <c r="S450" i="3"/>
  <c r="T450" i="3"/>
  <c r="P182" i="3"/>
  <c r="Q182" i="3"/>
  <c r="V899" i="3"/>
  <c r="Q602" i="3"/>
  <c r="P602" i="3"/>
  <c r="S378" i="3"/>
  <c r="T378" i="3"/>
  <c r="V923" i="3"/>
  <c r="V38" i="3"/>
  <c r="Q137" i="3"/>
  <c r="P137" i="3"/>
  <c r="T436" i="3"/>
  <c r="S436" i="3"/>
  <c r="S994" i="3"/>
  <c r="T5" i="3"/>
  <c r="S5" i="3"/>
  <c r="S826" i="3"/>
  <c r="V14" i="3"/>
  <c r="V244" i="3"/>
  <c r="W244" i="3"/>
  <c r="S283" i="3"/>
  <c r="T283" i="3"/>
  <c r="S59" i="3"/>
  <c r="T59" i="3"/>
  <c r="T912" i="3"/>
  <c r="W533" i="3"/>
  <c r="V533" i="3"/>
  <c r="S561" i="3"/>
  <c r="T561" i="3"/>
  <c r="Q241" i="3"/>
  <c r="P241" i="3"/>
  <c r="V265" i="3"/>
  <c r="W265" i="3"/>
  <c r="T219" i="3"/>
  <c r="S219" i="3"/>
  <c r="Q301" i="3"/>
  <c r="P301" i="3"/>
  <c r="W431" i="3"/>
  <c r="V431" i="3"/>
  <c r="V33" i="3"/>
  <c r="S515" i="3"/>
  <c r="T515" i="3"/>
  <c r="V1067" i="3"/>
  <c r="Q154" i="3"/>
  <c r="P154" i="3"/>
  <c r="V387" i="3"/>
  <c r="W387" i="3"/>
  <c r="S1159" i="3"/>
  <c r="W357" i="3"/>
  <c r="V357" i="3"/>
  <c r="P426" i="3"/>
  <c r="Q426" i="3"/>
  <c r="W151" i="3"/>
  <c r="V151" i="3"/>
  <c r="Q371" i="3"/>
  <c r="P371" i="3"/>
  <c r="P487" i="3"/>
  <c r="Q487" i="3"/>
  <c r="T1133" i="3"/>
  <c r="V598" i="3"/>
  <c r="W598" i="3"/>
  <c r="V192" i="3"/>
  <c r="W192" i="3"/>
  <c r="S363" i="3"/>
  <c r="T363" i="3"/>
  <c r="S744" i="3"/>
  <c r="P214" i="3"/>
  <c r="Q214" i="3"/>
  <c r="S303" i="3"/>
  <c r="T303" i="3"/>
  <c r="S405" i="3"/>
  <c r="T405" i="3"/>
  <c r="S859" i="3"/>
  <c r="P566" i="3"/>
  <c r="Q566" i="3"/>
  <c r="P121" i="3"/>
  <c r="Q121" i="3"/>
  <c r="Q347" i="3"/>
  <c r="P347" i="3"/>
  <c r="P575" i="3"/>
  <c r="Q575" i="3"/>
  <c r="Q331" i="3"/>
  <c r="P331" i="3"/>
  <c r="V836" i="3"/>
  <c r="P124" i="3"/>
  <c r="Q124" i="3"/>
  <c r="P392" i="3"/>
  <c r="Q392" i="3"/>
  <c r="V965" i="3"/>
  <c r="P483" i="3"/>
  <c r="Q483" i="3"/>
  <c r="V115" i="3"/>
  <c r="W115" i="3"/>
  <c r="V251" i="3"/>
  <c r="W251" i="3"/>
  <c r="Q210" i="3"/>
  <c r="P210" i="3"/>
  <c r="V1155" i="3"/>
  <c r="V157" i="3"/>
  <c r="W157" i="3"/>
  <c r="W578" i="3"/>
  <c r="V578" i="3"/>
  <c r="Q326" i="3"/>
  <c r="P326" i="3"/>
  <c r="W346" i="3"/>
  <c r="V346" i="3"/>
  <c r="P508" i="3"/>
  <c r="Q508" i="3"/>
  <c r="P381" i="3"/>
  <c r="Q381" i="3"/>
  <c r="P433" i="3"/>
  <c r="Q433" i="3"/>
  <c r="S747" i="3"/>
  <c r="P345" i="3"/>
  <c r="Q345" i="3"/>
  <c r="V26" i="3"/>
  <c r="S318" i="3"/>
  <c r="T318" i="3"/>
  <c r="V438" i="3"/>
  <c r="W438" i="3"/>
  <c r="S241" i="3"/>
  <c r="T241" i="3"/>
  <c r="T338" i="3"/>
  <c r="S338" i="3"/>
  <c r="V472" i="3"/>
  <c r="W472" i="3"/>
  <c r="V689" i="3"/>
  <c r="Q598" i="3"/>
  <c r="P598" i="3"/>
  <c r="V372" i="3"/>
  <c r="W372" i="3"/>
  <c r="P417" i="3"/>
  <c r="Q417" i="3"/>
  <c r="S277" i="3"/>
  <c r="T277" i="3"/>
  <c r="Q472" i="3"/>
  <c r="P472" i="3"/>
  <c r="W467" i="3"/>
  <c r="V467" i="3"/>
  <c r="S757" i="3"/>
  <c r="V893" i="3"/>
  <c r="T337" i="3"/>
  <c r="S337" i="3"/>
  <c r="Q454" i="3"/>
  <c r="P454" i="3"/>
  <c r="S660" i="3"/>
  <c r="P412" i="3"/>
  <c r="Q412" i="3"/>
  <c r="S385" i="3"/>
  <c r="T385" i="3"/>
  <c r="P532" i="3"/>
  <c r="Q532" i="3"/>
  <c r="W516" i="3"/>
  <c r="V516" i="3"/>
  <c r="P386" i="3"/>
  <c r="Q386" i="3"/>
  <c r="S530" i="3"/>
  <c r="T530" i="3"/>
  <c r="W161" i="3"/>
  <c r="V161" i="3"/>
  <c r="Q162" i="3"/>
  <c r="P162" i="3"/>
  <c r="S538" i="3"/>
  <c r="T538" i="3"/>
  <c r="V209" i="3"/>
  <c r="W209" i="3"/>
  <c r="V479" i="3"/>
  <c r="W479" i="3"/>
  <c r="S360" i="3"/>
  <c r="T360" i="3"/>
  <c r="P357" i="3"/>
  <c r="Q357" i="3"/>
  <c r="V1011" i="3"/>
  <c r="Q275" i="3"/>
  <c r="P275" i="3"/>
  <c r="V343" i="3"/>
  <c r="W343" i="3"/>
  <c r="T235" i="3"/>
  <c r="S235" i="3"/>
  <c r="Q541" i="3"/>
  <c r="P541" i="3"/>
  <c r="P596" i="3"/>
  <c r="Q596" i="3"/>
  <c r="Q489" i="3"/>
  <c r="P489" i="3"/>
  <c r="S244" i="3"/>
  <c r="T244" i="3"/>
  <c r="S1202" i="3"/>
  <c r="P71" i="3"/>
  <c r="Q71" i="3"/>
  <c r="W315" i="3"/>
  <c r="V315" i="3"/>
  <c r="S253" i="3"/>
  <c r="T253" i="3"/>
  <c r="V1084" i="3"/>
  <c r="S321" i="3"/>
  <c r="T321" i="3"/>
  <c r="S1138" i="3"/>
  <c r="V546" i="3"/>
  <c r="W546" i="3"/>
  <c r="V766" i="3"/>
  <c r="V1071" i="3"/>
  <c r="V191" i="3"/>
  <c r="W191" i="3"/>
  <c r="P504" i="3"/>
  <c r="Q504" i="3"/>
  <c r="W460" i="3"/>
  <c r="V460" i="3"/>
  <c r="T117" i="3"/>
  <c r="S117" i="3"/>
  <c r="W258" i="3"/>
  <c r="V258" i="3"/>
  <c r="T470" i="3"/>
  <c r="S470" i="3"/>
  <c r="S1151" i="3"/>
  <c r="P166" i="3"/>
  <c r="Q166" i="3"/>
  <c r="P582" i="3"/>
  <c r="Q582" i="3"/>
  <c r="V995" i="3"/>
  <c r="V275" i="3"/>
  <c r="W275" i="3"/>
  <c r="V508" i="3"/>
  <c r="W508" i="3"/>
  <c r="P269" i="3"/>
  <c r="Q269" i="3"/>
  <c r="V177" i="3"/>
  <c r="W177" i="3"/>
  <c r="S922" i="3"/>
  <c r="S7" i="3"/>
  <c r="T7" i="3"/>
  <c r="V385" i="3"/>
  <c r="W385" i="3"/>
  <c r="S199" i="3"/>
  <c r="T199" i="3"/>
  <c r="T734" i="3"/>
  <c r="T128" i="3"/>
  <c r="S128" i="3"/>
  <c r="P416" i="3"/>
  <c r="Q416" i="3"/>
  <c r="T1159" i="3"/>
  <c r="P255" i="3"/>
  <c r="Q255" i="3"/>
  <c r="S659" i="3"/>
  <c r="W247" i="3"/>
  <c r="V247" i="3"/>
  <c r="V636" i="3"/>
  <c r="V868" i="3"/>
  <c r="Q139" i="3"/>
  <c r="P139" i="3"/>
  <c r="S1167" i="3"/>
  <c r="P506" i="3"/>
  <c r="Q506" i="3"/>
  <c r="V355" i="3"/>
  <c r="W355" i="3"/>
  <c r="P361" i="3"/>
  <c r="Q361" i="3"/>
  <c r="V622" i="3"/>
  <c r="P274" i="3"/>
  <c r="Q274" i="3"/>
  <c r="S263" i="3"/>
  <c r="T263" i="3"/>
  <c r="P351" i="3"/>
  <c r="Q351" i="3"/>
  <c r="T474" i="3"/>
  <c r="S474" i="3"/>
  <c r="W451" i="3"/>
  <c r="V451" i="3"/>
  <c r="S778" i="3"/>
  <c r="Q258" i="3"/>
  <c r="P258" i="3"/>
  <c r="V289" i="3"/>
  <c r="W289" i="3"/>
  <c r="P260" i="3"/>
  <c r="Q260" i="3"/>
  <c r="T601" i="3"/>
  <c r="S601" i="3"/>
  <c r="S262" i="3"/>
  <c r="T262" i="3"/>
  <c r="V823" i="3"/>
  <c r="S295" i="3"/>
  <c r="T295" i="3"/>
  <c r="T302" i="3"/>
  <c r="S302" i="3"/>
  <c r="P248" i="3"/>
  <c r="Q248" i="3"/>
  <c r="V491" i="3"/>
  <c r="W491" i="3"/>
  <c r="S187" i="3"/>
  <c r="T187" i="3"/>
  <c r="V449" i="3"/>
  <c r="W449" i="3"/>
  <c r="P499" i="3"/>
  <c r="Q499" i="3"/>
  <c r="S143" i="3"/>
  <c r="T143" i="3"/>
  <c r="P559" i="3"/>
  <c r="Q559" i="3"/>
  <c r="T386" i="3"/>
  <c r="S386" i="3"/>
  <c r="T224" i="3"/>
  <c r="S224" i="3"/>
  <c r="S795" i="3"/>
  <c r="V490" i="3"/>
  <c r="W490" i="3"/>
  <c r="V549" i="3"/>
  <c r="W549" i="3"/>
  <c r="V485" i="3"/>
  <c r="W485" i="3"/>
  <c r="W370" i="3"/>
  <c r="V370" i="3"/>
  <c r="T529" i="3"/>
  <c r="S529" i="3"/>
  <c r="V445" i="3"/>
  <c r="W445" i="3"/>
  <c r="S765" i="3"/>
  <c r="P495" i="3"/>
  <c r="Q495" i="3"/>
  <c r="T537" i="3"/>
  <c r="S537" i="3"/>
  <c r="T1153" i="3"/>
  <c r="S467" i="3"/>
  <c r="T467" i="3"/>
  <c r="Q198" i="3"/>
  <c r="P198" i="3"/>
  <c r="P590" i="3"/>
  <c r="Q590" i="3"/>
  <c r="S463" i="3"/>
  <c r="T463" i="3"/>
  <c r="W158" i="3"/>
  <c r="V158" i="3"/>
  <c r="P219" i="3"/>
  <c r="Q219" i="3"/>
  <c r="S931" i="3"/>
  <c r="T379" i="3"/>
  <c r="S379" i="3"/>
  <c r="T407" i="3"/>
  <c r="S407" i="3"/>
  <c r="V201" i="3"/>
  <c r="W201" i="3"/>
  <c r="V1146" i="3"/>
  <c r="W183" i="3"/>
  <c r="V183" i="3"/>
  <c r="P399" i="3"/>
  <c r="Q399" i="3"/>
  <c r="S1073" i="3"/>
  <c r="P288" i="3"/>
  <c r="Q288" i="3"/>
  <c r="S275" i="3"/>
  <c r="T275" i="3"/>
  <c r="W492" i="3"/>
  <c r="V492" i="3"/>
  <c r="T1051" i="3"/>
  <c r="W196" i="3"/>
  <c r="V196" i="3"/>
  <c r="V297" i="3"/>
  <c r="W297" i="3"/>
  <c r="T1127" i="3"/>
  <c r="V1115" i="3"/>
  <c r="S487" i="3"/>
  <c r="T487" i="3"/>
  <c r="S38" i="3"/>
  <c r="T38" i="3"/>
  <c r="W298" i="3"/>
  <c r="V298" i="3"/>
  <c r="V701" i="3"/>
  <c r="T131" i="3"/>
  <c r="S131" i="3"/>
  <c r="V402" i="3"/>
  <c r="W402" i="3"/>
  <c r="S304" i="3"/>
  <c r="T304" i="3"/>
  <c r="S24" i="3"/>
  <c r="T24" i="3"/>
  <c r="P249" i="3"/>
  <c r="Q249" i="3"/>
  <c r="Q129" i="3"/>
  <c r="P129" i="3"/>
  <c r="S136" i="3"/>
  <c r="T136" i="3"/>
  <c r="S62" i="3"/>
  <c r="T62" i="3"/>
  <c r="P202" i="3"/>
  <c r="Q202" i="3"/>
  <c r="V134" i="3"/>
  <c r="W134" i="3"/>
  <c r="P470" i="3"/>
  <c r="Q470" i="3"/>
  <c r="V909" i="3"/>
  <c r="S357" i="3"/>
  <c r="T357" i="3"/>
  <c r="V17" i="3"/>
  <c r="Q344" i="3"/>
  <c r="P344" i="3"/>
  <c r="V175" i="3"/>
  <c r="W175" i="3"/>
  <c r="V1022" i="3"/>
  <c r="T481" i="3"/>
  <c r="S481" i="3"/>
  <c r="P451" i="3"/>
  <c r="Q451" i="3"/>
  <c r="V40" i="3"/>
  <c r="P534" i="3"/>
  <c r="Q534" i="3"/>
  <c r="W561" i="3"/>
  <c r="V561" i="3"/>
  <c r="S367" i="3"/>
  <c r="T367" i="3"/>
  <c r="P425" i="3"/>
  <c r="Q425" i="3"/>
  <c r="V936" i="3"/>
  <c r="V500" i="3"/>
  <c r="W500" i="3"/>
  <c r="S1163" i="3"/>
  <c r="S1165" i="3"/>
  <c r="V89" i="3"/>
  <c r="W89" i="3"/>
  <c r="W4" i="3"/>
  <c r="T10" i="3"/>
  <c r="S10" i="3"/>
  <c r="T265" i="3"/>
  <c r="S265" i="3"/>
  <c r="V946" i="3"/>
  <c r="P244" i="3"/>
  <c r="Q244" i="3"/>
  <c r="T593" i="3"/>
  <c r="S593" i="3"/>
  <c r="S621" i="3"/>
  <c r="V412" i="3"/>
  <c r="W412" i="3"/>
  <c r="T391" i="3"/>
  <c r="S391" i="3"/>
  <c r="S459" i="3"/>
  <c r="T459" i="3"/>
  <c r="T381" i="3"/>
  <c r="S381" i="3"/>
  <c r="V1086" i="3"/>
  <c r="W475" i="3"/>
  <c r="V475" i="3"/>
  <c r="T491" i="3"/>
  <c r="S491" i="3"/>
  <c r="S361" i="3"/>
  <c r="T361" i="3"/>
  <c r="S443" i="3"/>
  <c r="T443" i="3"/>
  <c r="S1181" i="3"/>
  <c r="V831" i="3"/>
  <c r="S613" i="3"/>
  <c r="Q176" i="3"/>
  <c r="P176" i="3"/>
  <c r="T532" i="3"/>
  <c r="S532" i="3"/>
  <c r="V469" i="3"/>
  <c r="W469" i="3"/>
  <c r="P284" i="3"/>
  <c r="Q284" i="3"/>
  <c r="W29" i="3"/>
  <c r="V147" i="3"/>
  <c r="W147" i="3"/>
  <c r="V10" i="3"/>
  <c r="V436" i="3"/>
  <c r="W436" i="3"/>
  <c r="S284" i="3"/>
  <c r="T284" i="3"/>
  <c r="V1107" i="3"/>
  <c r="P503" i="3"/>
  <c r="Q503" i="3"/>
  <c r="V222" i="3"/>
  <c r="W222" i="3"/>
  <c r="P218" i="3"/>
  <c r="Q218" i="3"/>
  <c r="S557" i="3"/>
  <c r="T557" i="3"/>
  <c r="T164" i="3"/>
  <c r="S164" i="3"/>
  <c r="Q317" i="3"/>
  <c r="P317" i="3"/>
  <c r="P461" i="3"/>
  <c r="Q461" i="3"/>
  <c r="V571" i="3"/>
  <c r="W571" i="3"/>
  <c r="V255" i="3"/>
  <c r="W255" i="3"/>
  <c r="S412" i="3"/>
  <c r="T412" i="3"/>
  <c r="T233" i="3"/>
  <c r="S233" i="3"/>
  <c r="V245" i="3"/>
  <c r="W245" i="3"/>
  <c r="P453" i="3"/>
  <c r="Q453" i="3"/>
  <c r="V248" i="3"/>
  <c r="W248" i="3"/>
  <c r="T763" i="3"/>
  <c r="T824" i="3"/>
  <c r="P592" i="3"/>
  <c r="Q592" i="3"/>
  <c r="P367" i="3"/>
  <c r="Q367" i="3"/>
  <c r="V1134" i="3"/>
  <c r="W211" i="3"/>
  <c r="V211" i="3"/>
  <c r="V1123" i="3"/>
  <c r="W304" i="3"/>
  <c r="V304" i="3"/>
  <c r="V422" i="3"/>
  <c r="W422" i="3"/>
  <c r="V378" i="3"/>
  <c r="W378" i="3"/>
  <c r="W321" i="3"/>
  <c r="V321" i="3"/>
  <c r="V463" i="3"/>
  <c r="W463" i="3"/>
  <c r="S482" i="3"/>
  <c r="T482" i="3"/>
  <c r="S564" i="3"/>
  <c r="T564" i="3"/>
  <c r="S558" i="3"/>
  <c r="T558" i="3"/>
  <c r="S196" i="3"/>
  <c r="T196" i="3"/>
  <c r="Q390" i="3"/>
  <c r="P390" i="3"/>
  <c r="V236" i="3"/>
  <c r="W236" i="3"/>
  <c r="V792" i="3"/>
  <c r="Q589" i="3"/>
  <c r="P589" i="3"/>
  <c r="P576" i="3"/>
  <c r="Q576" i="3"/>
  <c r="V497" i="3"/>
  <c r="W497" i="3"/>
  <c r="S760" i="3"/>
  <c r="S899" i="3"/>
  <c r="Q73" i="3"/>
  <c r="P73" i="3"/>
  <c r="P360" i="3"/>
  <c r="Q360" i="3"/>
  <c r="S723" i="3"/>
  <c r="Q337" i="3"/>
  <c r="P337" i="3"/>
  <c r="P141" i="3"/>
  <c r="Q141" i="3"/>
  <c r="V524" i="3"/>
  <c r="W524" i="3"/>
  <c r="S78" i="3"/>
  <c r="T78" i="3"/>
  <c r="V570" i="3"/>
  <c r="W570" i="3"/>
  <c r="S82" i="3"/>
  <c r="T82" i="3"/>
  <c r="S9" i="3"/>
  <c r="T9" i="3"/>
  <c r="S828" i="3"/>
  <c r="V1078" i="3"/>
  <c r="S1187" i="3"/>
  <c r="P368" i="3"/>
  <c r="Q368" i="3"/>
  <c r="V373" i="3"/>
  <c r="W373" i="3"/>
  <c r="S264" i="3"/>
  <c r="T264" i="3"/>
  <c r="V1147" i="3"/>
  <c r="T148" i="3"/>
  <c r="S148" i="3"/>
  <c r="V956" i="3"/>
  <c r="W13" i="3"/>
  <c r="P581" i="3"/>
  <c r="Q581" i="3"/>
  <c r="S165" i="3"/>
  <c r="T165" i="3"/>
  <c r="P245" i="3"/>
  <c r="Q245" i="3"/>
  <c r="S1147" i="3"/>
  <c r="V336" i="3"/>
  <c r="W336" i="3"/>
  <c r="S248" i="3"/>
  <c r="T248" i="3"/>
  <c r="V536" i="3"/>
  <c r="W536" i="3"/>
  <c r="P524" i="3"/>
  <c r="Q524" i="3"/>
  <c r="V67" i="3"/>
  <c r="W67" i="3"/>
  <c r="S624" i="3"/>
  <c r="T1081" i="3"/>
  <c r="T297" i="3"/>
  <c r="S297" i="3"/>
  <c r="S351" i="3"/>
  <c r="T351" i="3"/>
  <c r="P334" i="3"/>
  <c r="Q334" i="3"/>
  <c r="V308" i="3"/>
  <c r="W308" i="3"/>
  <c r="S568" i="3"/>
  <c r="T568" i="3"/>
  <c r="S127" i="3"/>
  <c r="T127" i="3"/>
  <c r="W204" i="3"/>
  <c r="V204" i="3"/>
  <c r="T904" i="3"/>
  <c r="S300" i="3"/>
  <c r="T300" i="3"/>
  <c r="V218" i="3"/>
  <c r="W218" i="3"/>
  <c r="S524" i="3"/>
  <c r="T524" i="3"/>
  <c r="V299" i="3"/>
  <c r="W299" i="3"/>
  <c r="S740" i="3"/>
  <c r="Q273" i="3"/>
  <c r="P273" i="3"/>
  <c r="S198" i="3"/>
  <c r="T198" i="3"/>
  <c r="T409" i="3"/>
  <c r="S409" i="3"/>
  <c r="P568" i="3"/>
  <c r="Q568" i="3"/>
  <c r="S690" i="3"/>
  <c r="S348" i="3"/>
  <c r="T348" i="3"/>
  <c r="V85" i="3"/>
  <c r="W85" i="3"/>
  <c r="T190" i="3"/>
  <c r="S190" i="3"/>
  <c r="S458" i="3"/>
  <c r="T458" i="3"/>
  <c r="S417" i="3"/>
  <c r="T417" i="3"/>
  <c r="W512" i="3"/>
  <c r="V512" i="3"/>
  <c r="V72" i="3"/>
  <c r="W72" i="3"/>
  <c r="S525" i="3"/>
  <c r="T525" i="3"/>
  <c r="S220" i="3"/>
  <c r="T220" i="3"/>
  <c r="Q570" i="3"/>
  <c r="P570" i="3"/>
  <c r="T555" i="3"/>
  <c r="S555" i="3"/>
  <c r="T579" i="3"/>
  <c r="S579" i="3"/>
  <c r="V910" i="3"/>
  <c r="Q19" i="3"/>
  <c r="P19" i="3"/>
  <c r="P191" i="3"/>
  <c r="Q191" i="3"/>
  <c r="V313" i="3"/>
  <c r="W313" i="3"/>
  <c r="W483" i="3"/>
  <c r="V483" i="3"/>
  <c r="T358" i="3"/>
  <c r="S358" i="3"/>
  <c r="Q250" i="3"/>
  <c r="P250" i="3"/>
  <c r="W482" i="3"/>
  <c r="V482" i="3"/>
  <c r="S439" i="3"/>
  <c r="T439" i="3"/>
  <c r="S238" i="3"/>
  <c r="T238" i="3"/>
  <c r="S427" i="3"/>
  <c r="T427" i="3"/>
  <c r="S254" i="3"/>
  <c r="T254" i="3"/>
  <c r="V990" i="3"/>
  <c r="Q329" i="3"/>
  <c r="P329" i="3"/>
  <c r="S897" i="3"/>
  <c r="V940" i="3"/>
  <c r="V1020" i="3"/>
  <c r="S356" i="3"/>
  <c r="T356" i="3"/>
  <c r="S608" i="3"/>
  <c r="V727" i="3"/>
  <c r="S855" i="3"/>
  <c r="Q107" i="3"/>
  <c r="P107" i="3"/>
  <c r="V35" i="3"/>
  <c r="Q372" i="3"/>
  <c r="P372" i="3"/>
  <c r="S504" i="3"/>
  <c r="T504" i="3"/>
  <c r="V186" i="3"/>
  <c r="W186" i="3"/>
  <c r="Q74" i="3"/>
  <c r="P74" i="3"/>
  <c r="V1126" i="3"/>
  <c r="S553" i="3"/>
  <c r="T553" i="3"/>
  <c r="S804" i="3"/>
  <c r="P584" i="3"/>
  <c r="Q584" i="3"/>
  <c r="V1083" i="3"/>
  <c r="S497" i="3"/>
  <c r="T497" i="3"/>
  <c r="P328" i="3"/>
  <c r="Q328" i="3"/>
  <c r="S682" i="3"/>
  <c r="V484" i="3"/>
  <c r="W484" i="3"/>
  <c r="S334" i="3"/>
  <c r="T334" i="3"/>
  <c r="W26" i="3"/>
  <c r="V690" i="3"/>
  <c r="P298" i="3"/>
  <c r="Q298" i="3"/>
  <c r="T151" i="3"/>
  <c r="S151" i="3"/>
  <c r="Q327" i="3"/>
  <c r="P327" i="3"/>
  <c r="S858" i="3"/>
  <c r="S692" i="3"/>
  <c r="V695" i="3"/>
  <c r="Q435" i="3"/>
  <c r="P435" i="3"/>
  <c r="T203" i="3"/>
  <c r="S203" i="3"/>
  <c r="S197" i="3"/>
  <c r="T197" i="3"/>
  <c r="T575" i="3"/>
  <c r="S575" i="3"/>
  <c r="Q397" i="3"/>
  <c r="P397" i="3"/>
  <c r="P203" i="3"/>
  <c r="Q203" i="3"/>
  <c r="V863" i="3"/>
  <c r="Q279" i="3"/>
  <c r="P279" i="3"/>
  <c r="T567" i="3"/>
  <c r="S567" i="3"/>
  <c r="V101" i="3"/>
  <c r="W101" i="3"/>
  <c r="T511" i="3"/>
  <c r="S511" i="3"/>
  <c r="P220" i="3"/>
  <c r="Q220" i="3"/>
  <c r="W295" i="3"/>
  <c r="V295" i="3"/>
  <c r="S1140" i="3"/>
  <c r="W466" i="3"/>
  <c r="V466" i="3"/>
  <c r="S577" i="3"/>
  <c r="T577" i="3"/>
  <c r="S387" i="3"/>
  <c r="T387" i="3"/>
  <c r="V217" i="3"/>
  <c r="W217" i="3"/>
  <c r="V185" i="3"/>
  <c r="W185" i="3"/>
  <c r="V15" i="3"/>
  <c r="S667" i="3"/>
  <c r="S590" i="3"/>
  <c r="T590" i="3"/>
  <c r="P304" i="3"/>
  <c r="Q304" i="3"/>
  <c r="P127" i="3"/>
  <c r="Q127" i="3"/>
  <c r="P551" i="3"/>
  <c r="Q551" i="3"/>
  <c r="P400" i="3"/>
  <c r="Q400" i="3"/>
  <c r="V415" i="3"/>
  <c r="W415" i="3"/>
  <c r="V901" i="3"/>
  <c r="T377" i="3"/>
  <c r="S377" i="3"/>
  <c r="V264" i="3"/>
  <c r="W264" i="3"/>
  <c r="V456" i="3"/>
  <c r="W456" i="3"/>
  <c r="Q55" i="3"/>
  <c r="P55" i="3"/>
  <c r="V389" i="3"/>
  <c r="W389" i="3"/>
  <c r="P346" i="3"/>
  <c r="Q346" i="3"/>
  <c r="S124" i="3"/>
  <c r="T124" i="3"/>
  <c r="V393" i="3"/>
  <c r="W393" i="3"/>
  <c r="T352" i="3"/>
  <c r="S352" i="3"/>
  <c r="V77" i="3"/>
  <c r="W77" i="3"/>
  <c r="T782" i="3"/>
  <c r="V394" i="3"/>
  <c r="W394" i="3"/>
  <c r="V319" i="3"/>
  <c r="W319" i="3"/>
  <c r="P498" i="3"/>
  <c r="Q498" i="3"/>
  <c r="S316" i="3"/>
  <c r="T316" i="3"/>
  <c r="S230" i="3"/>
  <c r="T230" i="3"/>
  <c r="W362" i="3"/>
  <c r="V362" i="3"/>
  <c r="T587" i="3"/>
  <c r="S587" i="3"/>
  <c r="T80" i="3"/>
  <c r="S80" i="3"/>
  <c r="S276" i="3"/>
  <c r="T276" i="3"/>
  <c r="T795" i="3"/>
  <c r="W522" i="3"/>
  <c r="V522" i="3"/>
  <c r="V538" i="3"/>
  <c r="W538" i="3"/>
  <c r="V278" i="3"/>
  <c r="W278" i="3"/>
  <c r="S812" i="3"/>
  <c r="P348" i="3"/>
  <c r="Q348" i="3"/>
  <c r="P143" i="3"/>
  <c r="Q143" i="3"/>
  <c r="P192" i="3"/>
  <c r="Q192" i="3"/>
  <c r="S514" i="3"/>
  <c r="T514" i="3"/>
  <c r="S22" i="3"/>
  <c r="T22" i="3"/>
  <c r="S582" i="3"/>
  <c r="T582" i="3"/>
  <c r="V955" i="3"/>
  <c r="P422" i="3"/>
  <c r="Q422" i="3"/>
  <c r="V129" i="3"/>
  <c r="W129" i="3"/>
  <c r="P234" i="3"/>
  <c r="Q234" i="3"/>
  <c r="S57" i="3"/>
  <c r="T57" i="3"/>
  <c r="S536" i="3"/>
  <c r="T536" i="3"/>
  <c r="W523" i="3"/>
  <c r="V523" i="3"/>
  <c r="Q528" i="3"/>
  <c r="P528" i="3"/>
  <c r="V756" i="3"/>
  <c r="T1191" i="3"/>
  <c r="P465" i="3"/>
  <c r="Q465" i="3"/>
  <c r="V1068" i="3"/>
  <c r="W356" i="3"/>
  <c r="V356" i="3"/>
  <c r="P83" i="3"/>
  <c r="Q83" i="3"/>
  <c r="S589" i="3"/>
  <c r="T589" i="3"/>
  <c r="S1058" i="3"/>
  <c r="S1155" i="3"/>
  <c r="S41" i="3"/>
  <c r="T41" i="3"/>
  <c r="S547" i="3"/>
  <c r="T547" i="3"/>
  <c r="W543" i="3"/>
  <c r="V543" i="3"/>
  <c r="T544" i="3"/>
  <c r="S544" i="3"/>
  <c r="S834" i="3"/>
  <c r="W545" i="3"/>
  <c r="V545" i="3"/>
  <c r="V4" i="3"/>
  <c r="V6" i="3"/>
  <c r="S705" i="3"/>
  <c r="V582" i="3"/>
  <c r="W582" i="3"/>
  <c r="T201" i="3"/>
  <c r="S201" i="3"/>
  <c r="T528" i="3"/>
  <c r="S528" i="3"/>
  <c r="T13" i="3"/>
  <c r="S13" i="3"/>
  <c r="P262" i="3"/>
  <c r="Q262" i="3"/>
  <c r="W434" i="3"/>
  <c r="V434" i="3"/>
  <c r="S570" i="3"/>
  <c r="T570" i="3"/>
  <c r="S395" i="3"/>
  <c r="T395" i="3"/>
  <c r="T1074" i="3"/>
  <c r="P404" i="3"/>
  <c r="Q404" i="3"/>
  <c r="S485" i="3"/>
  <c r="T485" i="3"/>
  <c r="W282" i="3"/>
  <c r="V282" i="3"/>
  <c r="T75" i="3"/>
  <c r="S75" i="3"/>
  <c r="S684" i="3"/>
  <c r="V1108" i="3"/>
  <c r="P109" i="3"/>
  <c r="Q109" i="3"/>
  <c r="S1114" i="3"/>
  <c r="T880" i="3"/>
  <c r="Q431" i="3"/>
  <c r="P431" i="3"/>
  <c r="T336" i="3"/>
  <c r="S336" i="3"/>
  <c r="V8" i="3"/>
  <c r="P180" i="3"/>
  <c r="Q180" i="3"/>
  <c r="P228" i="3"/>
  <c r="Q228" i="3"/>
  <c r="S1090" i="3"/>
  <c r="Q311" i="3"/>
  <c r="P311" i="3"/>
  <c r="P539" i="3"/>
  <c r="Q539" i="3"/>
  <c r="V323" i="3"/>
  <c r="W323" i="3"/>
  <c r="P183" i="3"/>
  <c r="Q183" i="3"/>
  <c r="V502" i="3"/>
  <c r="W502" i="3"/>
  <c r="S559" i="3"/>
  <c r="T559" i="3"/>
  <c r="Q379" i="3"/>
  <c r="P379" i="3"/>
  <c r="Q78" i="3"/>
  <c r="P78" i="3"/>
  <c r="V574" i="3"/>
  <c r="W574" i="3"/>
  <c r="P343" i="3"/>
  <c r="Q343" i="3"/>
  <c r="W367" i="3"/>
  <c r="V367" i="3"/>
  <c r="V423" i="3"/>
  <c r="W423" i="3"/>
  <c r="V407" i="3"/>
  <c r="W407" i="3"/>
  <c r="W519" i="3"/>
  <c r="V519" i="3"/>
  <c r="V54" i="3"/>
  <c r="W54" i="3"/>
  <c r="S508" i="3"/>
  <c r="T508" i="3"/>
  <c r="W28" i="3"/>
  <c r="T1071" i="3"/>
  <c r="V925" i="3"/>
  <c r="W22" i="3"/>
  <c r="P533" i="3"/>
  <c r="Q533" i="3"/>
  <c r="V452" i="3"/>
  <c r="W452" i="3"/>
  <c r="S1199" i="3"/>
  <c r="V1003" i="3"/>
  <c r="S420" i="3"/>
  <c r="T420" i="3"/>
  <c r="P474" i="3"/>
  <c r="Q474" i="3"/>
  <c r="W397" i="3"/>
  <c r="V397" i="3"/>
  <c r="P599" i="3"/>
  <c r="Q599" i="3"/>
  <c r="V419" i="3"/>
  <c r="W419" i="3"/>
  <c r="T545" i="3"/>
  <c r="S545" i="3"/>
  <c r="W498" i="3"/>
  <c r="V498" i="3"/>
  <c r="V1188" i="3"/>
  <c r="S397" i="3"/>
  <c r="T397" i="3"/>
  <c r="V87" i="3"/>
  <c r="W87" i="3"/>
  <c r="V100" i="3"/>
  <c r="W100" i="3"/>
  <c r="T1111" i="3"/>
  <c r="W234" i="3"/>
  <c r="V234" i="3"/>
  <c r="S236" i="3"/>
  <c r="T236" i="3"/>
  <c r="Q146" i="3"/>
  <c r="P146" i="3"/>
  <c r="V949" i="3"/>
  <c r="T317" i="3"/>
  <c r="S317" i="3"/>
  <c r="S987" i="3"/>
  <c r="V1070" i="3"/>
  <c r="P477" i="3"/>
  <c r="Q477" i="3"/>
  <c r="S243" i="3"/>
  <c r="T243" i="3"/>
  <c r="S675" i="3"/>
  <c r="T294" i="3"/>
  <c r="S294" i="3"/>
  <c r="T200" i="3"/>
  <c r="S200" i="3"/>
  <c r="S416" i="3"/>
  <c r="T416" i="3"/>
  <c r="S414" i="3"/>
  <c r="T414" i="3"/>
  <c r="S1194" i="3"/>
  <c r="P459" i="3"/>
  <c r="Q459" i="3"/>
  <c r="P47" i="3"/>
  <c r="Q47" i="3"/>
  <c r="S434" i="3"/>
  <c r="T434" i="3"/>
  <c r="V365" i="3"/>
  <c r="W365" i="3"/>
  <c r="Q325" i="3"/>
  <c r="P325" i="3"/>
  <c r="V140" i="3"/>
  <c r="W140" i="3"/>
  <c r="V803" i="3"/>
  <c r="V840" i="3"/>
  <c r="T366" i="3"/>
  <c r="S366" i="3"/>
  <c r="S401" i="3"/>
  <c r="T401" i="3"/>
  <c r="P601" i="3"/>
  <c r="Q601" i="3"/>
  <c r="W216" i="3"/>
  <c r="V216" i="3"/>
  <c r="W377" i="3"/>
  <c r="V377" i="3"/>
  <c r="S184" i="3"/>
  <c r="T184" i="3"/>
  <c r="W246" i="3"/>
  <c r="V246" i="3"/>
  <c r="S1171" i="3"/>
  <c r="S146" i="3"/>
  <c r="T146" i="3"/>
  <c r="V933" i="3"/>
  <c r="Q68" i="3"/>
  <c r="P68" i="3"/>
  <c r="P478" i="3"/>
  <c r="Q478" i="3"/>
  <c r="S88" i="3"/>
  <c r="T88" i="3"/>
  <c r="V27" i="3"/>
  <c r="Q450" i="3"/>
  <c r="P450" i="3"/>
  <c r="S1018" i="3"/>
  <c r="P511" i="3"/>
  <c r="Q511" i="3"/>
  <c r="S810" i="3"/>
  <c r="T132" i="3"/>
  <c r="S132" i="3"/>
  <c r="V768" i="3"/>
  <c r="V150" i="3"/>
  <c r="W150" i="3"/>
  <c r="Q366" i="3"/>
  <c r="P366" i="3"/>
  <c r="Q125" i="3"/>
  <c r="P125" i="3"/>
  <c r="Q195" i="3"/>
  <c r="P195" i="3"/>
  <c r="Q79" i="3"/>
  <c r="P79" i="3"/>
  <c r="P243" i="3"/>
  <c r="Q243" i="3"/>
  <c r="S540" i="3"/>
  <c r="T540" i="3"/>
  <c r="V202" i="3"/>
  <c r="W202" i="3"/>
  <c r="S99" i="3"/>
  <c r="T99" i="3"/>
  <c r="T210" i="3"/>
  <c r="S210" i="3"/>
  <c r="T299" i="3"/>
  <c r="S299" i="3"/>
  <c r="S788" i="3"/>
  <c r="P394" i="3"/>
  <c r="Q394" i="3"/>
  <c r="V931" i="3"/>
  <c r="P547" i="3"/>
  <c r="Q547" i="3"/>
  <c r="V84" i="3"/>
  <c r="W84" i="3"/>
  <c r="S287" i="3"/>
  <c r="T287" i="3"/>
  <c r="Q86" i="3"/>
  <c r="P86" i="3"/>
  <c r="S400" i="3"/>
  <c r="T400" i="3"/>
  <c r="T597" i="3"/>
  <c r="S597" i="3"/>
  <c r="Q492" i="3"/>
  <c r="P492" i="3"/>
  <c r="W518" i="3"/>
  <c r="V518" i="3"/>
  <c r="V435" i="3"/>
  <c r="W435" i="3"/>
  <c r="S817" i="3"/>
  <c r="P448" i="3"/>
  <c r="Q448" i="3"/>
  <c r="V934" i="3"/>
  <c r="W363" i="3"/>
  <c r="V363" i="3"/>
  <c r="P579" i="3"/>
  <c r="Q579" i="3"/>
  <c r="S221" i="3"/>
  <c r="T221" i="3"/>
  <c r="T289" i="3"/>
  <c r="S289" i="3"/>
  <c r="V238" i="3"/>
  <c r="W238" i="3"/>
  <c r="S364" i="3"/>
  <c r="T364" i="3"/>
  <c r="V230" i="3"/>
  <c r="W230" i="3"/>
  <c r="W14" i="3"/>
  <c r="P516" i="3"/>
  <c r="Q516" i="3"/>
  <c r="S305" i="3"/>
  <c r="T305" i="3"/>
  <c r="V207" i="3"/>
  <c r="W207" i="3"/>
  <c r="T418" i="3"/>
  <c r="S418" i="3"/>
  <c r="Q526" i="3"/>
  <c r="P526" i="3"/>
  <c r="V348" i="3"/>
  <c r="W348" i="3"/>
  <c r="V256" i="3"/>
  <c r="W256" i="3"/>
  <c r="V917" i="3"/>
  <c r="S796" i="3"/>
  <c r="Q471" i="3"/>
  <c r="P471" i="3"/>
  <c r="W32" i="3"/>
  <c r="S350" i="3"/>
  <c r="T350" i="3"/>
  <c r="V163" i="3"/>
  <c r="W163" i="3"/>
  <c r="V309" i="3"/>
  <c r="W309" i="3"/>
  <c r="T440" i="3"/>
  <c r="S440" i="3"/>
  <c r="S461" i="3"/>
  <c r="T461" i="3"/>
  <c r="P373" i="3"/>
  <c r="Q373" i="3"/>
  <c r="P164" i="3"/>
  <c r="Q164" i="3"/>
  <c r="V39" i="3"/>
  <c r="P259" i="3"/>
  <c r="Q259" i="3"/>
  <c r="P144" i="3"/>
  <c r="Q144" i="3"/>
  <c r="S995" i="3"/>
  <c r="W193" i="3"/>
  <c r="V193" i="3"/>
  <c r="W409" i="3"/>
  <c r="V409" i="3"/>
  <c r="V1059" i="3"/>
  <c r="V56" i="3"/>
  <c r="W56" i="3"/>
  <c r="Q72" i="3"/>
  <c r="P72" i="3"/>
  <c r="W444" i="3"/>
  <c r="V444" i="3"/>
  <c r="T339" i="3"/>
  <c r="S339" i="3"/>
  <c r="P184" i="3"/>
  <c r="Q184" i="3"/>
  <c r="S388" i="3"/>
  <c r="T388" i="3"/>
  <c r="V1038" i="3"/>
  <c r="S167" i="3"/>
  <c r="T167" i="3"/>
  <c r="T33" i="3"/>
  <c r="S33" i="3"/>
  <c r="V174" i="3"/>
  <c r="W174" i="3"/>
  <c r="S270" i="3"/>
  <c r="T270" i="3"/>
  <c r="V584" i="3"/>
  <c r="W584" i="3"/>
  <c r="P536" i="3"/>
  <c r="Q536" i="3"/>
  <c r="P494" i="3"/>
  <c r="Q494" i="3"/>
  <c r="P457" i="3"/>
  <c r="Q457" i="3"/>
  <c r="V1040" i="3"/>
  <c r="T618" i="3"/>
  <c r="T1028" i="3"/>
  <c r="V159" i="3"/>
  <c r="W159" i="3"/>
  <c r="T1181" i="3"/>
  <c r="V981" i="3"/>
  <c r="S1179" i="3"/>
  <c r="T811" i="3"/>
  <c r="P299" i="3"/>
  <c r="Q299" i="3"/>
  <c r="S445" i="3"/>
  <c r="T445" i="3"/>
  <c r="T1114" i="3"/>
  <c r="Q280" i="3"/>
  <c r="P280" i="3"/>
  <c r="W152" i="3"/>
  <c r="V152" i="3"/>
  <c r="S551" i="3"/>
  <c r="T551" i="3"/>
  <c r="S618" i="3"/>
  <c r="P403" i="3"/>
  <c r="Q403" i="3"/>
  <c r="W572" i="3"/>
  <c r="V572" i="3"/>
  <c r="Q208" i="3"/>
  <c r="P208" i="3"/>
  <c r="V493" i="3"/>
  <c r="W493" i="3"/>
  <c r="S110" i="3"/>
  <c r="T110" i="3"/>
  <c r="V557" i="3"/>
  <c r="W557" i="3"/>
  <c r="P462" i="3"/>
  <c r="Q462" i="3"/>
  <c r="Q229" i="3"/>
  <c r="P229" i="3"/>
  <c r="S739" i="3"/>
  <c r="P307" i="3"/>
  <c r="Q307" i="3"/>
  <c r="Q464" i="3"/>
  <c r="P464" i="3"/>
  <c r="T188" i="3"/>
  <c r="S188" i="3"/>
  <c r="W104" i="3"/>
  <c r="V104" i="3"/>
  <c r="S83" i="3"/>
  <c r="T83" i="3"/>
  <c r="P33" i="3"/>
  <c r="Q33" i="3"/>
  <c r="W254" i="3"/>
  <c r="V254" i="3"/>
  <c r="W224" i="3"/>
  <c r="V224" i="3"/>
  <c r="W564" i="3"/>
  <c r="V564" i="3"/>
  <c r="S341" i="3"/>
  <c r="T341" i="3"/>
  <c r="W386" i="3"/>
  <c r="V386" i="3"/>
  <c r="T266" i="3"/>
  <c r="S266" i="3"/>
  <c r="P199" i="3"/>
  <c r="Q199" i="3"/>
  <c r="T598" i="3"/>
  <c r="S598" i="3"/>
  <c r="V1167" i="3"/>
  <c r="V149" i="3"/>
  <c r="W149" i="3"/>
  <c r="T494" i="3"/>
  <c r="S494" i="3"/>
  <c r="T173" i="3"/>
  <c r="S173" i="3"/>
  <c r="V197" i="3"/>
  <c r="W197" i="3"/>
  <c r="Q402" i="3"/>
  <c r="P402" i="3"/>
  <c r="V455" i="3"/>
  <c r="W455" i="3"/>
  <c r="S656" i="3"/>
  <c r="Q558" i="3"/>
  <c r="P558" i="3"/>
  <c r="P591" i="3"/>
  <c r="Q591" i="3"/>
  <c r="S483" i="3"/>
  <c r="T483" i="3"/>
  <c r="P155" i="3"/>
  <c r="Q155" i="3"/>
  <c r="Q567" i="3"/>
  <c r="P567" i="3"/>
  <c r="S1082" i="3"/>
  <c r="S306" i="3"/>
  <c r="T306" i="3"/>
  <c r="S599" i="3"/>
  <c r="T599" i="3"/>
  <c r="P418" i="3"/>
  <c r="Q418" i="3"/>
  <c r="T249" i="3"/>
  <c r="S249" i="3"/>
  <c r="W332" i="3"/>
  <c r="V332" i="3"/>
  <c r="S591" i="3"/>
  <c r="T591" i="3"/>
  <c r="P415" i="3"/>
  <c r="Q415" i="3"/>
  <c r="V292" i="3"/>
  <c r="W292" i="3"/>
  <c r="V592" i="3"/>
  <c r="W592" i="3"/>
  <c r="Q263" i="3"/>
  <c r="P263" i="3"/>
  <c r="Q569" i="3"/>
  <c r="P569" i="3"/>
  <c r="V1183" i="3"/>
  <c r="Q447" i="3"/>
  <c r="P447" i="3"/>
  <c r="T429" i="3"/>
  <c r="S429" i="3"/>
  <c r="Q406" i="3"/>
  <c r="P406" i="3"/>
  <c r="V450" i="3"/>
  <c r="W450" i="3"/>
  <c r="V507" i="3"/>
  <c r="W507" i="3"/>
  <c r="W160" i="3"/>
  <c r="V160" i="3"/>
  <c r="P520" i="3"/>
  <c r="Q520" i="3"/>
  <c r="P436" i="3"/>
  <c r="Q436" i="3"/>
  <c r="Q324" i="3"/>
  <c r="P324" i="3"/>
  <c r="V1046" i="3"/>
  <c r="W478" i="3"/>
  <c r="V478" i="3"/>
  <c r="S81" i="3"/>
  <c r="T81" i="3"/>
  <c r="Q308" i="3"/>
  <c r="P308" i="3"/>
  <c r="Q314" i="3"/>
  <c r="P314" i="3"/>
  <c r="V16" i="3"/>
  <c r="S465" i="3"/>
  <c r="T465" i="3"/>
  <c r="P484" i="3"/>
  <c r="Q484" i="3"/>
  <c r="V324" i="3"/>
  <c r="W324" i="3"/>
  <c r="T522" i="3"/>
  <c r="S522" i="3"/>
  <c r="Q565" i="3"/>
  <c r="P565" i="3"/>
  <c r="W447" i="3"/>
  <c r="V447" i="3"/>
  <c r="Q305" i="3"/>
  <c r="P305" i="3"/>
  <c r="V261" i="3"/>
  <c r="W261" i="3"/>
  <c r="S279" i="3"/>
  <c r="T279" i="3"/>
  <c r="V894" i="3"/>
  <c r="S516" i="3"/>
  <c r="T516" i="3"/>
  <c r="S507" i="3"/>
  <c r="T507" i="3"/>
  <c r="T8" i="3"/>
  <c r="S8" i="3"/>
  <c r="T87" i="3"/>
  <c r="S87" i="3"/>
  <c r="T212" i="3"/>
  <c r="S212" i="3"/>
  <c r="P215" i="3"/>
  <c r="Q215" i="3"/>
  <c r="P319" i="3"/>
  <c r="Q319" i="3"/>
  <c r="V277" i="3"/>
  <c r="W277" i="3"/>
  <c r="S763" i="3"/>
  <c r="S17" i="3"/>
  <c r="T17" i="3"/>
  <c r="V1094" i="3"/>
  <c r="T330" i="3"/>
  <c r="S330" i="3"/>
  <c r="S637" i="3"/>
  <c r="P578" i="3"/>
  <c r="Q578" i="3"/>
  <c r="P419" i="3"/>
  <c r="Q419" i="3"/>
  <c r="V188" i="3"/>
  <c r="W188" i="3"/>
  <c r="V106" i="3"/>
  <c r="W106" i="3"/>
  <c r="P543" i="3"/>
  <c r="Q543" i="3"/>
  <c r="T484" i="3"/>
  <c r="S484" i="3"/>
  <c r="S126" i="3"/>
  <c r="T126" i="3"/>
  <c r="V1051" i="3"/>
  <c r="V169" i="3"/>
  <c r="W169" i="3"/>
  <c r="S280" i="3"/>
  <c r="T280" i="3"/>
  <c r="P205" i="3"/>
  <c r="Q205" i="3"/>
  <c r="V274" i="3"/>
  <c r="W274" i="3"/>
  <c r="V1057" i="3"/>
  <c r="S79" i="3"/>
  <c r="T79" i="3"/>
  <c r="T1152" i="3"/>
  <c r="T1089" i="3"/>
  <c r="V859" i="3"/>
  <c r="P159" i="3"/>
  <c r="Q159" i="3"/>
  <c r="V842" i="3"/>
  <c r="S617" i="3"/>
  <c r="S419" i="3"/>
  <c r="T419" i="3"/>
  <c r="V205" i="3"/>
  <c r="W205" i="3"/>
  <c r="S403" i="3"/>
  <c r="T403" i="3"/>
  <c r="T52" i="3"/>
  <c r="S52" i="3"/>
  <c r="V749" i="3"/>
  <c r="P175" i="3"/>
  <c r="Q175" i="3"/>
  <c r="T566" i="3"/>
  <c r="S566" i="3"/>
  <c r="V18" i="3"/>
  <c r="P595" i="3"/>
  <c r="Q595" i="3"/>
  <c r="V420" i="3"/>
  <c r="W420" i="3"/>
  <c r="V425" i="3"/>
  <c r="W425" i="3"/>
  <c r="S733" i="3"/>
  <c r="V380" i="3"/>
  <c r="W380" i="3"/>
  <c r="S346" i="3"/>
  <c r="T346" i="3"/>
  <c r="V751" i="3"/>
  <c r="V124" i="3"/>
  <c r="W124" i="3"/>
  <c r="P257" i="3"/>
  <c r="Q257" i="3"/>
  <c r="S183" i="3"/>
  <c r="T183" i="3"/>
  <c r="V303" i="3"/>
  <c r="W303" i="3"/>
  <c r="T839" i="3"/>
  <c r="W51" i="3"/>
  <c r="V51" i="3"/>
  <c r="Q102" i="3"/>
  <c r="P102" i="3"/>
  <c r="T215" i="3"/>
  <c r="S215" i="3"/>
  <c r="V1199" i="3"/>
  <c r="Q320" i="3"/>
  <c r="P320" i="3"/>
  <c r="P429" i="3"/>
  <c r="Q429" i="3"/>
  <c r="S780" i="3"/>
  <c r="T748" i="3"/>
  <c r="V839" i="3"/>
  <c r="P238" i="3"/>
  <c r="Q238" i="3"/>
  <c r="V1005" i="3"/>
  <c r="V418" i="3"/>
  <c r="W418" i="3"/>
  <c r="S258" i="3"/>
  <c r="T258" i="3"/>
  <c r="T527" i="3"/>
  <c r="S527" i="3"/>
  <c r="W148" i="3"/>
  <c r="V148" i="3"/>
  <c r="Q261" i="3"/>
  <c r="P261" i="3"/>
  <c r="W358" i="3"/>
  <c r="V358" i="3"/>
  <c r="S1205" i="3"/>
  <c r="V330" i="3"/>
  <c r="W330" i="3"/>
  <c r="V388" i="3"/>
  <c r="W388" i="3"/>
  <c r="S365" i="3"/>
  <c r="T365" i="3"/>
  <c r="W235" i="3"/>
  <c r="V235" i="3"/>
  <c r="V989" i="3"/>
  <c r="P212" i="3"/>
  <c r="Q212" i="3"/>
  <c r="P401" i="3"/>
  <c r="Q401" i="3"/>
  <c r="V461" i="3"/>
  <c r="W461" i="3"/>
  <c r="V213" i="3"/>
  <c r="W213" i="3"/>
  <c r="W170" i="3"/>
  <c r="V170" i="3"/>
  <c r="S122" i="3"/>
  <c r="T122" i="3"/>
  <c r="V400" i="3"/>
  <c r="W400" i="3"/>
  <c r="P514" i="3"/>
  <c r="Q514" i="3"/>
  <c r="Q491" i="3"/>
  <c r="P491" i="3"/>
  <c r="Q562" i="3"/>
  <c r="P562" i="3"/>
  <c r="S1136" i="3"/>
  <c r="Q358" i="3"/>
  <c r="P358" i="3"/>
  <c r="W181" i="3"/>
  <c r="V181" i="3"/>
  <c r="S205" i="3"/>
  <c r="T205" i="3"/>
  <c r="V126" i="3"/>
  <c r="W126" i="3"/>
  <c r="S802" i="3"/>
  <c r="W454" i="3"/>
  <c r="V454" i="3"/>
  <c r="P153" i="3"/>
  <c r="Q153" i="3"/>
  <c r="P332" i="3"/>
  <c r="Q332" i="3"/>
  <c r="W122" i="3"/>
  <c r="V122" i="3"/>
  <c r="S355" i="3"/>
  <c r="T355" i="3"/>
  <c r="V366" i="3"/>
  <c r="W366" i="3"/>
  <c r="S315" i="3"/>
  <c r="T315" i="3"/>
  <c r="S857" i="3"/>
  <c r="T319" i="3"/>
  <c r="S319" i="3"/>
  <c r="V866" i="3"/>
  <c r="T383" i="3"/>
  <c r="S383" i="3"/>
  <c r="W384" i="3"/>
  <c r="V384" i="3"/>
  <c r="Q571" i="3"/>
  <c r="P571" i="3"/>
  <c r="Q148" i="3"/>
  <c r="P148" i="3"/>
  <c r="T237" i="3"/>
  <c r="S237" i="3"/>
  <c r="W141" i="3"/>
  <c r="V141" i="3"/>
  <c r="T823" i="3"/>
  <c r="P81" i="3"/>
  <c r="Q81" i="3"/>
  <c r="T159" i="3"/>
  <c r="S159" i="3"/>
  <c r="V1163" i="3"/>
  <c r="S1023" i="3"/>
  <c r="Q5" i="3"/>
  <c r="P5" i="3"/>
  <c r="V811" i="3"/>
  <c r="V919" i="3"/>
  <c r="W20" i="3"/>
  <c r="S827" i="3"/>
  <c r="T1016" i="3"/>
  <c r="V644" i="3"/>
  <c r="S963" i="3"/>
  <c r="V1065" i="3"/>
  <c r="Q330" i="3"/>
  <c r="P330" i="3"/>
  <c r="V1103" i="3"/>
  <c r="T626" i="3"/>
  <c r="T362" i="3"/>
  <c r="S362" i="3"/>
  <c r="S1039" i="3"/>
  <c r="V763" i="3"/>
  <c r="T229" i="3"/>
  <c r="S229" i="3"/>
  <c r="V922" i="3"/>
  <c r="S90" i="3"/>
  <c r="T90" i="3"/>
  <c r="S1032" i="3"/>
  <c r="S813" i="3"/>
  <c r="S1088" i="3"/>
  <c r="Q350" i="3"/>
  <c r="P350" i="3"/>
  <c r="V540" i="3"/>
  <c r="W540" i="3"/>
  <c r="V1145" i="3"/>
  <c r="V1195" i="3"/>
  <c r="S879" i="3"/>
  <c r="W180" i="3"/>
  <c r="V180" i="3"/>
  <c r="V1173" i="3"/>
  <c r="S1080" i="3"/>
  <c r="S480" i="3"/>
  <c r="T480" i="3"/>
  <c r="V715" i="3"/>
  <c r="V1185" i="3"/>
  <c r="T1154" i="3"/>
  <c r="V961" i="3"/>
  <c r="S997" i="3"/>
  <c r="S866" i="3"/>
  <c r="V1106" i="3"/>
  <c r="V655" i="3"/>
  <c r="S750" i="3"/>
  <c r="S844" i="3"/>
  <c r="P204" i="3"/>
  <c r="Q204" i="3"/>
  <c r="T1079" i="3"/>
  <c r="V1025" i="3"/>
  <c r="S209" i="3"/>
  <c r="T209" i="3"/>
  <c r="V1130" i="3"/>
  <c r="V1122" i="3"/>
  <c r="V765" i="3"/>
  <c r="S753" i="3"/>
  <c r="V938" i="3"/>
  <c r="V950" i="3"/>
  <c r="S959" i="3"/>
  <c r="W799" i="3"/>
  <c r="V864" i="3"/>
  <c r="S72" i="3"/>
  <c r="T72" i="3"/>
  <c r="W231" i="3"/>
  <c r="V231" i="3"/>
  <c r="T240" i="3"/>
  <c r="S240" i="3"/>
  <c r="V979" i="3"/>
  <c r="S571" i="3"/>
  <c r="T571" i="3"/>
  <c r="S945" i="3"/>
  <c r="S189" i="3"/>
  <c r="T189" i="3"/>
  <c r="S1206" i="3"/>
  <c r="V942" i="3"/>
  <c r="S631" i="3"/>
  <c r="T970" i="3"/>
  <c r="V1193" i="3"/>
  <c r="V142" i="3"/>
  <c r="W142" i="3"/>
  <c r="V1169" i="3"/>
  <c r="S1104" i="3"/>
  <c r="S799" i="3"/>
  <c r="V986" i="3"/>
  <c r="T1185" i="3"/>
  <c r="S1174" i="3"/>
  <c r="P341" i="3"/>
  <c r="Q341" i="3"/>
  <c r="V847" i="3"/>
  <c r="S628" i="3"/>
  <c r="S1142" i="3"/>
  <c r="V1113" i="3"/>
  <c r="S896" i="3"/>
  <c r="S729" i="3"/>
  <c r="W225" i="3"/>
  <c r="V225" i="3"/>
  <c r="V882" i="3"/>
  <c r="V69" i="3"/>
  <c r="W69" i="3"/>
  <c r="S1131" i="3"/>
  <c r="P170" i="3"/>
  <c r="Q170" i="3"/>
  <c r="S1091" i="3"/>
  <c r="S1186" i="3"/>
  <c r="T1042" i="3"/>
  <c r="V771" i="3"/>
  <c r="V1136" i="3"/>
  <c r="S839" i="3"/>
  <c r="T65" i="3"/>
  <c r="S65" i="3"/>
  <c r="V608" i="3"/>
  <c r="S234" i="3"/>
  <c r="T234" i="3"/>
  <c r="P98" i="3"/>
  <c r="Q98" i="3"/>
  <c r="V1029" i="3"/>
  <c r="V748" i="3"/>
  <c r="T1096" i="3"/>
  <c r="V250" i="3"/>
  <c r="W250" i="3"/>
  <c r="V924" i="3"/>
  <c r="S308" i="3"/>
  <c r="T308" i="3"/>
  <c r="V1066" i="3"/>
  <c r="S1012" i="3"/>
  <c r="S1089" i="3"/>
  <c r="V833" i="3"/>
  <c r="V199" i="3"/>
  <c r="W199" i="3"/>
  <c r="V187" i="3"/>
  <c r="W187" i="3"/>
  <c r="P13" i="3"/>
  <c r="Q13" i="3"/>
  <c r="S1201" i="3"/>
  <c r="V758" i="3"/>
  <c r="T1155" i="3"/>
  <c r="P76" i="3"/>
  <c r="Q76" i="3"/>
  <c r="S932" i="3"/>
  <c r="T964" i="3"/>
  <c r="V778" i="3"/>
  <c r="V835" i="3"/>
  <c r="S916" i="3"/>
  <c r="V657" i="3"/>
  <c r="V846" i="3"/>
  <c r="W37" i="3"/>
  <c r="S745" i="3"/>
  <c r="S176" i="3"/>
  <c r="T176" i="3"/>
  <c r="V194" i="3"/>
  <c r="W194" i="3"/>
  <c r="Q513" i="3"/>
  <c r="P513" i="3"/>
  <c r="V871" i="3"/>
  <c r="T398" i="3"/>
  <c r="S398" i="3"/>
  <c r="V977" i="3"/>
  <c r="V1049" i="3"/>
  <c r="T842" i="3"/>
  <c r="S1204" i="3"/>
  <c r="Q116" i="3"/>
  <c r="P116" i="3"/>
  <c r="S611" i="3"/>
  <c r="T1189" i="3"/>
  <c r="T889" i="3"/>
  <c r="S101" i="3"/>
  <c r="T101" i="3"/>
  <c r="S701" i="3"/>
  <c r="S1118" i="3"/>
  <c r="V1081" i="3"/>
  <c r="P411" i="3"/>
  <c r="Q411" i="3"/>
  <c r="Q188" i="3"/>
  <c r="P188" i="3"/>
  <c r="V1144" i="3"/>
  <c r="V1073" i="3"/>
  <c r="S915" i="3"/>
  <c r="V704" i="3"/>
  <c r="V78" i="3"/>
  <c r="W78" i="3"/>
  <c r="S1166" i="3"/>
  <c r="W38" i="3"/>
  <c r="V1129" i="3"/>
  <c r="S674" i="3"/>
  <c r="T1073" i="3"/>
  <c r="V383" i="3"/>
  <c r="W383" i="3"/>
  <c r="Q434" i="3"/>
  <c r="P434" i="3"/>
  <c r="S1119" i="3"/>
  <c r="S1065" i="3"/>
  <c r="S833" i="3"/>
  <c r="S962" i="3"/>
  <c r="S1160" i="3"/>
  <c r="S976" i="3"/>
  <c r="Q93" i="3"/>
  <c r="P93" i="3"/>
  <c r="V896" i="3"/>
  <c r="V787" i="3"/>
  <c r="T1040" i="3"/>
  <c r="Q247" i="3"/>
  <c r="P247" i="3"/>
  <c r="S900" i="3"/>
  <c r="T793" i="3"/>
  <c r="V915" i="3"/>
  <c r="S998" i="3"/>
  <c r="S952" i="3"/>
  <c r="T23" i="3"/>
  <c r="S23" i="3"/>
  <c r="V953" i="3"/>
  <c r="S177" i="3"/>
  <c r="T177" i="3"/>
  <c r="S27" i="3"/>
  <c r="T27" i="3"/>
  <c r="S48" i="3"/>
  <c r="T48" i="3"/>
  <c r="P111" i="3"/>
  <c r="Q111" i="3"/>
  <c r="V951" i="3"/>
  <c r="T1082" i="3"/>
  <c r="S848" i="3"/>
  <c r="T1020" i="3"/>
  <c r="T941" i="3"/>
  <c r="T1004" i="3"/>
  <c r="S444" i="3"/>
  <c r="T444" i="3"/>
  <c r="S874" i="3"/>
  <c r="W259" i="3"/>
  <c r="V259" i="3"/>
  <c r="V307" i="3"/>
  <c r="W307" i="3"/>
  <c r="S1153" i="3"/>
  <c r="V743" i="3"/>
  <c r="V795" i="3"/>
  <c r="P335" i="3"/>
  <c r="Q335" i="3"/>
  <c r="V691" i="3"/>
  <c r="V1041" i="3"/>
  <c r="V112" i="3"/>
  <c r="W112" i="3"/>
  <c r="S1081" i="3"/>
  <c r="S736" i="3"/>
  <c r="V1171" i="3"/>
  <c r="V694" i="3"/>
  <c r="T928" i="3"/>
  <c r="T869" i="3"/>
  <c r="S1025" i="3"/>
  <c r="S94" i="3"/>
  <c r="T94" i="3"/>
  <c r="Q14" i="3"/>
  <c r="P14" i="3"/>
  <c r="S920" i="3"/>
  <c r="S103" i="3"/>
  <c r="T103" i="3"/>
  <c r="S875" i="3"/>
  <c r="V808" i="3"/>
  <c r="T156" i="3"/>
  <c r="S156" i="3"/>
  <c r="V984" i="3"/>
  <c r="V818" i="3"/>
  <c r="S622" i="3"/>
  <c r="S1145" i="3"/>
  <c r="S1044" i="3"/>
  <c r="V1098" i="3"/>
  <c r="S892" i="3"/>
  <c r="V764" i="3"/>
  <c r="V1205" i="3"/>
  <c r="T1087" i="3"/>
  <c r="S1030" i="3"/>
  <c r="T943" i="3"/>
  <c r="T871" i="3"/>
  <c r="T733" i="3"/>
  <c r="T632" i="3"/>
  <c r="S1013" i="3"/>
  <c r="T1050" i="3"/>
  <c r="W747" i="3"/>
  <c r="P64" i="3"/>
  <c r="Q64" i="3"/>
  <c r="T813" i="3"/>
  <c r="T1150" i="3"/>
  <c r="W625" i="3"/>
  <c r="W819" i="3"/>
  <c r="W753" i="3"/>
  <c r="S712" i="3"/>
  <c r="S109" i="3"/>
  <c r="T109" i="3"/>
  <c r="S741" i="3"/>
  <c r="S134" i="3"/>
  <c r="T134" i="3"/>
  <c r="V821" i="3"/>
  <c r="V656" i="3"/>
  <c r="S981" i="3"/>
  <c r="S761" i="3"/>
  <c r="T918" i="3"/>
  <c r="W711" i="3"/>
  <c r="T704" i="3"/>
  <c r="W1073" i="3"/>
  <c r="V1177" i="3"/>
  <c r="S519" i="3"/>
  <c r="T519" i="3"/>
  <c r="Q24" i="3"/>
  <c r="P24" i="3"/>
  <c r="S975" i="3"/>
  <c r="V1061" i="3"/>
  <c r="S958" i="3"/>
  <c r="S671" i="3"/>
  <c r="W79" i="3"/>
  <c r="V79" i="3"/>
  <c r="T765" i="3"/>
  <c r="S807" i="3"/>
  <c r="P101" i="3"/>
  <c r="Q101" i="3"/>
  <c r="T954" i="3"/>
  <c r="T96" i="3"/>
  <c r="S96" i="3"/>
  <c r="S1017" i="3"/>
  <c r="S906" i="3"/>
  <c r="V738" i="3"/>
  <c r="V1120" i="3"/>
  <c r="V752" i="3"/>
  <c r="S868" i="3"/>
  <c r="S1019" i="3"/>
  <c r="W30" i="3"/>
  <c r="S1141" i="3"/>
  <c r="S1022" i="3"/>
  <c r="S1049" i="3"/>
  <c r="P449" i="3"/>
  <c r="Q449" i="3"/>
  <c r="Q548" i="3"/>
  <c r="P548" i="3"/>
  <c r="V1018" i="3"/>
  <c r="P217" i="3"/>
  <c r="Q217" i="3"/>
  <c r="W131" i="3"/>
  <c r="V131" i="3"/>
  <c r="V720" i="3"/>
  <c r="S133" i="3"/>
  <c r="T133" i="3"/>
  <c r="V46" i="3"/>
  <c r="W46" i="3"/>
  <c r="V927" i="3"/>
  <c r="P10" i="3"/>
  <c r="Q10" i="3"/>
  <c r="S819" i="3"/>
  <c r="Q85" i="3"/>
  <c r="P85" i="3"/>
  <c r="S1000" i="3"/>
  <c r="V1042" i="3"/>
  <c r="Q187" i="3"/>
  <c r="P187" i="3"/>
  <c r="V962" i="3"/>
  <c r="V1030" i="3"/>
  <c r="S455" i="3"/>
  <c r="T455" i="3"/>
  <c r="S1079" i="3"/>
  <c r="T247" i="3"/>
  <c r="S247" i="3"/>
  <c r="S838" i="3"/>
  <c r="S898" i="3"/>
  <c r="S888" i="3"/>
  <c r="V329" i="3"/>
  <c r="W329" i="3"/>
  <c r="P66" i="3"/>
  <c r="Q66" i="3"/>
  <c r="V853" i="3"/>
  <c r="P95" i="3"/>
  <c r="Q95" i="3"/>
  <c r="S1078" i="3"/>
  <c r="V676" i="3"/>
  <c r="S968" i="3"/>
  <c r="S873" i="3"/>
  <c r="S50" i="3"/>
  <c r="T50" i="3"/>
  <c r="W96" i="3"/>
  <c r="V96" i="3"/>
  <c r="S679" i="3"/>
  <c r="S695" i="3"/>
  <c r="V116" i="3"/>
  <c r="W116" i="3"/>
  <c r="V1175" i="3"/>
  <c r="T1088" i="3"/>
  <c r="S687" i="3"/>
  <c r="T1094" i="3"/>
  <c r="V892" i="3"/>
  <c r="S1126" i="3"/>
  <c r="S950" i="3"/>
  <c r="S801" i="3"/>
  <c r="S798" i="3"/>
  <c r="S492" i="3"/>
  <c r="T492" i="3"/>
  <c r="V1092" i="3"/>
  <c r="S569" i="3"/>
  <c r="T569" i="3"/>
  <c r="S1040" i="3"/>
  <c r="P437" i="3"/>
  <c r="Q437" i="3"/>
  <c r="Q318" i="3"/>
  <c r="P318" i="3"/>
  <c r="P75" i="3"/>
  <c r="Q75" i="3"/>
  <c r="S925" i="3"/>
  <c r="T939" i="3"/>
  <c r="S831" i="3"/>
  <c r="V698" i="3"/>
  <c r="S67" i="3"/>
  <c r="T67" i="3"/>
  <c r="S698" i="3"/>
  <c r="W12" i="3"/>
  <c r="S969" i="3"/>
  <c r="P376" i="3"/>
  <c r="Q376" i="3"/>
  <c r="S980" i="3"/>
  <c r="V903" i="3"/>
  <c r="V103" i="3"/>
  <c r="W103" i="3"/>
  <c r="T1143" i="3"/>
  <c r="W287" i="3"/>
  <c r="V287" i="3"/>
  <c r="V968" i="3"/>
  <c r="S1097" i="3"/>
  <c r="S852" i="3"/>
  <c r="S708" i="3"/>
  <c r="V880" i="3"/>
  <c r="W21" i="3"/>
  <c r="V897" i="3"/>
  <c r="W424" i="3"/>
  <c r="V424" i="3"/>
  <c r="S779" i="3"/>
  <c r="V1008" i="3"/>
  <c r="S960" i="3"/>
  <c r="S1134" i="3"/>
  <c r="V421" i="3"/>
  <c r="W421" i="3"/>
  <c r="T1164" i="3"/>
  <c r="P236" i="3"/>
  <c r="Q236" i="3"/>
  <c r="T1064" i="3"/>
  <c r="Q393" i="3"/>
  <c r="P393" i="3"/>
  <c r="P213" i="3"/>
  <c r="Q213" i="3"/>
  <c r="Q77" i="3"/>
  <c r="P77" i="3"/>
  <c r="V1204" i="3"/>
  <c r="V711" i="3"/>
  <c r="S820" i="3"/>
  <c r="Q231" i="3"/>
  <c r="P231" i="3"/>
  <c r="V639" i="3"/>
  <c r="S371" i="3"/>
  <c r="T371" i="3"/>
  <c r="S1038" i="3"/>
  <c r="V675" i="3"/>
  <c r="V1002" i="3"/>
  <c r="V801" i="3"/>
  <c r="W17" i="3"/>
  <c r="V718" i="3"/>
  <c r="T875" i="3"/>
  <c r="T1107" i="3"/>
  <c r="S612" i="3"/>
  <c r="V1023" i="3"/>
  <c r="V612" i="3"/>
  <c r="S91" i="3"/>
  <c r="T91" i="3"/>
  <c r="T1140" i="3"/>
  <c r="V794" i="3"/>
  <c r="V969" i="3"/>
  <c r="S727" i="3"/>
  <c r="T1057" i="3"/>
  <c r="S756" i="3"/>
  <c r="S411" i="3"/>
  <c r="T411" i="3"/>
  <c r="S415" i="3"/>
  <c r="T415" i="3"/>
  <c r="Q309" i="3"/>
  <c r="P309" i="3"/>
  <c r="V857" i="3"/>
  <c r="P268" i="3"/>
  <c r="Q268" i="3"/>
  <c r="V754" i="3"/>
  <c r="V291" i="3"/>
  <c r="W291" i="3"/>
  <c r="S885" i="3"/>
  <c r="V913" i="3"/>
  <c r="S619" i="3"/>
  <c r="S811" i="3"/>
  <c r="P398" i="3"/>
  <c r="Q398" i="3"/>
  <c r="S1015" i="3"/>
  <c r="V433" i="3"/>
  <c r="W433" i="3"/>
  <c r="W18" i="3"/>
  <c r="W50" i="3"/>
  <c r="V50" i="3"/>
  <c r="V692" i="3"/>
  <c r="T965" i="3"/>
  <c r="V328" i="3"/>
  <c r="W328" i="3"/>
  <c r="T433" i="3"/>
  <c r="S433" i="3"/>
  <c r="V162" i="3"/>
  <c r="W162" i="3"/>
  <c r="T1006" i="3"/>
  <c r="S1057" i="3"/>
  <c r="S871" i="3"/>
  <c r="V665" i="3"/>
  <c r="V810" i="3"/>
  <c r="W35" i="3"/>
  <c r="S380" i="3"/>
  <c r="T380" i="3"/>
  <c r="S26" i="3"/>
  <c r="T26" i="3"/>
  <c r="S773" i="3"/>
  <c r="V1153" i="3"/>
  <c r="S970" i="3"/>
  <c r="S30" i="3"/>
  <c r="T30" i="3"/>
  <c r="T1165" i="3"/>
  <c r="T835" i="3"/>
  <c r="T216" i="3"/>
  <c r="S216" i="3"/>
  <c r="S372" i="3"/>
  <c r="T372" i="3"/>
  <c r="V166" i="3"/>
  <c r="W166" i="3"/>
  <c r="Q27" i="3"/>
  <c r="P27" i="3"/>
  <c r="P8" i="3"/>
  <c r="Q8" i="3"/>
  <c r="T1012" i="3"/>
  <c r="S685" i="3"/>
  <c r="S714" i="3"/>
  <c r="V220" i="3"/>
  <c r="W220" i="3"/>
  <c r="S630" i="3"/>
  <c r="V137" i="3"/>
  <c r="W137" i="3"/>
  <c r="T107" i="3"/>
  <c r="S107" i="3"/>
  <c r="P597" i="3"/>
  <c r="Q597" i="3"/>
  <c r="S1009" i="3"/>
  <c r="Q145" i="3"/>
  <c r="P145" i="3"/>
  <c r="S76" i="3"/>
  <c r="T76" i="3"/>
  <c r="S89" i="3"/>
  <c r="T89" i="3"/>
  <c r="T647" i="3"/>
  <c r="V716" i="3"/>
  <c r="S890" i="3"/>
  <c r="V958" i="3"/>
  <c r="V1172" i="3"/>
  <c r="S718" i="3"/>
  <c r="S847" i="3"/>
  <c r="S862" i="3"/>
  <c r="V978" i="3"/>
  <c r="V75" i="3"/>
  <c r="W75" i="3"/>
  <c r="S326" i="3"/>
  <c r="T326" i="3"/>
  <c r="S271" i="3"/>
  <c r="T271" i="3"/>
  <c r="V878" i="3"/>
  <c r="T747" i="3"/>
  <c r="V841" i="3"/>
  <c r="V70" i="3"/>
  <c r="W70" i="3"/>
  <c r="S1087" i="3"/>
  <c r="S1120" i="3"/>
  <c r="S646" i="3"/>
  <c r="P54" i="3"/>
  <c r="Q54" i="3"/>
  <c r="T700" i="3"/>
  <c r="V1050" i="3"/>
  <c r="S681" i="3"/>
  <c r="V615" i="3"/>
  <c r="S1024" i="3"/>
  <c r="S609" i="3"/>
  <c r="S661" i="3"/>
  <c r="V822" i="3"/>
  <c r="S1008" i="3"/>
  <c r="S44" i="3"/>
  <c r="T44" i="3"/>
  <c r="T1168" i="3"/>
  <c r="V1119" i="3"/>
  <c r="S1001" i="3"/>
  <c r="S541" i="3"/>
  <c r="T541" i="3"/>
  <c r="S770" i="3"/>
  <c r="V232" i="3"/>
  <c r="W232" i="3"/>
  <c r="S1164" i="3"/>
  <c r="V642" i="3"/>
  <c r="S1192" i="3"/>
  <c r="V677" i="3"/>
  <c r="S69" i="3"/>
  <c r="T69" i="3"/>
  <c r="T1034" i="3"/>
  <c r="S1085" i="3"/>
  <c r="V746" i="3"/>
  <c r="W1078" i="3"/>
  <c r="T976" i="3"/>
  <c r="T910" i="3"/>
  <c r="S877" i="3"/>
  <c r="S657" i="3"/>
  <c r="Q117" i="3"/>
  <c r="P117" i="3"/>
  <c r="W717" i="3"/>
  <c r="T863" i="3"/>
  <c r="W968" i="3"/>
  <c r="S949" i="3"/>
  <c r="W722" i="3"/>
  <c r="W1083" i="3"/>
  <c r="W704" i="3"/>
  <c r="W1059" i="3"/>
  <c r="V110" i="3"/>
  <c r="W110" i="3"/>
  <c r="T853" i="3"/>
  <c r="T1069" i="3"/>
  <c r="W7" i="3"/>
  <c r="P132" i="3"/>
  <c r="Q132" i="3"/>
  <c r="S988" i="3"/>
  <c r="T1146" i="3"/>
  <c r="W1160" i="3"/>
  <c r="V998" i="3"/>
  <c r="T1139" i="3"/>
  <c r="W1037" i="3"/>
  <c r="W738" i="3"/>
  <c r="W1152" i="3"/>
  <c r="S34" i="3"/>
  <c r="T34" i="3"/>
  <c r="V1178" i="3"/>
  <c r="T945" i="3"/>
  <c r="V629" i="3"/>
  <c r="T821" i="3"/>
  <c r="S1101" i="3"/>
  <c r="S1099" i="3"/>
  <c r="T15" i="3"/>
  <c r="S15" i="3"/>
  <c r="T893" i="3"/>
  <c r="W660" i="3"/>
  <c r="T844" i="3"/>
  <c r="T1029" i="3"/>
  <c r="V830" i="3"/>
  <c r="V1191" i="3"/>
  <c r="S889" i="3"/>
  <c r="S166" i="3"/>
  <c r="T166" i="3"/>
  <c r="S1133" i="3"/>
  <c r="V1154" i="3"/>
  <c r="S936" i="3"/>
  <c r="W16" i="3"/>
  <c r="S894" i="3"/>
  <c r="V970" i="3"/>
  <c r="V674" i="3"/>
  <c r="Q475" i="3"/>
  <c r="P475" i="3"/>
  <c r="V881" i="3"/>
  <c r="S678" i="3"/>
  <c r="Q161" i="3"/>
  <c r="P161" i="3"/>
  <c r="V144" i="3"/>
  <c r="W144" i="3"/>
  <c r="Q41" i="3"/>
  <c r="P41" i="3"/>
  <c r="S984" i="3"/>
  <c r="T890" i="3"/>
  <c r="P62" i="3"/>
  <c r="Q62" i="3"/>
  <c r="V1164" i="3"/>
  <c r="S789" i="3"/>
  <c r="S1048" i="3"/>
  <c r="S986" i="3"/>
  <c r="T942" i="3"/>
  <c r="S84" i="3"/>
  <c r="T84" i="3"/>
  <c r="Q292" i="3"/>
  <c r="P292" i="3"/>
  <c r="S978" i="3"/>
  <c r="T857" i="3"/>
  <c r="P377" i="3"/>
  <c r="Q377" i="3"/>
  <c r="P181" i="3"/>
  <c r="Q181" i="3"/>
  <c r="V713" i="3"/>
  <c r="T1204" i="3"/>
  <c r="P362" i="3"/>
  <c r="Q362" i="3"/>
  <c r="V666" i="3"/>
  <c r="P63" i="3"/>
  <c r="Q63" i="3"/>
  <c r="S432" i="3"/>
  <c r="T432" i="3"/>
  <c r="T709" i="3"/>
  <c r="V663" i="3"/>
  <c r="V237" i="3"/>
  <c r="W237" i="3"/>
  <c r="T179" i="3"/>
  <c r="S179" i="3"/>
  <c r="P114" i="3"/>
  <c r="Q114" i="3"/>
  <c r="V806" i="3"/>
  <c r="S157" i="3"/>
  <c r="T157" i="3"/>
  <c r="T66" i="3"/>
  <c r="S66" i="3"/>
  <c r="S730" i="3"/>
  <c r="S746" i="3"/>
  <c r="S288" i="3"/>
  <c r="T288" i="3"/>
  <c r="S1150" i="3"/>
  <c r="Q39" i="3"/>
  <c r="P39" i="3"/>
  <c r="V59" i="3"/>
  <c r="W59" i="3"/>
  <c r="V1149" i="3"/>
  <c r="T1005" i="3"/>
  <c r="P97" i="3"/>
  <c r="Q97" i="3"/>
  <c r="V802" i="3"/>
  <c r="T1032" i="3"/>
  <c r="Q281" i="3"/>
  <c r="P281" i="3"/>
  <c r="P130" i="3"/>
  <c r="Q130" i="3"/>
  <c r="V312" i="3"/>
  <c r="W312" i="3"/>
  <c r="T40" i="3"/>
  <c r="S40" i="3"/>
  <c r="S926" i="3"/>
  <c r="T774" i="3"/>
  <c r="S137" i="3"/>
  <c r="T137" i="3"/>
  <c r="Q49" i="3"/>
  <c r="P49" i="3"/>
  <c r="T979" i="3"/>
  <c r="V403" i="3"/>
  <c r="W403" i="3"/>
  <c r="W65" i="3"/>
  <c r="V65" i="3"/>
  <c r="S112" i="3"/>
  <c r="T112" i="3"/>
  <c r="S1093" i="3"/>
  <c r="S1098" i="3"/>
  <c r="V761" i="3"/>
  <c r="V740" i="3"/>
  <c r="V861" i="3"/>
  <c r="S977" i="3"/>
  <c r="V652" i="3"/>
  <c r="V1060" i="3"/>
  <c r="V843" i="3"/>
  <c r="T621" i="3"/>
  <c r="V797" i="3"/>
  <c r="P118" i="3"/>
  <c r="Q118" i="3"/>
  <c r="S1115" i="3"/>
  <c r="V782" i="3"/>
  <c r="V1047" i="3"/>
  <c r="V722" i="3"/>
  <c r="V341" i="3"/>
  <c r="W341" i="3"/>
  <c r="V819" i="3"/>
  <c r="V340" i="3"/>
  <c r="W340" i="3"/>
  <c r="S947" i="3"/>
  <c r="T108" i="3"/>
  <c r="S108" i="3"/>
  <c r="V417" i="3"/>
  <c r="W417" i="3"/>
  <c r="V119" i="3"/>
  <c r="W119" i="3"/>
  <c r="V912" i="3"/>
  <c r="S1046" i="3"/>
  <c r="S286" i="3"/>
  <c r="T286" i="3"/>
  <c r="P106" i="3"/>
  <c r="Q106" i="3"/>
  <c r="W1063" i="3"/>
  <c r="V1174" i="3"/>
  <c r="S1096" i="3"/>
  <c r="V682" i="3"/>
  <c r="W33" i="3"/>
  <c r="T1138" i="3"/>
  <c r="S1007" i="3"/>
  <c r="T789" i="3"/>
  <c r="S1170" i="3"/>
  <c r="S161" i="3"/>
  <c r="T161" i="3"/>
  <c r="S1102" i="3"/>
  <c r="S1110" i="3"/>
  <c r="P119" i="3"/>
  <c r="Q119" i="3"/>
  <c r="S841" i="3"/>
  <c r="S68" i="3"/>
  <c r="T68" i="3"/>
  <c r="P50" i="3"/>
  <c r="Q50" i="3"/>
  <c r="T1003" i="3"/>
  <c r="V1179" i="3"/>
  <c r="V91" i="3"/>
  <c r="W91" i="3"/>
  <c r="S1148" i="3"/>
  <c r="S720" i="3"/>
  <c r="T934" i="3"/>
  <c r="S614" i="3"/>
  <c r="V672" i="3"/>
  <c r="T843" i="3"/>
  <c r="T172" i="3"/>
  <c r="S172" i="3"/>
  <c r="V827" i="3"/>
  <c r="S668" i="3"/>
  <c r="Q500" i="3"/>
  <c r="P500" i="3"/>
  <c r="Q295" i="3"/>
  <c r="P295" i="3"/>
  <c r="P287" i="3"/>
  <c r="Q287" i="3"/>
  <c r="W135" i="3"/>
  <c r="V135" i="3"/>
  <c r="P16" i="3"/>
  <c r="Q16" i="3"/>
  <c r="V788" i="3"/>
  <c r="T629" i="3"/>
  <c r="V817" i="3"/>
  <c r="T291" i="3"/>
  <c r="S291" i="3"/>
  <c r="S990" i="3"/>
  <c r="V1095" i="3"/>
  <c r="S1108" i="3"/>
  <c r="V777" i="3"/>
  <c r="V1162" i="3"/>
  <c r="P96" i="3"/>
  <c r="Q96" i="3"/>
  <c r="T671" i="3"/>
  <c r="V1128" i="3"/>
  <c r="W76" i="3"/>
  <c r="V76" i="3"/>
  <c r="S954" i="3"/>
  <c r="T794" i="3"/>
  <c r="V178" i="3"/>
  <c r="W178" i="3"/>
  <c r="S749" i="3"/>
  <c r="V164" i="3"/>
  <c r="W164" i="3"/>
  <c r="V661" i="3"/>
  <c r="T1080" i="3"/>
  <c r="V1180" i="3"/>
  <c r="S726" i="3"/>
  <c r="S1064" i="3"/>
  <c r="S944" i="3"/>
  <c r="Q92" i="3"/>
  <c r="P92" i="3"/>
  <c r="S422" i="3"/>
  <c r="T422" i="3"/>
  <c r="V1181" i="3"/>
  <c r="W109" i="3"/>
  <c r="V109" i="3"/>
  <c r="V1152" i="3"/>
  <c r="W80" i="3"/>
  <c r="V80" i="3"/>
  <c r="S1190" i="3"/>
  <c r="T29" i="3"/>
  <c r="S29" i="3"/>
  <c r="S832" i="3"/>
  <c r="S1056" i="3"/>
  <c r="V673" i="3"/>
  <c r="S743" i="3"/>
  <c r="V1158" i="3"/>
  <c r="S967" i="3"/>
  <c r="P115" i="3"/>
  <c r="Q115" i="3"/>
  <c r="T207" i="3"/>
  <c r="S207" i="3"/>
  <c r="P149" i="3"/>
  <c r="Q149" i="3"/>
  <c r="V392" i="3"/>
  <c r="W392" i="3"/>
  <c r="S1070" i="3"/>
  <c r="T63" i="3"/>
  <c r="S63" i="3"/>
  <c r="V769" i="3"/>
  <c r="Q36" i="3"/>
  <c r="P36" i="3"/>
  <c r="S782" i="3"/>
  <c r="V999" i="3"/>
  <c r="V1206" i="3"/>
  <c r="V687" i="3"/>
  <c r="S629" i="3"/>
  <c r="S776" i="3"/>
  <c r="V641" i="3"/>
  <c r="V31" i="3"/>
  <c r="V898" i="3"/>
  <c r="S257" i="3"/>
  <c r="T257" i="3"/>
  <c r="W121" i="3"/>
  <c r="V121" i="3"/>
  <c r="S891" i="3"/>
  <c r="S114" i="3"/>
  <c r="T114" i="3"/>
  <c r="S928" i="3"/>
  <c r="S71" i="3"/>
  <c r="T71" i="3"/>
  <c r="T1163" i="3"/>
  <c r="S1072" i="3"/>
  <c r="S731" i="3"/>
  <c r="S836" i="3"/>
  <c r="Q65" i="3"/>
  <c r="P65" i="3"/>
  <c r="P37" i="3"/>
  <c r="Q37" i="3"/>
  <c r="V1151" i="3"/>
  <c r="V214" i="3"/>
  <c r="W214" i="3"/>
  <c r="S823" i="3"/>
  <c r="V1105" i="3"/>
  <c r="V1190" i="3"/>
  <c r="S878" i="3"/>
  <c r="V730" i="3"/>
  <c r="P100" i="3"/>
  <c r="Q100" i="3"/>
  <c r="T714" i="3"/>
  <c r="V623" i="3"/>
  <c r="V849" i="3"/>
  <c r="T123" i="3"/>
  <c r="S123" i="3"/>
  <c r="V707" i="3"/>
  <c r="S1183" i="3"/>
  <c r="S791" i="3"/>
  <c r="S965" i="3"/>
  <c r="S651" i="3"/>
  <c r="T1106" i="3"/>
  <c r="W23" i="3"/>
  <c r="V619" i="3"/>
  <c r="T836" i="3"/>
  <c r="T797" i="3"/>
  <c r="T1169" i="3"/>
  <c r="T975" i="3"/>
  <c r="T18" i="3"/>
  <c r="S18" i="3"/>
  <c r="P30" i="3"/>
  <c r="Q30" i="3"/>
  <c r="W39" i="3"/>
  <c r="W842" i="3"/>
  <c r="T1038" i="3"/>
  <c r="T1070" i="3"/>
  <c r="V654" i="3"/>
  <c r="W808" i="3"/>
  <c r="W951" i="3"/>
  <c r="W1132" i="3"/>
  <c r="W1042" i="3"/>
  <c r="T849" i="3"/>
  <c r="T615" i="3"/>
  <c r="V47" i="3"/>
  <c r="W47" i="3"/>
  <c r="V1198" i="3"/>
  <c r="S1004" i="3"/>
  <c r="S880" i="3"/>
  <c r="S759" i="3"/>
  <c r="T656" i="3"/>
  <c r="W1044" i="3"/>
  <c r="T921" i="3"/>
  <c r="W1018" i="3"/>
  <c r="T653" i="3"/>
  <c r="S923" i="3"/>
  <c r="V911" i="3"/>
  <c r="V757" i="3"/>
  <c r="T1132" i="3"/>
  <c r="T1085" i="3"/>
  <c r="V1114" i="3"/>
  <c r="V786" i="3"/>
  <c r="V1176" i="3"/>
  <c r="S686" i="3"/>
  <c r="T908" i="3"/>
  <c r="T1201" i="3"/>
  <c r="S626" i="3"/>
  <c r="V838" i="3"/>
  <c r="P193" i="3"/>
  <c r="Q193" i="3"/>
  <c r="V643" i="3"/>
  <c r="S28" i="3"/>
  <c r="T28" i="3"/>
  <c r="S771" i="3"/>
  <c r="P135" i="3"/>
  <c r="Q135" i="3"/>
  <c r="W41" i="3"/>
  <c r="V1148" i="3"/>
  <c r="V1201" i="3"/>
  <c r="S953" i="3"/>
  <c r="S1123" i="3"/>
  <c r="S531" i="3"/>
  <c r="T531" i="3"/>
  <c r="T1184" i="3"/>
  <c r="S669" i="3"/>
  <c r="S846" i="3"/>
  <c r="S912" i="3"/>
  <c r="V832" i="3"/>
  <c r="Q519" i="3"/>
  <c r="P519" i="3"/>
  <c r="P313" i="3"/>
  <c r="Q313" i="3"/>
  <c r="V960" i="3"/>
  <c r="T1167" i="3"/>
  <c r="S864" i="3"/>
  <c r="S1144" i="3"/>
  <c r="P40" i="3"/>
  <c r="Q40" i="3"/>
  <c r="S1027" i="3"/>
  <c r="Q177" i="3"/>
  <c r="P177" i="3"/>
  <c r="S1169" i="3"/>
  <c r="T130" i="3"/>
  <c r="S130" i="3"/>
  <c r="T977" i="3"/>
  <c r="V888" i="3"/>
  <c r="T818" i="3"/>
  <c r="S135" i="3"/>
  <c r="T135" i="3"/>
  <c r="W111" i="3"/>
  <c r="V111" i="3"/>
  <c r="V1016" i="3"/>
  <c r="P38" i="3"/>
  <c r="Q38" i="3"/>
  <c r="W215" i="3"/>
  <c r="V215" i="3"/>
  <c r="S1198" i="3"/>
  <c r="S993" i="3"/>
  <c r="S722" i="3"/>
  <c r="S61" i="3"/>
  <c r="T61" i="3"/>
  <c r="S825" i="3"/>
  <c r="Q440" i="3"/>
  <c r="P440" i="3"/>
  <c r="V703" i="3"/>
  <c r="S116" i="3"/>
  <c r="T116" i="3"/>
  <c r="S643" i="3"/>
  <c r="V1187" i="3"/>
  <c r="S208" i="3"/>
  <c r="T208" i="3"/>
  <c r="V609" i="3"/>
  <c r="T1125" i="3"/>
  <c r="S942" i="3"/>
  <c r="T833" i="3"/>
  <c r="V884" i="3"/>
  <c r="S623" i="3"/>
  <c r="S909" i="3"/>
  <c r="V198" i="3"/>
  <c r="W198" i="3"/>
  <c r="T1190" i="3"/>
  <c r="V862" i="3"/>
  <c r="V281" i="3"/>
  <c r="W281" i="3"/>
  <c r="P179" i="3"/>
  <c r="Q179" i="3"/>
  <c r="V1075" i="3"/>
  <c r="S506" i="3"/>
  <c r="T506" i="3"/>
  <c r="S149" i="3"/>
  <c r="T149" i="3"/>
  <c r="Q443" i="3"/>
  <c r="P443" i="3"/>
  <c r="V1064" i="3"/>
  <c r="V1013" i="3"/>
  <c r="S105" i="3"/>
  <c r="T105" i="3"/>
  <c r="S1200" i="3"/>
  <c r="T43" i="3"/>
  <c r="S43" i="3"/>
  <c r="V1027" i="3"/>
  <c r="S139" i="3"/>
  <c r="T139" i="3"/>
  <c r="P226" i="3"/>
  <c r="Q226" i="3"/>
  <c r="V883" i="3"/>
  <c r="V1161" i="3"/>
  <c r="S973" i="3"/>
  <c r="V1125" i="3"/>
  <c r="V276" i="3"/>
  <c r="W276" i="3"/>
  <c r="T1122" i="3"/>
  <c r="T905" i="3"/>
  <c r="V872" i="3"/>
  <c r="V66" i="3"/>
  <c r="W66" i="3"/>
  <c r="S774" i="3"/>
  <c r="P168" i="3"/>
  <c r="Q168" i="3"/>
  <c r="S245" i="3"/>
  <c r="T245" i="3"/>
  <c r="S917" i="3"/>
  <c r="S1196" i="3"/>
  <c r="P172" i="3"/>
  <c r="Q172" i="3"/>
  <c r="S716" i="3"/>
  <c r="P112" i="3"/>
  <c r="Q112" i="3"/>
  <c r="T1200" i="3"/>
  <c r="V94" i="3"/>
  <c r="W94" i="3"/>
  <c r="W34" i="3"/>
  <c r="S822" i="3"/>
  <c r="T1182" i="3"/>
  <c r="S930" i="3"/>
  <c r="S914" i="3"/>
  <c r="V890" i="3"/>
  <c r="P88" i="3"/>
  <c r="Q88" i="3"/>
  <c r="P186" i="3"/>
  <c r="Q186" i="3"/>
  <c r="V488" i="3"/>
  <c r="W488" i="3"/>
  <c r="S1075" i="3"/>
  <c r="V1159" i="3"/>
  <c r="S939" i="3"/>
  <c r="S1109" i="3"/>
  <c r="Q142" i="3"/>
  <c r="P142" i="3"/>
  <c r="S1168" i="3"/>
  <c r="P222" i="3"/>
  <c r="Q222" i="3"/>
  <c r="S616" i="3"/>
  <c r="V376" i="3"/>
  <c r="W376" i="3"/>
  <c r="V1096" i="3"/>
  <c r="S174" i="3"/>
  <c r="T174" i="3"/>
  <c r="S907" i="3"/>
  <c r="T1202" i="3"/>
  <c r="S21" i="3"/>
  <c r="T21" i="3"/>
  <c r="T1053" i="3"/>
  <c r="S853" i="3"/>
  <c r="S662" i="3"/>
  <c r="V1085" i="3"/>
  <c r="S1112" i="3"/>
  <c r="T1115" i="3"/>
  <c r="T1102" i="3"/>
  <c r="S1111" i="3"/>
  <c r="V344" i="3"/>
  <c r="W344" i="3"/>
  <c r="V73" i="3"/>
  <c r="W73" i="3"/>
  <c r="W273" i="3"/>
  <c r="V273" i="3"/>
  <c r="S194" i="3"/>
  <c r="T194" i="3"/>
  <c r="S457" i="3"/>
  <c r="T457" i="3"/>
  <c r="T1098" i="3"/>
  <c r="V1024" i="3"/>
  <c r="S1113" i="3"/>
  <c r="V664" i="3"/>
  <c r="T1118" i="3"/>
  <c r="V617" i="3"/>
  <c r="S787" i="3"/>
  <c r="P200" i="3"/>
  <c r="Q200" i="3"/>
  <c r="S170" i="3"/>
  <c r="T170" i="3"/>
  <c r="V1074" i="3"/>
  <c r="S1172" i="3"/>
  <c r="S935" i="3"/>
  <c r="V908" i="3"/>
  <c r="S1107" i="3"/>
  <c r="S620" i="3"/>
  <c r="V967" i="3"/>
  <c r="T1195" i="3"/>
  <c r="S732" i="3"/>
  <c r="V804" i="3"/>
  <c r="V476" i="3"/>
  <c r="W476" i="3"/>
  <c r="T102" i="3"/>
  <c r="S102" i="3"/>
  <c r="V117" i="3"/>
  <c r="W117" i="3"/>
  <c r="S1137" i="3"/>
  <c r="V775" i="3"/>
  <c r="V706" i="3"/>
  <c r="V952" i="3"/>
  <c r="T1120" i="3"/>
  <c r="S1051" i="3"/>
  <c r="V614" i="3"/>
  <c r="S252" i="3"/>
  <c r="T252" i="3"/>
  <c r="W622" i="3"/>
  <c r="P209" i="3"/>
  <c r="Q209" i="3"/>
  <c r="S876" i="3"/>
  <c r="V905" i="3"/>
  <c r="S849" i="3"/>
  <c r="V1000" i="3"/>
  <c r="P7" i="3"/>
  <c r="Q7" i="3"/>
  <c r="S1035" i="3"/>
  <c r="V954" i="3"/>
  <c r="T1136" i="3"/>
  <c r="V844" i="3"/>
  <c r="S1130" i="3"/>
  <c r="S1076" i="3"/>
  <c r="P482" i="3"/>
  <c r="Q482" i="3"/>
  <c r="W88" i="3"/>
  <c r="V88" i="3"/>
  <c r="Q286" i="3"/>
  <c r="P286" i="3"/>
  <c r="V1056" i="3"/>
  <c r="P356" i="3"/>
  <c r="Q356" i="3"/>
  <c r="P196" i="3"/>
  <c r="Q196" i="3"/>
  <c r="T1015" i="3"/>
  <c r="V992" i="3"/>
  <c r="S121" i="3"/>
  <c r="T121" i="3"/>
  <c r="W155" i="3"/>
  <c r="V155" i="3"/>
  <c r="S689" i="3"/>
  <c r="S775" i="3"/>
  <c r="V669" i="3"/>
  <c r="V1026" i="3"/>
  <c r="T596" i="3"/>
  <c r="S596" i="3"/>
  <c r="P128" i="3"/>
  <c r="Q128" i="3"/>
  <c r="T755" i="3"/>
  <c r="S181" i="3"/>
  <c r="T181" i="3"/>
  <c r="P510" i="3"/>
  <c r="Q510" i="3"/>
  <c r="V371" i="3"/>
  <c r="W371" i="3"/>
  <c r="V1055" i="3"/>
  <c r="V779" i="3"/>
  <c r="S816" i="3"/>
  <c r="V1088" i="3"/>
  <c r="S985" i="3"/>
  <c r="V618" i="3"/>
  <c r="P157" i="3"/>
  <c r="Q157" i="3"/>
  <c r="S908" i="3"/>
  <c r="S70" i="3"/>
  <c r="T70" i="3"/>
  <c r="V184" i="3"/>
  <c r="W184" i="3"/>
  <c r="W514" i="3"/>
  <c r="V514" i="3"/>
  <c r="V928" i="3"/>
  <c r="W139" i="3"/>
  <c r="V139" i="3"/>
  <c r="S1014" i="3"/>
  <c r="S1059" i="3"/>
  <c r="S680" i="3"/>
  <c r="T654" i="3"/>
  <c r="Q227" i="3"/>
  <c r="P227" i="3"/>
  <c r="V168" i="3"/>
  <c r="W168" i="3"/>
  <c r="S940" i="3"/>
  <c r="P237" i="3"/>
  <c r="Q237" i="3"/>
  <c r="V985" i="3"/>
  <c r="V1168" i="3"/>
  <c r="T1113" i="3"/>
  <c r="S1062" i="3"/>
  <c r="S1002" i="3"/>
  <c r="Q190" i="3"/>
  <c r="P190" i="3"/>
  <c r="V1006" i="3"/>
  <c r="V61" i="3"/>
  <c r="W61" i="3"/>
  <c r="T861" i="3"/>
  <c r="V1133" i="3"/>
  <c r="S1069" i="3"/>
  <c r="T868" i="3"/>
  <c r="W644" i="3"/>
  <c r="T1077" i="3"/>
  <c r="T711" i="3"/>
  <c r="S884" i="3"/>
  <c r="T634" i="3"/>
  <c r="T985" i="3"/>
  <c r="W635" i="3"/>
  <c r="W726" i="3"/>
  <c r="W1123" i="3"/>
  <c r="W1110" i="3"/>
  <c r="S652" i="3"/>
  <c r="V662" i="3"/>
  <c r="T1024" i="3"/>
  <c r="V767" i="3"/>
  <c r="P120" i="3"/>
  <c r="Q120" i="3"/>
  <c r="T994" i="3"/>
  <c r="T850" i="3"/>
  <c r="T665" i="3"/>
  <c r="T745" i="3"/>
  <c r="T948" i="3"/>
  <c r="W933" i="3"/>
  <c r="V647" i="3"/>
  <c r="S781" i="3"/>
  <c r="S938" i="3"/>
  <c r="V45" i="3"/>
  <c r="W45" i="3"/>
  <c r="V1166" i="3"/>
  <c r="S664" i="3"/>
  <c r="T664" i="3"/>
  <c r="T957" i="3"/>
  <c r="V1037" i="3"/>
  <c r="V737" i="3"/>
  <c r="S724" i="3"/>
  <c r="T830" i="3"/>
  <c r="W1017" i="3"/>
  <c r="W1162" i="3"/>
  <c r="W1025" i="3"/>
  <c r="W762" i="3"/>
  <c r="W666" i="3"/>
  <c r="W525" i="3"/>
  <c r="V525" i="3"/>
  <c r="V920" i="3"/>
  <c r="V453" i="3"/>
  <c r="W453" i="3"/>
  <c r="V42" i="3"/>
  <c r="W42" i="3"/>
  <c r="T1121" i="3"/>
  <c r="Q158" i="3"/>
  <c r="P158" i="3"/>
  <c r="V628" i="3"/>
  <c r="V983" i="3"/>
  <c r="W123" i="3"/>
  <c r="V123" i="3"/>
  <c r="T651" i="3"/>
  <c r="T1135" i="3"/>
  <c r="S1175" i="3"/>
  <c r="T1099" i="3"/>
  <c r="V1189" i="3"/>
  <c r="S734" i="3"/>
  <c r="V653" i="3"/>
  <c r="W1136" i="3"/>
  <c r="T1116" i="3"/>
  <c r="W734" i="3"/>
  <c r="S956" i="3"/>
  <c r="S644" i="3"/>
  <c r="T1124" i="3"/>
  <c r="W895" i="3"/>
  <c r="W1028" i="3"/>
  <c r="W670" i="3"/>
  <c r="V783" i="3"/>
  <c r="W1164" i="3"/>
  <c r="T631" i="3"/>
  <c r="W779" i="3"/>
  <c r="W653" i="3"/>
  <c r="W636" i="3"/>
  <c r="W912" i="3"/>
  <c r="W828" i="3"/>
  <c r="W826" i="3"/>
  <c r="W780" i="3"/>
  <c r="T1176" i="3"/>
  <c r="T949" i="3"/>
  <c r="T860" i="3"/>
  <c r="W863" i="3"/>
  <c r="W624" i="3"/>
  <c r="W1092" i="3"/>
  <c r="W1101" i="3"/>
  <c r="W723" i="3"/>
  <c r="W953" i="3"/>
  <c r="T731" i="3"/>
  <c r="T866" i="3"/>
  <c r="T1060" i="3"/>
  <c r="V742" i="3"/>
  <c r="T897" i="3"/>
  <c r="W788" i="3"/>
  <c r="W1145" i="3"/>
  <c r="T1179" i="3"/>
  <c r="V815" i="3"/>
  <c r="W857" i="3"/>
  <c r="T617" i="3"/>
  <c r="V829" i="3"/>
  <c r="V624" i="3"/>
  <c r="S951" i="3"/>
  <c r="S1157" i="3"/>
  <c r="S1143" i="3"/>
  <c r="S51" i="3"/>
  <c r="T51" i="3"/>
  <c r="T451" i="3"/>
  <c r="S451" i="3"/>
  <c r="V879" i="3"/>
  <c r="S901" i="3"/>
  <c r="S12" i="3"/>
  <c r="T12" i="3"/>
  <c r="S396" i="3"/>
  <c r="T396" i="3"/>
  <c r="T58" i="3"/>
  <c r="S58" i="3"/>
  <c r="S921" i="3"/>
  <c r="S54" i="3"/>
  <c r="T54" i="3"/>
  <c r="T1092" i="3"/>
  <c r="W382" i="3"/>
  <c r="V382" i="3"/>
  <c r="V809" i="3"/>
  <c r="S893" i="3"/>
  <c r="W5" i="3"/>
  <c r="V1034" i="3"/>
  <c r="S711" i="3"/>
  <c r="S767" i="3"/>
  <c r="V379" i="3"/>
  <c r="W379" i="3"/>
  <c r="S1067" i="3"/>
  <c r="V603" i="3"/>
  <c r="W603" i="3"/>
  <c r="S999" i="3"/>
  <c r="T887" i="3"/>
  <c r="T384" i="3"/>
  <c r="S384" i="3"/>
  <c r="V705" i="3"/>
  <c r="V886" i="3"/>
  <c r="P70" i="3"/>
  <c r="Q70" i="3"/>
  <c r="V97" i="3"/>
  <c r="W97" i="3"/>
  <c r="T825" i="3"/>
  <c r="S694" i="3"/>
  <c r="V668" i="3"/>
  <c r="S1128" i="3"/>
  <c r="V658" i="3"/>
  <c r="V172" i="3"/>
  <c r="W172" i="3"/>
  <c r="S1191" i="3"/>
  <c r="V620" i="3"/>
  <c r="W1058" i="3"/>
  <c r="S182" i="3"/>
  <c r="T182" i="3"/>
  <c r="V865" i="3"/>
  <c r="S1188" i="3"/>
  <c r="S805" i="3"/>
  <c r="S814" i="3"/>
  <c r="P22" i="3"/>
  <c r="Q22" i="3"/>
  <c r="V1033" i="3"/>
  <c r="S632" i="3"/>
  <c r="T1090" i="3"/>
  <c r="V696" i="3"/>
  <c r="V948" i="3"/>
  <c r="V793" i="3"/>
  <c r="S85" i="3"/>
  <c r="T85" i="3"/>
  <c r="S882" i="3"/>
  <c r="V133" i="3"/>
  <c r="W133" i="3"/>
  <c r="T32" i="3"/>
  <c r="S32" i="3"/>
  <c r="T777" i="3"/>
  <c r="S863" i="3"/>
  <c r="V1031" i="3"/>
  <c r="V1087" i="3"/>
  <c r="V171" i="3"/>
  <c r="W171" i="3"/>
  <c r="V724" i="3"/>
  <c r="V976" i="3"/>
  <c r="S996" i="3"/>
  <c r="V991" i="3"/>
  <c r="W1196" i="3"/>
  <c r="T1158" i="3"/>
  <c r="S972" i="3"/>
  <c r="P48" i="3"/>
  <c r="Q48" i="3"/>
  <c r="V607" i="3"/>
  <c r="P156" i="3"/>
  <c r="Q156" i="3"/>
  <c r="T771" i="3"/>
  <c r="T1173" i="3"/>
  <c r="S1125" i="3"/>
  <c r="T766" i="3"/>
  <c r="V635" i="3"/>
  <c r="V966" i="3"/>
  <c r="V650" i="3"/>
  <c r="W1102" i="3"/>
  <c r="T992" i="3"/>
  <c r="S867" i="3"/>
  <c r="V772" i="3"/>
  <c r="T1104" i="3"/>
  <c r="T1055" i="3"/>
  <c r="T650" i="3"/>
  <c r="T1078" i="3"/>
  <c r="T931" i="3"/>
  <c r="T956" i="3"/>
  <c r="W40" i="3"/>
  <c r="T705" i="3"/>
  <c r="T620" i="3"/>
  <c r="W870" i="3"/>
  <c r="T754" i="3"/>
  <c r="W1031" i="3"/>
  <c r="W1068" i="3"/>
  <c r="W980" i="3"/>
  <c r="W1057" i="3"/>
  <c r="W657" i="3"/>
  <c r="W814" i="3"/>
  <c r="W890" i="3"/>
  <c r="W941" i="3"/>
  <c r="W784" i="3"/>
  <c r="S703" i="3"/>
  <c r="T1047" i="3"/>
  <c r="V670" i="3"/>
  <c r="S851" i="3"/>
  <c r="T802" i="3"/>
  <c r="V943" i="3"/>
  <c r="S1071" i="3"/>
  <c r="S870" i="3"/>
  <c r="V699" i="3"/>
  <c r="T106" i="3"/>
  <c r="S106" i="3"/>
  <c r="S1139" i="3"/>
  <c r="V616" i="3"/>
  <c r="V60" i="3"/>
  <c r="W60" i="3"/>
  <c r="T1147" i="3"/>
  <c r="T776" i="3"/>
  <c r="T679" i="3"/>
  <c r="V625" i="3"/>
  <c r="T819" i="3"/>
  <c r="T997" i="3"/>
  <c r="T1129" i="3"/>
  <c r="S754" i="3"/>
  <c r="T689" i="3"/>
  <c r="W1199" i="3"/>
  <c r="W903" i="3"/>
  <c r="T982" i="3"/>
  <c r="V64" i="3"/>
  <c r="W64" i="3"/>
  <c r="V702" i="3"/>
  <c r="S20" i="3"/>
  <c r="T20" i="3"/>
  <c r="T1137" i="3"/>
  <c r="V680" i="3"/>
  <c r="V637" i="3"/>
  <c r="T1076" i="3"/>
  <c r="W1156" i="3"/>
  <c r="T983" i="3"/>
  <c r="T757" i="3"/>
  <c r="T743" i="3"/>
  <c r="T917" i="3"/>
  <c r="W970" i="3"/>
  <c r="W675" i="3"/>
  <c r="W1082" i="3"/>
  <c r="W672" i="3"/>
  <c r="W804" i="3"/>
  <c r="W1010" i="3"/>
  <c r="W716" i="3"/>
  <c r="V895" i="3"/>
  <c r="S904" i="3"/>
  <c r="P59" i="3"/>
  <c r="Q59" i="3"/>
  <c r="V182" i="3"/>
  <c r="W182" i="3"/>
  <c r="V735" i="3"/>
  <c r="V107" i="3"/>
  <c r="W107" i="3"/>
  <c r="S349" i="3"/>
  <c r="T349" i="3"/>
  <c r="S633" i="3"/>
  <c r="S1074" i="3"/>
  <c r="S742" i="3"/>
  <c r="S1016" i="3"/>
  <c r="S911" i="3"/>
  <c r="S1053" i="3"/>
  <c r="T1030" i="3"/>
  <c r="S74" i="3"/>
  <c r="T74" i="3"/>
  <c r="S982" i="3"/>
  <c r="V610" i="3"/>
  <c r="T1109" i="3"/>
  <c r="V729" i="3"/>
  <c r="W24" i="3"/>
  <c r="V678" i="3"/>
  <c r="V1079" i="3"/>
  <c r="W58" i="3"/>
  <c r="V58" i="3"/>
  <c r="T936" i="3"/>
  <c r="V1197" i="3"/>
  <c r="V945" i="3"/>
  <c r="V1117" i="3"/>
  <c r="T35" i="3"/>
  <c r="S35" i="3"/>
  <c r="Q6" i="3"/>
  <c r="P6" i="3"/>
  <c r="S1033" i="3"/>
  <c r="V1015" i="3"/>
  <c r="V660" i="3"/>
  <c r="T888" i="3"/>
  <c r="V745" i="3"/>
  <c r="V1182" i="3"/>
  <c r="V739" i="3"/>
  <c r="W1184" i="3"/>
  <c r="W643" i="3"/>
  <c r="W665" i="3"/>
  <c r="P136" i="3"/>
  <c r="Q136" i="3"/>
  <c r="T1037" i="3"/>
  <c r="S1052" i="3"/>
  <c r="V974" i="3"/>
  <c r="T990" i="3"/>
  <c r="S919" i="3"/>
  <c r="T1061" i="3"/>
  <c r="T810" i="3"/>
  <c r="W907" i="3"/>
  <c r="W925" i="3"/>
  <c r="W1174" i="3"/>
  <c r="W1100" i="3"/>
  <c r="W979" i="3"/>
  <c r="W763" i="3"/>
  <c r="S1152" i="3"/>
  <c r="W15" i="3"/>
  <c r="P25" i="3"/>
  <c r="Q25" i="3"/>
  <c r="S1146" i="3"/>
  <c r="V1137" i="3"/>
  <c r="V813" i="3"/>
  <c r="T864" i="3"/>
  <c r="V1138" i="3"/>
  <c r="S777" i="3"/>
  <c r="V1184" i="3"/>
  <c r="V74" i="3"/>
  <c r="W74" i="3"/>
  <c r="T1199" i="3"/>
  <c r="T1052" i="3"/>
  <c r="T882" i="3"/>
  <c r="T1083" i="3"/>
  <c r="T834" i="3"/>
  <c r="T728" i="3"/>
  <c r="W823" i="3"/>
  <c r="W802" i="3"/>
  <c r="T1075" i="3"/>
  <c r="P45" i="3"/>
  <c r="Q45" i="3"/>
  <c r="T1011" i="3"/>
  <c r="T707" i="3"/>
  <c r="W981" i="3"/>
  <c r="W923" i="3"/>
  <c r="W1116" i="3"/>
  <c r="T1134" i="3"/>
  <c r="T676" i="3"/>
  <c r="W984" i="3"/>
  <c r="W776" i="3"/>
  <c r="W770" i="3"/>
  <c r="W786" i="3"/>
  <c r="W669" i="3"/>
  <c r="W944" i="3"/>
  <c r="T640" i="3"/>
  <c r="V781" i="3"/>
  <c r="T832" i="3"/>
  <c r="T702" i="3"/>
  <c r="W719" i="3"/>
  <c r="W1115" i="3"/>
  <c r="W1187" i="3"/>
  <c r="W832" i="3"/>
  <c r="W987" i="3"/>
  <c r="W673" i="3"/>
  <c r="W868" i="3"/>
  <c r="T703" i="3"/>
  <c r="T980" i="3"/>
  <c r="T761" i="3"/>
  <c r="T1162" i="3"/>
  <c r="W889" i="3"/>
  <c r="W845" i="3"/>
  <c r="S809" i="3"/>
  <c r="T1002" i="3"/>
  <c r="W701" i="3"/>
  <c r="W1090" i="3"/>
  <c r="V812" i="3"/>
  <c r="S1010" i="3"/>
  <c r="S1103" i="3"/>
  <c r="T798" i="3"/>
  <c r="V613" i="3"/>
  <c r="T816" i="3"/>
  <c r="V82" i="3"/>
  <c r="W82" i="3"/>
  <c r="V780" i="3"/>
  <c r="S1161" i="3"/>
  <c r="S784" i="3"/>
  <c r="V1053" i="3"/>
  <c r="V820" i="3"/>
  <c r="S1084" i="3"/>
  <c r="S615" i="3"/>
  <c r="W810" i="3"/>
  <c r="T867" i="3"/>
  <c r="T958" i="3"/>
  <c r="W9" i="3"/>
  <c r="T633" i="3"/>
  <c r="T1193" i="3"/>
  <c r="V845" i="3"/>
  <c r="T660" i="3"/>
  <c r="T1110" i="3"/>
  <c r="T933" i="3"/>
  <c r="W659" i="3"/>
  <c r="S966" i="3"/>
  <c r="T879" i="3"/>
  <c r="T715" i="3"/>
  <c r="T1025" i="3"/>
  <c r="W608" i="3"/>
  <c r="W910" i="3"/>
  <c r="W1186" i="3"/>
  <c r="T1156" i="3"/>
  <c r="W718" i="3"/>
  <c r="W1052" i="3"/>
  <c r="W1118" i="3"/>
  <c r="W1203" i="3"/>
  <c r="W1013" i="3"/>
  <c r="W680" i="3"/>
  <c r="W609" i="3"/>
  <c r="V851" i="3"/>
  <c r="S42" i="3"/>
  <c r="T42" i="3"/>
  <c r="S1121" i="3"/>
  <c r="P23" i="3"/>
  <c r="Q23" i="3"/>
  <c r="W31" i="3"/>
  <c r="P12" i="3"/>
  <c r="Q12" i="3"/>
  <c r="V760" i="3"/>
  <c r="S1197" i="3"/>
  <c r="V959" i="3"/>
  <c r="S1043" i="3"/>
  <c r="V1093" i="3"/>
  <c r="S886" i="3"/>
  <c r="S25" i="3"/>
  <c r="T25" i="3"/>
  <c r="T800" i="3"/>
  <c r="V873" i="3"/>
  <c r="V982" i="3"/>
  <c r="T883" i="3"/>
  <c r="T719" i="3"/>
  <c r="T1103" i="3"/>
  <c r="S735" i="3"/>
  <c r="T1108" i="3"/>
  <c r="V685" i="3"/>
  <c r="V755" i="3"/>
  <c r="Q174" i="3"/>
  <c r="P174" i="3"/>
  <c r="W940" i="3"/>
  <c r="P46" i="3"/>
  <c r="Q46" i="3"/>
  <c r="V762" i="3"/>
  <c r="T1178" i="3"/>
  <c r="S665" i="3"/>
  <c r="V98" i="3"/>
  <c r="W98" i="3"/>
  <c r="W25" i="3"/>
  <c r="Q91" i="3"/>
  <c r="P91" i="3"/>
  <c r="T1072" i="3"/>
  <c r="T1171" i="3"/>
  <c r="V667" i="3"/>
  <c r="T737" i="3"/>
  <c r="T966" i="3"/>
  <c r="T19" i="3"/>
  <c r="S19" i="3"/>
  <c r="T1067" i="3"/>
  <c r="T916" i="3"/>
  <c r="T698" i="3"/>
  <c r="T1128" i="3"/>
  <c r="T636" i="3"/>
  <c r="S1036" i="3"/>
  <c r="P134" i="3"/>
  <c r="Q134" i="3"/>
  <c r="V791" i="3"/>
  <c r="W621" i="3"/>
  <c r="T932" i="3"/>
  <c r="W640" i="3"/>
  <c r="W875" i="3"/>
  <c r="W1128" i="3"/>
  <c r="W1081" i="3"/>
  <c r="P113" i="3"/>
  <c r="Q113" i="3"/>
  <c r="S696" i="3"/>
  <c r="S635" i="3"/>
  <c r="S1177" i="3"/>
  <c r="V1063" i="3"/>
  <c r="P363" i="3"/>
  <c r="Q363" i="3"/>
  <c r="V799" i="3"/>
  <c r="S803" i="3"/>
  <c r="S650" i="3"/>
  <c r="W1009" i="3"/>
  <c r="V770" i="3"/>
  <c r="P29" i="3"/>
  <c r="Q29" i="3"/>
  <c r="V1021" i="3"/>
  <c r="T827" i="3"/>
  <c r="T1148" i="3"/>
  <c r="T1172" i="3"/>
  <c r="T855" i="3"/>
  <c r="W1150" i="3"/>
  <c r="W817" i="3"/>
  <c r="W1112" i="3"/>
  <c r="T851" i="3"/>
  <c r="W615" i="3"/>
  <c r="V906" i="3"/>
  <c r="T691" i="3"/>
  <c r="T826" i="3"/>
  <c r="T1026" i="3"/>
  <c r="T678" i="3"/>
  <c r="T886" i="3"/>
  <c r="W974" i="3"/>
  <c r="W949" i="3"/>
  <c r="W755" i="3"/>
  <c r="W876" i="3"/>
  <c r="T690" i="3"/>
  <c r="W792" i="3"/>
  <c r="W991" i="3"/>
  <c r="W664" i="3"/>
  <c r="T909" i="3"/>
  <c r="W1099" i="3"/>
  <c r="T683" i="3"/>
  <c r="W869" i="3"/>
  <c r="W1163" i="3"/>
  <c r="W714" i="3"/>
  <c r="W787" i="3"/>
  <c r="W1206" i="3"/>
  <c r="W760" i="3"/>
  <c r="W1067" i="3"/>
  <c r="W633" i="3"/>
  <c r="T1174" i="3"/>
  <c r="W1178" i="3"/>
  <c r="Q44" i="3"/>
  <c r="P44" i="3"/>
  <c r="W1089" i="3"/>
  <c r="W728" i="3"/>
  <c r="T812" i="3"/>
  <c r="T952" i="3"/>
  <c r="T963" i="3"/>
  <c r="W789" i="3"/>
  <c r="S948" i="3"/>
  <c r="S663" i="3"/>
  <c r="T1045" i="3"/>
  <c r="S785" i="3"/>
  <c r="W921" i="3"/>
  <c r="V1203" i="3"/>
  <c r="V800" i="3"/>
  <c r="V963" i="3"/>
  <c r="Q233" i="3"/>
  <c r="P233" i="3"/>
  <c r="P264" i="3"/>
  <c r="Q264" i="3"/>
  <c r="T730" i="3"/>
  <c r="P423" i="3"/>
  <c r="Q423" i="3"/>
  <c r="Q224" i="3"/>
  <c r="P224" i="3"/>
  <c r="V889" i="3"/>
  <c r="V875" i="3"/>
  <c r="Q254" i="3"/>
  <c r="P254" i="3"/>
  <c r="T1065" i="3"/>
  <c r="T307" i="3"/>
  <c r="S307" i="3"/>
  <c r="V1109" i="3"/>
  <c r="S206" i="3"/>
  <c r="T206" i="3"/>
  <c r="P15" i="3"/>
  <c r="Q15" i="3"/>
  <c r="S64" i="3"/>
  <c r="T64" i="3"/>
  <c r="T922" i="3"/>
  <c r="V1010" i="3"/>
  <c r="V683" i="3"/>
  <c r="V167" i="3"/>
  <c r="W167" i="3"/>
  <c r="W92" i="3"/>
  <c r="V92" i="3"/>
  <c r="V935" i="3"/>
  <c r="V994" i="3"/>
  <c r="S865" i="3"/>
  <c r="P26" i="3"/>
  <c r="Q26" i="3"/>
  <c r="V1017" i="3"/>
  <c r="S1193" i="3"/>
  <c r="V1124" i="3"/>
  <c r="W607" i="3"/>
  <c r="S1003" i="3"/>
  <c r="V1186" i="3"/>
  <c r="P163" i="3"/>
  <c r="Q163" i="3"/>
  <c r="T920" i="3"/>
  <c r="S273" i="3"/>
  <c r="T273" i="3"/>
  <c r="W228" i="3"/>
  <c r="V228" i="3"/>
  <c r="V944" i="3"/>
  <c r="T872" i="3"/>
  <c r="V113" i="3"/>
  <c r="W113" i="3"/>
  <c r="P42" i="3"/>
  <c r="Q42" i="3"/>
  <c r="S792" i="3"/>
  <c r="P35" i="3"/>
  <c r="Q35" i="3"/>
  <c r="V252" i="3"/>
  <c r="W252" i="3"/>
  <c r="V712" i="3"/>
  <c r="S49" i="3"/>
  <c r="T49" i="3"/>
  <c r="T1186" i="3"/>
  <c r="V203" i="3"/>
  <c r="W203" i="3"/>
  <c r="V725" i="3"/>
  <c r="V1052" i="3"/>
  <c r="T801" i="3"/>
  <c r="S118" i="3"/>
  <c r="T118" i="3"/>
  <c r="V980" i="3"/>
  <c r="T1066" i="3"/>
  <c r="P80" i="3"/>
  <c r="Q80" i="3"/>
  <c r="V874" i="3"/>
  <c r="V785" i="3"/>
  <c r="V20" i="3"/>
  <c r="V1194" i="3"/>
  <c r="S1154" i="3"/>
  <c r="T907" i="3"/>
  <c r="W19" i="3"/>
  <c r="V867" i="3"/>
  <c r="S717" i="3"/>
  <c r="T991" i="3"/>
  <c r="V1196" i="3"/>
  <c r="T773" i="3"/>
  <c r="P43" i="3"/>
  <c r="Q43" i="3"/>
  <c r="S16" i="3"/>
  <c r="T16" i="3"/>
  <c r="S766" i="3"/>
  <c r="S1055" i="3"/>
  <c r="S783" i="3"/>
  <c r="T913" i="3"/>
  <c r="S934" i="3"/>
  <c r="T1021" i="3"/>
  <c r="S725" i="3"/>
  <c r="T657" i="3"/>
  <c r="S77" i="3"/>
  <c r="T77" i="3"/>
  <c r="W95" i="3"/>
  <c r="V95" i="3"/>
  <c r="W1026" i="3"/>
  <c r="T1017" i="3"/>
  <c r="V869" i="3"/>
  <c r="T760" i="3"/>
  <c r="S647" i="3"/>
  <c r="T999" i="3"/>
  <c r="S872" i="3"/>
  <c r="W997" i="3"/>
  <c r="T722" i="3"/>
  <c r="W618" i="3"/>
  <c r="V1200" i="3"/>
  <c r="T725" i="3"/>
  <c r="T753" i="3"/>
  <c r="W678" i="3"/>
  <c r="W1043" i="3"/>
  <c r="W1049" i="3"/>
  <c r="W1131" i="3"/>
  <c r="W1153" i="3"/>
  <c r="W641" i="3"/>
  <c r="W1109" i="3"/>
  <c r="W1141" i="3"/>
  <c r="T988" i="3"/>
  <c r="T1123" i="3"/>
  <c r="S1077" i="3"/>
  <c r="S638" i="3"/>
  <c r="V773" i="3"/>
  <c r="P31" i="3"/>
  <c r="Q31" i="3"/>
  <c r="T892" i="3"/>
  <c r="S903" i="3"/>
  <c r="S670" i="3"/>
  <c r="S125" i="3"/>
  <c r="T125" i="3"/>
  <c r="P51" i="3"/>
  <c r="Q51" i="3"/>
  <c r="S163" i="3"/>
  <c r="T163" i="3"/>
  <c r="S14" i="3"/>
  <c r="T14" i="3"/>
  <c r="S957" i="3"/>
  <c r="S706" i="3"/>
  <c r="S728" i="3"/>
  <c r="V929" i="3"/>
  <c r="T1119" i="3"/>
  <c r="S989" i="3"/>
  <c r="S1095" i="3"/>
  <c r="T984" i="3"/>
  <c r="S1029" i="3"/>
  <c r="V731" i="3"/>
  <c r="S1061" i="3"/>
  <c r="S639" i="3"/>
  <c r="T744" i="3"/>
  <c r="V1143" i="3"/>
  <c r="T998" i="3"/>
  <c r="V57" i="3"/>
  <c r="W57" i="3"/>
  <c r="T662" i="3"/>
  <c r="T959" i="3"/>
  <c r="T796" i="3"/>
  <c r="W1019" i="3"/>
  <c r="W645" i="3"/>
  <c r="T645" i="3"/>
  <c r="W671" i="3"/>
  <c r="W619" i="3"/>
  <c r="W1087" i="3"/>
  <c r="W960" i="3"/>
  <c r="W905" i="3"/>
  <c r="W1051" i="3"/>
  <c r="W1130" i="3"/>
  <c r="W713" i="3"/>
  <c r="W1021" i="3"/>
  <c r="V1111" i="3"/>
  <c r="S11" i="3"/>
  <c r="T11" i="3"/>
  <c r="S961" i="3"/>
  <c r="S673" i="3"/>
  <c r="S268" i="3"/>
  <c r="T268" i="3"/>
  <c r="V62" i="3"/>
  <c r="W62" i="3"/>
  <c r="V71" i="3"/>
  <c r="W71" i="3"/>
  <c r="V1116" i="3"/>
  <c r="V1007" i="3"/>
  <c r="S983" i="3"/>
  <c r="T792" i="3"/>
  <c r="W63" i="3"/>
  <c r="V63" i="3"/>
  <c r="P69" i="3"/>
  <c r="Q69" i="3"/>
  <c r="T710" i="3"/>
  <c r="S1100" i="3"/>
  <c r="S856" i="3"/>
  <c r="T37" i="3"/>
  <c r="S37" i="3"/>
  <c r="T1187" i="3"/>
  <c r="S1182" i="3"/>
  <c r="S887" i="3"/>
  <c r="V688" i="3"/>
  <c r="V1090" i="3"/>
  <c r="T1095" i="3"/>
  <c r="T938" i="3"/>
  <c r="S1028" i="3"/>
  <c r="S1132" i="3"/>
  <c r="V640" i="3"/>
  <c r="S769" i="3"/>
  <c r="S815" i="3"/>
  <c r="T877" i="3"/>
  <c r="V848" i="3"/>
  <c r="V48" i="3"/>
  <c r="W48" i="3"/>
  <c r="V916" i="3"/>
  <c r="V744" i="3"/>
  <c r="S964" i="3"/>
  <c r="V659" i="3"/>
  <c r="T717" i="3"/>
  <c r="T962" i="3"/>
  <c r="S840" i="3"/>
  <c r="T1101" i="3"/>
  <c r="S1006" i="3"/>
  <c r="S636" i="3"/>
  <c r="S821" i="3"/>
  <c r="T1031" i="3"/>
  <c r="S710" i="3"/>
  <c r="T927" i="3"/>
  <c r="W952" i="3"/>
  <c r="T903" i="3"/>
  <c r="T612" i="3"/>
  <c r="W982" i="3"/>
  <c r="W877" i="3"/>
  <c r="W917" i="3"/>
  <c r="V870" i="3"/>
  <c r="V1012" i="3"/>
  <c r="V887" i="3"/>
  <c r="W55" i="3"/>
  <c r="V55" i="3"/>
  <c r="S100" i="3"/>
  <c r="T100" i="3"/>
  <c r="V714" i="3"/>
  <c r="S1047" i="3"/>
  <c r="S941" i="3"/>
  <c r="V697" i="3"/>
  <c r="S829" i="3"/>
  <c r="W916" i="3"/>
  <c r="V789" i="3"/>
  <c r="T1027" i="3"/>
  <c r="W811" i="3"/>
  <c r="T884" i="3"/>
  <c r="T901" i="3"/>
  <c r="W706" i="3"/>
  <c r="W1062" i="3"/>
  <c r="W772" i="3"/>
  <c r="W1040" i="3"/>
  <c r="T1022" i="3"/>
  <c r="T687" i="3"/>
  <c r="T1093" i="3"/>
  <c r="T762" i="3"/>
  <c r="T1046" i="3"/>
  <c r="V651" i="3"/>
  <c r="W884" i="3"/>
  <c r="V710" i="3"/>
  <c r="T852" i="3"/>
  <c r="W754" i="3"/>
  <c r="W1137" i="3"/>
  <c r="W731" i="3"/>
  <c r="W710" i="3"/>
  <c r="W847" i="3"/>
  <c r="W708" i="3"/>
  <c r="T911" i="3"/>
  <c r="S758" i="3"/>
  <c r="T675" i="3"/>
  <c r="T1023" i="3"/>
  <c r="W614" i="3"/>
  <c r="W1194" i="3"/>
  <c r="W977" i="3"/>
  <c r="W1125" i="3"/>
  <c r="W683" i="3"/>
  <c r="W885" i="3"/>
  <c r="W1012" i="3"/>
  <c r="S937" i="3"/>
  <c r="T790" i="3"/>
  <c r="V627" i="3"/>
  <c r="S845" i="3"/>
  <c r="T628" i="3"/>
  <c r="T961" i="3"/>
  <c r="T752" i="3"/>
  <c r="W1111" i="3"/>
  <c r="T641" i="3"/>
  <c r="W961" i="3"/>
  <c r="S991" i="3"/>
  <c r="T751" i="3"/>
  <c r="T951" i="3"/>
  <c r="V732" i="3"/>
  <c r="T1196" i="3"/>
  <c r="T1036" i="3"/>
  <c r="W1154" i="3"/>
  <c r="T1205" i="3"/>
  <c r="V646" i="3"/>
  <c r="T806" i="3"/>
  <c r="V1101" i="3"/>
  <c r="W1159" i="3"/>
  <c r="S1021" i="3"/>
  <c r="T619" i="3"/>
  <c r="T784" i="3"/>
  <c r="W692" i="3"/>
  <c r="W896" i="3"/>
  <c r="W758" i="3"/>
  <c r="W858" i="3"/>
  <c r="W1065" i="3"/>
  <c r="W1185" i="3"/>
  <c r="W806" i="3"/>
  <c r="W620" i="3"/>
  <c r="V914" i="3"/>
  <c r="W10" i="3"/>
  <c r="S881" i="3"/>
  <c r="T178" i="3"/>
  <c r="S178" i="3"/>
  <c r="S700" i="3"/>
  <c r="V634" i="3"/>
  <c r="S98" i="3"/>
  <c r="T98" i="3"/>
  <c r="S1094" i="3"/>
  <c r="S699" i="3"/>
  <c r="S193" i="3"/>
  <c r="T193" i="3"/>
  <c r="V681" i="3"/>
  <c r="T987" i="3"/>
  <c r="V750" i="3"/>
  <c r="S830" i="3"/>
  <c r="T896" i="3"/>
  <c r="S927" i="3"/>
  <c r="V1058" i="3"/>
  <c r="S943" i="3"/>
  <c r="T915" i="3"/>
  <c r="V1165" i="3"/>
  <c r="T862" i="3"/>
  <c r="S655" i="3"/>
  <c r="V1160" i="3"/>
  <c r="T141" i="3"/>
  <c r="S141" i="3"/>
  <c r="S1184" i="3"/>
  <c r="P53" i="3"/>
  <c r="Q53" i="3"/>
  <c r="V1077" i="3"/>
  <c r="T1068" i="3"/>
  <c r="P21" i="3"/>
  <c r="Q21" i="3"/>
  <c r="S992" i="3"/>
  <c r="T1056" i="3"/>
  <c r="T686" i="3"/>
  <c r="V900" i="3"/>
  <c r="S672" i="3"/>
  <c r="V805" i="3"/>
  <c r="S793" i="3"/>
  <c r="W725" i="3"/>
  <c r="T807" i="3"/>
  <c r="T894" i="3"/>
  <c r="T1142" i="3"/>
  <c r="T1014" i="3"/>
  <c r="V638" i="3"/>
  <c r="T778" i="3"/>
  <c r="T1009" i="3"/>
  <c r="T786" i="3"/>
  <c r="T609" i="3"/>
  <c r="T968" i="3"/>
  <c r="T1145" i="3"/>
  <c r="T768" i="3"/>
  <c r="V721" i="3"/>
  <c r="T978" i="3"/>
  <c r="S902" i="3"/>
  <c r="W1113" i="3"/>
  <c r="S1117" i="3"/>
  <c r="W1070" i="3"/>
  <c r="T613" i="3"/>
  <c r="T624" i="3"/>
  <c r="T666" i="3"/>
  <c r="W928" i="3"/>
  <c r="W1047" i="3"/>
  <c r="W1060" i="3"/>
  <c r="W1183" i="3"/>
  <c r="W995" i="3"/>
  <c r="W623" i="3"/>
  <c r="T1188" i="3"/>
  <c r="T1105" i="3"/>
  <c r="T919" i="3"/>
  <c r="T732" i="3"/>
  <c r="S974" i="3"/>
  <c r="T1161" i="3"/>
  <c r="T639" i="3"/>
  <c r="S1135" i="3"/>
  <c r="T878" i="3"/>
  <c r="S808" i="3"/>
  <c r="T971" i="3"/>
  <c r="V747" i="3"/>
  <c r="T1183" i="3"/>
  <c r="T929" i="3"/>
  <c r="S719" i="3"/>
  <c r="V736" i="3"/>
  <c r="W855" i="3"/>
  <c r="S648" i="3"/>
  <c r="T750" i="3"/>
  <c r="W1106" i="3"/>
  <c r="T955" i="3"/>
  <c r="W638" i="3"/>
  <c r="T764" i="3"/>
  <c r="T1180" i="3"/>
  <c r="T953" i="3"/>
  <c r="T643" i="3"/>
  <c r="W790" i="3"/>
  <c r="W1142" i="3"/>
  <c r="T815" i="3"/>
  <c r="T772" i="3"/>
  <c r="W1119" i="3"/>
  <c r="W1020" i="3"/>
  <c r="T805" i="3"/>
  <c r="T655" i="3"/>
  <c r="T759" i="3"/>
  <c r="W651" i="3"/>
  <c r="W911" i="3"/>
  <c r="W774" i="3"/>
  <c r="W1167" i="3"/>
  <c r="W914" i="3"/>
  <c r="W813" i="3"/>
  <c r="W936" i="3"/>
  <c r="W848" i="3"/>
  <c r="W947" i="3"/>
  <c r="W879" i="3"/>
  <c r="W930" i="3"/>
  <c r="W1050" i="3"/>
  <c r="W652" i="3"/>
  <c r="W703" i="3"/>
  <c r="W827" i="3"/>
  <c r="W801" i="3"/>
  <c r="W865" i="3"/>
  <c r="W1002" i="3"/>
  <c r="W829" i="3"/>
  <c r="W939" i="3"/>
  <c r="W867" i="3"/>
  <c r="W1094" i="3"/>
  <c r="T693" i="3"/>
  <c r="W901" i="3"/>
  <c r="W1038" i="3"/>
  <c r="W948" i="3"/>
  <c r="W798" i="3"/>
  <c r="W824" i="3"/>
  <c r="W992" i="3"/>
  <c r="T1019" i="3"/>
  <c r="W1168" i="3"/>
  <c r="T885" i="3"/>
  <c r="W835" i="3"/>
  <c r="T865" i="3"/>
  <c r="T723" i="3"/>
  <c r="T736" i="3"/>
  <c r="T1010" i="3"/>
  <c r="W720" i="3"/>
  <c r="T822" i="3"/>
  <c r="W634" i="3"/>
  <c r="W650" i="3"/>
  <c r="T1166" i="3"/>
  <c r="W888" i="3"/>
  <c r="W694" i="3"/>
  <c r="T627" i="3"/>
  <c r="W613" i="3"/>
  <c r="W871" i="3"/>
  <c r="W733" i="3"/>
  <c r="W768" i="3"/>
  <c r="W737" i="3"/>
  <c r="W1204" i="3"/>
  <c r="W629" i="3"/>
  <c r="W873" i="3"/>
  <c r="T659" i="3"/>
  <c r="W957" i="3"/>
  <c r="W646" i="3"/>
  <c r="T638" i="3"/>
  <c r="W1036" i="3"/>
  <c r="W777" i="3"/>
  <c r="W935" i="3"/>
  <c r="W831" i="3"/>
  <c r="W707" i="3"/>
  <c r="W833" i="3"/>
  <c r="W686" i="3"/>
  <c r="W821" i="3"/>
  <c r="W964" i="3"/>
  <c r="W681" i="3"/>
  <c r="T697" i="3"/>
  <c r="W859" i="3"/>
  <c r="W972" i="3"/>
  <c r="S895" i="3"/>
  <c r="S1158" i="3"/>
  <c r="T914" i="3"/>
  <c r="T799" i="3"/>
  <c r="S704" i="3"/>
  <c r="Q67" i="3"/>
  <c r="P67" i="3"/>
  <c r="S1116" i="3"/>
  <c r="T1043" i="3"/>
  <c r="S748" i="3"/>
  <c r="W1166" i="3"/>
  <c r="V1001" i="3"/>
  <c r="V837" i="3"/>
  <c r="T611" i="3"/>
  <c r="V630" i="3"/>
  <c r="T899" i="3"/>
  <c r="W915" i="3"/>
  <c r="W965" i="3"/>
  <c r="W739" i="3"/>
  <c r="S924" i="3"/>
  <c r="P32" i="3"/>
  <c r="Q32" i="3"/>
  <c r="W1039" i="3"/>
  <c r="W943" i="3"/>
  <c r="T735" i="3"/>
  <c r="T740" i="3"/>
  <c r="W969" i="3"/>
  <c r="W791" i="3"/>
  <c r="W667" i="3"/>
  <c r="V671" i="3"/>
  <c r="T770" i="3"/>
  <c r="T644" i="3"/>
  <c r="W616" i="3"/>
  <c r="W1170" i="3"/>
  <c r="T1054" i="3"/>
  <c r="T696" i="3"/>
  <c r="T993" i="3"/>
  <c r="W1198" i="3"/>
  <c r="W1148" i="3"/>
  <c r="W1117" i="3"/>
  <c r="W891" i="3"/>
  <c r="W834" i="3"/>
  <c r="W729" i="3"/>
  <c r="W856" i="3"/>
  <c r="W688" i="3"/>
  <c r="W794" i="3"/>
  <c r="T616" i="3"/>
  <c r="W850" i="3"/>
  <c r="W955" i="3"/>
  <c r="W894" i="3"/>
  <c r="T667" i="3"/>
  <c r="W866" i="3"/>
  <c r="W782" i="3"/>
  <c r="W785" i="3"/>
  <c r="W908" i="3"/>
  <c r="W749" i="3"/>
  <c r="W872" i="3"/>
  <c r="W1205" i="3"/>
  <c r="W996" i="3"/>
  <c r="T658" i="3"/>
  <c r="W741" i="3"/>
  <c r="W864" i="3"/>
  <c r="W860" i="3"/>
  <c r="W736" i="3"/>
  <c r="W744" i="3"/>
  <c r="W674" i="3"/>
  <c r="W1088" i="3"/>
  <c r="W696" i="3"/>
  <c r="T713" i="3"/>
  <c r="W950" i="3"/>
  <c r="W630" i="3"/>
  <c r="W690" i="3"/>
  <c r="W796" i="3"/>
  <c r="W1027" i="3"/>
  <c r="W752" i="3"/>
  <c r="W712" i="3"/>
  <c r="T608" i="3"/>
  <c r="W1140" i="3"/>
  <c r="W748" i="3"/>
  <c r="W1104" i="3"/>
  <c r="W724" i="3"/>
  <c r="W983" i="3"/>
  <c r="W844" i="3"/>
  <c r="W1134" i="3"/>
  <c r="W805" i="3"/>
  <c r="W976" i="3"/>
  <c r="W700" i="3"/>
  <c r="W966" i="3"/>
  <c r="W1171" i="3"/>
  <c r="P20" i="3"/>
  <c r="Q20" i="3"/>
  <c r="S1060" i="3"/>
  <c r="S709" i="3"/>
  <c r="S1180" i="3"/>
  <c r="V1112" i="3"/>
  <c r="V631" i="3"/>
  <c r="T845" i="3"/>
  <c r="P60" i="3"/>
  <c r="Q60" i="3"/>
  <c r="V1080" i="3"/>
  <c r="T854" i="3"/>
  <c r="T974" i="3"/>
  <c r="V1141" i="3"/>
  <c r="S1092" i="3"/>
  <c r="S1149" i="3"/>
  <c r="T924" i="3"/>
  <c r="T1000" i="3"/>
  <c r="T775" i="3"/>
  <c r="W8" i="3"/>
  <c r="V686" i="3"/>
  <c r="T1203" i="3"/>
  <c r="T1157" i="3"/>
  <c r="V932" i="3"/>
  <c r="S1176" i="3"/>
  <c r="T900" i="3"/>
  <c r="T937" i="3"/>
  <c r="T1130" i="3"/>
  <c r="T856" i="3"/>
  <c r="T969" i="3"/>
  <c r="T891" i="3"/>
  <c r="T727" i="3"/>
  <c r="T694" i="3"/>
  <c r="T663" i="3"/>
  <c r="V621" i="3"/>
  <c r="W919" i="3"/>
  <c r="V877" i="3"/>
  <c r="T935" i="3"/>
  <c r="W1201" i="3"/>
  <c r="T848" i="3"/>
  <c r="W954" i="3"/>
  <c r="T1044" i="3"/>
  <c r="W1069" i="3"/>
  <c r="T692" i="3"/>
  <c r="T724" i="3"/>
  <c r="W1147" i="3"/>
  <c r="W1146" i="3"/>
  <c r="W1151" i="3"/>
  <c r="W800" i="3"/>
  <c r="W937" i="3"/>
  <c r="W913" i="3"/>
  <c r="W841" i="3"/>
  <c r="T814" i="3"/>
  <c r="T817" i="3"/>
  <c r="S625" i="3"/>
  <c r="S1063" i="3"/>
  <c r="W843" i="3"/>
  <c r="S92" i="3"/>
  <c r="T92" i="3"/>
  <c r="T847" i="3"/>
  <c r="T950" i="3"/>
  <c r="W1173" i="3"/>
  <c r="S642" i="3"/>
  <c r="W617" i="3"/>
  <c r="T1062" i="3"/>
  <c r="T788" i="3"/>
  <c r="V708" i="3"/>
  <c r="S1020" i="3"/>
  <c r="T791" i="3"/>
  <c r="T1041" i="3"/>
  <c r="W756" i="3"/>
  <c r="T930" i="3"/>
  <c r="W1127" i="3"/>
  <c r="T635" i="3"/>
  <c r="W781" i="3"/>
  <c r="T831" i="3"/>
  <c r="T967" i="3"/>
  <c r="T995" i="3"/>
  <c r="T721" i="3"/>
  <c r="W830" i="3"/>
  <c r="W1189" i="3"/>
  <c r="T642" i="3"/>
  <c r="W999" i="3"/>
  <c r="W1086" i="3"/>
  <c r="W958" i="3"/>
  <c r="T1033" i="3"/>
  <c r="W906" i="3"/>
  <c r="T906" i="3"/>
  <c r="T668" i="3"/>
  <c r="W1165" i="3"/>
  <c r="W902" i="3"/>
  <c r="W1144" i="3"/>
  <c r="W986" i="3"/>
  <c r="W1097" i="3"/>
  <c r="W1014" i="3"/>
  <c r="W1000" i="3"/>
  <c r="T688" i="3"/>
  <c r="W809" i="3"/>
  <c r="T648" i="3"/>
  <c r="W849" i="3"/>
  <c r="W962" i="3"/>
  <c r="W853" i="3"/>
  <c r="T699" i="3"/>
  <c r="W1129" i="3"/>
  <c r="W628" i="3"/>
  <c r="W1066" i="3"/>
  <c r="W668" i="3"/>
  <c r="W765" i="3"/>
  <c r="W1176" i="3"/>
  <c r="W1195" i="3"/>
  <c r="W764" i="3"/>
  <c r="W1032" i="3"/>
  <c r="W1181" i="3"/>
  <c r="W632" i="3"/>
  <c r="W956" i="3"/>
  <c r="W1149" i="3"/>
  <c r="W687" i="3"/>
  <c r="W1161" i="3"/>
  <c r="T828" i="3"/>
  <c r="W1122" i="3"/>
  <c r="W750" i="3"/>
  <c r="T1018" i="3"/>
  <c r="V632" i="3"/>
  <c r="W852" i="3"/>
  <c r="W656" i="3"/>
  <c r="W1138" i="3"/>
  <c r="S607" i="3"/>
  <c r="W761" i="3"/>
  <c r="S634" i="3"/>
  <c r="T783" i="3"/>
  <c r="W627" i="3"/>
  <c r="W822" i="3"/>
  <c r="W945" i="3"/>
  <c r="W759" i="3"/>
  <c r="W631" i="3"/>
  <c r="W1095" i="3"/>
  <c r="W918" i="3"/>
  <c r="W649" i="3"/>
  <c r="W924" i="3"/>
  <c r="W1033" i="3"/>
  <c r="W1016" i="3"/>
  <c r="W745" i="3"/>
  <c r="W773" i="3"/>
  <c r="W883" i="3"/>
  <c r="W767" i="3"/>
  <c r="W959" i="3"/>
  <c r="W922" i="3"/>
  <c r="W654" i="3"/>
  <c r="W679" i="3"/>
  <c r="W1056" i="3"/>
  <c r="W658" i="3"/>
  <c r="W836" i="3"/>
  <c r="W938" i="3"/>
  <c r="W1080" i="3"/>
  <c r="T614" i="3"/>
  <c r="T677" i="3"/>
  <c r="W1041" i="3"/>
  <c r="T680" i="3"/>
  <c r="T1112" i="3"/>
  <c r="T1198" i="3"/>
  <c r="T1192" i="3"/>
  <c r="S869" i="3"/>
  <c r="W663" i="3"/>
  <c r="V146" i="3"/>
  <c r="W146" i="3"/>
  <c r="S843" i="3"/>
  <c r="T1100" i="3"/>
  <c r="W778" i="3"/>
  <c r="T610" i="3"/>
  <c r="T1177" i="3"/>
  <c r="S751" i="3"/>
  <c r="W1053" i="3"/>
  <c r="S649" i="3"/>
  <c r="S910" i="3"/>
  <c r="S1124" i="3"/>
  <c r="T1141" i="3"/>
  <c r="T870" i="3"/>
  <c r="T729" i="3"/>
  <c r="W1001" i="3"/>
  <c r="W942" i="3"/>
  <c r="W946" i="3"/>
  <c r="W1064" i="3"/>
  <c r="W803" i="3"/>
  <c r="W994" i="3"/>
  <c r="T767" i="3"/>
  <c r="W1192" i="3"/>
  <c r="W1045" i="3"/>
  <c r="W1193" i="3"/>
  <c r="T873" i="3"/>
  <c r="T829" i="3"/>
  <c r="W1093" i="3"/>
  <c r="W1121" i="3"/>
  <c r="T895" i="3"/>
  <c r="W825" i="3"/>
  <c r="T840" i="3"/>
  <c r="W1071" i="3"/>
  <c r="W742" i="3"/>
  <c r="W978" i="3"/>
  <c r="W898" i="3"/>
  <c r="W1023" i="3"/>
  <c r="W920" i="3"/>
  <c r="W838" i="3"/>
  <c r="W1139" i="3"/>
  <c r="W611" i="3"/>
  <c r="W699" i="3"/>
  <c r="W769" i="3"/>
  <c r="W892" i="3"/>
  <c r="W693" i="3"/>
  <c r="W612" i="3"/>
  <c r="W1055" i="3"/>
  <c r="W626" i="3"/>
  <c r="W705" i="3"/>
  <c r="T672" i="3"/>
  <c r="W685" i="3"/>
  <c r="W1029" i="3"/>
  <c r="W927" i="3"/>
  <c r="W684" i="3"/>
  <c r="W886" i="3"/>
  <c r="W1006" i="3"/>
  <c r="W1143" i="3"/>
  <c r="W862" i="3"/>
  <c r="W1072" i="3"/>
  <c r="W1091" i="3"/>
  <c r="S693" i="3"/>
  <c r="W1172" i="3"/>
  <c r="T1059" i="3"/>
  <c r="S1031" i="3"/>
  <c r="S702" i="3"/>
  <c r="W839" i="3"/>
  <c r="T837" i="3"/>
  <c r="T779" i="3"/>
  <c r="T902" i="3"/>
  <c r="T622" i="3"/>
  <c r="T674" i="3"/>
  <c r="W1084" i="3"/>
  <c r="T652" i="3"/>
  <c r="T1013" i="3"/>
  <c r="T769" i="3"/>
  <c r="W662" i="3"/>
  <c r="W655" i="3"/>
  <c r="W648" i="3"/>
  <c r="T625" i="3"/>
  <c r="W1077" i="3"/>
  <c r="W676" i="3"/>
  <c r="W900" i="3"/>
  <c r="W36" i="3"/>
  <c r="V1121" i="3"/>
  <c r="V648" i="3"/>
  <c r="S883" i="3"/>
  <c r="V759" i="3"/>
  <c r="T1058" i="3"/>
  <c r="V1192" i="3"/>
  <c r="V1127" i="3"/>
  <c r="V684" i="3"/>
  <c r="S104" i="3"/>
  <c r="T104" i="3"/>
  <c r="T214" i="3"/>
  <c r="S214" i="3"/>
  <c r="P58" i="3"/>
  <c r="Q58" i="3"/>
  <c r="S654" i="3"/>
  <c r="V1009" i="3"/>
  <c r="T804" i="3"/>
  <c r="S1037" i="3"/>
  <c r="T46" i="3"/>
  <c r="S46" i="3"/>
  <c r="V1032" i="3"/>
  <c r="T925" i="3"/>
  <c r="T1086" i="3"/>
  <c r="T1151" i="3"/>
  <c r="V1069" i="3"/>
  <c r="V1045" i="3"/>
  <c r="T1131" i="3"/>
  <c r="T673" i="3"/>
  <c r="V796" i="3"/>
  <c r="V700" i="3"/>
  <c r="T846" i="3"/>
  <c r="S790" i="3"/>
  <c r="S53" i="3"/>
  <c r="T53" i="3"/>
  <c r="V1097" i="3"/>
  <c r="S1068" i="3"/>
  <c r="T1144" i="3"/>
  <c r="S806" i="3"/>
  <c r="V679" i="3"/>
  <c r="S918" i="3"/>
  <c r="S1127" i="3"/>
  <c r="T718" i="3"/>
  <c r="V856" i="3"/>
  <c r="S645" i="3"/>
  <c r="T739" i="3"/>
  <c r="P104" i="3"/>
  <c r="Q104" i="3"/>
  <c r="V114" i="3"/>
  <c r="W114" i="3"/>
  <c r="W697" i="3"/>
  <c r="W682" i="3"/>
  <c r="S837" i="3"/>
  <c r="W1107" i="3"/>
  <c r="V1048" i="3"/>
  <c r="S688" i="3"/>
  <c r="S835" i="3"/>
  <c r="T681" i="3"/>
  <c r="T876" i="3"/>
  <c r="T986" i="3"/>
  <c r="T716" i="3"/>
  <c r="T926" i="3"/>
  <c r="T623" i="3"/>
  <c r="T741" i="3"/>
  <c r="W854" i="3"/>
  <c r="W1190" i="3"/>
  <c r="W887" i="3"/>
  <c r="W1158" i="3"/>
  <c r="W1188" i="3"/>
  <c r="W766" i="3"/>
  <c r="W878" i="3"/>
  <c r="T1206" i="3"/>
  <c r="V726" i="3"/>
  <c r="T749" i="3"/>
  <c r="T923" i="3"/>
  <c r="T944" i="3"/>
  <c r="V611" i="3"/>
  <c r="T637" i="3"/>
  <c r="W1061" i="3"/>
  <c r="T898" i="3"/>
  <c r="S93" i="3"/>
  <c r="T93" i="3"/>
  <c r="V645" i="3"/>
  <c r="S768" i="3"/>
  <c r="T1035" i="3"/>
  <c r="T947" i="3"/>
  <c r="T738" i="3"/>
  <c r="T1084" i="3"/>
  <c r="V824" i="3"/>
  <c r="T670" i="3"/>
  <c r="W639" i="3"/>
  <c r="T684" i="3"/>
  <c r="W1103" i="3"/>
  <c r="W1004" i="3"/>
  <c r="W990" i="3"/>
  <c r="T820" i="3"/>
  <c r="T781" i="3"/>
  <c r="T1001" i="3"/>
  <c r="W610" i="3"/>
  <c r="W709" i="3"/>
  <c r="T858" i="3"/>
  <c r="T940" i="3"/>
  <c r="W637" i="3"/>
  <c r="W1035" i="3"/>
  <c r="T838" i="3"/>
  <c r="T972" i="3"/>
  <c r="T661" i="3"/>
  <c r="W1177" i="3"/>
  <c r="W1182" i="3"/>
  <c r="W1085" i="3"/>
  <c r="W816" i="3"/>
  <c r="W818" i="3"/>
  <c r="W929" i="3"/>
  <c r="W840" i="3"/>
  <c r="W661" i="3"/>
  <c r="W730" i="3"/>
  <c r="T685" i="3"/>
  <c r="W1098" i="3"/>
  <c r="W689" i="3"/>
  <c r="W812" i="3"/>
  <c r="W1054" i="3"/>
  <c r="W1079" i="3"/>
  <c r="W975" i="3"/>
  <c r="W1135" i="3"/>
  <c r="W1169" i="3"/>
  <c r="W1003" i="3"/>
  <c r="W1120" i="3"/>
  <c r="W695" i="3"/>
  <c r="W1191" i="3"/>
  <c r="W926" i="3"/>
  <c r="W715" i="3"/>
  <c r="W837" i="3"/>
  <c r="W1108" i="3"/>
  <c r="W732" i="3"/>
  <c r="W998" i="3"/>
  <c r="W1202" i="3"/>
  <c r="W783" i="3"/>
  <c r="T785" i="3"/>
  <c r="W1157" i="3"/>
  <c r="W743" i="3"/>
  <c r="W993" i="3"/>
  <c r="W746" i="3"/>
  <c r="T756" i="3"/>
  <c r="T946" i="3"/>
  <c r="W861" i="3"/>
  <c r="W874" i="3"/>
  <c r="T859" i="3"/>
  <c r="W820" i="3"/>
  <c r="S658" i="3"/>
  <c r="W988" i="3"/>
  <c r="W1011" i="3"/>
  <c r="W735" i="3"/>
  <c r="W989" i="3"/>
  <c r="W642" i="3"/>
  <c r="W771" i="3"/>
  <c r="W1096" i="3"/>
  <c r="W897" i="3"/>
  <c r="W691" i="3"/>
  <c r="W1155" i="3"/>
  <c r="W698" i="3"/>
  <c r="W932" i="3"/>
  <c r="W971" i="3"/>
  <c r="T712" i="3"/>
  <c r="W1175" i="3"/>
  <c r="W797" i="3"/>
  <c r="W1105" i="3"/>
  <c r="W1180" i="3"/>
  <c r="W851" i="3"/>
  <c r="W882" i="3"/>
  <c r="W1007" i="3"/>
  <c r="W846" i="3"/>
  <c r="W973" i="3"/>
  <c r="W757" i="3"/>
  <c r="W1015" i="3"/>
  <c r="W740" i="3"/>
  <c r="W1005" i="3"/>
  <c r="W1114" i="3"/>
  <c r="T720" i="3"/>
  <c r="W793" i="3"/>
  <c r="T742" i="3"/>
  <c r="T808" i="3"/>
  <c r="S824" i="3"/>
  <c r="T1194" i="3"/>
  <c r="T1126" i="3"/>
  <c r="S1156" i="3"/>
  <c r="T981" i="3"/>
  <c r="W647" i="3"/>
  <c r="T1008" i="3"/>
  <c r="T708" i="3"/>
  <c r="W1126" i="3"/>
  <c r="T973" i="3"/>
  <c r="T1091" i="3"/>
  <c r="V734" i="3"/>
  <c r="S800" i="3"/>
  <c r="T989" i="3"/>
  <c r="W1179" i="3"/>
  <c r="T960" i="3"/>
  <c r="W775" i="3"/>
  <c r="T780" i="3"/>
  <c r="W967" i="3"/>
  <c r="W1075" i="3"/>
  <c r="T706" i="3"/>
  <c r="T669" i="3"/>
  <c r="W931" i="3"/>
  <c r="W899" i="3"/>
  <c r="T881" i="3"/>
  <c r="T758" i="3"/>
  <c r="T682" i="3"/>
  <c r="W702" i="3"/>
  <c r="W721" i="3"/>
  <c r="T695" i="3"/>
  <c r="T803" i="3"/>
  <c r="T630" i="3"/>
  <c r="W1133" i="3"/>
  <c r="W934" i="3"/>
  <c r="W815" i="3"/>
  <c r="W1008" i="3"/>
  <c r="W893" i="3"/>
  <c r="W1030" i="3"/>
  <c r="W1022" i="3"/>
  <c r="W1074" i="3"/>
  <c r="T646" i="3"/>
  <c r="W1024" i="3"/>
  <c r="W1124" i="3"/>
  <c r="W727" i="3"/>
  <c r="W880" i="3"/>
  <c r="W751" i="3"/>
  <c r="W881" i="3"/>
  <c r="W807" i="3"/>
  <c r="W1076" i="3"/>
  <c r="W909" i="3"/>
  <c r="W1046" i="3"/>
  <c r="W1197" i="3"/>
  <c r="W795" i="3"/>
  <c r="T649" i="3"/>
  <c r="W985" i="3"/>
  <c r="W677" i="3"/>
  <c r="W1034" i="3"/>
  <c r="W963" i="3"/>
  <c r="W904" i="3"/>
  <c r="W1200" i="3"/>
  <c r="V1207" i="3" l="1"/>
  <c r="V604" i="3"/>
  <c r="T604" i="3"/>
  <c r="Q604" i="3"/>
  <c r="W1207" i="3"/>
  <c r="P604" i="3"/>
  <c r="T1207" i="3"/>
  <c r="S1207" i="3"/>
  <c r="W604" i="3"/>
  <c r="S604" i="3"/>
</calcChain>
</file>

<file path=xl/sharedStrings.xml><?xml version="1.0" encoding="utf-8"?>
<sst xmlns="http://schemas.openxmlformats.org/spreadsheetml/2006/main" count="3064" uniqueCount="3046">
  <si>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</si>
  <si>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</si>
  <si>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</si>
  <si>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</si>
  <si>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</si>
  <si>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</si>
  <si>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</si>
  <si>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</si>
  <si>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</si>
  <si>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</si>
  <si>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</si>
  <si>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</si>
  <si>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</si>
  <si>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</si>
  <si>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</si>
  <si>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</si>
  <si>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</si>
  <si>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</si>
  <si>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</si>
  <si>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</si>
  <si>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</si>
  <si>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</si>
  <si>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</si>
  <si>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</si>
  <si>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</si>
  <si>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</si>
  <si>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</si>
  <si>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</si>
  <si>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</si>
  <si>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</si>
  <si>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</si>
  <si>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</si>
  <si>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</si>
  <si>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</si>
  <si>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</si>
  <si>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</si>
  <si>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</si>
  <si>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</si>
  <si>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</si>
  <si>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</si>
  <si>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</si>
  <si>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</si>
  <si>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</si>
  <si>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</si>
  <si>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</si>
  <si>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</si>
  <si>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</si>
  <si>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</si>
  <si>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</si>
  <si>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</si>
  <si>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</si>
  <si>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</si>
  <si>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</si>
  <si>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</si>
  <si>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</si>
  <si>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</si>
  <si>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</si>
  <si>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</si>
  <si>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</si>
  <si>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</si>
  <si>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</si>
  <si>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</si>
  <si>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</si>
  <si>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</si>
  <si>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</si>
  <si>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</si>
  <si>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</si>
  <si>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</si>
  <si>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</si>
  <si>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</si>
  <si>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</si>
  <si>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</si>
  <si>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</si>
  <si>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</si>
  <si>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</si>
  <si>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</si>
  <si>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</si>
  <si>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</si>
  <si>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</si>
  <si>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</si>
  <si>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</si>
  <si>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</si>
  <si>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</si>
  <si>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</si>
  <si>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</si>
  <si>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</si>
  <si>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</si>
  <si>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</si>
  <si>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</si>
  <si>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</si>
  <si>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</si>
  <si>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</si>
  <si>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</si>
  <si>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</si>
  <si>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</si>
  <si>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</si>
  <si>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</si>
  <si>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</si>
  <si>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</si>
  <si>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</si>
  <si>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</si>
  <si>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</si>
  <si>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</si>
  <si>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</si>
  <si>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</si>
  <si>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</si>
  <si>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</si>
  <si>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</si>
  <si>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</si>
  <si>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</si>
  <si>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</si>
  <si>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</si>
  <si>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</si>
  <si>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</si>
  <si>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</si>
  <si>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</si>
  <si>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</si>
  <si>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</si>
  <si>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</si>
  <si>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</si>
  <si>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</si>
  <si>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</si>
  <si>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</si>
  <si>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</si>
  <si>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</si>
  <si>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</si>
  <si>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</si>
  <si>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</si>
  <si>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</si>
  <si>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</si>
  <si>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</si>
  <si>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</si>
  <si>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</si>
  <si>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</si>
  <si>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</si>
  <si>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</si>
  <si>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</si>
  <si>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</si>
  <si>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</si>
  <si>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</si>
  <si>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</si>
  <si>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</si>
  <si>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</si>
  <si>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</si>
  <si>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</si>
  <si>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</si>
  <si>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</si>
  <si>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</si>
  <si>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</si>
  <si>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</si>
  <si>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</si>
  <si>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</si>
  <si>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</si>
  <si>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</si>
  <si>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</si>
  <si>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</si>
  <si>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</si>
  <si>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</si>
  <si>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</si>
  <si>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</si>
  <si>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</si>
  <si>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</si>
  <si>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</si>
  <si>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</si>
  <si>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</si>
  <si>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</si>
  <si>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</si>
  <si>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</si>
  <si>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</si>
  <si>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</si>
  <si>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</si>
  <si>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</si>
  <si>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</si>
  <si>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</si>
  <si>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</si>
  <si>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</si>
  <si>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</si>
  <si>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</si>
  <si>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</si>
  <si>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</si>
  <si>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</si>
  <si>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</si>
  <si>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</si>
  <si>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</si>
  <si>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</si>
  <si>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</si>
  <si>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</si>
  <si>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</si>
  <si>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</si>
  <si>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</si>
  <si>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</si>
  <si>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</si>
  <si>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</si>
  <si>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</si>
  <si>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</si>
  <si>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</si>
  <si>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</si>
  <si>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</si>
  <si>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</si>
  <si>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</si>
  <si>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</si>
  <si>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</si>
  <si>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</si>
  <si>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</si>
  <si>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</si>
  <si>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</si>
  <si>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</si>
  <si>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</si>
  <si>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</si>
  <si>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</si>
  <si>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</si>
  <si>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</si>
  <si>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</si>
  <si>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</si>
  <si>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</si>
  <si>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</si>
  <si>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</si>
  <si>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</si>
  <si>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</si>
  <si>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</si>
  <si>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</si>
  <si>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</si>
  <si>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</si>
  <si>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</si>
  <si>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</si>
  <si>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</si>
  <si>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</si>
  <si>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</si>
  <si>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</si>
  <si>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</si>
  <si>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</si>
  <si>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</si>
  <si>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</si>
  <si>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</si>
  <si>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</si>
  <si>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</si>
  <si>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</si>
  <si>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</si>
  <si>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</si>
  <si>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</si>
  <si>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</si>
  <si>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</si>
  <si>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</si>
  <si>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</si>
  <si>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</si>
  <si>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</si>
  <si>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</si>
  <si>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</si>
  <si>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</si>
  <si>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</si>
  <si>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</si>
  <si>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</si>
  <si>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</si>
  <si>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</si>
  <si>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</si>
  <si>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</si>
  <si>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</si>
  <si>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</si>
  <si>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</si>
  <si>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</si>
  <si>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</si>
  <si>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</si>
  <si>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</si>
  <si>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</si>
  <si>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</si>
  <si>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</si>
  <si>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</si>
  <si>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</si>
  <si>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</si>
  <si>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</si>
  <si>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</si>
  <si>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</si>
  <si>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</si>
  <si>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</si>
  <si>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</si>
  <si>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</si>
  <si>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</si>
  <si>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</si>
  <si>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</si>
  <si>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</si>
  <si>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</si>
  <si>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</si>
  <si>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</si>
  <si>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</si>
  <si>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</si>
  <si>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</si>
  <si>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</si>
  <si>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</si>
  <si>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</si>
  <si>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</si>
  <si>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</si>
  <si>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</si>
  <si>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</si>
  <si>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</si>
  <si>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</si>
  <si>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</si>
  <si>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</si>
  <si>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</si>
  <si>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</si>
  <si>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</si>
  <si>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</si>
  <si>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</si>
  <si>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</si>
  <si>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</si>
  <si>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</si>
  <si>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</si>
  <si>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</si>
  <si>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</si>
  <si>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</si>
  <si>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</si>
  <si>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</si>
  <si>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</si>
  <si>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</si>
  <si>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</si>
  <si>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</si>
  <si>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</si>
  <si>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</si>
  <si>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</si>
  <si>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</si>
  <si>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</si>
  <si>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</si>
  <si>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</si>
  <si>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</si>
  <si>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</si>
  <si>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</si>
  <si>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</si>
  <si>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</si>
  <si>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</si>
  <si>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</si>
  <si>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</si>
  <si>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</si>
  <si>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</si>
  <si>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</si>
  <si>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</si>
  <si>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</si>
  <si>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</si>
  <si>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</si>
  <si>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</si>
  <si>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</si>
  <si>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</si>
  <si>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</si>
  <si>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</si>
  <si>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</si>
  <si>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</si>
  <si>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</si>
  <si>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</si>
  <si>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</si>
  <si>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</si>
  <si>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</si>
  <si>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</si>
  <si>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</si>
  <si>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</si>
  <si>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</si>
  <si>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</si>
  <si>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</si>
  <si>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</si>
  <si>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</si>
  <si>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</si>
  <si>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</si>
  <si>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</si>
  <si>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</si>
  <si>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</si>
  <si>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</si>
  <si>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</si>
  <si>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</si>
  <si>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</si>
  <si>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</si>
  <si>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</si>
  <si>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</si>
  <si>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</si>
  <si>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</si>
  <si>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</si>
  <si>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</si>
  <si>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</si>
  <si>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</si>
  <si>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</si>
  <si>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</si>
  <si>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</si>
  <si>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</si>
  <si>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</si>
  <si>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</si>
  <si>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</si>
  <si>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</si>
  <si>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</si>
  <si>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</si>
  <si>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</si>
  <si>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</si>
  <si>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</si>
  <si>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</si>
  <si>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</si>
  <si>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</si>
  <si>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</si>
  <si>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</si>
  <si>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</si>
  <si>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</si>
  <si>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</si>
  <si>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</si>
  <si>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</si>
  <si>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</si>
  <si>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</si>
  <si>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</si>
  <si>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</si>
  <si>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</si>
  <si>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</si>
  <si>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</si>
  <si>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</si>
  <si>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</si>
  <si>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</si>
  <si>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</si>
  <si>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</si>
  <si>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</si>
  <si>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</si>
  <si>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</si>
  <si>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</si>
  <si>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</si>
  <si>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</si>
  <si>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</si>
  <si>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</si>
  <si>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</si>
  <si>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</si>
  <si>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</si>
  <si>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</si>
  <si>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</si>
  <si>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</si>
  <si>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</si>
  <si>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</si>
  <si>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</si>
  <si>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</si>
  <si>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</si>
  <si>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</si>
  <si>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</si>
  <si>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</si>
  <si>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</si>
  <si>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</si>
  <si>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</si>
  <si>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</si>
  <si>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</si>
  <si>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</si>
  <si>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</si>
  <si>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</si>
  <si>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</si>
  <si>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</si>
  <si>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</si>
  <si>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</si>
  <si>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</si>
  <si>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</si>
  <si>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</si>
  <si>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</si>
  <si>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</si>
  <si>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</si>
  <si>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</si>
  <si>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</si>
  <si>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</si>
  <si>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</si>
  <si>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</si>
  <si>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</si>
  <si>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</si>
  <si>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</si>
  <si>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</si>
  <si>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</si>
  <si>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</si>
  <si>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</si>
  <si>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</si>
  <si>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</si>
  <si>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</si>
  <si>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</si>
  <si>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</si>
  <si>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</si>
  <si>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</si>
  <si>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</si>
  <si>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</si>
  <si>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</si>
  <si>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</si>
  <si>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</si>
  <si>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</si>
  <si>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</si>
  <si>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</si>
  <si>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</si>
  <si>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</si>
  <si>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</si>
  <si>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</si>
  <si>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</si>
  <si>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</si>
  <si>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</si>
  <si>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</si>
  <si>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</si>
  <si>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</si>
  <si>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</si>
  <si>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</si>
  <si>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</si>
  <si>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</si>
  <si>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</si>
  <si>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</si>
  <si>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</si>
  <si>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</si>
  <si>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</si>
  <si>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</si>
  <si>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</si>
  <si>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</si>
  <si>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</si>
  <si>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</si>
  <si>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</si>
  <si>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</si>
  <si>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</si>
  <si>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</si>
  <si>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</si>
  <si>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</si>
  <si>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</si>
  <si>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</si>
  <si>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</si>
  <si>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</si>
  <si>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</si>
  <si>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</si>
  <si>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</si>
  <si>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</si>
  <si>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</si>
  <si>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</si>
  <si>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</si>
  <si>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</si>
  <si>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</si>
  <si>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</si>
  <si>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</si>
  <si>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</si>
  <si>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</si>
  <si>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</si>
  <si>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</si>
  <si>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</si>
  <si>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</si>
  <si>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</si>
  <si>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</si>
  <si>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</si>
  <si>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</si>
  <si>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</si>
  <si>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</si>
  <si>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</si>
  <si>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</si>
  <si>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</si>
  <si>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</si>
  <si>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</si>
  <si>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</si>
  <si>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</si>
  <si>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</si>
  <si>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</si>
  <si>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</si>
  <si>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</si>
  <si>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</si>
  <si>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</si>
  <si>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</si>
  <si>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</si>
  <si>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</si>
  <si>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</si>
  <si>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</si>
  <si>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</si>
  <si>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</si>
  <si>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</si>
  <si>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</si>
  <si>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</si>
  <si>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</si>
  <si>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</si>
  <si>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</si>
  <si>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</si>
  <si>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</si>
  <si>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</si>
  <si>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</si>
  <si>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</si>
  <si>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</si>
  <si>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</si>
  <si>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</si>
  <si>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</si>
  <si>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</si>
  <si>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</si>
  <si>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</si>
  <si>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</si>
  <si>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</si>
  <si>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</si>
  <si>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</si>
  <si>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</si>
  <si>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</si>
  <si>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</si>
  <si>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</si>
  <si>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</si>
  <si>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</si>
  <si>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</si>
  <si>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</si>
  <si>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</si>
  <si>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</si>
  <si>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</si>
  <si>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</si>
  <si>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</si>
  <si>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</si>
  <si>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</si>
  <si>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</si>
  <si>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</si>
  <si>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</si>
  <si>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</si>
  <si>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</si>
  <si>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</si>
  <si>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</si>
  <si>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</si>
  <si>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</si>
  <si>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</si>
  <si>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</si>
  <si>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</si>
  <si>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</si>
  <si>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</si>
  <si>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</si>
  <si>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</si>
  <si>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</si>
  <si>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</si>
  <si>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</si>
  <si>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</si>
  <si>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</si>
  <si>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</si>
  <si>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</si>
  <si>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</si>
  <si>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</si>
  <si>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</si>
  <si>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</si>
  <si>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</si>
  <si>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</si>
  <si>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</si>
  <si>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</si>
  <si>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</si>
  <si>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</si>
  <si>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</si>
  <si>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</si>
  <si>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</si>
  <si>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</si>
  <si>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</si>
  <si>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</si>
  <si>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</si>
  <si>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</si>
  <si>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</si>
  <si>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</si>
  <si>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</si>
  <si>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</si>
  <si>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</si>
  <si>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</si>
  <si>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</si>
  <si>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</si>
  <si>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</si>
  <si>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</si>
  <si>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</si>
  <si>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</si>
  <si>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</si>
  <si>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</si>
  <si>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</si>
  <si>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</si>
  <si>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</si>
  <si>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</si>
  <si>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</si>
  <si>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</si>
  <si>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</si>
  <si>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</si>
  <si>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</si>
  <si>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</si>
  <si>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</si>
  <si>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</si>
  <si>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</si>
  <si>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</si>
  <si>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</si>
  <si>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</si>
  <si>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</si>
  <si>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</si>
  <si>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</si>
  <si>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</si>
  <si>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</si>
  <si>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</si>
  <si>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</si>
  <si>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</si>
  <si>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</si>
  <si>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</si>
  <si>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</si>
  <si>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</si>
  <si>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</si>
  <si>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</si>
  <si>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</si>
  <si>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</si>
  <si>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</si>
  <si>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</si>
  <si>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</si>
  <si>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</si>
  <si>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</si>
  <si>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</si>
  <si>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</si>
  <si>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</si>
  <si>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</si>
  <si>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</si>
  <si>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</si>
  <si>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</si>
  <si>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</si>
  <si>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</si>
  <si>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</si>
  <si>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</si>
  <si>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</si>
  <si>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</si>
  <si>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</si>
  <si>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</si>
  <si>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</si>
  <si>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</si>
  <si>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</si>
  <si>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</si>
  <si>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</si>
  <si>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</si>
  <si>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</si>
  <si>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</si>
  <si>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</si>
  <si>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</si>
  <si>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</si>
  <si>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</si>
  <si>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</si>
  <si>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</si>
  <si>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</si>
  <si>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</si>
  <si>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</si>
  <si>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</si>
  <si>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</si>
  <si>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</si>
  <si>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</si>
  <si>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</si>
  <si>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</si>
  <si>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</si>
  <si>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</si>
  <si>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</si>
  <si>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</si>
  <si>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</si>
  <si>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</si>
  <si>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</si>
  <si>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</si>
  <si>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</si>
  <si>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</si>
  <si>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</si>
  <si>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</si>
  <si>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</si>
  <si>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</si>
  <si>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</si>
  <si>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</si>
  <si>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</si>
  <si>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</si>
  <si>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</si>
  <si>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</si>
  <si>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</si>
  <si>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</si>
  <si>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</si>
  <si>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</si>
  <si>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</si>
  <si>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</si>
  <si>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</si>
  <si>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</si>
  <si>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</si>
  <si>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</si>
  <si>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</si>
  <si>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</si>
  <si>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</si>
  <si>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</si>
  <si>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</si>
  <si>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</si>
  <si>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</si>
  <si>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</si>
  <si>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</si>
  <si>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</si>
  <si>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</si>
  <si>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</si>
  <si>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</si>
  <si>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</si>
  <si>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</si>
  <si>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</si>
  <si>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</si>
  <si>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</si>
  <si>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</si>
  <si>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</si>
  <si>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</si>
  <si>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</si>
  <si>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</si>
  <si>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</si>
  <si>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</si>
  <si>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</si>
  <si>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</si>
  <si>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</si>
  <si>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</si>
  <si>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</si>
  <si>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</si>
  <si>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</si>
  <si>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</si>
  <si>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</si>
  <si>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</si>
  <si>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</si>
  <si>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</si>
  <si>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</si>
  <si>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</si>
  <si>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</si>
  <si>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</si>
  <si>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</si>
  <si>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</si>
  <si>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</si>
  <si>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</si>
  <si>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</si>
  <si>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</si>
  <si>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</si>
  <si>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</si>
  <si>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</si>
  <si>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</si>
  <si>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</si>
  <si>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</si>
  <si>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</si>
  <si>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</si>
  <si>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</si>
  <si>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</si>
  <si>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</si>
  <si>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</si>
  <si>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</si>
  <si>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</si>
  <si>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</si>
  <si>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</si>
  <si>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</si>
  <si>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</si>
  <si>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</si>
  <si>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</si>
  <si>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</si>
  <si>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</si>
  <si>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</si>
  <si>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</si>
  <si>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</si>
  <si>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</si>
  <si>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</si>
  <si>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</si>
  <si>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</si>
  <si>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</si>
  <si>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</si>
  <si>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</si>
  <si>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</si>
  <si>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</si>
  <si>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</si>
  <si>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</si>
  <si>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</si>
  <si>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</si>
  <si>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</si>
  <si>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</si>
  <si>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</si>
  <si>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</si>
  <si>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</si>
  <si>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</si>
  <si>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</si>
  <si>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</si>
  <si>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</si>
  <si>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</si>
  <si>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</si>
  <si>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</si>
  <si>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</si>
  <si>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</si>
  <si>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</si>
  <si>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</si>
  <si>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</si>
  <si>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</si>
  <si>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</si>
  <si>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</si>
  <si>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</si>
  <si>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</si>
  <si>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</si>
  <si>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</si>
  <si>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</si>
  <si>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</si>
  <si>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</si>
  <si>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</si>
  <si>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</si>
  <si>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</si>
  <si>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</si>
  <si>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</si>
  <si>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</si>
  <si>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</si>
  <si>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</si>
  <si>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</si>
  <si>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</si>
  <si>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</si>
  <si>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</si>
  <si>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</si>
  <si>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</si>
  <si>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</si>
  <si>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</si>
  <si>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</si>
  <si>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</si>
  <si>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</si>
  <si>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</si>
  <si>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</si>
  <si>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</si>
  <si>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</si>
  <si>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</si>
  <si>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</si>
  <si>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</si>
  <si>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</si>
  <si>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</si>
  <si>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</si>
  <si>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</si>
  <si>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</si>
  <si>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</si>
  <si>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</si>
  <si>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</si>
  <si>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</si>
  <si>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</si>
  <si>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</si>
  <si>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</si>
  <si>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</si>
  <si>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</si>
  <si>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</si>
  <si>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</si>
  <si>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</si>
  <si>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</si>
  <si>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</si>
  <si>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</si>
  <si>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</si>
  <si>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</si>
  <si>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</si>
  <si>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</si>
  <si>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</si>
  <si>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</si>
  <si>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</si>
  <si>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</si>
  <si>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</si>
  <si>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</si>
  <si>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</si>
  <si>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</si>
  <si>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</si>
  <si>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</si>
  <si>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</si>
  <si>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</si>
  <si>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</si>
  <si>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</si>
  <si>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</si>
  <si>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</si>
  <si>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</si>
  <si>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</si>
  <si>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</si>
  <si>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</si>
  <si>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</si>
  <si>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</si>
  <si>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</si>
  <si>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</si>
  <si>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</si>
  <si>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</si>
  <si>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</si>
  <si>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</si>
  <si>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</si>
  <si>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</si>
  <si>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</si>
  <si>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</si>
  <si>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</si>
  <si>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</si>
  <si>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</si>
  <si>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</si>
  <si>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</si>
  <si>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</si>
  <si>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</si>
  <si>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</si>
  <si>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</si>
  <si>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</si>
  <si>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</si>
  <si>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</si>
  <si>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</si>
  <si>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</si>
  <si>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</si>
  <si>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</si>
  <si>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</si>
  <si>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</si>
  <si>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</si>
  <si>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</si>
  <si>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</si>
  <si>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</si>
  <si>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</si>
  <si>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</si>
  <si>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</si>
  <si>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</si>
  <si>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</si>
  <si>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</si>
  <si>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</si>
  <si>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</si>
  <si>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</si>
  <si>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</si>
  <si>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</si>
  <si>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</si>
  <si>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</si>
  <si>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</si>
  <si>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</si>
  <si>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</si>
  <si>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</si>
  <si>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</si>
  <si>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</si>
  <si>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</si>
  <si>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</si>
  <si>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</si>
  <si>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</si>
  <si>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</si>
  <si>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</si>
  <si>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</si>
  <si>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</si>
  <si>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</si>
  <si>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</si>
  <si>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</si>
  <si>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</si>
  <si>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</si>
  <si>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</si>
  <si>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</si>
  <si>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</si>
  <si>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</si>
  <si>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</si>
  <si>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</si>
  <si>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</si>
  <si>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</si>
  <si>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</si>
  <si>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</si>
  <si>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</si>
  <si>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</si>
  <si>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</si>
  <si>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</si>
  <si>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</si>
  <si>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</si>
  <si>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</si>
  <si>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</si>
  <si>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</si>
  <si>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</si>
  <si>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</si>
  <si>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</si>
  <si>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</si>
  <si>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</si>
  <si>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</si>
  <si>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</si>
  <si>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</si>
  <si>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</si>
  <si>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</si>
  <si>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</si>
  <si>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</si>
  <si>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</si>
  <si>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</si>
  <si>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</si>
  <si>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</si>
  <si>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</si>
  <si>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</si>
  <si>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</si>
  <si>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</si>
  <si>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</si>
  <si>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</si>
  <si>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</si>
  <si>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</si>
  <si>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</si>
  <si>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</si>
  <si>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</si>
  <si>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</si>
  <si>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</si>
  <si>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</si>
  <si>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</si>
  <si>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</si>
  <si>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</si>
  <si>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</si>
  <si>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</si>
  <si>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</si>
  <si>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</si>
  <si>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</si>
  <si>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</si>
  <si>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</si>
  <si>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</si>
  <si>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</si>
  <si>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</si>
  <si>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</si>
  <si>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</si>
  <si>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</si>
  <si>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</si>
  <si>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</si>
  <si>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</si>
  <si>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</si>
  <si>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</si>
  <si>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</si>
  <si>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</si>
  <si>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</si>
  <si>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</si>
  <si>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</si>
  <si>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</si>
  <si>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</si>
  <si>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</si>
  <si>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</si>
  <si>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</si>
  <si>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</si>
  <si>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</si>
  <si>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</si>
  <si>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</si>
  <si>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</si>
  <si>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</si>
  <si>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</si>
  <si>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</si>
  <si>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</si>
  <si>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</si>
  <si>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</si>
  <si>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</si>
  <si>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</si>
  <si>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</si>
  <si>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</si>
  <si>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</si>
  <si>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</si>
  <si>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</si>
  <si>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</si>
  <si>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</si>
  <si>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</si>
  <si>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</si>
  <si>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</si>
  <si>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</si>
  <si>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</si>
  <si>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</si>
  <si>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</si>
  <si>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</si>
  <si>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</si>
  <si>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</si>
  <si>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</si>
  <si>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</si>
  <si>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</si>
  <si>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</si>
  <si>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</si>
  <si>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</si>
  <si>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</si>
  <si>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</si>
  <si>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</si>
  <si>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</si>
  <si>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</si>
  <si>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</si>
  <si>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</si>
  <si>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</si>
  <si>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</si>
  <si>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</si>
  <si>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</si>
  <si>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</si>
  <si>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</si>
  <si>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</si>
  <si>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</si>
  <si>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</si>
  <si>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</si>
  <si>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</si>
  <si>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</si>
  <si>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</si>
  <si>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</si>
  <si>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</si>
  <si>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</si>
  <si>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</si>
  <si>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</si>
  <si>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</si>
  <si>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</si>
  <si>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</si>
  <si>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</si>
  <si>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</si>
  <si>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</si>
  <si>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</si>
  <si>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</si>
  <si>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</si>
  <si>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</si>
  <si>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</si>
  <si>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</si>
  <si>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</si>
  <si>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</si>
  <si>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</si>
  <si>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</si>
  <si>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</si>
  <si>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</si>
  <si>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</si>
  <si>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</si>
  <si>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</si>
  <si>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</si>
  <si>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</si>
  <si>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</si>
  <si>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</si>
  <si>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</si>
  <si>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</si>
  <si>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</si>
  <si>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</si>
  <si>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</si>
  <si>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</si>
  <si>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</si>
  <si>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</si>
  <si>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</si>
  <si>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</si>
  <si>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</si>
  <si>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</si>
  <si>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</si>
  <si>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</si>
  <si>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</si>
  <si>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</si>
  <si>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</si>
  <si>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</si>
  <si>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</si>
  <si>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</si>
  <si>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</si>
  <si>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</si>
  <si>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</si>
  <si>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</si>
  <si>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</si>
  <si>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</si>
  <si>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</si>
  <si>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</si>
  <si>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</si>
  <si>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</si>
  <si>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</si>
  <si>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</si>
  <si>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</si>
  <si>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</si>
  <si>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</si>
  <si>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</si>
  <si>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</si>
  <si>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</si>
  <si>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</si>
  <si>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</si>
  <si>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</si>
  <si>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</si>
  <si>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</si>
  <si>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</si>
  <si>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</si>
  <si>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</si>
  <si>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</si>
  <si>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</si>
  <si>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</si>
  <si>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</si>
  <si>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</si>
  <si>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</si>
  <si>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</si>
  <si>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</si>
  <si>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</si>
  <si>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</si>
  <si>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</si>
  <si>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</si>
  <si>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</si>
  <si>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</si>
  <si>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</si>
  <si>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</si>
  <si>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</si>
  <si>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</si>
  <si>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</si>
  <si>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</si>
  <si>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</si>
  <si>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</si>
  <si>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</si>
  <si>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</si>
  <si>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</si>
  <si>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</si>
  <si>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</si>
  <si>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</si>
  <si>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</si>
  <si>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</si>
  <si>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</si>
  <si>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</si>
  <si>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</si>
  <si>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</si>
  <si>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</si>
  <si>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</si>
  <si>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</si>
  <si>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</si>
  <si>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</si>
  <si>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</si>
  <si>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</si>
  <si>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</si>
  <si>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</si>
  <si>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</si>
  <si>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</si>
  <si>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</si>
  <si>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</si>
  <si>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</si>
  <si>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</si>
  <si>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</si>
  <si>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</si>
  <si>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</si>
  <si>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</si>
  <si>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</si>
  <si>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</si>
  <si>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</si>
  <si>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</si>
  <si>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</si>
  <si>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</si>
  <si>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</si>
  <si>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</si>
  <si>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</si>
  <si>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</si>
  <si>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</si>
  <si>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</si>
  <si>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</si>
  <si>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</si>
  <si>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</si>
  <si>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</si>
  <si>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</si>
  <si>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</si>
  <si>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</si>
  <si>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</si>
  <si>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</si>
  <si>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</si>
  <si>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</si>
  <si>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</si>
  <si>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</si>
  <si>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</si>
  <si>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</si>
  <si>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</si>
  <si>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</si>
  <si>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</si>
  <si>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</si>
  <si>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</si>
  <si>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</si>
  <si>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</si>
  <si>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</si>
  <si>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</si>
  <si>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</si>
  <si>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</si>
  <si>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</si>
  <si>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</si>
  <si>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</si>
  <si>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</si>
  <si>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</si>
  <si>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</si>
  <si>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</si>
  <si>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</si>
  <si>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</si>
  <si>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</si>
  <si>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</si>
  <si>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</si>
  <si>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</si>
  <si>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</si>
  <si>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</si>
  <si>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</si>
  <si>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</si>
  <si>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</si>
  <si>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</si>
  <si>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</si>
  <si>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</si>
  <si>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</si>
  <si>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</si>
  <si>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</si>
  <si>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</si>
  <si>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</si>
  <si>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</si>
  <si>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</si>
  <si>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</si>
  <si>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</si>
  <si>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</si>
  <si>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</si>
  <si>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</si>
  <si>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</si>
  <si>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</si>
  <si>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</si>
  <si>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</si>
  <si>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</si>
  <si>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</si>
  <si>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</si>
  <si>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</si>
  <si>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</si>
  <si>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</si>
  <si>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</si>
  <si>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</si>
  <si>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</si>
  <si>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</si>
  <si>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</si>
  <si>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</si>
  <si>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</si>
  <si>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</si>
  <si>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</si>
  <si>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</si>
  <si>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</si>
  <si>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</si>
  <si>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</si>
  <si>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</si>
  <si>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</si>
  <si>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</si>
  <si>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</si>
  <si>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</si>
  <si>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</si>
  <si>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</si>
  <si>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</si>
  <si>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</si>
  <si>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</si>
  <si>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</si>
  <si>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</si>
  <si>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</si>
  <si>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</si>
  <si>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</si>
  <si>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</si>
  <si>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</si>
  <si>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</si>
  <si>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</si>
  <si>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</si>
  <si>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</si>
  <si>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</si>
  <si>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</si>
  <si>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</si>
  <si>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</si>
  <si>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</si>
  <si>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</si>
  <si>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</si>
  <si>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</si>
  <si>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</si>
  <si>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</si>
  <si>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</si>
  <si>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</si>
  <si>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</si>
  <si>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</si>
  <si>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</si>
  <si>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</si>
  <si>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</si>
  <si>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</si>
  <si>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</si>
  <si>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</si>
  <si>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</si>
  <si>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</si>
  <si>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</si>
  <si>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</si>
  <si>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</si>
  <si>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</si>
  <si>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</si>
  <si>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</si>
  <si>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</si>
  <si>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</si>
  <si>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</si>
  <si>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</si>
  <si>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</si>
  <si>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</si>
  <si>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</si>
  <si>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</si>
  <si>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</si>
  <si>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</si>
  <si>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</si>
  <si>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</si>
  <si>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</si>
  <si>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</si>
  <si>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</si>
  <si>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</si>
  <si>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</si>
  <si>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</si>
  <si>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</si>
  <si>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</si>
  <si>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</si>
  <si>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</si>
  <si>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</si>
  <si>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</si>
  <si>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</si>
  <si>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</si>
  <si>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</si>
  <si>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</si>
  <si>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</si>
  <si>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</si>
  <si>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</si>
  <si>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</si>
  <si>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</si>
  <si>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</si>
  <si>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</si>
  <si>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</si>
  <si>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</si>
  <si>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</si>
  <si>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</si>
  <si>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</si>
  <si>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</si>
  <si>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</si>
  <si>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</si>
  <si>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</si>
  <si>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</si>
  <si>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</si>
  <si>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</si>
  <si>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</si>
  <si>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</si>
  <si>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</si>
  <si>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</si>
  <si>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</si>
  <si>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</si>
  <si>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</si>
  <si>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</si>
  <si>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</si>
  <si>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</si>
  <si>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</si>
  <si>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</si>
  <si>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</si>
  <si>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</si>
  <si>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</si>
  <si>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</si>
  <si>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</si>
  <si>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</si>
  <si>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</si>
  <si>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</si>
  <si>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</si>
  <si>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</si>
  <si>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</si>
  <si>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</si>
  <si>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</si>
  <si>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</si>
  <si>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</si>
  <si>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</si>
  <si>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</si>
  <si>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</si>
  <si>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</si>
  <si>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</si>
  <si>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</si>
  <si>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</si>
  <si>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</si>
  <si>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</si>
  <si>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</si>
  <si>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</si>
  <si>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</si>
  <si>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</si>
  <si>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</si>
  <si>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</si>
  <si>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</si>
  <si>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</si>
  <si>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</si>
  <si>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</si>
  <si>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</si>
  <si>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</si>
  <si>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</si>
  <si>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</si>
  <si>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</si>
  <si>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</si>
  <si>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</si>
  <si>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</si>
  <si>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</si>
  <si>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</si>
  <si>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</si>
  <si>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</si>
  <si>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</si>
  <si>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</si>
  <si>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</si>
  <si>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</si>
  <si>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</si>
  <si>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</si>
  <si>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</si>
  <si>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</si>
  <si>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</si>
  <si>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</si>
  <si>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</si>
  <si>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</si>
  <si>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</si>
  <si>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</si>
  <si>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</si>
  <si>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</si>
  <si>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</si>
  <si>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</si>
  <si>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</si>
  <si>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</si>
  <si>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</si>
  <si>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</si>
  <si>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</si>
  <si>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</si>
  <si>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</si>
  <si>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</si>
  <si>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</si>
  <si>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</si>
  <si>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</si>
  <si>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</si>
  <si>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</si>
  <si>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</si>
  <si>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</si>
  <si>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</si>
  <si>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</si>
  <si>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</si>
  <si>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</si>
  <si>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</si>
  <si>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</si>
  <si>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</si>
  <si>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</si>
  <si>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</si>
  <si>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</si>
  <si>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</si>
  <si>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</si>
  <si>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</si>
  <si>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</si>
  <si>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</si>
  <si>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</si>
  <si>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</si>
  <si>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</si>
  <si>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</si>
  <si>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</si>
  <si>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</si>
  <si>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</si>
  <si>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</si>
  <si>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</si>
  <si>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</si>
  <si>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</si>
  <si>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</si>
  <si>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</si>
  <si>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</si>
  <si>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</si>
  <si>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</si>
  <si>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</si>
  <si>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</si>
  <si>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</si>
  <si>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</si>
  <si>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</si>
  <si>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</si>
  <si>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</si>
  <si>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</si>
  <si>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</si>
  <si>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</si>
  <si>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</si>
  <si>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</si>
  <si>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</si>
  <si>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</si>
  <si>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</si>
  <si>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</si>
  <si>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</si>
  <si>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</si>
  <si>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</si>
  <si>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</si>
  <si>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</si>
  <si>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</si>
  <si>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</si>
  <si>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</si>
  <si>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</si>
  <si>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</si>
  <si>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</si>
  <si>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</si>
  <si>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</si>
  <si>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</si>
  <si>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</si>
  <si>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</si>
  <si>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</si>
  <si>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</si>
  <si>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</si>
  <si>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</si>
  <si>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</si>
  <si>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</si>
  <si>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</si>
  <si>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</si>
  <si>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</si>
  <si>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</si>
  <si>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</si>
  <si>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</si>
  <si>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</si>
  <si>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</si>
  <si>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</si>
  <si>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</si>
  <si>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</si>
  <si>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</si>
  <si>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</si>
  <si>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</si>
  <si>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</si>
  <si>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</si>
  <si>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</si>
  <si>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</si>
  <si>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</si>
  <si>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</si>
  <si>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</si>
  <si>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</si>
  <si>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</si>
  <si>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</si>
  <si>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</si>
  <si>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</si>
  <si>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</si>
  <si>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</si>
  <si>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</si>
  <si>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</si>
  <si>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</si>
  <si>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</si>
  <si>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</si>
  <si>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</si>
  <si>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</si>
  <si>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</si>
  <si>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</si>
  <si>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</si>
  <si>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</si>
  <si>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</si>
  <si>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</si>
  <si>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</si>
  <si>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</si>
  <si>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</si>
  <si>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</si>
  <si>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</si>
  <si>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</si>
  <si>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</si>
  <si>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</si>
  <si>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</si>
  <si>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</si>
  <si>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</si>
  <si>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</si>
  <si>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</si>
  <si>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</si>
  <si>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</si>
  <si>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</si>
  <si>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</si>
  <si>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</si>
  <si>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</si>
  <si>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</si>
  <si>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</si>
  <si>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</si>
  <si>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</si>
  <si>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</si>
  <si>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</si>
  <si>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</si>
  <si>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</si>
  <si>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</si>
  <si>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</si>
  <si>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</si>
  <si>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</si>
  <si>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</si>
  <si>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</si>
  <si>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</si>
  <si>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</si>
  <si>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</si>
  <si>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</si>
  <si>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</si>
  <si>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</si>
  <si>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</si>
  <si>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</si>
  <si>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</si>
  <si>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</si>
  <si>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</si>
  <si>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</si>
  <si>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</si>
  <si>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</si>
  <si>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</si>
  <si>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</si>
  <si>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</si>
  <si>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</si>
  <si>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</si>
  <si>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</si>
  <si>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</si>
  <si>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</si>
  <si>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</si>
  <si>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</si>
  <si>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</si>
  <si>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</si>
  <si>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</si>
  <si>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</si>
  <si>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</si>
  <si>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</si>
  <si>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</si>
  <si>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</si>
  <si>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</si>
  <si>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</si>
  <si>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</si>
  <si>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</si>
  <si>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</si>
  <si>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</si>
  <si>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</si>
  <si>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</si>
  <si>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</si>
  <si>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</si>
  <si>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</si>
  <si>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</si>
  <si>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</si>
  <si>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</si>
  <si>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</si>
  <si>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</si>
  <si>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</si>
  <si>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</si>
  <si>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</si>
  <si>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</si>
  <si>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</si>
  <si>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</si>
  <si>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</si>
  <si>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</si>
  <si>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</si>
  <si>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</si>
  <si>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</si>
  <si>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</si>
  <si>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</si>
  <si>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</si>
  <si>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</si>
  <si>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</si>
  <si>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</si>
  <si>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</si>
  <si>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</si>
  <si>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</si>
  <si>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</si>
  <si>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</si>
  <si>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</si>
  <si>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</si>
  <si>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</si>
  <si>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</si>
  <si>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</si>
  <si>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</si>
  <si>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</si>
  <si>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</si>
  <si>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</si>
  <si>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</si>
  <si>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</si>
  <si>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</si>
  <si>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</si>
  <si>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</si>
  <si>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</si>
  <si>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</si>
  <si>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</si>
  <si>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</si>
  <si>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</si>
  <si>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</si>
  <si>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</si>
  <si>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</si>
  <si>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</si>
  <si>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</si>
  <si>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</si>
  <si>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</si>
  <si>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</si>
  <si>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</si>
  <si>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</si>
  <si>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</si>
  <si>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</si>
  <si>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</si>
  <si>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</si>
  <si>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</si>
  <si>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</si>
  <si>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</si>
  <si>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</si>
  <si>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</si>
  <si>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</si>
  <si>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</si>
  <si>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</si>
  <si>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</si>
  <si>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</si>
  <si>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</si>
  <si>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</si>
  <si>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</si>
  <si>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</si>
  <si>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</si>
  <si>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</si>
  <si>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</si>
  <si>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</si>
  <si>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</si>
  <si>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</si>
  <si>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</si>
  <si>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</si>
  <si>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</si>
  <si>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</si>
  <si>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</si>
  <si>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</si>
  <si>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</si>
  <si>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</si>
  <si>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</si>
  <si>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</si>
  <si>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</si>
  <si>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</si>
  <si>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</si>
  <si>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</si>
  <si>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</si>
  <si>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</si>
  <si>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</si>
  <si>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</si>
  <si>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</si>
  <si>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</si>
  <si>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</si>
  <si>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</si>
  <si>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</si>
  <si>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</si>
  <si>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</si>
  <si>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</si>
  <si>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</si>
  <si>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</si>
  <si>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</si>
  <si>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</si>
  <si>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</si>
  <si>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</si>
  <si>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</si>
  <si>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</si>
  <si>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</si>
  <si>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</si>
  <si>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</si>
  <si>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</si>
  <si>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</si>
  <si>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</si>
  <si>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</si>
  <si>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</si>
  <si>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</si>
  <si>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</si>
  <si>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</si>
  <si>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</si>
  <si>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</si>
  <si>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</si>
  <si>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</si>
  <si>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</si>
  <si>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</si>
  <si>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</si>
  <si>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</si>
  <si>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</si>
  <si>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</si>
  <si>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</si>
  <si>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</si>
  <si>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</si>
  <si>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</si>
  <si>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</si>
  <si>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</si>
  <si>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</si>
  <si>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</si>
  <si>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</si>
  <si>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</si>
  <si>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</si>
  <si>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</si>
  <si>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</si>
  <si>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</si>
  <si>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</si>
  <si>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</si>
  <si>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</si>
  <si>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</si>
  <si>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</si>
  <si>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</si>
  <si>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</si>
  <si>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</si>
  <si>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</si>
  <si>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</si>
  <si>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</si>
  <si>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</si>
  <si>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</si>
  <si>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</si>
  <si>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</si>
  <si>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</si>
  <si>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</si>
  <si>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</si>
  <si>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</si>
  <si>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</si>
  <si>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</si>
  <si>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</si>
  <si>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</si>
  <si>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</si>
  <si>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</si>
  <si>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</si>
  <si>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</si>
  <si>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</si>
  <si>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</si>
  <si>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</si>
  <si>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</si>
  <si>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</si>
  <si>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</si>
  <si>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</si>
  <si>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</si>
  <si>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</si>
  <si>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</si>
  <si>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</si>
  <si>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</si>
  <si>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</si>
  <si>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</si>
  <si>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</si>
  <si>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</si>
  <si>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</si>
  <si>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</si>
  <si>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</si>
  <si>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</si>
  <si>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</si>
  <si>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</si>
  <si>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</si>
  <si>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</si>
  <si>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</si>
  <si>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</si>
  <si>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</si>
  <si>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</si>
  <si>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</si>
  <si>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</si>
  <si>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</si>
  <si>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</si>
  <si>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</si>
  <si>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</si>
  <si>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</si>
  <si>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</si>
  <si>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</si>
  <si>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</si>
  <si>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</si>
  <si>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</si>
  <si>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</si>
  <si>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</si>
  <si>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</si>
  <si>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</si>
  <si>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</si>
  <si>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</si>
  <si>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</si>
  <si>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</si>
  <si>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</si>
  <si>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</si>
  <si>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</si>
  <si>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</si>
  <si>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</si>
  <si>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</si>
  <si>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</si>
  <si>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</si>
  <si>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</si>
  <si>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</si>
  <si>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</si>
  <si>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</si>
  <si>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</si>
  <si>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</si>
  <si>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</si>
  <si>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</si>
  <si>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</si>
  <si>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</si>
  <si>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</si>
  <si>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</si>
  <si>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</si>
  <si>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</si>
  <si>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</si>
  <si>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</si>
  <si>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</si>
  <si>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</si>
  <si>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</si>
  <si>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</si>
  <si>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</si>
  <si>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</si>
  <si>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</si>
  <si>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</si>
  <si>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</si>
  <si>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</si>
  <si>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</si>
  <si>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</si>
  <si>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</si>
  <si>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</si>
  <si>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</si>
  <si>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</si>
  <si>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</si>
  <si>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</si>
  <si>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</si>
  <si>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</si>
  <si>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</si>
  <si>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</si>
  <si>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</si>
  <si>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</si>
  <si>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</si>
  <si>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</si>
  <si>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</si>
  <si>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</si>
  <si>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</si>
  <si>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</si>
  <si>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</si>
  <si>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</si>
  <si>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</si>
  <si>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</si>
  <si>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</si>
  <si>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</si>
  <si>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</si>
  <si>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</si>
  <si>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</si>
  <si>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</si>
  <si>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</si>
  <si>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</si>
  <si>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</si>
  <si>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</si>
  <si>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</si>
  <si>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</si>
  <si>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</si>
  <si>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</si>
  <si>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</si>
  <si>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</si>
  <si>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</si>
  <si>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</si>
  <si>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</si>
  <si>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</si>
  <si>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</si>
  <si>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</si>
  <si>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</si>
  <si>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</si>
  <si>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</si>
  <si>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</si>
  <si>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</si>
  <si>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</si>
  <si>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</si>
  <si>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</si>
  <si>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</si>
  <si>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</si>
  <si>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</si>
  <si>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</si>
  <si>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</si>
  <si>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</si>
  <si>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</si>
  <si>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</si>
  <si>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</si>
  <si>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</si>
  <si>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</si>
  <si>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</si>
  <si>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</si>
  <si>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</si>
  <si>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</si>
  <si>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</si>
  <si>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</si>
  <si>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</si>
  <si>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</si>
  <si>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</si>
  <si>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</si>
  <si>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</si>
  <si>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</si>
  <si>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</si>
  <si>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</si>
  <si>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</si>
  <si>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</si>
  <si>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</si>
  <si>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</si>
  <si>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</si>
  <si>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</si>
  <si>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</si>
  <si>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</si>
  <si>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</si>
  <si>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</si>
  <si>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</si>
  <si>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</si>
  <si>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</si>
  <si>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</si>
  <si>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</si>
  <si>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</si>
  <si>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</si>
  <si>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</si>
  <si>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</si>
  <si>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</si>
  <si>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</si>
  <si>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</si>
  <si>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</si>
  <si>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</si>
  <si>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</si>
  <si>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</si>
  <si>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</si>
  <si>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</si>
  <si>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</si>
  <si>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</si>
  <si>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</si>
  <si>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</si>
  <si>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</si>
  <si>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</si>
  <si>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</si>
  <si>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</si>
  <si>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</si>
  <si>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</si>
  <si>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</si>
  <si>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</si>
  <si>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</si>
  <si>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</si>
  <si>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</si>
  <si>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</si>
  <si>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</si>
  <si>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</si>
  <si>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</si>
  <si>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</si>
  <si>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</si>
  <si>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</si>
  <si>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</si>
  <si>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</si>
  <si>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</si>
  <si>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</si>
  <si>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</si>
  <si>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</si>
  <si>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</si>
  <si>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</si>
  <si>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</si>
  <si>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</si>
  <si>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</si>
  <si>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</si>
  <si>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</si>
  <si>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</si>
  <si>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</si>
  <si>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</si>
  <si>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</si>
  <si>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</si>
  <si>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</si>
  <si>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</si>
  <si>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</si>
  <si>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</si>
  <si>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</si>
  <si>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</si>
  <si>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</si>
  <si>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</si>
  <si>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</si>
  <si>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</si>
  <si>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</si>
  <si>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</si>
  <si>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</si>
  <si>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</si>
  <si>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</si>
  <si>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</si>
  <si>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</si>
  <si>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</si>
  <si>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</si>
  <si>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</si>
  <si>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</si>
  <si>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</si>
  <si>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</si>
  <si>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</si>
  <si>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</si>
  <si>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</si>
  <si>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</si>
  <si>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</si>
  <si>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</si>
  <si>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</si>
  <si>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</si>
  <si>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</si>
  <si>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</si>
  <si>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</si>
  <si>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</si>
  <si>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</si>
  <si>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</si>
  <si>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</si>
  <si>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</si>
  <si>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</si>
  <si>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</si>
  <si>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</si>
  <si>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</si>
  <si>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</si>
  <si>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</si>
  <si>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</si>
  <si>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</si>
  <si>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</si>
  <si>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</si>
  <si>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</si>
  <si>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</si>
  <si>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</si>
  <si>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</si>
  <si>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</si>
  <si>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</si>
  <si>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</si>
  <si>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</si>
  <si>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</si>
  <si>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</si>
  <si>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</si>
  <si>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</si>
  <si>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</si>
  <si>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</si>
  <si>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</si>
  <si>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</si>
  <si>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</si>
  <si>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</si>
  <si>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</si>
  <si>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</si>
  <si>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</si>
  <si>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</si>
  <si>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</si>
  <si>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</si>
  <si>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</si>
  <si>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</si>
  <si>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</si>
  <si>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</si>
  <si>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</si>
  <si>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</si>
  <si>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</si>
  <si>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</si>
  <si>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</si>
  <si>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</si>
  <si>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</si>
  <si>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</si>
  <si>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</si>
  <si>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</si>
  <si>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</si>
  <si>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</si>
  <si>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</si>
  <si>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</si>
  <si>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</si>
  <si>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</si>
  <si>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</si>
  <si>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</si>
  <si>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</si>
  <si>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</si>
  <si>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</si>
  <si>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</si>
  <si>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</si>
  <si>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</si>
  <si>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</si>
  <si>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</si>
  <si>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</si>
  <si>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</si>
  <si>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</si>
  <si>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</si>
  <si>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</si>
  <si>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</si>
  <si>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</si>
  <si>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</si>
  <si>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</si>
  <si>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</si>
  <si>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</si>
  <si>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</si>
  <si>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</si>
  <si>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</si>
  <si>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</si>
  <si>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</si>
  <si>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</si>
  <si>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</si>
  <si>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</si>
  <si>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</si>
  <si>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</si>
  <si>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</si>
  <si>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</si>
  <si>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</si>
  <si>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</si>
  <si>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</si>
  <si>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</si>
  <si>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</si>
  <si>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</si>
  <si>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</si>
  <si>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</si>
  <si>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</si>
  <si>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</si>
  <si>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</si>
  <si>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</si>
  <si>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</si>
  <si>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</si>
  <si>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</si>
  <si>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</si>
  <si>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</si>
  <si>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</si>
  <si>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</si>
  <si>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</si>
  <si>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</si>
  <si>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</si>
  <si>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</si>
  <si>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</si>
  <si>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</si>
  <si>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</si>
  <si>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</si>
  <si>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</si>
  <si>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</si>
  <si>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</si>
  <si>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</si>
  <si>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</si>
  <si>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</si>
  <si>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</si>
  <si>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</si>
  <si>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</si>
  <si>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</si>
  <si>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</si>
  <si>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</si>
  <si>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</si>
  <si>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</si>
  <si>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</si>
  <si>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</si>
  <si>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</si>
  <si>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</si>
  <si>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</si>
  <si>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</si>
  <si>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</si>
  <si>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</si>
  <si>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</si>
  <si>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</si>
  <si>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</si>
  <si>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</si>
  <si>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</si>
  <si>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</si>
  <si>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</si>
  <si>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</si>
  <si>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</si>
  <si>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</si>
  <si>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</si>
  <si>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</si>
  <si>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</si>
  <si>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</si>
  <si>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</si>
  <si>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</si>
  <si>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</si>
  <si>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</si>
  <si>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</si>
  <si>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</si>
  <si>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</si>
  <si>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</si>
  <si>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</si>
  <si>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</si>
  <si>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</si>
  <si>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</si>
  <si>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</si>
  <si>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</si>
  <si>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</si>
  <si>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</si>
  <si>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</si>
  <si>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</si>
  <si>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</si>
  <si>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</si>
  <si>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</si>
  <si>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</si>
  <si>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</si>
  <si>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</si>
  <si>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</si>
  <si>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</si>
  <si>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</si>
  <si>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</si>
  <si>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</si>
  <si>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</si>
  <si>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</si>
  <si>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</si>
  <si>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</si>
  <si>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</si>
  <si>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</si>
  <si>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</si>
  <si>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</si>
  <si>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</si>
  <si>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</si>
  <si>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</si>
  <si>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</si>
  <si>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</si>
  <si>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</si>
  <si>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</si>
  <si>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</si>
  <si>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</si>
  <si>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</si>
  <si>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</si>
  <si>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</si>
  <si>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</si>
  <si>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</si>
  <si>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</si>
  <si>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</si>
  <si>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</si>
  <si>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</si>
  <si>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</si>
  <si>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</si>
  <si>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</si>
  <si>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</si>
  <si>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</si>
  <si>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</si>
  <si>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</si>
  <si>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</si>
  <si>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</si>
  <si>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</si>
  <si>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</si>
  <si>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</si>
  <si>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</si>
  <si>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</si>
  <si>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</si>
  <si>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</si>
  <si>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</si>
  <si>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</si>
  <si>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</si>
  <si>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</si>
  <si>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</si>
  <si>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</si>
  <si>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</si>
  <si>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</si>
  <si>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</si>
  <si>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</si>
  <si>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</si>
  <si>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</si>
  <si>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</si>
  <si>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</si>
  <si>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</si>
  <si>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</si>
  <si>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</si>
  <si>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</si>
  <si>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</si>
  <si>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</si>
  <si>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</si>
  <si>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</si>
  <si>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</si>
  <si>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</si>
  <si>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</si>
  <si>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</si>
  <si>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</si>
  <si>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</si>
  <si>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</si>
  <si>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</si>
  <si>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</si>
  <si>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</si>
  <si>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</si>
  <si>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</si>
  <si>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</si>
  <si>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</si>
  <si>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</si>
  <si>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</si>
  <si>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</si>
  <si>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</si>
  <si>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</si>
  <si>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</si>
  <si>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</si>
  <si>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</si>
  <si>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</si>
  <si>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</si>
  <si>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</si>
  <si>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</si>
  <si>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</si>
  <si>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</si>
  <si>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</si>
  <si>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</si>
  <si>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</si>
  <si>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</si>
  <si>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</si>
  <si>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</si>
  <si>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</si>
  <si>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</si>
  <si>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</si>
  <si>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</si>
  <si>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</si>
  <si>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</si>
  <si>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</si>
  <si>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</si>
  <si>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</si>
  <si>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</si>
  <si>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</si>
  <si>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</si>
  <si>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</si>
  <si>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</si>
  <si>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</si>
  <si>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</si>
  <si>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</si>
  <si>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</si>
  <si>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</si>
  <si>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</si>
  <si>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</si>
  <si>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</si>
  <si>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</si>
  <si>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</si>
  <si>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</si>
  <si>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</si>
  <si>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</si>
  <si>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</si>
  <si>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</si>
  <si>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</si>
  <si>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</si>
  <si>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</si>
  <si>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</si>
  <si>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</si>
  <si>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</si>
  <si>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</si>
  <si>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</si>
  <si>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</si>
  <si>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</si>
  <si>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</si>
  <si>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</si>
  <si>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</si>
  <si>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</si>
  <si>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</si>
  <si>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</si>
  <si>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</si>
  <si>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</si>
  <si>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</si>
  <si>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</si>
  <si>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</si>
  <si>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</si>
  <si>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</si>
  <si>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</si>
  <si>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</si>
  <si>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</si>
  <si>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</si>
  <si>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</si>
  <si>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</si>
  <si>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</si>
  <si>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</si>
  <si>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</si>
  <si>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</si>
  <si>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</si>
  <si>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</si>
  <si>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</si>
  <si>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</si>
  <si>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</si>
  <si>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</si>
  <si>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</si>
  <si>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</si>
  <si>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</si>
  <si>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</si>
  <si>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</si>
  <si>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</si>
  <si>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</si>
  <si>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</si>
  <si>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</si>
  <si>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</si>
  <si>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</si>
  <si>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</si>
  <si>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</si>
  <si>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</si>
  <si>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</si>
  <si>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</si>
  <si>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</si>
  <si>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</si>
  <si>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</si>
  <si>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</si>
  <si>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</si>
  <si>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</si>
  <si>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</si>
  <si>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</si>
  <si>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</si>
  <si>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</si>
  <si>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</si>
  <si>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</si>
  <si>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</si>
  <si>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</si>
  <si>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</si>
  <si>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</si>
  <si>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</si>
  <si>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</si>
  <si>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</si>
  <si>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</si>
  <si>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</si>
  <si>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</si>
  <si>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</si>
  <si>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</si>
  <si>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</si>
  <si>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</si>
  <si>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</si>
  <si>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</si>
  <si>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</si>
  <si>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</si>
  <si>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</si>
  <si>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</si>
  <si>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</si>
  <si>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</si>
  <si>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</si>
  <si>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</si>
  <si>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</si>
  <si>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</si>
  <si>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</si>
  <si>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</si>
  <si>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</si>
  <si>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</si>
  <si>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</si>
  <si>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</si>
  <si>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</si>
  <si>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</si>
  <si>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</si>
  <si>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</si>
  <si>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</si>
  <si>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</si>
  <si>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</si>
  <si>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</si>
  <si>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</si>
  <si>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</si>
  <si>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</si>
  <si>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</si>
  <si>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</si>
  <si>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</si>
  <si>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</si>
  <si>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</si>
  <si>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</si>
  <si>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</si>
  <si>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</si>
  <si>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</si>
  <si>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</si>
  <si>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</si>
  <si>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</si>
  <si>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</si>
  <si>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</si>
  <si>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</si>
  <si>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</si>
  <si>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</si>
  <si>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</si>
  <si>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</si>
  <si>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</si>
  <si>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</si>
  <si>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</si>
  <si>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</si>
  <si>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</si>
  <si>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</si>
  <si>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</si>
  <si>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</si>
  <si>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</si>
  <si>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</si>
  <si>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</si>
  <si>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</si>
  <si>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</si>
  <si>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</si>
  <si>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</si>
  <si>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</si>
  <si>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</si>
  <si>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</si>
  <si>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</si>
  <si>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</si>
  <si>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</si>
  <si>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</si>
  <si>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</si>
  <si>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</si>
  <si>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</si>
  <si>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</si>
  <si>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</si>
  <si>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</si>
  <si>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</si>
  <si>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</si>
  <si>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</si>
  <si>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</si>
  <si>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</si>
  <si>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</si>
  <si>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</si>
  <si>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</si>
  <si>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</si>
  <si>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</si>
  <si>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</si>
  <si>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</si>
  <si>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</si>
  <si>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</si>
  <si>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</si>
  <si>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</si>
  <si>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</si>
  <si>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</si>
  <si>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</si>
  <si>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</si>
  <si>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</si>
  <si>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</si>
  <si>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</si>
  <si>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</si>
  <si>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</si>
  <si>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</si>
  <si>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</si>
  <si>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</si>
  <si>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</si>
  <si>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</si>
  <si>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</si>
  <si>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</si>
  <si>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</si>
  <si>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</si>
  <si>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</si>
  <si>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</si>
  <si>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</si>
  <si>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</si>
  <si>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</si>
  <si>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</si>
  <si>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</si>
  <si>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</si>
  <si>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</si>
  <si>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</si>
  <si>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</si>
  <si>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</si>
  <si>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</si>
  <si>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</si>
  <si>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</si>
  <si>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</si>
  <si>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</si>
  <si>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</si>
  <si>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</si>
  <si>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</si>
  <si>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</si>
  <si>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</si>
  <si>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</si>
  <si>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</si>
  <si>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</si>
  <si>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</si>
  <si>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</si>
  <si>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</si>
  <si>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</si>
  <si>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</si>
  <si>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</si>
  <si>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</si>
  <si>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</si>
  <si>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</si>
  <si>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</si>
  <si>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</si>
  <si>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</si>
  <si>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</si>
  <si>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</si>
  <si>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</si>
  <si>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</si>
  <si>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</si>
  <si>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</si>
  <si>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</si>
  <si>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</si>
  <si>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</si>
  <si>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</si>
  <si>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</si>
  <si>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</si>
  <si>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</si>
  <si>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</si>
  <si>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</si>
  <si>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</si>
  <si>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</si>
  <si>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</si>
  <si>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</si>
  <si>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</si>
  <si>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</si>
  <si>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</si>
  <si>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</si>
  <si>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</si>
  <si>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</si>
  <si>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</si>
  <si>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</si>
  <si>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</si>
  <si>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</si>
  <si>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</si>
  <si>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</si>
  <si>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</si>
  <si>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</si>
  <si>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</si>
  <si>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</si>
  <si>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</si>
  <si>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</si>
  <si>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</si>
  <si>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</si>
  <si>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</si>
  <si>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</si>
  <si>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</si>
  <si>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</si>
  <si>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</si>
  <si>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</si>
  <si>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</si>
  <si>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</si>
  <si>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</si>
  <si>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</si>
  <si>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</si>
  <si>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</si>
  <si>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</si>
  <si>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</si>
  <si>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</si>
  <si>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</si>
  <si>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</si>
  <si>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</si>
  <si>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</si>
  <si>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</si>
  <si>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</si>
  <si>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</si>
  <si>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</si>
  <si>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</si>
  <si>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</si>
  <si>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</si>
  <si>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</si>
  <si>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</si>
  <si>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</si>
  <si>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</si>
  <si>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</si>
  <si>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</si>
  <si>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</si>
  <si>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</si>
  <si>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</si>
  <si>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</si>
  <si>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</si>
  <si>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</si>
  <si>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</si>
  <si>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</si>
  <si>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</si>
  <si>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</si>
  <si>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</si>
  <si>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</si>
  <si>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</si>
  <si>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</si>
  <si>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</si>
  <si>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</si>
  <si>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</si>
  <si>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</si>
  <si>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</si>
  <si>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</si>
  <si>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</si>
  <si>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</si>
  <si>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</si>
  <si>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</si>
  <si>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</si>
  <si>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</si>
  <si>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</si>
  <si>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</si>
  <si>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</si>
  <si>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</si>
  <si>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</si>
  <si>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</si>
  <si>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</si>
  <si>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</si>
  <si>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</si>
  <si>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</si>
  <si>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</si>
  <si>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</si>
  <si>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</si>
  <si>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</si>
  <si>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</si>
  <si>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</si>
  <si>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</si>
  <si>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</si>
  <si>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</si>
  <si>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</si>
  <si>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</si>
  <si>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</si>
  <si>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</si>
  <si>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</si>
  <si>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</si>
  <si>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</si>
  <si>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</si>
  <si>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</si>
  <si>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</si>
  <si>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</si>
  <si>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</si>
  <si>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</si>
  <si>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</si>
  <si>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</si>
  <si>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</si>
  <si>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</si>
  <si>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</si>
  <si>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</si>
  <si>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</si>
  <si>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</si>
  <si>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</si>
  <si>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</si>
  <si>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</si>
  <si>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</si>
  <si>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</si>
  <si>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</si>
  <si>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</si>
  <si>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</si>
  <si>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</si>
  <si>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</si>
  <si>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</si>
  <si>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</si>
  <si>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</si>
  <si>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</si>
  <si>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</si>
  <si>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</si>
  <si>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</si>
  <si>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</si>
  <si>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</si>
  <si>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</si>
  <si>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</si>
  <si>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</si>
  <si>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</si>
  <si>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</si>
  <si>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</si>
  <si>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</si>
  <si>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</si>
  <si>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</si>
  <si>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</si>
  <si>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</si>
  <si>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</si>
  <si>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</si>
  <si>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</si>
  <si>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</si>
  <si>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</si>
  <si>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</si>
  <si>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</si>
  <si>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</si>
  <si>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</si>
  <si>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</si>
  <si>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</si>
  <si>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</si>
  <si>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</si>
  <si>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</si>
  <si>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</si>
  <si>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</si>
  <si>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</si>
  <si>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</si>
  <si>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</si>
  <si>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</si>
  <si>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</si>
  <si>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</si>
  <si>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</si>
  <si>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</si>
  <si>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</si>
  <si>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</si>
  <si>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</si>
  <si>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</si>
  <si>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</si>
  <si>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</si>
  <si>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</si>
  <si>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</si>
  <si>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</si>
  <si>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</si>
  <si>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</si>
  <si>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</si>
  <si>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</si>
  <si>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</si>
  <si>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</si>
  <si>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</si>
  <si>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</si>
  <si>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</si>
  <si>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</si>
  <si>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</si>
  <si>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</si>
  <si>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</si>
  <si>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</si>
  <si>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</si>
  <si>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</si>
  <si>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</si>
  <si>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</si>
  <si>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</si>
  <si>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</si>
  <si>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</si>
  <si>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</si>
  <si>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</si>
  <si>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</si>
  <si>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</si>
  <si>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</si>
  <si>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</si>
  <si>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</si>
  <si>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</si>
  <si>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</si>
  <si>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</si>
  <si>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</si>
  <si>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</si>
  <si>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</si>
  <si>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</si>
  <si>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</si>
  <si>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</si>
  <si>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</si>
  <si>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</si>
  <si>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</si>
  <si>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</si>
  <si>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</si>
  <si>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</si>
  <si>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</si>
  <si>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</si>
  <si>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</si>
  <si>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</si>
  <si>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</si>
  <si>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</si>
  <si>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</si>
  <si>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</si>
  <si>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</si>
  <si>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</si>
  <si>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</si>
  <si>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</si>
  <si>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</si>
  <si>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</si>
  <si>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</si>
  <si>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</si>
  <si>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</si>
  <si>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</si>
  <si>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</si>
  <si>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</si>
  <si>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</si>
  <si>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</si>
  <si>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</si>
  <si>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</si>
  <si>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</si>
  <si>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</si>
  <si>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</si>
  <si>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</si>
  <si>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</si>
  <si>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</si>
  <si>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</si>
  <si>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</si>
  <si>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</si>
  <si>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</si>
  <si>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</si>
  <si>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</si>
  <si>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</si>
  <si>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</si>
  <si>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</si>
  <si>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</si>
  <si>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</si>
  <si>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</si>
  <si>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</si>
  <si>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</si>
  <si>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</si>
  <si>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</si>
  <si>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</si>
  <si>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</si>
  <si>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</si>
  <si>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</si>
  <si>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</si>
  <si>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</si>
  <si>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</si>
  <si>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</si>
  <si>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</si>
  <si>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</si>
  <si>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</si>
  <si>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</si>
  <si>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</si>
  <si>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</si>
  <si>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</si>
  <si>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</si>
  <si>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</si>
  <si>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</si>
  <si>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</si>
  <si>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</si>
  <si>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</si>
  <si>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</si>
  <si>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</si>
  <si>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</si>
  <si>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</si>
  <si>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</si>
  <si>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</si>
  <si>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</si>
  <si>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</si>
  <si>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</si>
  <si>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</si>
  <si>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Data normalization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</si>
  <si>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</si>
  <si>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</si>
  <si>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</si>
  <si>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</si>
  <si>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</si>
  <si>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</si>
  <si>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</si>
  <si>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t>Vincenty formulae - 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</si>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</sst>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0" borderId="0" xfId="0"/>
    <xf numFmtId="0" fontId="0" fillId="0" borderId="0" xfId="0" applyFont="1"/>
    <xf numFmtId="0" fontId="0" fillId="4" borderId="0" xfId="0" applyFon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167" fontId="0" fillId="0" borderId="0" xfId="0" applyNumberFormat="1"/>
    <xf numFmtId="0" fontId="1" fillId="0" borderId="0" xfId="0" quotePrefix="1" applyFont="1"/>
    <xf numFmtId="0" fontId="1" fillId="4" borderId="0" xfId="0" applyFont="1" applyFill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7288125.6886785785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1696868.6805289367</c:v>
                </c:pt>
                <c:pt idx="4">
                  <c:v>15866490.845656104</c:v>
                </c:pt>
                <c:pt idx="5">
                  <c:v>2329780.6721736668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2068921.0111691356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6990776.9521898227</c:v>
                </c:pt>
                <c:pt idx="20">
                  <c:v>13278838.982651755</c:v>
                </c:pt>
                <c:pt idx="21">
                  <c:v>16293897.991794882</c:v>
                </c:pt>
                <c:pt idx="22">
                  <c:v>11321064.52843315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7776083.7706039725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2284594.0217782357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2549123.514291951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9805356.2531917598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5384030.2011314314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4871626.5668399865</c:v>
                </c:pt>
                <c:pt idx="75">
                  <c:v>18288955.12687771</c:v>
                </c:pt>
                <c:pt idx="76">
                  <c:v>5243855.9614165062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3183285.9848708725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8931844.8564139493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6324868.2003925228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3762439.1454005223</c:v>
                </c:pt>
                <c:pt idx="100">
                  <c:v>157563.53944400442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1062926.9314105944</c:v>
                </c:pt>
                <c:pt idx="107">
                  <c:v>761747.22427733836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1069049.197002166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883720.91018677095</c:v>
                </c:pt>
                <c:pt idx="116">
                  <c:v>829495.27790506906</c:v>
                </c:pt>
                <c:pt idx="117">
                  <c:v>306329.78676600731</c:v>
                </c:pt>
                <c:pt idx="118">
                  <c:v>804814.54727462819</c:v>
                </c:pt>
                <c:pt idx="119">
                  <c:v>1027495.9072773166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867936.53195090592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285845.26678411185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493633.80517836846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835019.12032674125</c:v>
                </c:pt>
                <c:pt idx="135">
                  <c:v>677065.11923854216</c:v>
                </c:pt>
                <c:pt idx="136">
                  <c:v>341268.40711491887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461332.05461750785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1006778.5685455411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888916.22765219188</c:v>
                </c:pt>
                <c:pt idx="154">
                  <c:v>284354.54353245476</c:v>
                </c:pt>
                <c:pt idx="155">
                  <c:v>365437.73063204926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800748.6970347804</c:v>
                </c:pt>
                <c:pt idx="163">
                  <c:v>726364.39339954138</c:v>
                </c:pt>
                <c:pt idx="164">
                  <c:v>1006904.0906335255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1491183.7852174009</c:v>
                </c:pt>
                <c:pt idx="169">
                  <c:v>1048756.3107671314</c:v>
                </c:pt>
                <c:pt idx="170">
                  <c:v>1265036.8789942253</c:v>
                </c:pt>
                <c:pt idx="171">
                  <c:v>124217.11633979884</c:v>
                </c:pt>
                <c:pt idx="172">
                  <c:v>654197.86448154226</c:v>
                </c:pt>
                <c:pt idx="173">
                  <c:v>518482.88925850263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702689.677872214</c:v>
                </c:pt>
                <c:pt idx="185">
                  <c:v>932048.7954508937</c:v>
                </c:pt>
                <c:pt idx="186">
                  <c:v>814807.42279340525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</c:v>
                </c:pt>
                <c:pt idx="190">
                  <c:v>1097226.7743865114</c:v>
                </c:pt>
                <c:pt idx="191">
                  <c:v>446199.73011958587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615023.21766004688</c:v>
                </c:pt>
                <c:pt idx="196">
                  <c:v>810345.09201936086</c:v>
                </c:pt>
                <c:pt idx="197">
                  <c:v>560753.58525093424</c:v>
                </c:pt>
                <c:pt idx="198">
                  <c:v>381017.52142516023</c:v>
                </c:pt>
                <c:pt idx="199">
                  <c:v>702689.677872214</c:v>
                </c:pt>
                <c:pt idx="200">
                  <c:v>49585.567217161399</c:v>
                </c:pt>
                <c:pt idx="201">
                  <c:v>89474.727395861715</c:v>
                </c:pt>
                <c:pt idx="202">
                  <c:v>38406.738006621228</c:v>
                </c:pt>
                <c:pt idx="203">
                  <c:v>129340.44800232179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79591.296759170582</c:v>
                </c:pt>
                <c:pt idx="207">
                  <c:v>57204.743556531903</c:v>
                </c:pt>
                <c:pt idx="208">
                  <c:v>109291.92307086143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80833.11181203778</c:v>
                </c:pt>
                <c:pt idx="212">
                  <c:v>110852.05972652024</c:v>
                </c:pt>
                <c:pt idx="213">
                  <c:v>14593.314259160341</c:v>
                </c:pt>
                <c:pt idx="214">
                  <c:v>85852.158139880921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38664.370838854986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24371.563607301017</c:v>
                </c:pt>
                <c:pt idx="221">
                  <c:v>100251.49147372936</c:v>
                </c:pt>
                <c:pt idx="222">
                  <c:v>69538.138403955541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78242.604907799265</c:v>
                </c:pt>
                <c:pt idx="226">
                  <c:v>124812.69357827387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103595.88459624317</c:v>
                </c:pt>
                <c:pt idx="232">
                  <c:v>55320.986308345207</c:v>
                </c:pt>
                <c:pt idx="233">
                  <c:v>50511.680909171984</c:v>
                </c:pt>
                <c:pt idx="234">
                  <c:v>67679.627979918936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81331.076349716503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95145.683755508639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38543.968896309707</c:v>
                </c:pt>
                <c:pt idx="253">
                  <c:v>131676.75512043969</c:v>
                </c:pt>
                <c:pt idx="254">
                  <c:v>95422.788932193478</c:v>
                </c:pt>
                <c:pt idx="255">
                  <c:v>72603.060594166061</c:v>
                </c:pt>
                <c:pt idx="256">
                  <c:v>85979.77724704858</c:v>
                </c:pt>
                <c:pt idx="257">
                  <c:v>33769.953259807204</c:v>
                </c:pt>
                <c:pt idx="258">
                  <c:v>45929.728481958657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91116.138675640614</c:v>
                </c:pt>
                <c:pt idx="262">
                  <c:v>72932.057748116364</c:v>
                </c:pt>
                <c:pt idx="263">
                  <c:v>74558.341885996953</c:v>
                </c:pt>
                <c:pt idx="264">
                  <c:v>65356.107157806095</c:v>
                </c:pt>
                <c:pt idx="265">
                  <c:v>49858.871930918198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26727.112434228857</c:v>
                </c:pt>
                <c:pt idx="271">
                  <c:v>56422.040883053094</c:v>
                </c:pt>
                <c:pt idx="272">
                  <c:v>63232.082980684601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72499.957777289121</c:v>
                </c:pt>
                <c:pt idx="279">
                  <c:v>105852.08396582685</c:v>
                </c:pt>
                <c:pt idx="280">
                  <c:v>60987.58623586336</c:v>
                </c:pt>
                <c:pt idx="281">
                  <c:v>118595.41223901285</c:v>
                </c:pt>
                <c:pt idx="282">
                  <c:v>91681.667135895419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98327.422119942014</c:v>
                </c:pt>
                <c:pt idx="288">
                  <c:v>104364.72049336578</c:v>
                </c:pt>
                <c:pt idx="289">
                  <c:v>95289.048672549456</c:v>
                </c:pt>
                <c:pt idx="290">
                  <c:v>62154.805845163864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84629.773088773058</c:v>
                </c:pt>
                <c:pt idx="296">
                  <c:v>87648.480561592864</c:v>
                </c:pt>
                <c:pt idx="297">
                  <c:v>81682.396548125645</c:v>
                </c:pt>
                <c:pt idx="298">
                  <c:v>25524.930567704105</c:v>
                </c:pt>
                <c:pt idx="299">
                  <c:v>58962.375187627469</c:v>
                </c:pt>
                <c:pt idx="300">
                  <c:v>17010.58403672924</c:v>
                </c:pt>
                <c:pt idx="301">
                  <c:v>17331.639774215768</c:v>
                </c:pt>
                <c:pt idx="302">
                  <c:v>14409.820246360841</c:v>
                </c:pt>
                <c:pt idx="303">
                  <c:v>15905.687489296073</c:v>
                </c:pt>
                <c:pt idx="304">
                  <c:v>16872.870978552663</c:v>
                </c:pt>
                <c:pt idx="305">
                  <c:v>7297.6871891677811</c:v>
                </c:pt>
                <c:pt idx="306">
                  <c:v>12729.16014367111</c:v>
                </c:pt>
                <c:pt idx="307">
                  <c:v>13203.952394310107</c:v>
                </c:pt>
                <c:pt idx="308">
                  <c:v>17776.249192677948</c:v>
                </c:pt>
                <c:pt idx="309">
                  <c:v>10239.334691748798</c:v>
                </c:pt>
                <c:pt idx="310">
                  <c:v>9729.7411501492206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10599.141536143883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17921.377657218189</c:v>
                </c:pt>
                <c:pt idx="324">
                  <c:v>14430.696835144814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8760.0011301431277</c:v>
                </c:pt>
                <c:pt idx="328">
                  <c:v>4735.2509714485304</c:v>
                </c:pt>
                <c:pt idx="329">
                  <c:v>17427.392335992772</c:v>
                </c:pt>
                <c:pt idx="330">
                  <c:v>13210.514522800526</c:v>
                </c:pt>
                <c:pt idx="331">
                  <c:v>6711.7722670387138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15626.82352009657</c:v>
                </c:pt>
                <c:pt idx="337">
                  <c:v>8187.4380744129348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12916.893989704367</c:v>
                </c:pt>
                <c:pt idx="346">
                  <c:v>6273.1787784632261</c:v>
                </c:pt>
                <c:pt idx="347">
                  <c:v>608.12622878136108</c:v>
                </c:pt>
                <c:pt idx="348">
                  <c:v>4711.4128070560473</c:v>
                </c:pt>
                <c:pt idx="349">
                  <c:v>7030.3342892807932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16096.001975086114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14722.294694348613</c:v>
                </c:pt>
                <c:pt idx="359">
                  <c:v>5218.9524881347934</c:v>
                </c:pt>
                <c:pt idx="360">
                  <c:v>12647.138814370512</c:v>
                </c:pt>
                <c:pt idx="361">
                  <c:v>8023.7296118947261</c:v>
                </c:pt>
                <c:pt idx="362">
                  <c:v>16241.067929490357</c:v>
                </c:pt>
                <c:pt idx="363">
                  <c:v>14312.679598349496</c:v>
                </c:pt>
                <c:pt idx="364">
                  <c:v>11423.775588966761</c:v>
                </c:pt>
                <c:pt idx="365">
                  <c:v>19121.549668648218</c:v>
                </c:pt>
                <c:pt idx="366">
                  <c:v>16966.386282289379</c:v>
                </c:pt>
                <c:pt idx="367">
                  <c:v>16993.7481194953</c:v>
                </c:pt>
                <c:pt idx="368">
                  <c:v>1216.3516011184818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19500.922762924514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14335.521140331077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8319.5897252121649</c:v>
                </c:pt>
                <c:pt idx="380">
                  <c:v>16364.372289660885</c:v>
                </c:pt>
                <c:pt idx="381">
                  <c:v>18418.541657108311</c:v>
                </c:pt>
                <c:pt idx="382">
                  <c:v>13441.573915860041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16645.358182390904</c:v>
                </c:pt>
                <c:pt idx="386">
                  <c:v>6369.9765586052245</c:v>
                </c:pt>
                <c:pt idx="387">
                  <c:v>18358.764961290173</c:v>
                </c:pt>
                <c:pt idx="388">
                  <c:v>15746.016057338393</c:v>
                </c:pt>
                <c:pt idx="389">
                  <c:v>8134.3842110890891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17359.226542057073</c:v>
                </c:pt>
                <c:pt idx="395">
                  <c:v>21624.302208367364</c:v>
                </c:pt>
                <c:pt idx="396">
                  <c:v>16791.56870190247</c:v>
                </c:pt>
                <c:pt idx="397">
                  <c:v>13525.478183625972</c:v>
                </c:pt>
                <c:pt idx="398">
                  <c:v>15537.743403435206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1282.8590733311789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1046.2658826325567</c:v>
                </c:pt>
                <c:pt idx="406">
                  <c:v>897.79918626517019</c:v>
                </c:pt>
                <c:pt idx="407">
                  <c:v>622.92869742830896</c:v>
                </c:pt>
                <c:pt idx="408">
                  <c:v>1416.5661398025172</c:v>
                </c:pt>
                <c:pt idx="409">
                  <c:v>2202.5966510465555</c:v>
                </c:pt>
                <c:pt idx="410">
                  <c:v>284.74299021233708</c:v>
                </c:pt>
                <c:pt idx="411">
                  <c:v>1489.0884742360915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2194.9640770616011</c:v>
                </c:pt>
                <c:pt idx="418">
                  <c:v>2192.5590773787821</c:v>
                </c:pt>
                <c:pt idx="419">
                  <c:v>1873.5486121952897</c:v>
                </c:pt>
                <c:pt idx="420">
                  <c:v>1320.0921840013898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1401.351349701413</c:v>
                </c:pt>
                <c:pt idx="424">
                  <c:v>1564.7206681393072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2099.3567787210477</c:v>
                </c:pt>
                <c:pt idx="429">
                  <c:v>1223.8940910290714</c:v>
                </c:pt>
                <c:pt idx="430">
                  <c:v>1663.2604016263708</c:v>
                </c:pt>
                <c:pt idx="431">
                  <c:v>1545.7427772616095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986.1500362260897</c:v>
                </c:pt>
                <c:pt idx="436">
                  <c:v>1730.1567643598189</c:v>
                </c:pt>
                <c:pt idx="437">
                  <c:v>1542.8445928081558</c:v>
                </c:pt>
                <c:pt idx="438">
                  <c:v>1977.2023920253823</c:v>
                </c:pt>
                <c:pt idx="439">
                  <c:v>322.73560211439496</c:v>
                </c:pt>
                <c:pt idx="440">
                  <c:v>1275.4025044013954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1422.9121223321524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101.33792754487061</c:v>
                </c:pt>
                <c:pt idx="451">
                  <c:v>1110.7086140020028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1047.4275438252193</c:v>
                </c:pt>
                <c:pt idx="455">
                  <c:v>2338.1601291516463</c:v>
                </c:pt>
                <c:pt idx="456">
                  <c:v>305.55685170595524</c:v>
                </c:pt>
                <c:pt idx="457">
                  <c:v>651.16316285623805</c:v>
                </c:pt>
                <c:pt idx="458">
                  <c:v>1252.2038666778039</c:v>
                </c:pt>
                <c:pt idx="459">
                  <c:v>964.66340262723452</c:v>
                </c:pt>
                <c:pt idx="460">
                  <c:v>1822.3479201068094</c:v>
                </c:pt>
                <c:pt idx="461">
                  <c:v>1180.5165197779638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1743.77852180985</c:v>
                </c:pt>
                <c:pt idx="465">
                  <c:v>1575.5517858870371</c:v>
                </c:pt>
                <c:pt idx="466">
                  <c:v>870.30879401316258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1602.3036093808105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1547.3066096808298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846.01321447761973</c:v>
                </c:pt>
                <c:pt idx="484">
                  <c:v>1774.1352398507277</c:v>
                </c:pt>
                <c:pt idx="485">
                  <c:v>1118.8372182492735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1513.2056884292956</c:v>
                </c:pt>
                <c:pt idx="490">
                  <c:v>169.72266252086632</c:v>
                </c:pt>
                <c:pt idx="491">
                  <c:v>1976.1823918834377</c:v>
                </c:pt>
                <c:pt idx="492">
                  <c:v>521.40135860733926</c:v>
                </c:pt>
                <c:pt idx="493">
                  <c:v>1443.7030729979451</c:v>
                </c:pt>
                <c:pt idx="494">
                  <c:v>1907.0400851805034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1110.3506519172206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208.23185376235003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135.12010921630409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100.39078699170371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126.47559906574956</c:v>
                </c:pt>
                <c:pt idx="516">
                  <c:v>120.60303950888468</c:v>
                </c:pt>
                <c:pt idx="517">
                  <c:v>184.64984362504592</c:v>
                </c:pt>
                <c:pt idx="518">
                  <c:v>143.60510111997831</c:v>
                </c:pt>
                <c:pt idx="519">
                  <c:v>190.47134071909531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59.967693798663049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106.74447551376403</c:v>
                </c:pt>
                <c:pt idx="529">
                  <c:v>196.75462942626979</c:v>
                </c:pt>
                <c:pt idx="530">
                  <c:v>167.52107708647421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82.638110875676134</c:v>
                </c:pt>
                <c:pt idx="537">
                  <c:v>26.53733223612619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165.51477201486955</c:v>
                </c:pt>
                <c:pt idx="543">
                  <c:v>19.990109795541205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139.00373807970252</c:v>
                </c:pt>
                <c:pt idx="548">
                  <c:v>182.30283365595594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91.931714369941957</c:v>
                </c:pt>
                <c:pt idx="553">
                  <c:v>124.88485388556613</c:v>
                </c:pt>
                <c:pt idx="554">
                  <c:v>84.135672699114224</c:v>
                </c:pt>
                <c:pt idx="555">
                  <c:v>75.547929228836253</c:v>
                </c:pt>
                <c:pt idx="556">
                  <c:v>120.34492457764077</c:v>
                </c:pt>
                <c:pt idx="557">
                  <c:v>167.63816681432803</c:v>
                </c:pt>
                <c:pt idx="558">
                  <c:v>166.39954424195031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176.58380308802677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156.45400630146776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103.271125552404</c:v>
                </c:pt>
                <c:pt idx="574">
                  <c:v>121.69186977183001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61.272036694368481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171.30354323125641</c:v>
                </c:pt>
                <c:pt idx="582">
                  <c:v>104.7607357637791</c:v>
                </c:pt>
                <c:pt idx="583">
                  <c:v>104.86770923050605</c:v>
                </c:pt>
                <c:pt idx="584">
                  <c:v>114.43493858726502</c:v>
                </c:pt>
                <c:pt idx="585">
                  <c:v>151.93178207248707</c:v>
                </c:pt>
                <c:pt idx="586">
                  <c:v>189.52997082625265</c:v>
                </c:pt>
                <c:pt idx="587">
                  <c:v>64.937933406683314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23.987302013531025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1.00456856724174E-9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2.7760747144215593E-10</c:v>
                </c:pt>
                <c:pt idx="4">
                  <c:v>1.6740337037398095E-10</c:v>
                </c:pt>
                <c:pt idx="5">
                  <c:v>7.4542201420391662E-11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8.1750646463306575E-11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9.5569029676594777E-9</c:v>
                </c:pt>
                <c:pt idx="20">
                  <c:v>3.0835926415847131E-7</c:v>
                </c:pt>
                <c:pt idx="21">
                  <c:v>1.1015670527724562E-10</c:v>
                </c:pt>
                <c:pt idx="22">
                  <c:v>3.0325322326225608E-10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5.6532671362293898E-10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9.7069414095228346E-11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2.7776181069920143E-10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8.2428503856729535E-11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1.6132305434878361E-10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3.2845975222388023E-11</c:v>
                </c:pt>
                <c:pt idx="75">
                  <c:v>6.686555015221852E-12</c:v>
                </c:pt>
                <c:pt idx="76">
                  <c:v>4.9267056462502998E-10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2.7357651600250851E-10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6.5613711754502414E-11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7.0527124889723545E-9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1.5933225296611267E-10</c:v>
                </c:pt>
                <c:pt idx="100">
                  <c:v>2.8179389177908273E-9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3.4423254686138839E-8</c:v>
                </c:pt>
                <c:pt idx="107">
                  <c:v>3.6408182127369285E-10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2.026121420782424E-12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2.1134604767136592E-10</c:v>
                </c:pt>
                <c:pt idx="116">
                  <c:v>1.1444428089811961E-10</c:v>
                </c:pt>
                <c:pt idx="117">
                  <c:v>7.6385879312593939E-10</c:v>
                </c:pt>
                <c:pt idx="118">
                  <c:v>3.4123161540216128E-10</c:v>
                </c:pt>
                <c:pt idx="119">
                  <c:v>2.6989552475065777E-10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5.6564144536141978E-11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7.5526225099884781E-10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3.6133763387051887E-10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3.9129793094696129E-10</c:v>
                </c:pt>
                <c:pt idx="135">
                  <c:v>3.5231797574457934E-10</c:v>
                </c:pt>
                <c:pt idx="136">
                  <c:v>3.367404034927572E-10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8.2910376589037378E-10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4.5139903421899018E-10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7.3369335359937284E-10</c:v>
                </c:pt>
                <c:pt idx="154">
                  <c:v>1.6442333921727818E-9</c:v>
                </c:pt>
                <c:pt idx="155">
                  <c:v>1.7295676694706586E-9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4.3434798076651592E-11</c:v>
                </c:pt>
                <c:pt idx="163">
                  <c:v>5.5005634428308547E-10</c:v>
                </c:pt>
                <c:pt idx="164">
                  <c:v>6.291816191836455E-10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1.4579085360623588E-10</c:v>
                </c:pt>
                <c:pt idx="169">
                  <c:v>2.2204261619817342E-10</c:v>
                </c:pt>
                <c:pt idx="170">
                  <c:v>4.5648199825352877E-12</c:v>
                </c:pt>
                <c:pt idx="171">
                  <c:v>2.7355235615245925E-9</c:v>
                </c:pt>
                <c:pt idx="172">
                  <c:v>7.3608053887715581E-10</c:v>
                </c:pt>
                <c:pt idx="173">
                  <c:v>4.9857500433501516E-10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1.818526151109011E-10</c:v>
                </c:pt>
                <c:pt idx="185">
                  <c:v>4.8376614712325989E-10</c:v>
                </c:pt>
                <c:pt idx="186">
                  <c:v>2.5355034676745021E-10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7.8956492670159968E-10</c:v>
                </c:pt>
                <c:pt idx="190">
                  <c:v>3.5226213074543594E-10</c:v>
                </c:pt>
                <c:pt idx="191">
                  <c:v>2.6800978368339979E-10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5.527484206555099E-10</c:v>
                </c:pt>
                <c:pt idx="196">
                  <c:v>2.3892186117807331E-11</c:v>
                </c:pt>
                <c:pt idx="197">
                  <c:v>4.4749472967855291E-10</c:v>
                </c:pt>
                <c:pt idx="198">
                  <c:v>1.5086964086355707E-9</c:v>
                </c:pt>
                <c:pt idx="199">
                  <c:v>1.818526151109011E-10</c:v>
                </c:pt>
                <c:pt idx="200">
                  <c:v>4.3795283412707708E-9</c:v>
                </c:pt>
                <c:pt idx="201">
                  <c:v>4.424285264849225E-9</c:v>
                </c:pt>
                <c:pt idx="202">
                  <c:v>1.7239762898559963E-10</c:v>
                </c:pt>
                <c:pt idx="203">
                  <c:v>1.7950975231788187E-11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3.025826102586021E-9</c:v>
                </c:pt>
                <c:pt idx="207">
                  <c:v>7.7522957870301543E-9</c:v>
                </c:pt>
                <c:pt idx="208">
                  <c:v>6.4836848804793492E-10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2.3253121086469259E-9</c:v>
                </c:pt>
                <c:pt idx="212">
                  <c:v>2.4670697136884637E-9</c:v>
                </c:pt>
                <c:pt idx="213">
                  <c:v>1.7758840839525084E-8</c:v>
                </c:pt>
                <c:pt idx="214">
                  <c:v>1.629323346967544E-9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4.1677908948215938E-9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1.6112998786573608E-8</c:v>
                </c:pt>
                <c:pt idx="221">
                  <c:v>4.7254096587497503E-9</c:v>
                </c:pt>
                <c:pt idx="222">
                  <c:v>5.8091221129370818E-9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1.1783954683016903E-9</c:v>
                </c:pt>
                <c:pt idx="226">
                  <c:v>3.3788721065370067E-9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3.8974214926184284E-9</c:v>
                </c:pt>
                <c:pt idx="232">
                  <c:v>5.5737475506060427E-9</c:v>
                </c:pt>
                <c:pt idx="233">
                  <c:v>1.7981585807219376E-9</c:v>
                </c:pt>
                <c:pt idx="234">
                  <c:v>2.9670761397413596E-10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4.2999123933847089E-9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2.5696526104203959E-9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2.6901819689644627E-9</c:v>
                </c:pt>
                <c:pt idx="253">
                  <c:v>9.1466168867215871E-10</c:v>
                </c:pt>
                <c:pt idx="254">
                  <c:v>7.1059048801895531E-10</c:v>
                </c:pt>
                <c:pt idx="255">
                  <c:v>5.5897634952566765E-9</c:v>
                </c:pt>
                <c:pt idx="256">
                  <c:v>2.8733335500024641E-9</c:v>
                </c:pt>
                <c:pt idx="257">
                  <c:v>7.6934428183226829E-9</c:v>
                </c:pt>
                <c:pt idx="258">
                  <c:v>1.049339229346286E-8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3.5598455496523845E-9</c:v>
                </c:pt>
                <c:pt idx="262">
                  <c:v>3.4536752121454335E-9</c:v>
                </c:pt>
                <c:pt idx="263">
                  <c:v>1.5290448765549056E-9</c:v>
                </c:pt>
                <c:pt idx="264">
                  <c:v>2.4145576940586521E-9</c:v>
                </c:pt>
                <c:pt idx="265">
                  <c:v>1.3855468916856076E-9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1.6246755569332872E-8</c:v>
                </c:pt>
                <c:pt idx="271">
                  <c:v>2.0727166408288397E-9</c:v>
                </c:pt>
                <c:pt idx="272">
                  <c:v>3.0546830739201445E-10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3.0718759589651434E-9</c:v>
                </c:pt>
                <c:pt idx="279">
                  <c:v>3.2283870951093234E-10</c:v>
                </c:pt>
                <c:pt idx="280">
                  <c:v>3.8673994634729474E-9</c:v>
                </c:pt>
                <c:pt idx="281">
                  <c:v>2.0153633786074167E-9</c:v>
                </c:pt>
                <c:pt idx="282">
                  <c:v>1.4822529107195535E-9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1.2198225596350931E-9</c:v>
                </c:pt>
                <c:pt idx="288">
                  <c:v>4.8544586953806246E-9</c:v>
                </c:pt>
                <c:pt idx="289">
                  <c:v>3.4363921861494643E-9</c:v>
                </c:pt>
                <c:pt idx="290">
                  <c:v>2.4911369271099041E-9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1.0489577542871092E-9</c:v>
                </c:pt>
                <c:pt idx="296">
                  <c:v>5.0018794534929591E-9</c:v>
                </c:pt>
                <c:pt idx="297">
                  <c:v>5.5320897562667319E-9</c:v>
                </c:pt>
                <c:pt idx="298">
                  <c:v>1.6936221913178492E-8</c:v>
                </c:pt>
                <c:pt idx="299">
                  <c:v>3.1821558940130446E-9</c:v>
                </c:pt>
                <c:pt idx="300">
                  <c:v>2.1591993197405767E-9</c:v>
                </c:pt>
                <c:pt idx="301">
                  <c:v>1.3027286026508586E-8</c:v>
                </c:pt>
                <c:pt idx="302">
                  <c:v>1.7096732757883985E-8</c:v>
                </c:pt>
                <c:pt idx="303">
                  <c:v>3.0762335087015435E-8</c:v>
                </c:pt>
                <c:pt idx="304">
                  <c:v>1.2711136487293524E-9</c:v>
                </c:pt>
                <c:pt idx="305">
                  <c:v>2.5921607924912057E-8</c:v>
                </c:pt>
                <c:pt idx="306">
                  <c:v>1.1286770688825439E-8</c:v>
                </c:pt>
                <c:pt idx="307">
                  <c:v>2.9863037018564298E-8</c:v>
                </c:pt>
                <c:pt idx="308">
                  <c:v>1.0839066654606636E-8</c:v>
                </c:pt>
                <c:pt idx="309">
                  <c:v>3.0104611403402382E-8</c:v>
                </c:pt>
                <c:pt idx="310">
                  <c:v>1.5431985357511568E-8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4.37635533863677E-8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1.9126978512672802E-8</c:v>
                </c:pt>
                <c:pt idx="324">
                  <c:v>1.1423924020117192E-8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1.4856519712169049E-8</c:v>
                </c:pt>
                <c:pt idx="328">
                  <c:v>6.0295578350524722E-9</c:v>
                </c:pt>
                <c:pt idx="329">
                  <c:v>3.8101351584654434E-8</c:v>
                </c:pt>
                <c:pt idx="330">
                  <c:v>3.6122700258655343E-8</c:v>
                </c:pt>
                <c:pt idx="331">
                  <c:v>3.9786618779742071E-8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3.0710234559477448E-8</c:v>
                </c:pt>
                <c:pt idx="337">
                  <c:v>9.0886715400783671E-9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7.9706722213400877E-10</c:v>
                </c:pt>
                <c:pt idx="346">
                  <c:v>3.531491354006974E-8</c:v>
                </c:pt>
                <c:pt idx="347">
                  <c:v>3.7620716940557939E-7</c:v>
                </c:pt>
                <c:pt idx="348">
                  <c:v>4.0952459961116889E-8</c:v>
                </c:pt>
                <c:pt idx="349">
                  <c:v>4.1147517794695417E-8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1.5478307340601482E-9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2.0761123653097355E-8</c:v>
                </c:pt>
                <c:pt idx="359">
                  <c:v>9.3531190391994175E-8</c:v>
                </c:pt>
                <c:pt idx="360">
                  <c:v>1.4677587360463407E-8</c:v>
                </c:pt>
                <c:pt idx="361">
                  <c:v>4.8369682614802811E-8</c:v>
                </c:pt>
                <c:pt idx="362">
                  <c:v>4.3414412576030552E-9</c:v>
                </c:pt>
                <c:pt idx="363">
                  <c:v>2.8062564418413568E-8</c:v>
                </c:pt>
                <c:pt idx="364">
                  <c:v>3.5980505857990563E-8</c:v>
                </c:pt>
                <c:pt idx="365">
                  <c:v>1.7328709279043883E-8</c:v>
                </c:pt>
                <c:pt idx="366">
                  <c:v>1.6638156191063051E-8</c:v>
                </c:pt>
                <c:pt idx="367">
                  <c:v>7.0317213229616671E-9</c:v>
                </c:pt>
                <c:pt idx="368">
                  <c:v>3.2793263654107854E-7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1.2157141721943558E-8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9.7890461170968329E-9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3.3029011672910936E-8</c:v>
                </c:pt>
                <c:pt idx="380">
                  <c:v>1.7700702829014054E-8</c:v>
                </c:pt>
                <c:pt idx="381">
                  <c:v>1.8616657594146033E-8</c:v>
                </c:pt>
                <c:pt idx="382">
                  <c:v>6.2596805741529578E-9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1.0957463590069295E-8</c:v>
                </c:pt>
                <c:pt idx="386">
                  <c:v>6.9292993586537095E-8</c:v>
                </c:pt>
                <c:pt idx="387">
                  <c:v>2.1085201638219131E-9</c:v>
                </c:pt>
                <c:pt idx="388">
                  <c:v>3.6414540136599565E-9</c:v>
                </c:pt>
                <c:pt idx="389">
                  <c:v>2.5950224274447237E-8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2.6380375462845314E-8</c:v>
                </c:pt>
                <c:pt idx="395">
                  <c:v>9.6357960776620675E-9</c:v>
                </c:pt>
                <c:pt idx="396">
                  <c:v>1.7752809734104538E-8</c:v>
                </c:pt>
                <c:pt idx="397">
                  <c:v>1.3576301892459894E-8</c:v>
                </c:pt>
                <c:pt idx="398">
                  <c:v>2.5964852549912077E-8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5.716230623161495E-8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1.121774418823812E-7</c:v>
                </c:pt>
                <c:pt idx="406">
                  <c:v>2.0746867641201242E-7</c:v>
                </c:pt>
                <c:pt idx="407">
                  <c:v>4.8572420132756615E-7</c:v>
                </c:pt>
                <c:pt idx="408">
                  <c:v>9.8691142662315449E-8</c:v>
                </c:pt>
                <c:pt idx="409">
                  <c:v>1.5842818486535358E-7</c:v>
                </c:pt>
                <c:pt idx="410">
                  <c:v>3.4373673517418122E-8</c:v>
                </c:pt>
                <c:pt idx="411">
                  <c:v>3.1847418794392305E-7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3.510836675786026E-8</c:v>
                </c:pt>
                <c:pt idx="418">
                  <c:v>3.529153922543251E-8</c:v>
                </c:pt>
                <c:pt idx="419">
                  <c:v>2.0698936097837121E-7</c:v>
                </c:pt>
                <c:pt idx="420">
                  <c:v>1.3938527746406788E-7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2.4954591170608762E-7</c:v>
                </c:pt>
                <c:pt idx="424">
                  <c:v>2.1208937105580146E-7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1.0540320310805259E-7</c:v>
                </c:pt>
                <c:pt idx="429">
                  <c:v>7.4376597505444702E-8</c:v>
                </c:pt>
                <c:pt idx="430">
                  <c:v>2.4146938592333987E-7</c:v>
                </c:pt>
                <c:pt idx="431">
                  <c:v>1.4409794542060674E-7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3.6734867635850102E-8</c:v>
                </c:pt>
                <c:pt idx="436">
                  <c:v>1.3619583715091504E-7</c:v>
                </c:pt>
                <c:pt idx="437">
                  <c:v>2.6392271696801932E-7</c:v>
                </c:pt>
                <c:pt idx="438">
                  <c:v>1.982728028422491E-7</c:v>
                </c:pt>
                <c:pt idx="439">
                  <c:v>1.2328516342313666E-6</c:v>
                </c:pt>
                <c:pt idx="440">
                  <c:v>3.8858196556678684E-7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8.5973097694489625E-8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7.1498479725524845E-7</c:v>
                </c:pt>
                <c:pt idx="451">
                  <c:v>3.4752396642829497E-7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4.3551898628416478E-7</c:v>
                </c:pt>
                <c:pt idx="455">
                  <c:v>5.5236445082225484E-8</c:v>
                </c:pt>
                <c:pt idx="456">
                  <c:v>4.8532367046813111E-7</c:v>
                </c:pt>
                <c:pt idx="457">
                  <c:v>2.5010057087809359E-7</c:v>
                </c:pt>
                <c:pt idx="458">
                  <c:v>1.0647002885049253E-7</c:v>
                </c:pt>
                <c:pt idx="459">
                  <c:v>4.173760520588389E-7</c:v>
                </c:pt>
                <c:pt idx="460">
                  <c:v>4.3840798003033785E-8</c:v>
                </c:pt>
                <c:pt idx="461">
                  <c:v>4.0678959831224009E-7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2.7422634980332777E-7</c:v>
                </c:pt>
                <c:pt idx="465">
                  <c:v>1.3589710958088867E-7</c:v>
                </c:pt>
                <c:pt idx="466">
                  <c:v>2.3668241668908719E-7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2.4378594174522952E-7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2.5225709588644953E-7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2.5351574939491862E-7</c:v>
                </c:pt>
                <c:pt idx="484">
                  <c:v>1.3519305332831777E-7</c:v>
                </c:pt>
                <c:pt idx="485">
                  <c:v>1.9506797999180503E-7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2.0590105002094367E-7</c:v>
                </c:pt>
                <c:pt idx="490">
                  <c:v>1.9884113154432608E-6</c:v>
                </c:pt>
                <c:pt idx="491">
                  <c:v>1.9830331301194353E-7</c:v>
                </c:pt>
                <c:pt idx="492">
                  <c:v>6.8777647014109471E-7</c:v>
                </c:pt>
                <c:pt idx="493">
                  <c:v>5.0562993325825724E-8</c:v>
                </c:pt>
                <c:pt idx="494">
                  <c:v>4.4666343363112918E-8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3.1348895935623095E-7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7.0228230997964339E-7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8.0829117882132881E-7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2.1217867766953404E-6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3.1700421458306734E-6</c:v>
                </c:pt>
                <c:pt idx="516">
                  <c:v>3.2759454311218988E-7</c:v>
                </c:pt>
                <c:pt idx="517">
                  <c:v>8.4687221276914932E-7</c:v>
                </c:pt>
                <c:pt idx="518">
                  <c:v>7.0415360415695448E-7</c:v>
                </c:pt>
                <c:pt idx="519">
                  <c:v>1.7888239958079212E-6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5.1060788579635677E-6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4.4547118716762621E-6</c:v>
                </c:pt>
                <c:pt idx="529">
                  <c:v>1.883427258308223E-6</c:v>
                </c:pt>
                <c:pt idx="530">
                  <c:v>4.6016006483233595E-7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1.3417032857563138E-6</c:v>
                </c:pt>
                <c:pt idx="537">
                  <c:v>1.2519731928658905E-5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1.3774288157359549E-6</c:v>
                </c:pt>
                <c:pt idx="543">
                  <c:v>5.4925233219800473E-6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1.8842644634372126E-6</c:v>
                </c:pt>
                <c:pt idx="548">
                  <c:v>9.1245916995829216E-7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3.1069710007909851E-6</c:v>
                </c:pt>
                <c:pt idx="553">
                  <c:v>1.1699918635128313E-6</c:v>
                </c:pt>
                <c:pt idx="554">
                  <c:v>3.8901407931422891E-6</c:v>
                </c:pt>
                <c:pt idx="555">
                  <c:v>9.3677084434892811E-7</c:v>
                </c:pt>
                <c:pt idx="556">
                  <c:v>6.2671784644954062E-7</c:v>
                </c:pt>
                <c:pt idx="557">
                  <c:v>9.9508660342861562E-7</c:v>
                </c:pt>
                <c:pt idx="558">
                  <c:v>2.7389305871180406E-6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1.1151178659090413E-6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4.027680819525942E-8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1.2157566403005003E-6</c:v>
                </c:pt>
                <c:pt idx="574">
                  <c:v>1.0701456955208101E-6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5.9887662361951673E-7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2.6664219375464907E-6</c:v>
                </c:pt>
                <c:pt idx="582">
                  <c:v>2.5222766191637712E-6</c:v>
                </c:pt>
                <c:pt idx="583">
                  <c:v>2.7727189795151888E-6</c:v>
                </c:pt>
                <c:pt idx="584">
                  <c:v>5.3666041839622091E-7</c:v>
                </c:pt>
                <c:pt idx="585">
                  <c:v>1.4343753318644104E-6</c:v>
                </c:pt>
                <c:pt idx="586">
                  <c:v>1.5392680499309727E-7</c:v>
                </c:pt>
                <c:pt idx="587">
                  <c:v>1.0254907248231843E-6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1.2590717097867426E-5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7"/>
  <sheetViews>
    <sheetView tabSelected="1" topLeftCell="A1175" workbookViewId="0">
      <selection activeCell="N1210" sqref="N1210"/>
    </sheetView>
  </sheetViews>
  <sheetFormatPr defaultRowHeight="14.25" x14ac:dyDescent="0.45"/>
  <cols>
    <col min="1" max="1" width="9.46484375" bestFit="1" customWidth="1"/>
    <col min="2" max="3" width="10.46484375" bestFit="1" customWidth="1"/>
    <col min="4" max="4" width="11.796875" bestFit="1" customWidth="1"/>
    <col min="5" max="5" width="16.19921875" bestFit="1" customWidth="1"/>
    <col min="6" max="6" width="17.19921875" bestFit="1" customWidth="1"/>
    <col min="7" max="7" width="13.796875" bestFit="1" customWidth="1"/>
    <col min="8" max="10" width="12.46484375" style="7" bestFit="1" customWidth="1"/>
    <col min="11" max="11" width="15.46484375" bestFit="1" customWidth="1"/>
    <col min="12" max="13" width="14.796875" bestFit="1" customWidth="1"/>
    <col min="14" max="14" width="14.796875" style="7" customWidth="1"/>
    <col min="15" max="15" width="13.53125" customWidth="1"/>
    <col min="16" max="16" width="11.06640625" customWidth="1"/>
    <col min="17" max="17" width="12.59765625" style="7" bestFit="1" customWidth="1"/>
    <col min="18" max="18" width="12.59765625" customWidth="1"/>
    <col min="19" max="19" width="14.265625" bestFit="1" customWidth="1"/>
    <col min="20" max="20" width="14" style="7" bestFit="1" customWidth="1"/>
    <col min="21" max="21" width="10.46484375" bestFit="1" customWidth="1"/>
    <col min="22" max="22" width="13.73046875" bestFit="1" customWidth="1"/>
    <col min="23" max="23" width="13.46484375" bestFit="1" customWidth="1"/>
  </cols>
  <sheetData>
    <row r="1" spans="1:23" s="1" customFormat="1" x14ac:dyDescent="0.45">
      <c r="A1" s="17" t="s">
        <v>3028</v>
      </c>
      <c r="B1" s="17"/>
      <c r="C1" s="17"/>
      <c r="D1" s="17"/>
      <c r="E1" s="16" t="s">
        <v>3037</v>
      </c>
      <c r="F1" s="16"/>
      <c r="G1" s="16"/>
      <c r="H1" s="16" t="s">
        <v>3027</v>
      </c>
      <c r="I1" s="16"/>
      <c r="J1" s="16"/>
      <c r="K1" s="18" t="s">
        <v>3029</v>
      </c>
      <c r="L1" s="18"/>
      <c r="M1" s="18"/>
      <c r="N1" s="18"/>
      <c r="O1" s="19" t="s">
        <v>3030</v>
      </c>
      <c r="P1" s="19"/>
      <c r="Q1" s="19"/>
      <c r="R1" s="19"/>
      <c r="S1" s="19"/>
      <c r="T1" s="19"/>
      <c r="U1" s="19"/>
      <c r="V1" s="19"/>
      <c r="W1" s="19"/>
    </row>
    <row r="2" spans="1:23" x14ac:dyDescent="0.45">
      <c r="A2" s="1" t="s">
        <v>7</v>
      </c>
      <c r="B2" s="1"/>
      <c r="C2" s="1"/>
      <c r="D2" s="1"/>
      <c r="K2" s="1"/>
    </row>
    <row r="3" spans="1:23" x14ac:dyDescent="0.4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45">
      <c r="A4" s="8">
        <v>37.932040000000001</v>
      </c>
      <c r="B4" s="8">
        <v>40.935720000000003</v>
      </c>
      <c r="C4" s="8">
        <v>358.74230999999997</v>
      </c>
      <c r="D4" s="8">
        <v>22085892.740699999</v>
      </c>
      <c r="E4" s="9" t="s">
        <v>22</v>
      </c>
      <c r="F4" s="9" t="s">
        <v>23</v>
      </c>
      <c r="G4" s="9" t="s">
        <v>24</v>
      </c>
      <c r="H4" s="9">
        <v>-56.652521952863999</v>
      </c>
      <c r="I4" s="9">
        <v>-139.78570931061299</v>
      </c>
      <c r="J4" s="9">
        <v>-178.19723133690599</v>
      </c>
      <c r="K4" s="4">
        <f>ConvertDecimal(E4)</f>
        <v>-56.652521955555557</v>
      </c>
      <c r="L4" s="4">
        <f>MOD(ConvertDecimal(F4)+3*180, 360) - 180</f>
        <v>-139.78570931111108</v>
      </c>
      <c r="M4" s="4">
        <f>MOD(ConvertDecimal(G4)+180, 360)</f>
        <v>181.80276944444444</v>
      </c>
      <c r="N4" s="4">
        <f>MOD(J4+360, 360)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45">
      <c r="A5" s="8">
        <v>-47.332500000000003</v>
      </c>
      <c r="B5" s="8">
        <v>52.239800000000002</v>
      </c>
      <c r="C5" s="8">
        <v>231.23896999999999</v>
      </c>
      <c r="D5" s="8">
        <v>19786754.972199999</v>
      </c>
      <c r="E5" s="9" t="s">
        <v>25</v>
      </c>
      <c r="F5" s="9" t="s">
        <v>26</v>
      </c>
      <c r="G5" s="9" t="s">
        <v>27</v>
      </c>
      <c r="H5" s="9">
        <v>46.142901287247</v>
      </c>
      <c r="I5" s="9">
        <v>-125.343955892468</v>
      </c>
      <c r="J5" s="9">
        <v>-49.7117815041235</v>
      </c>
      <c r="K5" s="4">
        <f t="shared" ref="K5:K41" si="0">ConvertDecimal(E5)</f>
        <v>46.142901288888886</v>
      </c>
      <c r="L5" s="4">
        <f t="shared" ref="L5:L41" si="1">MOD(ConvertDecimal(F5)+3*180, 360) - 180</f>
        <v>-125.34395589166667</v>
      </c>
      <c r="M5" s="4">
        <f t="shared" ref="M5:M7" si="2">MOD(ConvertDecimal(G5)+180, 360)</f>
        <v>310.28821944444445</v>
      </c>
      <c r="N5" s="4">
        <f t="shared" ref="N5:N7" si="3">MOD(J5+360, 360)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45">
      <c r="A6" s="8">
        <v>71.026139999999998</v>
      </c>
      <c r="B6" s="8">
        <v>-11.58161</v>
      </c>
      <c r="C6" s="8">
        <v>341.87815999999998</v>
      </c>
      <c r="D6" s="8">
        <v>13647633.196599999</v>
      </c>
      <c r="E6" s="9" t="s">
        <v>28</v>
      </c>
      <c r="F6" s="9" t="s">
        <v>29</v>
      </c>
      <c r="G6" s="9" t="s">
        <v>30</v>
      </c>
      <c r="H6" s="9">
        <v>-14.619127111753301</v>
      </c>
      <c r="I6" s="9">
        <v>-175.86768424876399</v>
      </c>
      <c r="J6" s="9">
        <v>-173.98403014430301</v>
      </c>
      <c r="K6" s="4">
        <f t="shared" si="0"/>
        <v>-14.619127113888888</v>
      </c>
      <c r="L6" s="4">
        <f t="shared" si="1"/>
        <v>-175.8676842472222</v>
      </c>
      <c r="M6" s="4">
        <f t="shared" si="2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8.8383678638979203E-12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45">
      <c r="A7" s="8">
        <v>-73.146209999999996</v>
      </c>
      <c r="B7" s="8">
        <v>-166.31254999999999</v>
      </c>
      <c r="C7" s="8">
        <v>349.94654000000003</v>
      </c>
      <c r="D7" s="8">
        <v>5057004.3572000004</v>
      </c>
      <c r="E7" s="9" t="s">
        <v>31</v>
      </c>
      <c r="F7" s="9" t="s">
        <v>32</v>
      </c>
      <c r="G7" s="9" t="s">
        <v>33</v>
      </c>
      <c r="H7" s="9">
        <v>-27.887307628191099</v>
      </c>
      <c r="I7" s="9">
        <v>-174.39573187561999</v>
      </c>
      <c r="J7" s="9">
        <v>-3.2903835489579998</v>
      </c>
      <c r="K7" s="4">
        <f t="shared" si="0"/>
        <v>-27.887307627777776</v>
      </c>
      <c r="L7" s="4">
        <f t="shared" si="1"/>
        <v>-174.39573187500002</v>
      </c>
      <c r="M7" s="4">
        <f t="shared" si="2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3.5717054378555396E-12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45">
      <c r="A8" s="8">
        <v>66.380279999999999</v>
      </c>
      <c r="B8" s="8">
        <v>29.74333</v>
      </c>
      <c r="C8" s="8">
        <v>140.27108000000001</v>
      </c>
      <c r="D8" s="8">
        <v>26211926.041299999</v>
      </c>
      <c r="E8" s="9" t="s">
        <v>34</v>
      </c>
      <c r="F8" s="9" t="s">
        <v>35</v>
      </c>
      <c r="G8" s="9" t="s">
        <v>36</v>
      </c>
      <c r="H8" s="9">
        <v>-14.9790537788867</v>
      </c>
      <c r="I8" s="9">
        <v>-117.250468987362</v>
      </c>
      <c r="J8" s="9">
        <v>15.413513626044301</v>
      </c>
      <c r="K8" s="4">
        <f t="shared" si="0"/>
        <v>-14.979053777777779</v>
      </c>
      <c r="L8" s="4">
        <f t="shared" si="1"/>
        <v>-117.25046898888888</v>
      </c>
      <c r="M8" s="4">
        <f t="shared" ref="M8:M41" si="13">MOD(ConvertDecimal(G8)+180, 360)</f>
        <v>15.413513888888929</v>
      </c>
      <c r="N8" s="4">
        <f t="shared" ref="N8:N41" si="14">MOD(J8+360, 360)</f>
        <v>15.413513626044278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15.413513625979212</v>
      </c>
      <c r="V8" s="2">
        <f t="shared" si="11"/>
        <v>1.7057091523925348E-8</v>
      </c>
      <c r="W8" s="2">
        <f t="shared" si="12"/>
        <v>4.2213719888273358E-12</v>
      </c>
    </row>
    <row r="9" spans="1:23" x14ac:dyDescent="0.45">
      <c r="A9" s="8">
        <v>-78.897149999999996</v>
      </c>
      <c r="B9" s="8">
        <v>151.49566999999999</v>
      </c>
      <c r="C9" s="8">
        <v>242.19583</v>
      </c>
      <c r="D9" s="8">
        <v>5877843.3947999999</v>
      </c>
      <c r="E9" s="9" t="s">
        <v>37</v>
      </c>
      <c r="F9" s="9" t="s">
        <v>38</v>
      </c>
      <c r="G9" s="9" t="s">
        <v>39</v>
      </c>
      <c r="H9" s="9">
        <v>-41.740263704752103</v>
      </c>
      <c r="I9" s="9">
        <v>42.141859293456903</v>
      </c>
      <c r="J9" s="9">
        <v>-13.2194963515627</v>
      </c>
      <c r="K9" s="4">
        <f t="shared" si="0"/>
        <v>-41.740263705555556</v>
      </c>
      <c r="L9" s="4">
        <f t="shared" si="1"/>
        <v>42.14185929444443</v>
      </c>
      <c r="M9" s="4">
        <f t="shared" si="13"/>
        <v>346.78050277777777</v>
      </c>
      <c r="N9" s="4">
        <f t="shared" si="14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42.141859293463966</v>
      </c>
      <c r="S9" s="2">
        <f t="shared" si="8"/>
        <v>2.3265791463308828E-11</v>
      </c>
      <c r="T9" s="2">
        <f t="shared" si="9"/>
        <v>1.6759570915638244E-13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45">
      <c r="A10" s="8">
        <v>33.795459999999999</v>
      </c>
      <c r="B10" s="8">
        <v>-134.20804000000001</v>
      </c>
      <c r="C10" s="8">
        <v>164.39859999999999</v>
      </c>
      <c r="D10" s="8">
        <v>17353851.458700001</v>
      </c>
      <c r="E10" s="9" t="s">
        <v>40</v>
      </c>
      <c r="F10" s="9" t="s">
        <v>41</v>
      </c>
      <c r="G10" s="9" t="s">
        <v>42</v>
      </c>
      <c r="H10" s="9">
        <v>-56.3273390644177</v>
      </c>
      <c r="I10" s="9">
        <v>34.399235199850402</v>
      </c>
      <c r="J10" s="9">
        <v>23.739873972249999</v>
      </c>
      <c r="K10" s="4">
        <f t="shared" si="0"/>
        <v>-56.327339063888886</v>
      </c>
      <c r="L10" s="4">
        <f t="shared" si="1"/>
        <v>34.399235200000021</v>
      </c>
      <c r="M10" s="4">
        <f t="shared" si="13"/>
        <v>23.739874999999984</v>
      </c>
      <c r="N10" s="4">
        <f t="shared" si="14"/>
        <v>23.739873972249995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34.399235200177507</v>
      </c>
      <c r="S10" s="2">
        <f t="shared" si="8"/>
        <v>5.159605117195028E-12</v>
      </c>
      <c r="T10" s="2">
        <f t="shared" si="9"/>
        <v>9.5090908833909855E-12</v>
      </c>
      <c r="U10" s="6">
        <f t="shared" si="10"/>
        <v>23.739873971891615</v>
      </c>
      <c r="V10" s="2">
        <f t="shared" si="11"/>
        <v>4.3307235957110905E-8</v>
      </c>
      <c r="W10" s="2">
        <f t="shared" si="12"/>
        <v>1.5096120256068668E-11</v>
      </c>
    </row>
    <row r="11" spans="1:23" x14ac:dyDescent="0.45">
      <c r="A11" s="8">
        <v>25.90362</v>
      </c>
      <c r="B11" s="8">
        <v>-116.54492</v>
      </c>
      <c r="C11" s="8">
        <v>251.01541</v>
      </c>
      <c r="D11" s="8">
        <v>11211606.7816</v>
      </c>
      <c r="E11" s="9" t="s">
        <v>43</v>
      </c>
      <c r="F11" s="9" t="s">
        <v>44</v>
      </c>
      <c r="G11" s="9" t="s">
        <v>45</v>
      </c>
      <c r="H11" s="9">
        <v>-21.830185029261202</v>
      </c>
      <c r="I11" s="9">
        <v>151.69792089294401</v>
      </c>
      <c r="J11" s="9">
        <v>-113.584474924802</v>
      </c>
      <c r="K11" s="4">
        <f t="shared" si="0"/>
        <v>-21.830185030555555</v>
      </c>
      <c r="L11" s="4">
        <f t="shared" si="1"/>
        <v>151.69792089444445</v>
      </c>
      <c r="M11" s="4">
        <f t="shared" si="13"/>
        <v>246.415525</v>
      </c>
      <c r="N11" s="4">
        <f t="shared" si="14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246.41552507544426</v>
      </c>
      <c r="V11" s="2">
        <f t="shared" si="11"/>
        <v>3.0616683909392799E-10</v>
      </c>
      <c r="W11" s="2">
        <f t="shared" si="12"/>
        <v>9.9942612032783197E-13</v>
      </c>
    </row>
    <row r="12" spans="1:23" x14ac:dyDescent="0.45">
      <c r="A12" s="8">
        <v>88.824870000000004</v>
      </c>
      <c r="B12" s="8">
        <v>-171.29023000000001</v>
      </c>
      <c r="C12" s="8">
        <v>236.64452</v>
      </c>
      <c r="D12" s="8">
        <v>13413100.6866</v>
      </c>
      <c r="E12" s="9" t="s">
        <v>46</v>
      </c>
      <c r="F12" s="9" t="s">
        <v>47</v>
      </c>
      <c r="G12" s="9" t="s">
        <v>48</v>
      </c>
      <c r="H12" s="9">
        <v>-31.466907310400401</v>
      </c>
      <c r="I12" s="9">
        <v>131.47699945636299</v>
      </c>
      <c r="J12" s="9">
        <v>-178.84639657477899</v>
      </c>
      <c r="K12" s="4">
        <f t="shared" si="0"/>
        <v>-31.466907313888889</v>
      </c>
      <c r="L12" s="4">
        <f t="shared" si="1"/>
        <v>131.47699945555553</v>
      </c>
      <c r="M12" s="4">
        <f t="shared" si="13"/>
        <v>181.15360277777779</v>
      </c>
      <c r="N12" s="4">
        <f t="shared" si="14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131.47699945635631</v>
      </c>
      <c r="S12" s="2">
        <f t="shared" si="8"/>
        <v>6.0906597086764902E-12</v>
      </c>
      <c r="T12" s="2">
        <f t="shared" si="9"/>
        <v>5.0800533505951549E-14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45">
      <c r="A13" s="8">
        <v>-84.626109999999997</v>
      </c>
      <c r="B13" s="8">
        <v>-104.26258</v>
      </c>
      <c r="C13" s="8">
        <v>334.79194999999999</v>
      </c>
      <c r="D13" s="8">
        <v>10061299.773</v>
      </c>
      <c r="E13" s="9" t="s">
        <v>49</v>
      </c>
      <c r="F13" s="9" t="s">
        <v>50</v>
      </c>
      <c r="G13" s="9" t="s">
        <v>51</v>
      </c>
      <c r="H13" s="9">
        <v>5.4461170930659799</v>
      </c>
      <c r="I13" s="9">
        <v>-129.57877967538599</v>
      </c>
      <c r="J13" s="9">
        <v>-2.303989971744</v>
      </c>
      <c r="K13" s="4">
        <f t="shared" si="0"/>
        <v>5.4461170944444444</v>
      </c>
      <c r="L13" s="4">
        <f t="shared" si="1"/>
        <v>-129.57877967499996</v>
      </c>
      <c r="M13" s="4">
        <f t="shared" si="13"/>
        <v>357.69601111111115</v>
      </c>
      <c r="N13" s="4">
        <f t="shared" si="14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3.0229332329898573E-12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45">
      <c r="A14" s="8">
        <v>51.386009999999999</v>
      </c>
      <c r="B14" s="8">
        <v>-111.37733</v>
      </c>
      <c r="C14" s="8">
        <v>293.94511999999997</v>
      </c>
      <c r="D14" s="8">
        <v>13574546.633099999</v>
      </c>
      <c r="E14" s="9" t="s">
        <v>52</v>
      </c>
      <c r="F14" s="9" t="s">
        <v>53</v>
      </c>
      <c r="G14" s="9" t="s">
        <v>54</v>
      </c>
      <c r="H14" s="9">
        <v>-11.6452031786982</v>
      </c>
      <c r="I14" s="9">
        <v>120.988220516452</v>
      </c>
      <c r="J14" s="9">
        <v>-144.305691772405</v>
      </c>
      <c r="K14" s="4">
        <f t="shared" si="0"/>
        <v>-11.645203180555555</v>
      </c>
      <c r="L14" s="4">
        <f t="shared" si="1"/>
        <v>120.98822051944444</v>
      </c>
      <c r="M14" s="4">
        <f t="shared" si="13"/>
        <v>215.69430833333334</v>
      </c>
      <c r="N14" s="4">
        <f t="shared" si="14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120.98822051643631</v>
      </c>
      <c r="S14" s="2">
        <f t="shared" si="8"/>
        <v>2.4862960141818793E-11</v>
      </c>
      <c r="T14" s="2">
        <f t="shared" si="9"/>
        <v>1.2967199235275675E-13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45">
      <c r="A15" s="8">
        <v>73.612430000000003</v>
      </c>
      <c r="B15" s="8">
        <v>21.299600000000002</v>
      </c>
      <c r="C15" s="8">
        <v>351.57213000000002</v>
      </c>
      <c r="D15" s="8">
        <v>5397158.5284000002</v>
      </c>
      <c r="E15" s="9" t="s">
        <v>55</v>
      </c>
      <c r="F15" s="9" t="s">
        <v>56</v>
      </c>
      <c r="G15" s="9" t="s">
        <v>57</v>
      </c>
      <c r="H15" s="9">
        <v>57.784469043246503</v>
      </c>
      <c r="I15" s="9">
        <v>-146.84075879172201</v>
      </c>
      <c r="J15" s="9">
        <v>-175.54828018605099</v>
      </c>
      <c r="K15" s="4">
        <f t="shared" si="0"/>
        <v>57.784469044444442</v>
      </c>
      <c r="L15" s="4">
        <f t="shared" si="1"/>
        <v>-146.84075879166664</v>
      </c>
      <c r="M15" s="4">
        <f t="shared" si="13"/>
        <v>184.45171944444445</v>
      </c>
      <c r="N15" s="4">
        <f t="shared" si="14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-146.84075879171522</v>
      </c>
      <c r="S15" s="2">
        <f t="shared" si="8"/>
        <v>3.3078487074201224E-13</v>
      </c>
      <c r="T15" s="2">
        <f t="shared" si="9"/>
        <v>4.6259557698836232E-14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45">
      <c r="A16" s="8">
        <v>-63.838880000000003</v>
      </c>
      <c r="B16" s="8">
        <v>-172.55153000000001</v>
      </c>
      <c r="C16" s="8">
        <v>309.01080999999999</v>
      </c>
      <c r="D16" s="8">
        <v>1974293.5207</v>
      </c>
      <c r="E16" s="9" t="s">
        <v>58</v>
      </c>
      <c r="F16" s="9" t="s">
        <v>59</v>
      </c>
      <c r="G16" s="9" t="s">
        <v>60</v>
      </c>
      <c r="H16" s="9">
        <v>-50.395150212917699</v>
      </c>
      <c r="I16" s="9">
        <v>165.69696690033101</v>
      </c>
      <c r="J16" s="9">
        <v>-32.533096451356698</v>
      </c>
      <c r="K16" s="4">
        <f t="shared" si="0"/>
        <v>-50.39515021388889</v>
      </c>
      <c r="L16" s="4">
        <f t="shared" si="1"/>
        <v>165.69696690000001</v>
      </c>
      <c r="M16" s="4">
        <f t="shared" si="13"/>
        <v>327.46690277777782</v>
      </c>
      <c r="N16" s="4">
        <f t="shared" si="14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165.69696690031563</v>
      </c>
      <c r="S16" s="2">
        <f t="shared" si="8"/>
        <v>1.9048211269619595E-12</v>
      </c>
      <c r="T16" s="2">
        <f t="shared" si="9"/>
        <v>9.2796778899987532E-14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45">
      <c r="A17" s="8">
        <v>-46.89855</v>
      </c>
      <c r="B17" s="8">
        <v>173.49565000000001</v>
      </c>
      <c r="C17" s="8">
        <v>328.50567999999998</v>
      </c>
      <c r="D17" s="8">
        <v>15153458.335000001</v>
      </c>
      <c r="E17" s="9" t="s">
        <v>61</v>
      </c>
      <c r="F17" s="9" t="s">
        <v>62</v>
      </c>
      <c r="G17" s="9" t="s">
        <v>63</v>
      </c>
      <c r="H17" s="9">
        <v>68.575577744316305</v>
      </c>
      <c r="I17" s="9">
        <v>73.034923040168493</v>
      </c>
      <c r="J17" s="9">
        <v>-77.461080216534398</v>
      </c>
      <c r="K17" s="4">
        <f t="shared" si="0"/>
        <v>68.575577744444445</v>
      </c>
      <c r="L17" s="4">
        <f t="shared" si="1"/>
        <v>73.034923036111081</v>
      </c>
      <c r="M17" s="4">
        <f t="shared" si="13"/>
        <v>282.53891944444445</v>
      </c>
      <c r="N17" s="4">
        <f t="shared" si="14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73.034923038586527</v>
      </c>
      <c r="S17" s="2">
        <f t="shared" si="8"/>
        <v>3.3893999245209705E-11</v>
      </c>
      <c r="T17" s="2">
        <f t="shared" si="9"/>
        <v>2.1660412469811683E-11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45">
      <c r="A18" s="8">
        <v>82.990660000000005</v>
      </c>
      <c r="B18" s="8">
        <v>-95.849950000000007</v>
      </c>
      <c r="C18" s="8">
        <v>330.46499999999997</v>
      </c>
      <c r="D18" s="8">
        <v>11924411.2316</v>
      </c>
      <c r="E18" s="9" t="s">
        <v>64</v>
      </c>
      <c r="F18" s="9" t="s">
        <v>65</v>
      </c>
      <c r="G18" s="9" t="s">
        <v>66</v>
      </c>
      <c r="H18" s="9">
        <v>-11.197010665670099</v>
      </c>
      <c r="I18" s="9">
        <v>112.83802407899</v>
      </c>
      <c r="J18" s="9">
        <v>-176.47301740772801</v>
      </c>
      <c r="K18" s="4">
        <f t="shared" si="0"/>
        <v>-11.197010666666667</v>
      </c>
      <c r="L18" s="4">
        <f t="shared" si="1"/>
        <v>112.83802407777779</v>
      </c>
      <c r="M18" s="4">
        <f t="shared" si="13"/>
        <v>183.52698333333333</v>
      </c>
      <c r="N18" s="4">
        <f t="shared" si="14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112.83802407898504</v>
      </c>
      <c r="S18" s="2">
        <f t="shared" si="8"/>
        <v>1.0699006389800045E-11</v>
      </c>
      <c r="T18" s="2">
        <f t="shared" si="9"/>
        <v>4.3953165044202107E-14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45">
      <c r="A19" s="8">
        <v>-55.50224</v>
      </c>
      <c r="B19" s="8">
        <v>-151.16014999999999</v>
      </c>
      <c r="C19" s="8">
        <v>290.10536000000002</v>
      </c>
      <c r="D19" s="8">
        <v>24906146.8686</v>
      </c>
      <c r="E19" s="9" t="s">
        <v>67</v>
      </c>
      <c r="F19" s="9" t="s">
        <v>68</v>
      </c>
      <c r="G19" s="9" t="s">
        <v>69</v>
      </c>
      <c r="H19" s="9">
        <v>27.087033473632498</v>
      </c>
      <c r="I19" s="9">
        <v>-18.0548932780478</v>
      </c>
      <c r="J19" s="9">
        <v>-143.24954100292999</v>
      </c>
      <c r="K19" s="4">
        <f t="shared" si="0"/>
        <v>27.087033472222224</v>
      </c>
      <c r="L19" s="4">
        <f t="shared" si="1"/>
        <v>-18.05489327500004</v>
      </c>
      <c r="M19" s="4">
        <f t="shared" si="13"/>
        <v>216.75045833333334</v>
      </c>
      <c r="N19" s="4">
        <f t="shared" si="14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</v>
      </c>
      <c r="S19" s="2">
        <f t="shared" si="8"/>
        <v>1.7552909945536705E-10</v>
      </c>
      <c r="T19" s="2">
        <f t="shared" si="9"/>
        <v>6.7239267077749441E-12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45">
      <c r="A20" s="8">
        <v>86.372889999999998</v>
      </c>
      <c r="B20" s="8">
        <v>-16.154949999999999</v>
      </c>
      <c r="C20" s="8">
        <v>151.89456999999999</v>
      </c>
      <c r="D20" s="8">
        <v>22990024.524300002</v>
      </c>
      <c r="E20" s="9" t="s">
        <v>70</v>
      </c>
      <c r="F20" s="9" t="s">
        <v>71</v>
      </c>
      <c r="G20" s="9" t="s">
        <v>72</v>
      </c>
      <c r="H20" s="9">
        <v>-59.994444137911998</v>
      </c>
      <c r="I20" s="9">
        <v>-171.07781274131401</v>
      </c>
      <c r="J20" s="9">
        <v>3.4194343905808</v>
      </c>
      <c r="K20" s="4">
        <f t="shared" si="0"/>
        <v>-59.994444136111113</v>
      </c>
      <c r="L20" s="4">
        <f t="shared" si="1"/>
        <v>-171.07781274166666</v>
      </c>
      <c r="M20" s="4">
        <f t="shared" si="13"/>
        <v>3.4194333333333589</v>
      </c>
      <c r="N20" s="4">
        <f t="shared" si="14"/>
        <v>3.4194343905808182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3.4194343905124178</v>
      </c>
      <c r="V20" s="2">
        <f t="shared" si="11"/>
        <v>3.0916791055852749E-7</v>
      </c>
      <c r="W20" s="2">
        <f t="shared" si="12"/>
        <v>2.0003424147093429E-11</v>
      </c>
    </row>
    <row r="21" spans="1:23" x14ac:dyDescent="0.45">
      <c r="A21" s="8">
        <v>-22.985019999999999</v>
      </c>
      <c r="B21" s="8">
        <v>163.42873</v>
      </c>
      <c r="C21" s="8">
        <v>109.00563</v>
      </c>
      <c r="D21" s="8">
        <v>6642422.8748000003</v>
      </c>
      <c r="E21" s="9" t="s">
        <v>73</v>
      </c>
      <c r="F21" s="9" t="s">
        <v>74</v>
      </c>
      <c r="G21" s="9" t="s">
        <v>75</v>
      </c>
      <c r="H21" s="9">
        <v>-27.144640603968998</v>
      </c>
      <c r="I21" s="9">
        <v>-130.122784830509</v>
      </c>
      <c r="J21" s="9">
        <v>77.952735722014097</v>
      </c>
      <c r="K21" s="4">
        <f t="shared" si="0"/>
        <v>-27.144640605555555</v>
      </c>
      <c r="L21" s="4">
        <f t="shared" si="1"/>
        <v>-130.1227848333333</v>
      </c>
      <c r="M21" s="4">
        <f t="shared" si="13"/>
        <v>77.952736111111108</v>
      </c>
      <c r="N21" s="4">
        <f t="shared" si="14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-130.12278483059643</v>
      </c>
      <c r="S21" s="2">
        <f t="shared" si="8"/>
        <v>2.1032969076908777E-11</v>
      </c>
      <c r="T21" s="2">
        <f t="shared" si="9"/>
        <v>6.718667935196599E-13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45">
      <c r="A22" s="8">
        <v>43.963540000000002</v>
      </c>
      <c r="B22" s="8">
        <v>75.046040000000005</v>
      </c>
      <c r="C22" s="8">
        <v>193.59316999999999</v>
      </c>
      <c r="D22" s="8">
        <v>12967928.029999999</v>
      </c>
      <c r="E22" s="9" t="s">
        <v>76</v>
      </c>
      <c r="F22" s="9" t="s">
        <v>77</v>
      </c>
      <c r="G22" s="9" t="s">
        <v>78</v>
      </c>
      <c r="H22" s="9">
        <v>-69.742351132253702</v>
      </c>
      <c r="I22" s="9">
        <v>37.9366089799571</v>
      </c>
      <c r="J22" s="9">
        <v>-150.79552918583201</v>
      </c>
      <c r="K22" s="4">
        <f t="shared" si="0"/>
        <v>-69.742351136111111</v>
      </c>
      <c r="L22" s="4">
        <f t="shared" si="1"/>
        <v>37.936608977777723</v>
      </c>
      <c r="M22" s="4">
        <f t="shared" si="13"/>
        <v>209.20446944444444</v>
      </c>
      <c r="N22" s="4">
        <f t="shared" si="14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37.93660897918955</v>
      </c>
      <c r="S22" s="2">
        <f t="shared" si="8"/>
        <v>3.7215426937612105E-11</v>
      </c>
      <c r="T22" s="2">
        <f t="shared" si="9"/>
        <v>2.0232424565296531E-11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45">
      <c r="A23" s="8">
        <v>33.436070000000001</v>
      </c>
      <c r="B23" s="8">
        <v>-128.50958</v>
      </c>
      <c r="C23" s="8">
        <v>177.97382999999999</v>
      </c>
      <c r="D23" s="8">
        <v>28559805.6105</v>
      </c>
      <c r="E23" s="9" t="s">
        <v>79</v>
      </c>
      <c r="F23" s="9" t="s">
        <v>80</v>
      </c>
      <c r="G23" s="9" t="s">
        <v>81</v>
      </c>
      <c r="H23" s="9">
        <v>43.788407021959799</v>
      </c>
      <c r="I23" s="9">
        <v>54.196720366528098</v>
      </c>
      <c r="J23" s="9">
        <v>2.3409951430440801</v>
      </c>
      <c r="K23" s="4">
        <f t="shared" si="0"/>
        <v>43.788407027777779</v>
      </c>
      <c r="L23" s="4">
        <f t="shared" si="1"/>
        <v>54.196720366666682</v>
      </c>
      <c r="M23" s="4">
        <f t="shared" si="13"/>
        <v>2.3409944444444477</v>
      </c>
      <c r="N23" s="4">
        <f t="shared" si="14"/>
        <v>2.3409951430440969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54.196720366570041</v>
      </c>
      <c r="S23" s="2">
        <f t="shared" si="8"/>
        <v>1.7831506562926556E-12</v>
      </c>
      <c r="T23" s="2">
        <f t="shared" si="9"/>
        <v>7.7390914815987513E-13</v>
      </c>
      <c r="U23" s="6">
        <f t="shared" si="10"/>
        <v>2.3409951430874552</v>
      </c>
      <c r="V23" s="2">
        <f t="shared" si="11"/>
        <v>2.9843855849562378E-7</v>
      </c>
      <c r="W23" s="2">
        <f t="shared" si="12"/>
        <v>1.8521271196710159E-11</v>
      </c>
    </row>
    <row r="24" spans="1:23" x14ac:dyDescent="0.45">
      <c r="A24" s="8">
        <v>-82.798670000000001</v>
      </c>
      <c r="B24" s="8">
        <v>2.3350599999999999</v>
      </c>
      <c r="C24" s="8">
        <v>90.620130000000003</v>
      </c>
      <c r="D24" s="8">
        <v>19798139.985599998</v>
      </c>
      <c r="E24" s="9" t="s">
        <v>82</v>
      </c>
      <c r="F24" s="9" t="s">
        <v>83</v>
      </c>
      <c r="G24" s="9" t="s">
        <v>84</v>
      </c>
      <c r="H24" s="9">
        <v>82.549781125809602</v>
      </c>
      <c r="I24" s="9">
        <v>167.940350544566</v>
      </c>
      <c r="J24" s="9">
        <v>75.176647979244905</v>
      </c>
      <c r="K24" s="4">
        <f t="shared" si="0"/>
        <v>82.549781124999996</v>
      </c>
      <c r="L24" s="4">
        <f t="shared" si="1"/>
        <v>167.9403505555556</v>
      </c>
      <c r="M24" s="4">
        <f t="shared" si="13"/>
        <v>75.176647222222186</v>
      </c>
      <c r="N24" s="4">
        <f t="shared" si="14"/>
        <v>75.176647979244876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167.94035054953028</v>
      </c>
      <c r="S24" s="2">
        <f t="shared" si="8"/>
        <v>3.5877721549260133E-11</v>
      </c>
      <c r="T24" s="2">
        <f t="shared" si="9"/>
        <v>2.9559768462815942E-11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6.6354115877216018E-11</v>
      </c>
    </row>
    <row r="25" spans="1:23" x14ac:dyDescent="0.45">
      <c r="A25" s="8">
        <v>-30.6114</v>
      </c>
      <c r="B25" s="8">
        <v>-113.41504</v>
      </c>
      <c r="C25" s="8">
        <v>138.88732999999999</v>
      </c>
      <c r="D25" s="8">
        <v>29611069.5645</v>
      </c>
      <c r="E25" s="9" t="s">
        <v>85</v>
      </c>
      <c r="F25" s="9" t="s">
        <v>86</v>
      </c>
      <c r="G25" s="9" t="s">
        <v>87</v>
      </c>
      <c r="H25" s="9">
        <v>42.826532755135403</v>
      </c>
      <c r="I25" s="9">
        <v>-177.239485211313</v>
      </c>
      <c r="J25" s="9">
        <v>129.54895421846399</v>
      </c>
      <c r="K25" s="4">
        <f t="shared" si="0"/>
        <v>42.826532755555554</v>
      </c>
      <c r="L25" s="4">
        <f t="shared" si="1"/>
        <v>-177.23948521666671</v>
      </c>
      <c r="M25" s="4">
        <f t="shared" si="13"/>
        <v>129.54895555555555</v>
      </c>
      <c r="N25" s="4">
        <f t="shared" si="14"/>
        <v>129.54895421846402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</v>
      </c>
      <c r="S25" s="2">
        <f t="shared" si="8"/>
        <v>3.2265404775867638E-11</v>
      </c>
      <c r="T25" s="2">
        <f t="shared" si="9"/>
        <v>2.0593130930734123E-12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6.1521266663671466E-12</v>
      </c>
    </row>
    <row r="26" spans="1:23" x14ac:dyDescent="0.45">
      <c r="A26" s="8">
        <v>-87.845410000000001</v>
      </c>
      <c r="B26" s="8">
        <v>-13.641120000000001</v>
      </c>
      <c r="C26" s="8">
        <v>193.00730999999999</v>
      </c>
      <c r="D26" s="8">
        <v>23819608.177900001</v>
      </c>
      <c r="E26" s="9" t="s">
        <v>88</v>
      </c>
      <c r="F26" s="9" t="s">
        <v>89</v>
      </c>
      <c r="G26" s="9" t="s">
        <v>90</v>
      </c>
      <c r="H26" s="9">
        <v>57.902336154654002</v>
      </c>
      <c r="I26" s="9">
        <v>0.13634522468570001</v>
      </c>
      <c r="J26" s="9">
        <v>-179.08667105557899</v>
      </c>
      <c r="K26" s="4">
        <f t="shared" si="0"/>
        <v>57.902336152777778</v>
      </c>
      <c r="L26" s="4">
        <f t="shared" si="1"/>
        <v>0.13634522500001367</v>
      </c>
      <c r="M26" s="4">
        <f t="shared" si="13"/>
        <v>180.91332777777777</v>
      </c>
      <c r="N26" s="4">
        <f t="shared" si="14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0.13634522467111779</v>
      </c>
      <c r="S26" s="2">
        <f t="shared" si="8"/>
        <v>2.4122288312680121E-9</v>
      </c>
      <c r="T26" s="2">
        <f t="shared" si="9"/>
        <v>1.0695075203809842E-10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45">
      <c r="A27" s="8">
        <v>-53.746009999999998</v>
      </c>
      <c r="B27" s="8">
        <v>-101.11091</v>
      </c>
      <c r="C27" s="8">
        <v>326.17998</v>
      </c>
      <c r="D27" s="8">
        <v>9694952.3359999992</v>
      </c>
      <c r="E27" s="9" t="s">
        <v>91</v>
      </c>
      <c r="F27" s="9" t="s">
        <v>92</v>
      </c>
      <c r="G27" s="9" t="s">
        <v>93</v>
      </c>
      <c r="H27" s="9">
        <v>27.096906191388602</v>
      </c>
      <c r="I27" s="9">
        <v>-139.63029427644199</v>
      </c>
      <c r="J27" s="9">
        <v>-21.732776207246399</v>
      </c>
      <c r="K27" s="4">
        <f t="shared" si="0"/>
        <v>27.096906194444443</v>
      </c>
      <c r="L27" s="4">
        <f t="shared" si="1"/>
        <v>-139.63029427499998</v>
      </c>
      <c r="M27" s="4">
        <f t="shared" si="13"/>
        <v>338.267225</v>
      </c>
      <c r="N27" s="4">
        <f t="shared" si="14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-139.63029427656946</v>
      </c>
      <c r="S27" s="2">
        <f t="shared" si="8"/>
        <v>1.1240219929389245E-11</v>
      </c>
      <c r="T27" s="2">
        <f t="shared" si="9"/>
        <v>9.1292056251770404E-13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45">
      <c r="A28" s="8">
        <v>-88.250209999999996</v>
      </c>
      <c r="B28" s="8">
        <v>-140.20063999999999</v>
      </c>
      <c r="C28" s="8">
        <v>13.93619</v>
      </c>
      <c r="D28" s="8">
        <v>792391.58459999994</v>
      </c>
      <c r="E28" s="9" t="s">
        <v>94</v>
      </c>
      <c r="F28" s="9" t="s">
        <v>95</v>
      </c>
      <c r="G28" s="9" t="s">
        <v>96</v>
      </c>
      <c r="H28" s="9">
        <v>-81.196673763941106</v>
      </c>
      <c r="I28" s="9">
        <v>-128.99275108893201</v>
      </c>
      <c r="J28" s="9">
        <v>2.7544521558853998</v>
      </c>
      <c r="K28" s="4">
        <f t="shared" si="0"/>
        <v>-81.196673763888896</v>
      </c>
      <c r="L28" s="4">
        <f t="shared" si="1"/>
        <v>-128.99275108888889</v>
      </c>
      <c r="M28" s="4">
        <f t="shared" si="13"/>
        <v>2.7544527777777716</v>
      </c>
      <c r="N28" s="4">
        <f t="shared" si="14"/>
        <v>2.7544521558854171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2.7544521559010509</v>
      </c>
      <c r="V28" s="2">
        <f t="shared" si="11"/>
        <v>2.2577142211427699E-7</v>
      </c>
      <c r="W28" s="2">
        <f t="shared" si="12"/>
        <v>5.6757989098329987E-12</v>
      </c>
    </row>
    <row r="29" spans="1:23" x14ac:dyDescent="0.45">
      <c r="A29" s="8">
        <v>10.463649999999999</v>
      </c>
      <c r="B29" s="8">
        <v>-67.852069999999998</v>
      </c>
      <c r="C29" s="8">
        <v>99.000609999999995</v>
      </c>
      <c r="D29" s="8">
        <v>29956582.733399998</v>
      </c>
      <c r="E29" s="9" t="s">
        <v>97</v>
      </c>
      <c r="F29" s="9" t="s">
        <v>98</v>
      </c>
      <c r="G29" s="9" t="s">
        <v>99</v>
      </c>
      <c r="H29" s="9">
        <v>8.8780868423077592</v>
      </c>
      <c r="I29" s="9">
        <v>-160.38413525514599</v>
      </c>
      <c r="J29" s="9">
        <v>79.441947426166493</v>
      </c>
      <c r="K29" s="4">
        <f t="shared" si="0"/>
        <v>8.8780868444444447</v>
      </c>
      <c r="L29" s="4">
        <f t="shared" si="1"/>
        <v>-160.38413526111111</v>
      </c>
      <c r="M29" s="4">
        <f t="shared" si="13"/>
        <v>79.441947222222211</v>
      </c>
      <c r="N29" s="4">
        <f t="shared" si="14"/>
        <v>79.441947426166507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-160.38413525362367</v>
      </c>
      <c r="S29" s="2">
        <f t="shared" si="8"/>
        <v>4.6684440090444333E-11</v>
      </c>
      <c r="T29" s="2">
        <f t="shared" si="9"/>
        <v>9.4917343170477647E-12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3.6114792643000273E-12</v>
      </c>
    </row>
    <row r="30" spans="1:23" x14ac:dyDescent="0.45">
      <c r="A30" s="8">
        <v>67.802539999999993</v>
      </c>
      <c r="B30" s="8">
        <v>-156.02512999999999</v>
      </c>
      <c r="C30" s="8">
        <v>155.36895999999999</v>
      </c>
      <c r="D30" s="8">
        <v>110882.5068</v>
      </c>
      <c r="E30" s="9" t="s">
        <v>100</v>
      </c>
      <c r="F30" s="9" t="s">
        <v>101</v>
      </c>
      <c r="G30" s="9" t="s">
        <v>102</v>
      </c>
      <c r="H30" s="9">
        <v>66.895255745015305</v>
      </c>
      <c r="I30" s="9">
        <v>-154.97021496620999</v>
      </c>
      <c r="J30" s="9">
        <v>156.34254099205299</v>
      </c>
      <c r="K30" s="4">
        <f t="shared" si="0"/>
        <v>66.895255744444441</v>
      </c>
      <c r="L30" s="4">
        <f t="shared" si="1"/>
        <v>-154.97021496666667</v>
      </c>
      <c r="M30" s="4">
        <f t="shared" si="13"/>
        <v>156.34254166666665</v>
      </c>
      <c r="N30" s="4">
        <f t="shared" si="14"/>
        <v>156.34254099205305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3.635825444572849E-15</v>
      </c>
    </row>
    <row r="31" spans="1:23" x14ac:dyDescent="0.45">
      <c r="A31" s="8">
        <v>-53.219749999999998</v>
      </c>
      <c r="B31" s="8">
        <v>-37.619120000000002</v>
      </c>
      <c r="C31" s="8">
        <v>193.45201</v>
      </c>
      <c r="D31" s="8">
        <v>6349519.3638000004</v>
      </c>
      <c r="E31" s="9" t="s">
        <v>103</v>
      </c>
      <c r="F31" s="9" t="s">
        <v>104</v>
      </c>
      <c r="G31" s="9" t="s">
        <v>105</v>
      </c>
      <c r="H31" s="9">
        <v>-67.698900697410394</v>
      </c>
      <c r="I31" s="9">
        <v>173.27188588337501</v>
      </c>
      <c r="J31" s="9">
        <v>-21.5176929118619</v>
      </c>
      <c r="K31" s="4">
        <f t="shared" si="0"/>
        <v>-67.698900699999996</v>
      </c>
      <c r="L31" s="4">
        <f t="shared" si="1"/>
        <v>173.27188588611114</v>
      </c>
      <c r="M31" s="4">
        <f t="shared" si="13"/>
        <v>338.48230833333332</v>
      </c>
      <c r="N31" s="4">
        <f t="shared" si="14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173.27188588334823</v>
      </c>
      <c r="S31" s="2">
        <f t="shared" si="8"/>
        <v>1.5945476563087773E-11</v>
      </c>
      <c r="T31" s="2">
        <f t="shared" si="9"/>
        <v>1.5451583588962021E-13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45">
      <c r="A32" s="8">
        <v>-32.083219999999997</v>
      </c>
      <c r="B32" s="8">
        <v>43.79468</v>
      </c>
      <c r="C32" s="8">
        <v>185.92912000000001</v>
      </c>
      <c r="D32" s="8">
        <v>10318810.0272</v>
      </c>
      <c r="E32" s="9" t="s">
        <v>106</v>
      </c>
      <c r="F32" s="9" t="s">
        <v>107</v>
      </c>
      <c r="G32" s="9" t="s">
        <v>108</v>
      </c>
      <c r="H32" s="9">
        <v>-54.876679945567901</v>
      </c>
      <c r="I32" s="9">
        <v>-125.870535544633</v>
      </c>
      <c r="J32" s="9">
        <v>-8.7385253419717408</v>
      </c>
      <c r="K32" s="4">
        <f t="shared" si="0"/>
        <v>-54.876679947222222</v>
      </c>
      <c r="L32" s="4">
        <f t="shared" si="1"/>
        <v>-125.87053554444446</v>
      </c>
      <c r="M32" s="4">
        <f t="shared" si="13"/>
        <v>351.26147500000002</v>
      </c>
      <c r="N32" s="4">
        <f t="shared" si="14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1.5981075127995887E-12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45">
      <c r="A33" s="8">
        <v>35.123959999999997</v>
      </c>
      <c r="B33" s="8">
        <v>93.117800000000003</v>
      </c>
      <c r="C33" s="8">
        <v>266.50542000000002</v>
      </c>
      <c r="D33" s="8">
        <v>4453734.6876999997</v>
      </c>
      <c r="E33" s="9" t="s">
        <v>109</v>
      </c>
      <c r="F33" s="9" t="s">
        <v>110</v>
      </c>
      <c r="G33" s="9" t="s">
        <v>111</v>
      </c>
      <c r="H33" s="9">
        <v>24.082164339481899</v>
      </c>
      <c r="I33" s="9">
        <v>48.483919046344496</v>
      </c>
      <c r="J33" s="9">
        <v>-116.52834013994</v>
      </c>
      <c r="K33" s="4">
        <f t="shared" si="0"/>
        <v>24.082164338888887</v>
      </c>
      <c r="L33" s="4">
        <f t="shared" si="1"/>
        <v>48.48391904722223</v>
      </c>
      <c r="M33" s="4">
        <f t="shared" si="13"/>
        <v>243.4716611111111</v>
      </c>
      <c r="N33" s="4">
        <f t="shared" si="14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48.483919046423743</v>
      </c>
      <c r="S33" s="2">
        <f t="shared" si="8"/>
        <v>1.6469102041594865E-11</v>
      </c>
      <c r="T33" s="2">
        <f t="shared" si="9"/>
        <v>1.6344972287321498E-12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45">
      <c r="A34">
        <v>79.2941</v>
      </c>
      <c r="B34">
        <v>46.869430000000001</v>
      </c>
      <c r="C34">
        <v>4.3746799999999997</v>
      </c>
      <c r="D34">
        <v>16192411.1173</v>
      </c>
      <c r="E34" s="10" t="s">
        <v>112</v>
      </c>
      <c r="F34" s="10" t="s">
        <v>113</v>
      </c>
      <c r="G34" s="10" t="s">
        <v>114</v>
      </c>
      <c r="H34" s="10">
        <v>-45.113552900967498</v>
      </c>
      <c r="I34" s="10">
        <v>-136.620709144833</v>
      </c>
      <c r="J34" s="10">
        <v>178.847665704229</v>
      </c>
      <c r="K34" s="4">
        <f t="shared" si="0"/>
        <v>-45.113552902777776</v>
      </c>
      <c r="L34" s="4">
        <f t="shared" si="1"/>
        <v>-136.62070914444439</v>
      </c>
      <c r="M34" s="4">
        <f t="shared" si="13"/>
        <v>178.84766666666667</v>
      </c>
      <c r="N34" s="4">
        <f t="shared" si="14"/>
        <v>178.84766570422903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-136.62070914482246</v>
      </c>
      <c r="S34" s="2">
        <f t="shared" si="8"/>
        <v>2.7672640642167822E-12</v>
      </c>
      <c r="T34" s="2">
        <f t="shared" si="9"/>
        <v>7.7180496753984814E-14</v>
      </c>
      <c r="U34" s="6">
        <f t="shared" si="10"/>
        <v>178.84766570421741</v>
      </c>
      <c r="V34" s="2">
        <f t="shared" si="11"/>
        <v>5.3813912215656658E-9</v>
      </c>
      <c r="W34" s="2">
        <f t="shared" si="12"/>
        <v>6.4996538318030542E-14</v>
      </c>
    </row>
    <row r="35" spans="1:23" x14ac:dyDescent="0.45">
      <c r="A35">
        <v>54.907170000000001</v>
      </c>
      <c r="B35">
        <v>-9.1991599999999991</v>
      </c>
      <c r="C35">
        <v>159.90083999999999</v>
      </c>
      <c r="D35">
        <v>47791.921600000001</v>
      </c>
      <c r="E35" s="10" t="s">
        <v>115</v>
      </c>
      <c r="F35" s="10" t="s">
        <v>116</v>
      </c>
      <c r="G35" s="10" t="s">
        <v>117</v>
      </c>
      <c r="H35" s="10">
        <v>54.503722195225102</v>
      </c>
      <c r="I35" s="10">
        <v>-8.94564032722303</v>
      </c>
      <c r="J35" s="10">
        <v>160.107762256184</v>
      </c>
      <c r="K35" s="4">
        <f t="shared" si="0"/>
        <v>54.503722194444443</v>
      </c>
      <c r="L35" s="4">
        <f t="shared" si="1"/>
        <v>-8.9456403277778236</v>
      </c>
      <c r="M35" s="4">
        <f t="shared" si="13"/>
        <v>160.10776111111113</v>
      </c>
      <c r="N35" s="4">
        <f t="shared" si="14"/>
        <v>160.10776225618406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-8.945640327222538</v>
      </c>
      <c r="S35" s="2">
        <f t="shared" si="8"/>
        <v>6.2073320068388814E-11</v>
      </c>
      <c r="T35" s="2">
        <f t="shared" si="9"/>
        <v>5.5004541487821627E-14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2.6627418649066375E-15</v>
      </c>
    </row>
    <row r="36" spans="1:23" x14ac:dyDescent="0.45">
      <c r="A36">
        <v>-83.446259999999995</v>
      </c>
      <c r="B36">
        <v>129.38958</v>
      </c>
      <c r="C36">
        <v>259.11182000000002</v>
      </c>
      <c r="D36">
        <v>16379592.8594</v>
      </c>
      <c r="E36" s="10" t="s">
        <v>118</v>
      </c>
      <c r="F36" s="10" t="s">
        <v>119</v>
      </c>
      <c r="G36" s="10" t="s">
        <v>120</v>
      </c>
      <c r="H36" s="10">
        <v>55.735774026876001</v>
      </c>
      <c r="I36" s="10">
        <v>18.956400954957001</v>
      </c>
      <c r="J36" s="10">
        <v>-11.4946974424237</v>
      </c>
      <c r="K36" s="4">
        <f t="shared" si="0"/>
        <v>55.735774027777779</v>
      </c>
      <c r="L36" s="4">
        <f t="shared" si="1"/>
        <v>18.956400955555523</v>
      </c>
      <c r="M36" s="4">
        <f t="shared" si="13"/>
        <v>348.50530277777779</v>
      </c>
      <c r="N36" s="4">
        <f t="shared" si="14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18.956400954781955</v>
      </c>
      <c r="S36" s="2">
        <f t="shared" si="8"/>
        <v>4.0807739730537443E-11</v>
      </c>
      <c r="T36" s="2">
        <f t="shared" si="9"/>
        <v>9.2341239291209396E-12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45">
      <c r="A37">
        <v>10.2753</v>
      </c>
      <c r="B37">
        <v>101.86165</v>
      </c>
      <c r="C37">
        <v>18.37228</v>
      </c>
      <c r="D37">
        <v>25941909.833799999</v>
      </c>
      <c r="E37" s="10" t="s">
        <v>121</v>
      </c>
      <c r="F37" s="10" t="s">
        <v>122</v>
      </c>
      <c r="G37" s="10" t="s">
        <v>123</v>
      </c>
      <c r="H37" s="10">
        <v>-58.9990299796888</v>
      </c>
      <c r="I37" s="10">
        <v>-48.998848479748297</v>
      </c>
      <c r="J37" s="10">
        <v>143.07826182029501</v>
      </c>
      <c r="K37" s="4">
        <f t="shared" si="0"/>
        <v>-58.999029983333337</v>
      </c>
      <c r="L37" s="4">
        <f t="shared" si="1"/>
        <v>-48.99884848055558</v>
      </c>
      <c r="M37" s="4">
        <f t="shared" si="13"/>
        <v>143.07826111111109</v>
      </c>
      <c r="N37" s="4">
        <f t="shared" si="14"/>
        <v>143.07826182029498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-48.998848478845844</v>
      </c>
      <c r="S37" s="2">
        <f t="shared" si="8"/>
        <v>3.4893398631069161E-11</v>
      </c>
      <c r="T37" s="2">
        <f t="shared" si="9"/>
        <v>1.8417845546605824E-11</v>
      </c>
      <c r="U37" s="6">
        <f t="shared" si="10"/>
        <v>143.07826181931929</v>
      </c>
      <c r="V37" s="2">
        <f t="shared" si="11"/>
        <v>4.9497960030365411E-9</v>
      </c>
      <c r="W37" s="2">
        <f t="shared" si="12"/>
        <v>6.8192669565820956E-12</v>
      </c>
    </row>
    <row r="38" spans="1:23" x14ac:dyDescent="0.45">
      <c r="A38">
        <v>-70.479839999999996</v>
      </c>
      <c r="B38">
        <v>-59.324640000000002</v>
      </c>
      <c r="C38">
        <v>269.09638999999999</v>
      </c>
      <c r="D38">
        <v>19983063.0561</v>
      </c>
      <c r="E38" s="10" t="s">
        <v>124</v>
      </c>
      <c r="F38" s="10" t="s">
        <v>125</v>
      </c>
      <c r="G38" s="10" t="s">
        <v>126</v>
      </c>
      <c r="H38" s="10">
        <v>70.476845459848306</v>
      </c>
      <c r="I38" s="10">
        <v>121.335654410723</v>
      </c>
      <c r="J38" s="10">
        <v>-88.664516688994993</v>
      </c>
      <c r="K38" s="4">
        <f t="shared" si="0"/>
        <v>70.476845461111111</v>
      </c>
      <c r="L38" s="4">
        <f t="shared" si="1"/>
        <v>121.33565440833331</v>
      </c>
      <c r="M38" s="4">
        <f t="shared" si="13"/>
        <v>271.33548333333334</v>
      </c>
      <c r="N38" s="4">
        <f t="shared" si="14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121.33565440877898</v>
      </c>
      <c r="S38" s="2">
        <f t="shared" si="8"/>
        <v>3.6730062313228989E-12</v>
      </c>
      <c r="T38" s="2">
        <f t="shared" si="9"/>
        <v>1.6021807545123371E-11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45">
      <c r="A39">
        <v>-43.310850000000002</v>
      </c>
      <c r="B39">
        <v>142.96419</v>
      </c>
      <c r="C39">
        <v>132.10337000000001</v>
      </c>
      <c r="D39">
        <v>14969044.283500001</v>
      </c>
      <c r="E39" s="10" t="s">
        <v>127</v>
      </c>
      <c r="F39" s="10" t="s">
        <v>128</v>
      </c>
      <c r="G39" s="10" t="s">
        <v>129</v>
      </c>
      <c r="H39" s="10">
        <v>7.7782204546389702</v>
      </c>
      <c r="I39" s="10">
        <v>-69.411686508079001</v>
      </c>
      <c r="J39" s="10">
        <v>33.072833960909598</v>
      </c>
      <c r="K39" s="4">
        <f t="shared" si="0"/>
        <v>7.7782204555555552</v>
      </c>
      <c r="L39" s="4">
        <f t="shared" si="1"/>
        <v>-69.411686511111157</v>
      </c>
      <c r="M39" s="4">
        <f t="shared" si="13"/>
        <v>33.072833333333335</v>
      </c>
      <c r="N39" s="4">
        <f t="shared" si="14"/>
        <v>33.072833960909577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-69.411686508090909</v>
      </c>
      <c r="S39" s="2">
        <f t="shared" si="8"/>
        <v>4.3512084423897805E-11</v>
      </c>
      <c r="T39" s="2">
        <f t="shared" si="9"/>
        <v>1.7156615622577038E-13</v>
      </c>
      <c r="U39" s="6">
        <f t="shared" si="10"/>
        <v>33.072833960954668</v>
      </c>
      <c r="V39" s="2">
        <f t="shared" si="11"/>
        <v>1.8976944804128046E-8</v>
      </c>
      <c r="W39" s="2">
        <f t="shared" si="12"/>
        <v>1.3633860970194238E-12</v>
      </c>
    </row>
    <row r="40" spans="1:23" x14ac:dyDescent="0.45">
      <c r="A40">
        <v>66.897930000000002</v>
      </c>
      <c r="B40">
        <v>62.62509</v>
      </c>
      <c r="C40">
        <v>295.13056</v>
      </c>
      <c r="D40">
        <v>20971884.737199999</v>
      </c>
      <c r="E40" s="10" t="s">
        <v>130</v>
      </c>
      <c r="F40" s="10" t="s">
        <v>131</v>
      </c>
      <c r="G40" s="10" t="s">
        <v>132</v>
      </c>
      <c r="H40" s="10">
        <v>-69.138707943709207</v>
      </c>
      <c r="I40" s="10">
        <v>-139.797932329541</v>
      </c>
      <c r="J40" s="10">
        <v>-94.096336672680195</v>
      </c>
      <c r="K40" s="4">
        <f t="shared" si="0"/>
        <v>-69.138707944444448</v>
      </c>
      <c r="L40" s="4">
        <f t="shared" si="1"/>
        <v>-139.79793233055557</v>
      </c>
      <c r="M40" s="4">
        <f t="shared" si="13"/>
        <v>265.9036638888889</v>
      </c>
      <c r="N40" s="4">
        <f t="shared" si="14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</v>
      </c>
      <c r="S40" s="2">
        <f t="shared" si="8"/>
        <v>4.9187768838616691E-12</v>
      </c>
      <c r="T40" s="2">
        <f t="shared" si="9"/>
        <v>1.217617865394301E-11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45">
      <c r="A41">
        <v>-14.448980000000001</v>
      </c>
      <c r="B41">
        <v>-131.36622</v>
      </c>
      <c r="C41">
        <v>357.39879999999999</v>
      </c>
      <c r="D41">
        <v>5018737.5745999999</v>
      </c>
      <c r="E41" s="10" t="s">
        <v>133</v>
      </c>
      <c r="F41" s="10" t="s">
        <v>134</v>
      </c>
      <c r="G41" s="10" t="s">
        <v>135</v>
      </c>
      <c r="H41" s="10">
        <v>30.860172734780299</v>
      </c>
      <c r="I41" s="10">
        <v>-133.50851917958499</v>
      </c>
      <c r="J41" s="10">
        <v>-2.9326663319569599</v>
      </c>
      <c r="K41" s="4">
        <f t="shared" si="0"/>
        <v>30.86017273611111</v>
      </c>
      <c r="L41" s="4">
        <f t="shared" si="1"/>
        <v>-133.5085191805556</v>
      </c>
      <c r="M41" s="4">
        <f t="shared" si="13"/>
        <v>357.06733333333329</v>
      </c>
      <c r="N41" s="4">
        <f t="shared" si="14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7.1705419595705102E-12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45">
      <c r="A42">
        <v>56.26164</v>
      </c>
      <c r="B42">
        <v>160.04601</v>
      </c>
      <c r="C42">
        <v>207.2295</v>
      </c>
      <c r="D42">
        <v>5688651.0158000002</v>
      </c>
      <c r="E42" s="10" t="s">
        <v>136</v>
      </c>
      <c r="F42" s="10" t="s">
        <v>137</v>
      </c>
      <c r="G42" s="10" t="s">
        <v>138</v>
      </c>
      <c r="H42" s="10">
        <v>7.7505718894221696</v>
      </c>
      <c r="I42" s="10">
        <v>138.99198735445401</v>
      </c>
      <c r="J42" s="10">
        <v>-165.10490137988299</v>
      </c>
      <c r="K42" s="4">
        <f t="shared" ref="K42:K105" si="15">ConvertDecimal(E42)</f>
        <v>7.7505718888888886</v>
      </c>
      <c r="L42" s="4">
        <f t="shared" ref="L42:L105" si="16">MOD(ConvertDecimal(F42)+3*180, 360) - 180</f>
        <v>138.99198735555558</v>
      </c>
      <c r="M42" s="4">
        <f t="shared" ref="M42:M105" si="17">MOD(ConvertDecimal(G42)+180, 360)</f>
        <v>194.89510000000001</v>
      </c>
      <c r="N42" s="4">
        <f t="shared" ref="N42:N105" si="18">MOD(J42+360, 360)</f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138.99198735442926</v>
      </c>
      <c r="S42" s="2">
        <f t="shared" si="8"/>
        <v>8.1035169324993519E-12</v>
      </c>
      <c r="T42" s="2">
        <f t="shared" si="9"/>
        <v>1.7810601449097565E-13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45">
      <c r="A43">
        <v>-52.43038</v>
      </c>
      <c r="B43">
        <v>-158.68406999999999</v>
      </c>
      <c r="C43">
        <v>295.40204</v>
      </c>
      <c r="D43">
        <v>24475326.5867</v>
      </c>
      <c r="E43" s="10" t="s">
        <v>139</v>
      </c>
      <c r="F43" s="10" t="s">
        <v>140</v>
      </c>
      <c r="G43" s="10" t="s">
        <v>141</v>
      </c>
      <c r="H43" s="10">
        <v>25.781218774337798</v>
      </c>
      <c r="I43" s="10">
        <v>-18.737769139692301</v>
      </c>
      <c r="J43" s="10">
        <v>-142.224966795466</v>
      </c>
      <c r="K43" s="4">
        <f t="shared" si="15"/>
        <v>25.781218772222221</v>
      </c>
      <c r="L43" s="4">
        <f t="shared" si="16"/>
        <v>-18.737769136111069</v>
      </c>
      <c r="M43" s="4">
        <f t="shared" si="17"/>
        <v>217.77503333333334</v>
      </c>
      <c r="N43" s="4">
        <f t="shared" si="18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-18.737769139807774</v>
      </c>
      <c r="S43" s="2">
        <f t="shared" si="8"/>
        <v>1.9728630112525327E-10</v>
      </c>
      <c r="T43" s="2">
        <f t="shared" si="9"/>
        <v>6.162625435353662E-12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45">
      <c r="A44">
        <v>18.914919999999999</v>
      </c>
      <c r="B44">
        <v>-16.346509999999999</v>
      </c>
      <c r="C44">
        <v>214.55985000000001</v>
      </c>
      <c r="D44">
        <v>11418445.4695</v>
      </c>
      <c r="E44" s="10" t="s">
        <v>142</v>
      </c>
      <c r="F44" s="10" t="s">
        <v>143</v>
      </c>
      <c r="G44" s="10" t="s">
        <v>144</v>
      </c>
      <c r="H44" s="10">
        <v>-56.357512339604</v>
      </c>
      <c r="I44" s="10">
        <v>-101.062704060629</v>
      </c>
      <c r="J44" s="10">
        <v>-104.82100347087901</v>
      </c>
      <c r="K44" s="4">
        <f t="shared" si="15"/>
        <v>-56.35751234166667</v>
      </c>
      <c r="L44" s="4">
        <f t="shared" si="16"/>
        <v>-101.06270406111111</v>
      </c>
      <c r="M44" s="4">
        <f t="shared" si="17"/>
        <v>255.17899722222222</v>
      </c>
      <c r="N44" s="4">
        <f t="shared" si="18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45">
      <c r="A45">
        <v>-18.661280000000001</v>
      </c>
      <c r="B45">
        <v>-176.80045000000001</v>
      </c>
      <c r="C45">
        <v>293.29950000000002</v>
      </c>
      <c r="D45">
        <v>21962851.263599999</v>
      </c>
      <c r="E45" s="10" t="s">
        <v>145</v>
      </c>
      <c r="F45" s="10" t="s">
        <v>146</v>
      </c>
      <c r="G45" s="10" t="s">
        <v>147</v>
      </c>
      <c r="H45" s="10">
        <v>10.9004762372901</v>
      </c>
      <c r="I45" s="10">
        <v>-12.9112128128334</v>
      </c>
      <c r="J45" s="10">
        <v>-117.581840634147</v>
      </c>
      <c r="K45" s="4">
        <f t="shared" si="15"/>
        <v>10.90047623611111</v>
      </c>
      <c r="L45" s="4">
        <f t="shared" si="16"/>
        <v>-12.911212808333289</v>
      </c>
      <c r="M45" s="4">
        <f t="shared" si="17"/>
        <v>242.41815833333334</v>
      </c>
      <c r="N45" s="4">
        <f t="shared" si="18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-12.911212813140974</v>
      </c>
      <c r="S45" s="2">
        <f t="shared" si="8"/>
        <v>3.7236508980302769E-10</v>
      </c>
      <c r="T45" s="2">
        <f t="shared" si="9"/>
        <v>2.3822270986006305E-11</v>
      </c>
      <c r="U45" s="6">
        <f t="shared" si="10"/>
        <v>242.41815936564174</v>
      </c>
      <c r="V45" s="2">
        <f t="shared" si="11"/>
        <v>4.2583790388857929E-9</v>
      </c>
      <c r="W45" s="2">
        <f t="shared" si="12"/>
        <v>8.7146345285695145E-13</v>
      </c>
    </row>
    <row r="46" spans="1:23" x14ac:dyDescent="0.45">
      <c r="A46">
        <v>-17.826229999999999</v>
      </c>
      <c r="B46">
        <v>131.55552</v>
      </c>
      <c r="C46">
        <v>146.41113999999999</v>
      </c>
      <c r="D46">
        <v>23153552.507599998</v>
      </c>
      <c r="E46" s="10" t="s">
        <v>148</v>
      </c>
      <c r="F46" s="10" t="s">
        <v>149</v>
      </c>
      <c r="G46" s="10" t="s">
        <v>150</v>
      </c>
      <c r="H46" s="10">
        <v>40.354227137204703</v>
      </c>
      <c r="I46" s="10">
        <v>-28.609247305471101</v>
      </c>
      <c r="J46" s="10">
        <v>43.658740502462997</v>
      </c>
      <c r="K46" s="4">
        <f t="shared" si="15"/>
        <v>40.354227138888888</v>
      </c>
      <c r="L46" s="4">
        <f t="shared" si="16"/>
        <v>-28.609247308333352</v>
      </c>
      <c r="M46" s="4">
        <f t="shared" si="17"/>
        <v>43.658741666666629</v>
      </c>
      <c r="N46" s="4">
        <f t="shared" si="18"/>
        <v>43.65874050246299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-28.609247305064152</v>
      </c>
      <c r="S46" s="2">
        <f t="shared" si="8"/>
        <v>1.1427074562890039E-10</v>
      </c>
      <c r="T46" s="2">
        <f t="shared" si="9"/>
        <v>1.4224391739731618E-11</v>
      </c>
      <c r="U46" s="6">
        <f t="shared" si="10"/>
        <v>43.658740503031929</v>
      </c>
      <c r="V46" s="2">
        <f t="shared" si="11"/>
        <v>2.6652960101146485E-8</v>
      </c>
      <c r="W46" s="2">
        <f t="shared" si="12"/>
        <v>1.3031495352422577E-11</v>
      </c>
    </row>
    <row r="47" spans="1:23" x14ac:dyDescent="0.45">
      <c r="A47">
        <v>12.142620000000001</v>
      </c>
      <c r="B47">
        <v>-36.635980000000004</v>
      </c>
      <c r="C47">
        <v>146.83186000000001</v>
      </c>
      <c r="D47">
        <v>27457648.3748</v>
      </c>
      <c r="E47" s="10" t="s">
        <v>151</v>
      </c>
      <c r="F47" s="10" t="s">
        <v>152</v>
      </c>
      <c r="G47" s="10" t="s">
        <v>153</v>
      </c>
      <c r="H47" s="10">
        <v>42.441562745321001</v>
      </c>
      <c r="I47" s="10">
        <v>-174.03343368774199</v>
      </c>
      <c r="J47" s="10">
        <v>46.366979993289704</v>
      </c>
      <c r="K47" s="4">
        <f t="shared" si="15"/>
        <v>42.441562747222221</v>
      </c>
      <c r="L47" s="4">
        <f t="shared" si="16"/>
        <v>-174.03343368888886</v>
      </c>
      <c r="M47" s="4">
        <f t="shared" si="17"/>
        <v>46.366980555555529</v>
      </c>
      <c r="N47" s="4">
        <f t="shared" si="18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1.0657073363880059E-11</v>
      </c>
      <c r="T47" s="2">
        <f t="shared" si="9"/>
        <v>4.0671165112145696E-12</v>
      </c>
      <c r="U47" s="6">
        <f t="shared" si="10"/>
        <v>46.366979994102572</v>
      </c>
      <c r="V47" s="2">
        <f t="shared" si="11"/>
        <v>1.2108896250911714E-8</v>
      </c>
      <c r="W47" s="2">
        <f t="shared" si="12"/>
        <v>1.7531182648827929E-11</v>
      </c>
    </row>
    <row r="48" spans="1:23" x14ac:dyDescent="0.45">
      <c r="A48">
        <v>69.926180000000002</v>
      </c>
      <c r="B48">
        <v>87.82499</v>
      </c>
      <c r="C48">
        <v>48.883920000000003</v>
      </c>
      <c r="D48">
        <v>1594501.6647000001</v>
      </c>
      <c r="E48" s="10" t="s">
        <v>154</v>
      </c>
      <c r="F48" s="10" t="s">
        <v>155</v>
      </c>
      <c r="G48" s="10" t="s">
        <v>156</v>
      </c>
      <c r="H48" s="10">
        <v>74.9973653084989</v>
      </c>
      <c r="I48" s="10">
        <v>133.69870045488801</v>
      </c>
      <c r="J48" s="10">
        <v>92.871550246343602</v>
      </c>
      <c r="K48" s="4">
        <f t="shared" si="15"/>
        <v>74.997365308333329</v>
      </c>
      <c r="L48" s="4">
        <f t="shared" si="16"/>
        <v>133.69870045277776</v>
      </c>
      <c r="M48" s="4">
        <f t="shared" si="17"/>
        <v>92.871550000000013</v>
      </c>
      <c r="N48" s="4">
        <f t="shared" si="18"/>
        <v>92.871550246343588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133.69870045488878</v>
      </c>
      <c r="S48" s="2">
        <f t="shared" si="8"/>
        <v>1.5789401548363355E-11</v>
      </c>
      <c r="T48" s="2">
        <f t="shared" si="9"/>
        <v>5.7396680147974663E-15</v>
      </c>
      <c r="U48" s="6">
        <f t="shared" si="10"/>
        <v>92.871550246363924</v>
      </c>
      <c r="V48" s="2">
        <f t="shared" si="11"/>
        <v>2.6527382239813597E-9</v>
      </c>
      <c r="W48" s="2">
        <f t="shared" si="12"/>
        <v>2.1896622855452655E-13</v>
      </c>
    </row>
    <row r="49" spans="1:23" x14ac:dyDescent="0.45">
      <c r="A49">
        <v>-55.565100000000001</v>
      </c>
      <c r="B49">
        <v>30.077780000000001</v>
      </c>
      <c r="C49">
        <v>165.26965000000001</v>
      </c>
      <c r="D49">
        <v>7281691.9382999996</v>
      </c>
      <c r="E49" s="10" t="s">
        <v>157</v>
      </c>
      <c r="F49" s="10" t="s">
        <v>158</v>
      </c>
      <c r="G49" s="10" t="s">
        <v>159</v>
      </c>
      <c r="H49" s="10">
        <v>-57.332786182477101</v>
      </c>
      <c r="I49" s="10">
        <v>-175.25900082019399</v>
      </c>
      <c r="J49" s="10">
        <v>15.447583772795699</v>
      </c>
      <c r="K49" s="4">
        <f t="shared" si="15"/>
        <v>-57.332786183333333</v>
      </c>
      <c r="L49" s="4">
        <f t="shared" si="16"/>
        <v>-175.25900082222222</v>
      </c>
      <c r="M49" s="4">
        <f t="shared" si="17"/>
        <v>15.447583333333341</v>
      </c>
      <c r="N49" s="4">
        <f t="shared" si="18"/>
        <v>15.447583772795724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15.447583772776781</v>
      </c>
      <c r="V49" s="2">
        <f t="shared" si="11"/>
        <v>2.8447390790952158E-8</v>
      </c>
      <c r="W49" s="2">
        <f t="shared" si="12"/>
        <v>1.2262804082489808E-12</v>
      </c>
    </row>
    <row r="50" spans="1:23" x14ac:dyDescent="0.45">
      <c r="A50">
        <v>54.742400000000004</v>
      </c>
      <c r="B50">
        <v>-122.9849</v>
      </c>
      <c r="C50">
        <v>12.37074</v>
      </c>
      <c r="D50">
        <v>23518265.962400001</v>
      </c>
      <c r="E50" s="10" t="s">
        <v>160</v>
      </c>
      <c r="F50" s="10" t="s">
        <v>161</v>
      </c>
      <c r="G50" s="10" t="s">
        <v>162</v>
      </c>
      <c r="H50" s="10">
        <v>-82.252833425647196</v>
      </c>
      <c r="I50" s="10">
        <v>113.000909572631</v>
      </c>
      <c r="J50" s="10">
        <v>113.589107885776</v>
      </c>
      <c r="K50" s="4">
        <f t="shared" si="15"/>
        <v>-82.252833425000006</v>
      </c>
      <c r="L50" s="4">
        <f t="shared" si="16"/>
        <v>113.00090957777775</v>
      </c>
      <c r="M50" s="4">
        <f t="shared" si="17"/>
        <v>113.58910833333334</v>
      </c>
      <c r="N50" s="4">
        <f t="shared" si="18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113.58910788101988</v>
      </c>
      <c r="V50" s="2">
        <f t="shared" si="11"/>
        <v>3.9820143360228985E-9</v>
      </c>
      <c r="W50" s="2">
        <f t="shared" si="12"/>
        <v>4.1871244226831485E-11</v>
      </c>
    </row>
    <row r="51" spans="1:23" x14ac:dyDescent="0.45">
      <c r="A51">
        <v>-16.655989999999999</v>
      </c>
      <c r="B51">
        <v>-3.1525599999999998</v>
      </c>
      <c r="C51">
        <v>278.37556000000001</v>
      </c>
      <c r="D51">
        <v>3921469.0978999999</v>
      </c>
      <c r="E51" s="10" t="s">
        <v>163</v>
      </c>
      <c r="F51" s="10" t="s">
        <v>164</v>
      </c>
      <c r="G51" s="10" t="s">
        <v>165</v>
      </c>
      <c r="H51" s="10">
        <v>-8.7922288975664493</v>
      </c>
      <c r="I51" s="10">
        <v>-38.421074215752</v>
      </c>
      <c r="J51" s="10">
        <v>-73.593921201083404</v>
      </c>
      <c r="K51" s="4">
        <f t="shared" si="15"/>
        <v>-8.7922288972222216</v>
      </c>
      <c r="L51" s="4">
        <f t="shared" si="16"/>
        <v>-38.421074213888915</v>
      </c>
      <c r="M51" s="4">
        <f t="shared" si="17"/>
        <v>286.4060777777778</v>
      </c>
      <c r="N51" s="4">
        <f t="shared" si="18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-38.421074215890137</v>
      </c>
      <c r="S51" s="2">
        <f t="shared" si="8"/>
        <v>5.2086578523169539E-11</v>
      </c>
      <c r="T51" s="2">
        <f t="shared" si="9"/>
        <v>3.5953344896975151E-12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45">
      <c r="A52">
        <v>41.28819</v>
      </c>
      <c r="B52">
        <v>-163.27911</v>
      </c>
      <c r="C52">
        <v>93.865449999999996</v>
      </c>
      <c r="D52">
        <v>8374879.0009000003</v>
      </c>
      <c r="E52" s="10" t="s">
        <v>166</v>
      </c>
      <c r="F52" s="10" t="s">
        <v>167</v>
      </c>
      <c r="G52" s="10" t="s">
        <v>168</v>
      </c>
      <c r="H52" s="10">
        <v>6.71948613301159</v>
      </c>
      <c r="I52" s="10">
        <v>-86.996399544174807</v>
      </c>
      <c r="J52" s="10">
        <v>130.892076264775</v>
      </c>
      <c r="K52" s="4">
        <f t="shared" si="15"/>
        <v>6.7194861333333336</v>
      </c>
      <c r="L52" s="4">
        <f t="shared" si="16"/>
        <v>-86.996399547222211</v>
      </c>
      <c r="M52" s="4">
        <f t="shared" si="17"/>
        <v>130.89207499999998</v>
      </c>
      <c r="N52" s="4">
        <f t="shared" si="18"/>
        <v>130.89207626477503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-86.996399544210746</v>
      </c>
      <c r="S52" s="2">
        <f t="shared" si="8"/>
        <v>3.4615971131402506E-11</v>
      </c>
      <c r="T52" s="2">
        <f t="shared" si="9"/>
        <v>4.1311194213844134E-13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2.7989152973387387E-13</v>
      </c>
    </row>
    <row r="53" spans="1:23" x14ac:dyDescent="0.45">
      <c r="A53">
        <v>-55.107990000000001</v>
      </c>
      <c r="B53">
        <v>-30.459199999999999</v>
      </c>
      <c r="C53">
        <v>218.89684</v>
      </c>
      <c r="D53">
        <v>2583078.8037999999</v>
      </c>
      <c r="E53" s="10" t="s">
        <v>169</v>
      </c>
      <c r="F53" s="10" t="s">
        <v>170</v>
      </c>
      <c r="G53" s="10" t="s">
        <v>171</v>
      </c>
      <c r="H53" s="10">
        <v>-68.327727516497006</v>
      </c>
      <c r="I53" s="10">
        <v>-72.378787125874894</v>
      </c>
      <c r="J53" s="10">
        <v>-103.58865501351301</v>
      </c>
      <c r="K53" s="4">
        <f t="shared" si="15"/>
        <v>-68.32772751666667</v>
      </c>
      <c r="L53" s="4">
        <f t="shared" si="16"/>
        <v>-72.378787125000031</v>
      </c>
      <c r="M53" s="4">
        <f t="shared" si="17"/>
        <v>256.41134444444447</v>
      </c>
      <c r="N53" s="4">
        <f t="shared" si="18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1.3063092576194293E-11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45">
      <c r="A54">
        <v>80.342839999999995</v>
      </c>
      <c r="B54">
        <v>13.14785</v>
      </c>
      <c r="C54">
        <v>216.89024000000001</v>
      </c>
      <c r="D54">
        <v>14011974.0339</v>
      </c>
      <c r="E54" s="10" t="s">
        <v>172</v>
      </c>
      <c r="F54" s="10" t="s">
        <v>173</v>
      </c>
      <c r="G54" s="10" t="s">
        <v>174</v>
      </c>
      <c r="H54" s="10">
        <v>-43.735738773536198</v>
      </c>
      <c r="I54" s="10">
        <v>-28.862327585218399</v>
      </c>
      <c r="J54" s="10">
        <v>-171.97526486340601</v>
      </c>
      <c r="K54" s="4">
        <f t="shared" si="15"/>
        <v>-43.735738775000002</v>
      </c>
      <c r="L54" s="4">
        <f t="shared" si="16"/>
        <v>-28.862327586111121</v>
      </c>
      <c r="M54" s="4">
        <f t="shared" si="17"/>
        <v>188.02473611111111</v>
      </c>
      <c r="N54" s="4">
        <f t="shared" si="18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-28.862327585296871</v>
      </c>
      <c r="S54" s="2">
        <f t="shared" si="8"/>
        <v>2.8211515454830883E-11</v>
      </c>
      <c r="T54" s="2">
        <f t="shared" si="9"/>
        <v>2.7188500132447536E-12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45">
      <c r="A55">
        <v>50.84966</v>
      </c>
      <c r="B55">
        <v>-177.45111</v>
      </c>
      <c r="C55">
        <v>93.091080000000005</v>
      </c>
      <c r="D55">
        <v>18934734.430599999</v>
      </c>
      <c r="E55" s="10" t="s">
        <v>175</v>
      </c>
      <c r="F55" s="10" t="s">
        <v>176</v>
      </c>
      <c r="G55" s="10" t="s">
        <v>177</v>
      </c>
      <c r="H55" s="10">
        <v>-50.400528421702397</v>
      </c>
      <c r="I55" s="10">
        <v>-12.7613648954847</v>
      </c>
      <c r="J55" s="10">
        <v>98.475822688316001</v>
      </c>
      <c r="K55" s="4">
        <f t="shared" si="15"/>
        <v>-50.400528422222223</v>
      </c>
      <c r="L55" s="4">
        <f t="shared" si="16"/>
        <v>-12.761364897222165</v>
      </c>
      <c r="M55" s="4">
        <f t="shared" si="17"/>
        <v>98.475822222222234</v>
      </c>
      <c r="N55" s="4">
        <f t="shared" si="18"/>
        <v>98.475822688315986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-12.761364894651159</v>
      </c>
      <c r="S55" s="2">
        <f t="shared" si="8"/>
        <v>2.0146798869076445E-10</v>
      </c>
      <c r="T55" s="2">
        <f t="shared" si="9"/>
        <v>6.5317561472502104E-11</v>
      </c>
      <c r="U55" s="6">
        <f t="shared" si="10"/>
        <v>98.475822687271602</v>
      </c>
      <c r="V55" s="2">
        <f t="shared" si="11"/>
        <v>4.7224725563018326E-9</v>
      </c>
      <c r="W55" s="2">
        <f t="shared" si="12"/>
        <v>1.060548778592271E-11</v>
      </c>
    </row>
    <row r="56" spans="1:23" x14ac:dyDescent="0.45">
      <c r="A56">
        <v>7.96821</v>
      </c>
      <c r="B56">
        <v>-91.266379999999998</v>
      </c>
      <c r="C56">
        <v>351.80045999999999</v>
      </c>
      <c r="D56">
        <v>77993.078200000004</v>
      </c>
      <c r="E56" s="10" t="s">
        <v>178</v>
      </c>
      <c r="F56" s="10" t="s">
        <v>179</v>
      </c>
      <c r="G56" s="10" t="s">
        <v>180</v>
      </c>
      <c r="H56" s="10">
        <v>8.6661856902781</v>
      </c>
      <c r="I56" s="10">
        <v>-91.367447491108706</v>
      </c>
      <c r="J56" s="10">
        <v>-8.21416001309621</v>
      </c>
      <c r="K56" s="4">
        <f t="shared" si="15"/>
        <v>8.6661856916666675</v>
      </c>
      <c r="L56" s="4">
        <f t="shared" si="16"/>
        <v>-91.367447491666667</v>
      </c>
      <c r="M56" s="4">
        <f t="shared" si="17"/>
        <v>351.78583888888886</v>
      </c>
      <c r="N56" s="4">
        <f t="shared" si="18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45">
      <c r="A57">
        <v>80.796670000000006</v>
      </c>
      <c r="B57">
        <v>-132.59368000000001</v>
      </c>
      <c r="C57">
        <v>52.511809999999997</v>
      </c>
      <c r="D57">
        <v>12601924.446699999</v>
      </c>
      <c r="E57" s="10" t="s">
        <v>181</v>
      </c>
      <c r="F57" s="10" t="s">
        <v>182</v>
      </c>
      <c r="G57" s="10" t="s">
        <v>183</v>
      </c>
      <c r="H57" s="10">
        <v>-17.6721697714874</v>
      </c>
      <c r="I57" s="10">
        <v>-2.4562649887348602</v>
      </c>
      <c r="J57" s="10">
        <v>172.32298028484399</v>
      </c>
      <c r="K57" s="4">
        <f t="shared" si="15"/>
        <v>-17.672169772222222</v>
      </c>
      <c r="L57" s="4">
        <f t="shared" si="16"/>
        <v>-2.4562649888888473</v>
      </c>
      <c r="M57" s="4">
        <f t="shared" si="17"/>
        <v>172.32298055555555</v>
      </c>
      <c r="N57" s="4">
        <f t="shared" si="18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-2.456264988717114</v>
      </c>
      <c r="S57" s="2">
        <f t="shared" si="8"/>
        <v>6.991643614543222E-11</v>
      </c>
      <c r="T57" s="2">
        <f t="shared" si="9"/>
        <v>7.2248918566228678E-12</v>
      </c>
      <c r="U57" s="6">
        <f t="shared" si="10"/>
        <v>172.32298028482765</v>
      </c>
      <c r="V57" s="2">
        <f t="shared" si="11"/>
        <v>1.5710492839677002E-9</v>
      </c>
      <c r="W57" s="2">
        <f t="shared" si="12"/>
        <v>9.4836352618024244E-14</v>
      </c>
    </row>
    <row r="58" spans="1:23" x14ac:dyDescent="0.45">
      <c r="A58">
        <v>13.14395</v>
      </c>
      <c r="B58">
        <v>15.64518</v>
      </c>
      <c r="C58">
        <v>331.11430000000001</v>
      </c>
      <c r="D58">
        <v>12336200.919199999</v>
      </c>
      <c r="E58" s="10" t="s">
        <v>184</v>
      </c>
      <c r="F58" s="10" t="s">
        <v>185</v>
      </c>
      <c r="G58" s="10" t="s">
        <v>186</v>
      </c>
      <c r="H58" s="10">
        <v>45.739355742909702</v>
      </c>
      <c r="I58" s="10">
        <v>-124.00664760021</v>
      </c>
      <c r="J58" s="10">
        <v>-137.70330423417599</v>
      </c>
      <c r="K58" s="4">
        <f t="shared" si="15"/>
        <v>45.739355744444445</v>
      </c>
      <c r="L58" s="4">
        <f t="shared" si="16"/>
        <v>-124.00664760000001</v>
      </c>
      <c r="M58" s="4">
        <f t="shared" si="17"/>
        <v>222.29669444444446</v>
      </c>
      <c r="N58" s="4">
        <f t="shared" si="18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-124.00664760030213</v>
      </c>
      <c r="S58" s="2">
        <f t="shared" si="8"/>
        <v>2.4363433500737148E-12</v>
      </c>
      <c r="T58" s="2">
        <f t="shared" si="9"/>
        <v>7.4293574499064655E-13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45">
      <c r="A59">
        <v>-6.6154799999999998</v>
      </c>
      <c r="B59">
        <v>30.14874</v>
      </c>
      <c r="C59">
        <v>164.33973</v>
      </c>
      <c r="D59">
        <v>12949182.965299999</v>
      </c>
      <c r="E59" s="10" t="s">
        <v>187</v>
      </c>
      <c r="F59" s="10" t="s">
        <v>188</v>
      </c>
      <c r="G59" s="10" t="s">
        <v>189</v>
      </c>
      <c r="H59" s="10">
        <v>-53.696696116546001</v>
      </c>
      <c r="I59" s="10">
        <v>-173.98462584765099</v>
      </c>
      <c r="J59" s="10">
        <v>26.866967573340801</v>
      </c>
      <c r="K59" s="4">
        <f t="shared" si="15"/>
        <v>-53.696696116666665</v>
      </c>
      <c r="L59" s="4">
        <f t="shared" si="16"/>
        <v>-173.98462584722222</v>
      </c>
      <c r="M59" s="4">
        <f t="shared" si="17"/>
        <v>26.866966666666656</v>
      </c>
      <c r="N59" s="4">
        <f t="shared" si="18"/>
        <v>26.866967573340787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</v>
      </c>
      <c r="V59" s="2">
        <f t="shared" si="11"/>
        <v>3.3738981236123549E-8</v>
      </c>
      <c r="W59" s="2">
        <f t="shared" si="12"/>
        <v>7.8180423696251034E-12</v>
      </c>
    </row>
    <row r="60" spans="1:23" x14ac:dyDescent="0.45">
      <c r="A60">
        <v>-63.980870000000003</v>
      </c>
      <c r="B60">
        <v>144.50285</v>
      </c>
      <c r="C60">
        <v>213.13917000000001</v>
      </c>
      <c r="D60">
        <v>3218075.0106000002</v>
      </c>
      <c r="E60" s="10" t="s">
        <v>190</v>
      </c>
      <c r="F60" s="10" t="s">
        <v>191</v>
      </c>
      <c r="G60" s="10" t="s">
        <v>192</v>
      </c>
      <c r="H60" s="10">
        <v>-74.669744843306702</v>
      </c>
      <c r="I60" s="10">
        <v>59.152689285817097</v>
      </c>
      <c r="J60" s="10">
        <v>-65.051167902125101</v>
      </c>
      <c r="K60" s="4">
        <f t="shared" si="15"/>
        <v>-74.669744844444438</v>
      </c>
      <c r="L60" s="4">
        <f t="shared" si="16"/>
        <v>59.152689288888837</v>
      </c>
      <c r="M60" s="4">
        <f t="shared" si="17"/>
        <v>294.94883333333337</v>
      </c>
      <c r="N60" s="4">
        <f t="shared" si="18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59.152689285786565</v>
      </c>
      <c r="S60" s="2">
        <f t="shared" si="8"/>
        <v>5.244515936954146E-11</v>
      </c>
      <c r="T60" s="2">
        <f t="shared" si="9"/>
        <v>5.1615609914344333E-13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45">
      <c r="A61">
        <v>13.03885</v>
      </c>
      <c r="B61">
        <v>-82.284869999999998</v>
      </c>
      <c r="C61">
        <v>7.6526800000000001</v>
      </c>
      <c r="D61">
        <v>14250505.172800001</v>
      </c>
      <c r="E61" s="10" t="s">
        <v>193</v>
      </c>
      <c r="F61" s="10" t="s">
        <v>194</v>
      </c>
      <c r="G61" s="10" t="s">
        <v>195</v>
      </c>
      <c r="H61" s="10">
        <v>38.431014126326801</v>
      </c>
      <c r="I61" s="10">
        <v>89.988566363199197</v>
      </c>
      <c r="J61" s="10">
        <v>170.47795502090599</v>
      </c>
      <c r="K61" s="4">
        <f t="shared" si="15"/>
        <v>38.431014127777779</v>
      </c>
      <c r="L61" s="4">
        <f t="shared" si="16"/>
        <v>89.988566363888935</v>
      </c>
      <c r="M61" s="4">
        <f t="shared" si="17"/>
        <v>170.47795555555558</v>
      </c>
      <c r="N61" s="4">
        <f t="shared" si="18"/>
        <v>170.47795502090594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89.98856636321419</v>
      </c>
      <c r="S61" s="2">
        <f t="shared" si="8"/>
        <v>7.4981258174957622E-12</v>
      </c>
      <c r="T61" s="2">
        <f t="shared" si="9"/>
        <v>1.6660396237481647E-13</v>
      </c>
      <c r="U61" s="6">
        <f t="shared" si="10"/>
        <v>170.47795502095266</v>
      </c>
      <c r="V61" s="2">
        <f t="shared" si="11"/>
        <v>3.1359064380857817E-9</v>
      </c>
      <c r="W61" s="2">
        <f t="shared" si="12"/>
        <v>2.7408406147207835E-13</v>
      </c>
    </row>
    <row r="62" spans="1:23" x14ac:dyDescent="0.45">
      <c r="A62">
        <v>-69.49145</v>
      </c>
      <c r="B62">
        <v>-12.71739</v>
      </c>
      <c r="C62">
        <v>100.01456</v>
      </c>
      <c r="D62">
        <v>29644160.633699998</v>
      </c>
      <c r="E62" s="10" t="s">
        <v>196</v>
      </c>
      <c r="F62" s="10" t="s">
        <v>197</v>
      </c>
      <c r="G62" s="10" t="s">
        <v>198</v>
      </c>
      <c r="H62" s="10">
        <v>6.5416629937386999</v>
      </c>
      <c r="I62" s="10">
        <v>-94.760979336270296</v>
      </c>
      <c r="J62" s="10">
        <v>159.617901374051</v>
      </c>
      <c r="K62" s="4">
        <f t="shared" si="15"/>
        <v>6.5416629916666666</v>
      </c>
      <c r="L62" s="4">
        <f t="shared" si="16"/>
        <v>-94.760979338888887</v>
      </c>
      <c r="M62" s="4">
        <f t="shared" si="17"/>
        <v>159.61789999999996</v>
      </c>
      <c r="N62" s="4">
        <f t="shared" si="18"/>
        <v>159.61790137405103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2.6905004125259115E-13</v>
      </c>
    </row>
    <row r="63" spans="1:23" x14ac:dyDescent="0.45">
      <c r="A63">
        <v>31.452400000000001</v>
      </c>
      <c r="B63">
        <v>82.234369999999998</v>
      </c>
      <c r="C63">
        <v>281.89105999999998</v>
      </c>
      <c r="D63">
        <v>2846281.0967000001</v>
      </c>
      <c r="E63" s="10" t="s">
        <v>199</v>
      </c>
      <c r="F63" s="10" t="s">
        <v>200</v>
      </c>
      <c r="G63" s="10" t="s">
        <v>201</v>
      </c>
      <c r="H63" s="10">
        <v>33.1402837589835</v>
      </c>
      <c r="I63" s="10">
        <v>51.975873495157998</v>
      </c>
      <c r="J63" s="10">
        <v>-94.551897124398593</v>
      </c>
      <c r="K63" s="4">
        <f t="shared" si="15"/>
        <v>33.140283758333332</v>
      </c>
      <c r="L63" s="4">
        <f t="shared" si="16"/>
        <v>51.97587349722221</v>
      </c>
      <c r="M63" s="4">
        <f t="shared" si="17"/>
        <v>265.44810277777776</v>
      </c>
      <c r="N63" s="4">
        <f t="shared" si="18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51.975873495226146</v>
      </c>
      <c r="S63" s="2">
        <f t="shared" si="8"/>
        <v>3.8403659706292544E-11</v>
      </c>
      <c r="T63" s="2">
        <f t="shared" si="9"/>
        <v>1.3111497547626553E-12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45">
      <c r="A64">
        <v>34.213329999999999</v>
      </c>
      <c r="B64">
        <v>134.32218</v>
      </c>
      <c r="C64">
        <v>149.26883000000001</v>
      </c>
      <c r="D64">
        <v>24776891.9844</v>
      </c>
      <c r="E64" s="10" t="s">
        <v>202</v>
      </c>
      <c r="F64" s="10" t="s">
        <v>203</v>
      </c>
      <c r="G64" s="10" t="s">
        <v>204</v>
      </c>
      <c r="H64" s="10">
        <v>4.3713322471845899</v>
      </c>
      <c r="I64" s="10">
        <v>-25.5120692483247</v>
      </c>
      <c r="J64" s="10">
        <v>25.1034493432918</v>
      </c>
      <c r="K64" s="4">
        <f t="shared" si="15"/>
        <v>4.37133225</v>
      </c>
      <c r="L64" s="4">
        <f t="shared" si="16"/>
        <v>-25.512069249999968</v>
      </c>
      <c r="M64" s="4">
        <f t="shared" si="17"/>
        <v>25.103450000000009</v>
      </c>
      <c r="N64" s="4">
        <f t="shared" si="18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-25.512069248196038</v>
      </c>
      <c r="S64" s="2">
        <f t="shared" si="8"/>
        <v>7.0708864599896129E-11</v>
      </c>
      <c r="T64" s="2">
        <f t="shared" si="9"/>
        <v>5.0431630858876314E-12</v>
      </c>
      <c r="U64" s="6">
        <f t="shared" si="10"/>
        <v>25.10344934332522</v>
      </c>
      <c r="V64" s="2">
        <f t="shared" si="11"/>
        <v>2.6158746674750864E-8</v>
      </c>
      <c r="W64" s="2">
        <f t="shared" si="12"/>
        <v>1.3313061930035914E-12</v>
      </c>
    </row>
    <row r="65" spans="1:23" x14ac:dyDescent="0.45">
      <c r="A65">
        <v>-41.72983</v>
      </c>
      <c r="B65">
        <v>-59.259830000000001</v>
      </c>
      <c r="C65">
        <v>255.12925999999999</v>
      </c>
      <c r="D65">
        <v>21636948.2696</v>
      </c>
      <c r="E65" s="10" t="s">
        <v>205</v>
      </c>
      <c r="F65" s="10" t="s">
        <v>206</v>
      </c>
      <c r="G65" s="10" t="s">
        <v>207</v>
      </c>
      <c r="H65" s="10">
        <v>43.8326968579631</v>
      </c>
      <c r="I65" s="10">
        <v>101.157243417445</v>
      </c>
      <c r="J65" s="10">
        <v>-88.803336712885894</v>
      </c>
      <c r="K65" s="4">
        <f t="shared" si="15"/>
        <v>43.832696858333335</v>
      </c>
      <c r="L65" s="4">
        <f t="shared" si="16"/>
        <v>101.1572434194444</v>
      </c>
      <c r="M65" s="4">
        <f t="shared" si="17"/>
        <v>271.19666388888891</v>
      </c>
      <c r="N65" s="4">
        <f t="shared" si="18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101.15724341687674</v>
      </c>
      <c r="S65" s="2">
        <f t="shared" si="8"/>
        <v>2.5382857180678071E-11</v>
      </c>
      <c r="T65" s="2">
        <f t="shared" si="9"/>
        <v>5.6176269652430864E-12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45">
      <c r="A66">
        <v>-17.98255</v>
      </c>
      <c r="B66">
        <v>5.0138699999999998</v>
      </c>
      <c r="C66">
        <v>76.436949999999996</v>
      </c>
      <c r="D66">
        <v>5257481.7813999997</v>
      </c>
      <c r="E66" s="10" t="s">
        <v>208</v>
      </c>
      <c r="F66" s="10" t="s">
        <v>209</v>
      </c>
      <c r="G66" s="10" t="s">
        <v>210</v>
      </c>
      <c r="H66" s="10">
        <v>-2.5426506837564302</v>
      </c>
      <c r="I66" s="10">
        <v>50.596477356984401</v>
      </c>
      <c r="J66" s="10">
        <v>67.793217154188596</v>
      </c>
      <c r="K66" s="4">
        <f t="shared" si="15"/>
        <v>-2.5426506833333331</v>
      </c>
      <c r="L66" s="4">
        <f t="shared" si="16"/>
        <v>50.596477355555521</v>
      </c>
      <c r="M66" s="4">
        <f t="shared" si="17"/>
        <v>67.793216666666694</v>
      </c>
      <c r="N66" s="4">
        <f t="shared" si="18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50.596477357193564</v>
      </c>
      <c r="S66" s="2">
        <f t="shared" si="8"/>
        <v>3.237463705123597E-11</v>
      </c>
      <c r="T66" s="2">
        <f t="shared" si="9"/>
        <v>4.1339333497458918E-12</v>
      </c>
      <c r="U66" s="6">
        <f t="shared" si="10"/>
        <v>67.793217154175267</v>
      </c>
      <c r="V66" s="2">
        <f t="shared" si="11"/>
        <v>7.1911113847107662E-9</v>
      </c>
      <c r="W66" s="2">
        <f t="shared" si="12"/>
        <v>1.9662412085477935E-13</v>
      </c>
    </row>
    <row r="67" spans="1:23" x14ac:dyDescent="0.45">
      <c r="A67">
        <v>86.663340000000005</v>
      </c>
      <c r="B67">
        <v>87.541089999999997</v>
      </c>
      <c r="C67">
        <v>41.691229999999997</v>
      </c>
      <c r="D67">
        <v>21811258.481699999</v>
      </c>
      <c r="E67" s="10" t="s">
        <v>211</v>
      </c>
      <c r="F67" s="10" t="s">
        <v>212</v>
      </c>
      <c r="G67" s="10" t="s">
        <v>213</v>
      </c>
      <c r="H67" s="10">
        <v>-76.133392373192706</v>
      </c>
      <c r="I67" s="10">
        <v>36.843899787837103</v>
      </c>
      <c r="J67" s="10">
        <v>9.2971715872341996</v>
      </c>
      <c r="K67" s="4">
        <f t="shared" si="15"/>
        <v>-76.133392372222218</v>
      </c>
      <c r="L67" s="4">
        <f t="shared" si="16"/>
        <v>36.843899788888848</v>
      </c>
      <c r="M67" s="4">
        <f t="shared" si="17"/>
        <v>9.2971722222222297</v>
      </c>
      <c r="N67" s="4">
        <f t="shared" si="18"/>
        <v>9.2971715872341747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36.843899788251044</v>
      </c>
      <c r="S67" s="2">
        <f t="shared" si="8"/>
        <v>1.7310992580993933E-11</v>
      </c>
      <c r="T67" s="2">
        <f t="shared" si="9"/>
        <v>1.1234990974229379E-11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4.573103004115842E-11</v>
      </c>
    </row>
    <row r="68" spans="1:23" x14ac:dyDescent="0.45">
      <c r="A68">
        <v>30.649909999999998</v>
      </c>
      <c r="B68">
        <v>-27.876909999999999</v>
      </c>
      <c r="C68">
        <v>89.163250000000005</v>
      </c>
      <c r="D68">
        <v>27630061.0777</v>
      </c>
      <c r="E68" s="10" t="s">
        <v>214</v>
      </c>
      <c r="F68" s="10" t="s">
        <v>215</v>
      </c>
      <c r="G68" s="10" t="s">
        <v>216</v>
      </c>
      <c r="H68" s="10">
        <v>-11.259141460253501</v>
      </c>
      <c r="I68" s="10">
        <v>-136.57234909306999</v>
      </c>
      <c r="J68" s="10">
        <v>61.370784517413703</v>
      </c>
      <c r="K68" s="4">
        <f t="shared" si="15"/>
        <v>-11.259141458333334</v>
      </c>
      <c r="L68" s="4">
        <f t="shared" si="16"/>
        <v>-136.5723491</v>
      </c>
      <c r="M68" s="4">
        <f t="shared" si="17"/>
        <v>61.370783333333293</v>
      </c>
      <c r="N68" s="4">
        <f t="shared" si="18"/>
        <v>61.370784517413711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-136.5723490928888</v>
      </c>
      <c r="S68" s="2">
        <f t="shared" si="8"/>
        <v>5.206908288154629E-11</v>
      </c>
      <c r="T68" s="2">
        <f t="shared" si="9"/>
        <v>1.3266843458579676E-12</v>
      </c>
      <c r="U68" s="6">
        <f t="shared" si="10"/>
        <v>61.37078451714909</v>
      </c>
      <c r="V68" s="2">
        <f t="shared" si="11"/>
        <v>1.9289566355377007E-8</v>
      </c>
      <c r="W68" s="2">
        <f t="shared" si="12"/>
        <v>4.3118289546501E-12</v>
      </c>
    </row>
    <row r="69" spans="1:23" x14ac:dyDescent="0.45">
      <c r="A69">
        <v>-87.730369999999994</v>
      </c>
      <c r="B69">
        <v>85.133009999999999</v>
      </c>
      <c r="C69">
        <v>61.30809</v>
      </c>
      <c r="D69">
        <v>27449795.258000001</v>
      </c>
      <c r="E69" s="10" t="s">
        <v>217</v>
      </c>
      <c r="F69" s="10" t="s">
        <v>218</v>
      </c>
      <c r="G69" s="10" t="s">
        <v>219</v>
      </c>
      <c r="H69" s="10">
        <v>21.990325943324699</v>
      </c>
      <c r="I69" s="10">
        <v>-34.411110867991198</v>
      </c>
      <c r="J69" s="10">
        <v>177.84669219922401</v>
      </c>
      <c r="K69" s="4">
        <f t="shared" si="15"/>
        <v>21.990325941666665</v>
      </c>
      <c r="L69" s="4">
        <f t="shared" si="16"/>
        <v>-34.411110869444428</v>
      </c>
      <c r="M69" s="4">
        <f t="shared" si="17"/>
        <v>177.84669166666663</v>
      </c>
      <c r="N69" s="4">
        <f t="shared" si="18"/>
        <v>177.84669219922398</v>
      </c>
      <c r="O69" s="5">
        <f t="shared" ref="O69:O132" si="19">vincentyDirLat(A69, $B69, $C69, $D69)</f>
        <v>21.990325942416966</v>
      </c>
      <c r="P69" s="2">
        <f t="shared" ref="P69:P132" si="20">ABS((K69-O69)/K69)</f>
        <v>3.4119601343330099E-11</v>
      </c>
      <c r="Q69" s="2">
        <f t="shared" ref="Q69:Q132" si="21">ABS((H69-O69)/H69)</f>
        <v>4.1278722203924E-11</v>
      </c>
      <c r="R69" s="6">
        <f t="shared" ref="R69:R132" si="22">VincentyDirLon($A69, $B69, $C69, $D69)</f>
        <v>-34.411110867982245</v>
      </c>
      <c r="S69" s="2">
        <f t="shared" ref="S69:S132" si="23">ABS((L69-R69)/L69)</f>
        <v>4.2491603043682027E-11</v>
      </c>
      <c r="T69" s="2">
        <f t="shared" ref="T69:T132" si="24">ABS((I69-R69)/I69)</f>
        <v>2.6017289894889982E-13</v>
      </c>
      <c r="U69" s="6">
        <f t="shared" ref="U69:U132" si="25">VincentyDirRevAzimuth($A69, $B69, $C69, $D69)</f>
        <v>177.84669219923805</v>
      </c>
      <c r="V69" s="2">
        <f t="shared" ref="V69:V132" si="26">ABS((M69-U69)/M69)</f>
        <v>2.9945534261137458E-9</v>
      </c>
      <c r="W69" s="2">
        <f t="shared" ref="W69:W132" si="27">ABS((N69-U69)/N69)</f>
        <v>7.9106032246527058E-14</v>
      </c>
    </row>
    <row r="70" spans="1:23" x14ac:dyDescent="0.45">
      <c r="A70">
        <v>32.493139999999997</v>
      </c>
      <c r="B70">
        <v>100.0766</v>
      </c>
      <c r="C70">
        <v>292.42207000000002</v>
      </c>
      <c r="D70">
        <v>15896057.1261</v>
      </c>
      <c r="E70" s="10" t="s">
        <v>220</v>
      </c>
      <c r="F70" s="10" t="s">
        <v>221</v>
      </c>
      <c r="G70" s="10" t="s">
        <v>222</v>
      </c>
      <c r="H70" s="10">
        <v>-13.6955846134341</v>
      </c>
      <c r="I70" s="10">
        <v>-44.791037601526298</v>
      </c>
      <c r="J70" s="10">
        <v>-126.569689582983</v>
      </c>
      <c r="K70" s="4">
        <f t="shared" si="15"/>
        <v>-13.695584613888888</v>
      </c>
      <c r="L70" s="4">
        <f t="shared" si="16"/>
        <v>-44.791037597222214</v>
      </c>
      <c r="M70" s="4">
        <f t="shared" si="17"/>
        <v>233.43031111111111</v>
      </c>
      <c r="N70" s="4">
        <f t="shared" si="18"/>
        <v>233.43031041701698</v>
      </c>
      <c r="O70" s="5">
        <f t="shared" si="19"/>
        <v>-13.695584613918967</v>
      </c>
      <c r="P70" s="2">
        <f t="shared" si="20"/>
        <v>2.1962589556827566E-12</v>
      </c>
      <c r="Q70" s="2">
        <f t="shared" si="21"/>
        <v>3.5403180743356141E-11</v>
      </c>
      <c r="R70" s="6">
        <f t="shared" si="22"/>
        <v>-44.791037601542463</v>
      </c>
      <c r="S70" s="2">
        <f t="shared" si="23"/>
        <v>9.6453426380634811E-11</v>
      </c>
      <c r="T70" s="2">
        <f t="shared" si="24"/>
        <v>3.6089468126077629E-13</v>
      </c>
      <c r="U70" s="6">
        <f t="shared" si="25"/>
        <v>233.43031041717495</v>
      </c>
      <c r="V70" s="2">
        <f t="shared" si="26"/>
        <v>2.9727765644937262E-9</v>
      </c>
      <c r="W70" s="2">
        <f t="shared" si="27"/>
        <v>6.7672386131852424E-13</v>
      </c>
    </row>
    <row r="71" spans="1:23" x14ac:dyDescent="0.45">
      <c r="A71">
        <v>13.121600000000001</v>
      </c>
      <c r="B71">
        <v>-87.124970000000005</v>
      </c>
      <c r="C71">
        <v>348.05227000000002</v>
      </c>
      <c r="D71">
        <v>27915776.059</v>
      </c>
      <c r="E71" s="10" t="s">
        <v>223</v>
      </c>
      <c r="F71" s="10" t="s">
        <v>224</v>
      </c>
      <c r="G71" s="10" t="s">
        <v>225</v>
      </c>
      <c r="H71" s="10">
        <v>-77.213393291255301</v>
      </c>
      <c r="I71" s="10">
        <v>31.081816798673898</v>
      </c>
      <c r="J71" s="10">
        <v>-114.740596650211</v>
      </c>
      <c r="K71" s="4">
        <f t="shared" si="15"/>
        <v>-77.213393291666662</v>
      </c>
      <c r="L71" s="4">
        <f t="shared" si="16"/>
        <v>31.081816794444421</v>
      </c>
      <c r="M71" s="4">
        <f t="shared" si="17"/>
        <v>245.25940277777778</v>
      </c>
      <c r="N71" s="4">
        <f t="shared" si="18"/>
        <v>245.25940334978901</v>
      </c>
      <c r="O71" s="5">
        <f t="shared" si="19"/>
        <v>-77.213393291625025</v>
      </c>
      <c r="P71" s="2">
        <f t="shared" si="20"/>
        <v>5.3925624222029467E-13</v>
      </c>
      <c r="Q71" s="2">
        <f t="shared" si="21"/>
        <v>4.7883377658430546E-12</v>
      </c>
      <c r="R71" s="6">
        <f t="shared" si="22"/>
        <v>31.081816795207381</v>
      </c>
      <c r="S71" s="2">
        <f t="shared" si="23"/>
        <v>2.4546810710032062E-11</v>
      </c>
      <c r="T71" s="2">
        <f t="shared" si="24"/>
        <v>1.1152880032654146E-10</v>
      </c>
      <c r="U71" s="6">
        <f t="shared" si="25"/>
        <v>245.259403353327</v>
      </c>
      <c r="V71" s="2">
        <f t="shared" si="26"/>
        <v>2.346695849312479E-9</v>
      </c>
      <c r="W71" s="2">
        <f t="shared" si="27"/>
        <v>1.4425506973405085E-11</v>
      </c>
    </row>
    <row r="72" spans="1:23" x14ac:dyDescent="0.45">
      <c r="A72">
        <v>86.425539999999998</v>
      </c>
      <c r="B72">
        <v>-58.171019999999999</v>
      </c>
      <c r="C72">
        <v>248.41925000000001</v>
      </c>
      <c r="D72">
        <v>27388054.564300001</v>
      </c>
      <c r="E72" s="10" t="s">
        <v>226</v>
      </c>
      <c r="F72" s="10" t="s">
        <v>227</v>
      </c>
      <c r="G72" s="10" t="s">
        <v>228</v>
      </c>
      <c r="H72" s="10">
        <v>-22.293088174259399</v>
      </c>
      <c r="I72" s="10">
        <v>54.860485451935197</v>
      </c>
      <c r="J72" s="10">
        <v>-3.6027417194362301</v>
      </c>
      <c r="K72" s="4">
        <f t="shared" si="15"/>
        <v>-22.293088172222223</v>
      </c>
      <c r="L72" s="4">
        <f t="shared" si="16"/>
        <v>54.860485452777766</v>
      </c>
      <c r="M72" s="4">
        <f t="shared" si="17"/>
        <v>356.3972583333333</v>
      </c>
      <c r="N72" s="4">
        <f t="shared" si="18"/>
        <v>356.39725828056379</v>
      </c>
      <c r="O72" s="5">
        <f t="shared" si="19"/>
        <v>-22.293088173355457</v>
      </c>
      <c r="P72" s="2">
        <f t="shared" si="20"/>
        <v>5.0833421658233371E-11</v>
      </c>
      <c r="Q72" s="2">
        <f t="shared" si="21"/>
        <v>4.0548074956106571E-11</v>
      </c>
      <c r="R72" s="6">
        <f t="shared" si="22"/>
        <v>54.860485451920162</v>
      </c>
      <c r="S72" s="2">
        <f t="shared" si="23"/>
        <v>1.5632449452503794E-11</v>
      </c>
      <c r="T72" s="2">
        <f t="shared" si="24"/>
        <v>2.7406035810339989E-13</v>
      </c>
      <c r="U72" s="6">
        <f t="shared" si="25"/>
        <v>356.39725828058687</v>
      </c>
      <c r="V72" s="2">
        <f t="shared" si="26"/>
        <v>1.4799897645980849E-10</v>
      </c>
      <c r="W72" s="2">
        <f t="shared" si="27"/>
        <v>6.4754785625539818E-14</v>
      </c>
    </row>
    <row r="73" spans="1:23" x14ac:dyDescent="0.45">
      <c r="A73">
        <v>54.768300000000004</v>
      </c>
      <c r="B73">
        <v>-101.0252</v>
      </c>
      <c r="C73">
        <v>84.268180000000001</v>
      </c>
      <c r="D73">
        <v>15232450.550100001</v>
      </c>
      <c r="E73" s="10" t="s">
        <v>229</v>
      </c>
      <c r="F73" s="10" t="s">
        <v>230</v>
      </c>
      <c r="G73" s="10" t="s">
        <v>231</v>
      </c>
      <c r="H73" s="10">
        <v>-34.0829082742925</v>
      </c>
      <c r="I73" s="10">
        <v>24.0365237588565</v>
      </c>
      <c r="J73" s="10">
        <v>136.06285842449</v>
      </c>
      <c r="K73" s="4">
        <f t="shared" si="15"/>
        <v>-34.082908275000001</v>
      </c>
      <c r="L73" s="4">
        <f t="shared" si="16"/>
        <v>24.036523758333374</v>
      </c>
      <c r="M73" s="4">
        <f t="shared" si="17"/>
        <v>136.06285833333334</v>
      </c>
      <c r="N73" s="4">
        <f t="shared" si="18"/>
        <v>136.06285842449</v>
      </c>
      <c r="O73" s="5">
        <f t="shared" si="19"/>
        <v>-34.082908274801056</v>
      </c>
      <c r="P73" s="2">
        <f t="shared" si="20"/>
        <v>5.8370858196804053E-12</v>
      </c>
      <c r="Q73" s="2">
        <f t="shared" si="21"/>
        <v>1.4921166590973178E-11</v>
      </c>
      <c r="R73" s="6">
        <f t="shared" si="22"/>
        <v>24.036523759128784</v>
      </c>
      <c r="S73" s="2">
        <f t="shared" si="23"/>
        <v>3.3091721919377831E-11</v>
      </c>
      <c r="T73" s="2">
        <f t="shared" si="24"/>
        <v>1.1327907969912811E-11</v>
      </c>
      <c r="U73" s="6">
        <f t="shared" si="25"/>
        <v>136.0628584241594</v>
      </c>
      <c r="V73" s="2">
        <f t="shared" si="26"/>
        <v>6.6753017118335073E-10</v>
      </c>
      <c r="W73" s="2">
        <f t="shared" si="27"/>
        <v>2.4297690635239098E-12</v>
      </c>
    </row>
    <row r="74" spans="1:23" x14ac:dyDescent="0.45">
      <c r="A74">
        <v>-60.392220000000002</v>
      </c>
      <c r="B74">
        <v>-43.868369999999999</v>
      </c>
      <c r="C74">
        <v>36.2211</v>
      </c>
      <c r="D74">
        <v>19523196.9932</v>
      </c>
      <c r="E74" s="10" t="s">
        <v>232</v>
      </c>
      <c r="F74" s="10" t="s">
        <v>233</v>
      </c>
      <c r="G74" s="10" t="s">
        <v>234</v>
      </c>
      <c r="H74" s="10">
        <v>63.740060876783701</v>
      </c>
      <c r="I74" s="10">
        <v>130.23334761230299</v>
      </c>
      <c r="J74" s="10">
        <v>138.72068780671901</v>
      </c>
      <c r="K74" s="4">
        <f t="shared" si="15"/>
        <v>63.740060874999998</v>
      </c>
      <c r="L74" s="4">
        <f t="shared" si="16"/>
        <v>130.2333476138889</v>
      </c>
      <c r="M74" s="4">
        <f t="shared" si="17"/>
        <v>138.7206888888889</v>
      </c>
      <c r="N74" s="4">
        <f t="shared" si="18"/>
        <v>138.72068780671901</v>
      </c>
      <c r="O74" s="5">
        <f t="shared" si="19"/>
        <v>63.740060876258411</v>
      </c>
      <c r="P74" s="2">
        <f t="shared" si="20"/>
        <v>1.9742902663101405E-11</v>
      </c>
      <c r="Q74" s="2">
        <f t="shared" si="21"/>
        <v>8.2411285221105806E-12</v>
      </c>
      <c r="R74" s="6">
        <f t="shared" si="22"/>
        <v>130.23334761317957</v>
      </c>
      <c r="S74" s="2">
        <f t="shared" si="23"/>
        <v>5.4465358930767931E-12</v>
      </c>
      <c r="T74" s="2">
        <f t="shared" si="24"/>
        <v>6.7308594789566068E-12</v>
      </c>
      <c r="U74" s="6">
        <f t="shared" si="25"/>
        <v>138.72068780765255</v>
      </c>
      <c r="V74" s="2">
        <f t="shared" si="26"/>
        <v>7.7943409675591556E-9</v>
      </c>
      <c r="W74" s="2">
        <f t="shared" si="27"/>
        <v>6.7296340777358338E-12</v>
      </c>
    </row>
    <row r="75" spans="1:23" x14ac:dyDescent="0.45">
      <c r="A75">
        <v>-22.344339999999999</v>
      </c>
      <c r="B75">
        <v>-31.85858</v>
      </c>
      <c r="C75">
        <v>96.597899999999996</v>
      </c>
      <c r="D75">
        <v>19262446.867899999</v>
      </c>
      <c r="E75" s="10" t="s">
        <v>235</v>
      </c>
      <c r="F75" s="10" t="s">
        <v>236</v>
      </c>
      <c r="G75" s="10" t="s">
        <v>237</v>
      </c>
      <c r="H75" s="10">
        <v>21.460928042782601</v>
      </c>
      <c r="I75" s="10">
        <v>140.75033328035499</v>
      </c>
      <c r="J75" s="10">
        <v>80.849217747448606</v>
      </c>
      <c r="K75" s="4">
        <f t="shared" si="15"/>
        <v>21.460928044444444</v>
      </c>
      <c r="L75" s="4">
        <f t="shared" si="16"/>
        <v>140.75033327777783</v>
      </c>
      <c r="M75" s="4">
        <f t="shared" si="17"/>
        <v>80.849216666666678</v>
      </c>
      <c r="N75" s="4">
        <f t="shared" si="18"/>
        <v>80.84921774744862</v>
      </c>
      <c r="O75" s="5">
        <f t="shared" si="19"/>
        <v>21.460928042956933</v>
      </c>
      <c r="P75" s="2">
        <f t="shared" si="20"/>
        <v>6.9312499258754225E-11</v>
      </c>
      <c r="Q75" s="2">
        <f t="shared" si="21"/>
        <v>8.1232116277175179E-12</v>
      </c>
      <c r="R75" s="6">
        <f t="shared" si="22"/>
        <v>140.75033328093528</v>
      </c>
      <c r="S75" s="2">
        <f t="shared" si="23"/>
        <v>2.2433005252786728E-11</v>
      </c>
      <c r="T75" s="2">
        <f t="shared" si="24"/>
        <v>4.122804031196927E-12</v>
      </c>
      <c r="U75" s="6">
        <f t="shared" si="25"/>
        <v>80.849217747871734</v>
      </c>
      <c r="V75" s="2">
        <f t="shared" si="26"/>
        <v>1.337310490725363E-8</v>
      </c>
      <c r="W75" s="2">
        <f t="shared" si="27"/>
        <v>5.2333714546517895E-12</v>
      </c>
    </row>
    <row r="76" spans="1:23" x14ac:dyDescent="0.45">
      <c r="A76">
        <v>-55.73415</v>
      </c>
      <c r="B76">
        <v>10.406169999999999</v>
      </c>
      <c r="C76">
        <v>167.79789</v>
      </c>
      <c r="D76">
        <v>12572332.933800001</v>
      </c>
      <c r="E76" s="10" t="s">
        <v>238</v>
      </c>
      <c r="F76" s="10" t="s">
        <v>239</v>
      </c>
      <c r="G76" s="10" t="s">
        <v>240</v>
      </c>
      <c r="H76" s="10">
        <v>-10.6354104666419</v>
      </c>
      <c r="I76" s="10">
        <v>178.95071315295399</v>
      </c>
      <c r="J76" s="10">
        <v>6.9698583804690797</v>
      </c>
      <c r="K76" s="4">
        <f t="shared" si="15"/>
        <v>-10.635410466666666</v>
      </c>
      <c r="L76" s="4">
        <f t="shared" si="16"/>
        <v>178.95071315277778</v>
      </c>
      <c r="M76" s="4">
        <f t="shared" si="17"/>
        <v>6.9698583333333204</v>
      </c>
      <c r="N76" s="4">
        <f t="shared" si="18"/>
        <v>6.969858380469077</v>
      </c>
      <c r="O76" s="5">
        <f t="shared" si="19"/>
        <v>-10.63541046633212</v>
      </c>
      <c r="P76" s="2">
        <f t="shared" si="20"/>
        <v>3.1455919231636431E-11</v>
      </c>
      <c r="Q76" s="2">
        <f t="shared" si="21"/>
        <v>2.9127286299995658E-11</v>
      </c>
      <c r="R76" s="6">
        <f t="shared" si="22"/>
        <v>178.95071315294373</v>
      </c>
      <c r="S76" s="2">
        <f t="shared" si="23"/>
        <v>9.2737468569039317E-13</v>
      </c>
      <c r="T76" s="2">
        <f t="shared" si="24"/>
        <v>5.7335547445436254E-14</v>
      </c>
      <c r="U76" s="6">
        <f t="shared" si="25"/>
        <v>6.9698583804621537</v>
      </c>
      <c r="V76" s="2">
        <f t="shared" si="26"/>
        <v>6.7618064853632764E-9</v>
      </c>
      <c r="W76" s="2">
        <f t="shared" si="27"/>
        <v>9.9332732512371787E-13</v>
      </c>
    </row>
    <row r="77" spans="1:23" x14ac:dyDescent="0.45">
      <c r="A77">
        <v>21.871289999999998</v>
      </c>
      <c r="B77">
        <v>-169.21358000000001</v>
      </c>
      <c r="C77">
        <v>78.865380000000002</v>
      </c>
      <c r="D77">
        <v>15827008.977499999</v>
      </c>
      <c r="E77" s="10" t="s">
        <v>241</v>
      </c>
      <c r="F77" s="10" t="s">
        <v>242</v>
      </c>
      <c r="G77" s="10" t="s">
        <v>243</v>
      </c>
      <c r="H77" s="10">
        <v>-10.7705282945512</v>
      </c>
      <c r="I77" s="10">
        <v>-26.976155368232899</v>
      </c>
      <c r="J77" s="10">
        <v>111.996776198351</v>
      </c>
      <c r="K77" s="4">
        <f t="shared" si="15"/>
        <v>-10.770528294444444</v>
      </c>
      <c r="L77" s="4">
        <f t="shared" si="16"/>
        <v>-26.976155372222252</v>
      </c>
      <c r="M77" s="4">
        <f t="shared" si="17"/>
        <v>111.99677500000001</v>
      </c>
      <c r="N77" s="4">
        <f t="shared" si="18"/>
        <v>111.99677619835097</v>
      </c>
      <c r="O77" s="5">
        <f t="shared" si="19"/>
        <v>-10.770528294897586</v>
      </c>
      <c r="P77" s="2">
        <f t="shared" si="20"/>
        <v>4.2072358190394579E-11</v>
      </c>
      <c r="Q77" s="2">
        <f t="shared" si="21"/>
        <v>3.2160542314772659E-11</v>
      </c>
      <c r="R77" s="6">
        <f t="shared" si="22"/>
        <v>-26.976155367876938</v>
      </c>
      <c r="S77" s="2">
        <f t="shared" si="23"/>
        <v>1.6107979000129464E-10</v>
      </c>
      <c r="T77" s="2">
        <f t="shared" si="24"/>
        <v>1.3195379010639756E-11</v>
      </c>
      <c r="U77" s="6">
        <f t="shared" si="25"/>
        <v>111.99677619818947</v>
      </c>
      <c r="V77" s="2">
        <f t="shared" si="26"/>
        <v>1.0698428161494981E-8</v>
      </c>
      <c r="W77" s="2">
        <f t="shared" si="27"/>
        <v>1.4420626139473537E-12</v>
      </c>
    </row>
    <row r="78" spans="1:23" x14ac:dyDescent="0.45">
      <c r="A78">
        <v>53.804670000000002</v>
      </c>
      <c r="B78">
        <v>66.215819999999994</v>
      </c>
      <c r="C78">
        <v>35.777149999999999</v>
      </c>
      <c r="D78">
        <v>12061587.573100001</v>
      </c>
      <c r="E78" s="10" t="s">
        <v>244</v>
      </c>
      <c r="F78" s="10" t="s">
        <v>245</v>
      </c>
      <c r="G78" s="10" t="s">
        <v>246</v>
      </c>
      <c r="H78" s="10">
        <v>11.549683864146299</v>
      </c>
      <c r="I78" s="10">
        <v>-148.36814017761299</v>
      </c>
      <c r="J78" s="10">
        <v>159.32244410828699</v>
      </c>
      <c r="K78" s="4">
        <f t="shared" si="15"/>
        <v>11.549683863888889</v>
      </c>
      <c r="L78" s="4">
        <f t="shared" si="16"/>
        <v>-148.36814017777783</v>
      </c>
      <c r="M78" s="4">
        <f t="shared" si="17"/>
        <v>159.3224444444445</v>
      </c>
      <c r="N78" s="4">
        <f t="shared" si="18"/>
        <v>159.32244410828696</v>
      </c>
      <c r="O78" s="5">
        <f t="shared" si="19"/>
        <v>11.549683863833001</v>
      </c>
      <c r="P78" s="2">
        <f t="shared" si="20"/>
        <v>4.8388977170144588E-12</v>
      </c>
      <c r="Q78" s="2">
        <f t="shared" si="21"/>
        <v>2.7126095900722658E-11</v>
      </c>
      <c r="R78" s="6">
        <f t="shared" si="22"/>
        <v>-148.36814017765013</v>
      </c>
      <c r="S78" s="2">
        <f t="shared" si="23"/>
        <v>8.6068842217604047E-13</v>
      </c>
      <c r="T78" s="2">
        <f t="shared" si="24"/>
        <v>2.5037163761080233E-13</v>
      </c>
      <c r="U78" s="6">
        <f t="shared" si="25"/>
        <v>159.32244410831063</v>
      </c>
      <c r="V78" s="2">
        <f t="shared" si="26"/>
        <v>2.1097709541337211E-9</v>
      </c>
      <c r="W78" s="2">
        <f t="shared" si="27"/>
        <v>1.4859980392615066E-13</v>
      </c>
    </row>
    <row r="79" spans="1:23" x14ac:dyDescent="0.45">
      <c r="A79">
        <v>-31.836790000000001</v>
      </c>
      <c r="B79">
        <v>-60.509709999999998</v>
      </c>
      <c r="C79">
        <v>345.67815999999999</v>
      </c>
      <c r="D79">
        <v>15839191.948000001</v>
      </c>
      <c r="E79" s="10" t="s">
        <v>247</v>
      </c>
      <c r="F79" s="10" t="s">
        <v>248</v>
      </c>
      <c r="G79" s="10" t="s">
        <v>249</v>
      </c>
      <c r="H79" s="10">
        <v>66.817276131109296</v>
      </c>
      <c r="I79" s="10">
        <v>141.988470185305</v>
      </c>
      <c r="J79" s="10">
        <v>-147.80371277635899</v>
      </c>
      <c r="K79" s="4">
        <f t="shared" si="15"/>
        <v>66.817276130555555</v>
      </c>
      <c r="L79" s="4">
        <f t="shared" si="16"/>
        <v>141.98847018333333</v>
      </c>
      <c r="M79" s="4">
        <f t="shared" si="17"/>
        <v>212.19628611111111</v>
      </c>
      <c r="N79" s="4">
        <f t="shared" si="18"/>
        <v>212.19628722364101</v>
      </c>
      <c r="O79" s="5">
        <f t="shared" si="19"/>
        <v>66.817276130623213</v>
      </c>
      <c r="P79" s="2">
        <f t="shared" si="20"/>
        <v>1.0125806261075162E-12</v>
      </c>
      <c r="Q79" s="2">
        <f t="shared" si="21"/>
        <v>7.2747994782021746E-12</v>
      </c>
      <c r="R79" s="6">
        <f t="shared" si="22"/>
        <v>141.98847018461822</v>
      </c>
      <c r="S79" s="2">
        <f t="shared" si="23"/>
        <v>9.0492463104270074E-12</v>
      </c>
      <c r="T79" s="2">
        <f t="shared" si="24"/>
        <v>4.8368870076562067E-12</v>
      </c>
      <c r="U79" s="6">
        <f t="shared" si="25"/>
        <v>212.19628722292802</v>
      </c>
      <c r="V79" s="2">
        <f t="shared" si="26"/>
        <v>5.2395682057688765E-9</v>
      </c>
      <c r="W79" s="2">
        <f t="shared" si="27"/>
        <v>3.3600352395406109E-12</v>
      </c>
    </row>
    <row r="80" spans="1:23" x14ac:dyDescent="0.45">
      <c r="A80">
        <v>25.753990000000002</v>
      </c>
      <c r="B80">
        <v>107.30107</v>
      </c>
      <c r="C80">
        <v>36.41404</v>
      </c>
      <c r="D80">
        <v>14247699.163000001</v>
      </c>
      <c r="E80" s="10" t="s">
        <v>250</v>
      </c>
      <c r="F80" s="10" t="s">
        <v>251</v>
      </c>
      <c r="G80" s="10" t="s">
        <v>252</v>
      </c>
      <c r="H80" s="10">
        <v>17.622040258916801</v>
      </c>
      <c r="I80" s="10">
        <v>-102.218816045929</v>
      </c>
      <c r="J80" s="10">
        <v>145.864095107689</v>
      </c>
      <c r="K80" s="4">
        <f t="shared" si="15"/>
        <v>17.622040258333332</v>
      </c>
      <c r="L80" s="4">
        <f t="shared" si="16"/>
        <v>-102.21881604722216</v>
      </c>
      <c r="M80" s="4">
        <f t="shared" si="17"/>
        <v>145.86409444444445</v>
      </c>
      <c r="N80" s="4">
        <f t="shared" si="18"/>
        <v>145.86409510768897</v>
      </c>
      <c r="O80" s="5">
        <f t="shared" si="19"/>
        <v>17.622040258486017</v>
      </c>
      <c r="P80" s="2">
        <f t="shared" si="20"/>
        <v>8.6644323549088212E-12</v>
      </c>
      <c r="Q80" s="2">
        <f t="shared" si="21"/>
        <v>2.4445767390922665E-11</v>
      </c>
      <c r="R80" s="6">
        <f t="shared" si="22"/>
        <v>-102.21881604602062</v>
      </c>
      <c r="S80" s="2">
        <f t="shared" si="23"/>
        <v>1.1754606671143273E-11</v>
      </c>
      <c r="T80" s="2">
        <f t="shared" si="24"/>
        <v>8.9628684710789214E-13</v>
      </c>
      <c r="U80" s="6">
        <f t="shared" si="25"/>
        <v>145.86409510778103</v>
      </c>
      <c r="V80" s="2">
        <f t="shared" si="26"/>
        <v>4.54763443382778E-9</v>
      </c>
      <c r="W80" s="2">
        <f t="shared" si="27"/>
        <v>6.3112115957743953E-13</v>
      </c>
    </row>
    <row r="81" spans="1:23" x14ac:dyDescent="0.45">
      <c r="A81">
        <v>67.818039999999996</v>
      </c>
      <c r="B81">
        <v>81.320620000000005</v>
      </c>
      <c r="C81">
        <v>238.44236000000001</v>
      </c>
      <c r="D81">
        <v>10751079.3026</v>
      </c>
      <c r="E81" s="10" t="s">
        <v>253</v>
      </c>
      <c r="F81" s="10" t="s">
        <v>254</v>
      </c>
      <c r="G81" s="10" t="s">
        <v>255</v>
      </c>
      <c r="H81" s="10">
        <v>-17.897551398358299</v>
      </c>
      <c r="I81" s="10">
        <v>18.694466895881199</v>
      </c>
      <c r="J81" s="10">
        <v>-160.18753314146099</v>
      </c>
      <c r="K81" s="4">
        <f t="shared" si="15"/>
        <v>-17.897551400000001</v>
      </c>
      <c r="L81" s="4">
        <f t="shared" si="16"/>
        <v>18.694466897222242</v>
      </c>
      <c r="M81" s="4">
        <f t="shared" si="17"/>
        <v>199.81246666666667</v>
      </c>
      <c r="N81" s="4">
        <f t="shared" si="18"/>
        <v>199.81246685853901</v>
      </c>
      <c r="O81" s="5">
        <f t="shared" si="19"/>
        <v>-17.897551398802587</v>
      </c>
      <c r="P81" s="2">
        <f t="shared" si="20"/>
        <v>6.6903773425133363E-11</v>
      </c>
      <c r="Q81" s="2">
        <f t="shared" si="21"/>
        <v>2.4823963453281603E-11</v>
      </c>
      <c r="R81" s="6">
        <f t="shared" si="22"/>
        <v>18.694466895786025</v>
      </c>
      <c r="S81" s="2">
        <f t="shared" si="23"/>
        <v>7.6825752078098307E-11</v>
      </c>
      <c r="T81" s="2">
        <f t="shared" si="24"/>
        <v>5.0910061929797775E-12</v>
      </c>
      <c r="U81" s="6">
        <f t="shared" si="25"/>
        <v>199.81246685859054</v>
      </c>
      <c r="V81" s="2">
        <f t="shared" si="26"/>
        <v>9.605200182367026E-10</v>
      </c>
      <c r="W81" s="2">
        <f t="shared" si="27"/>
        <v>2.5788460553766687E-13</v>
      </c>
    </row>
    <row r="82" spans="1:23" x14ac:dyDescent="0.45">
      <c r="A82">
        <v>76.961079999999995</v>
      </c>
      <c r="B82">
        <v>-54.385579999999997</v>
      </c>
      <c r="C82">
        <v>279.42408999999998</v>
      </c>
      <c r="D82">
        <v>7288327.9888000004</v>
      </c>
      <c r="E82" s="10" t="s">
        <v>256</v>
      </c>
      <c r="F82" s="10" t="s">
        <v>257</v>
      </c>
      <c r="G82" s="10" t="s">
        <v>258</v>
      </c>
      <c r="H82" s="10">
        <v>25.984120278740502</v>
      </c>
      <c r="I82" s="10">
        <v>-147.61864970478399</v>
      </c>
      <c r="J82" s="10">
        <v>-165.62739903912501</v>
      </c>
      <c r="K82" s="4">
        <f t="shared" si="15"/>
        <v>25.984120280555555</v>
      </c>
      <c r="L82" s="4">
        <f t="shared" si="16"/>
        <v>-147.61864970277782</v>
      </c>
      <c r="M82" s="4">
        <f t="shared" si="17"/>
        <v>194.37260000000001</v>
      </c>
      <c r="N82" s="4">
        <f t="shared" si="18"/>
        <v>194.37260096087499</v>
      </c>
      <c r="O82" s="5">
        <f t="shared" si="19"/>
        <v>25.984120278537599</v>
      </c>
      <c r="P82" s="2">
        <f t="shared" si="20"/>
        <v>7.7661108347142189E-11</v>
      </c>
      <c r="Q82" s="2">
        <f t="shared" si="21"/>
        <v>7.8087147629802018E-12</v>
      </c>
      <c r="R82" s="6">
        <f t="shared" si="22"/>
        <v>-147.61864970478183</v>
      </c>
      <c r="S82" s="2">
        <f t="shared" si="23"/>
        <v>1.3575620261889416E-11</v>
      </c>
      <c r="T82" s="2">
        <f t="shared" si="24"/>
        <v>1.4632635652950984E-14</v>
      </c>
      <c r="U82" s="6">
        <f t="shared" si="25"/>
        <v>194.37260096085006</v>
      </c>
      <c r="V82" s="2">
        <f t="shared" si="26"/>
        <v>4.9433410834293608E-9</v>
      </c>
      <c r="W82" s="2">
        <f t="shared" si="27"/>
        <v>1.2823741127733124E-13</v>
      </c>
    </row>
    <row r="83" spans="1:23" x14ac:dyDescent="0.45">
      <c r="A83">
        <v>-51.090560000000004</v>
      </c>
      <c r="B83">
        <v>11.74319</v>
      </c>
      <c r="C83">
        <v>291.74023999999997</v>
      </c>
      <c r="D83">
        <v>12223215.5745</v>
      </c>
      <c r="E83" s="10" t="s">
        <v>259</v>
      </c>
      <c r="F83" s="10" t="s">
        <v>260</v>
      </c>
      <c r="G83" s="10" t="s">
        <v>261</v>
      </c>
      <c r="H83" s="10">
        <v>29.157223556198499</v>
      </c>
      <c r="I83" s="10">
        <v>-74.496059488419306</v>
      </c>
      <c r="J83" s="10">
        <v>-41.981969546507599</v>
      </c>
      <c r="K83" s="4">
        <f t="shared" si="15"/>
        <v>29.157223558333332</v>
      </c>
      <c r="L83" s="4">
        <f t="shared" si="16"/>
        <v>-74.496059488888875</v>
      </c>
      <c r="M83" s="4">
        <f t="shared" si="17"/>
        <v>318.01803055555558</v>
      </c>
      <c r="N83" s="4">
        <f t="shared" si="18"/>
        <v>318.01803045349243</v>
      </c>
      <c r="O83" s="5">
        <f t="shared" si="19"/>
        <v>29.157223556663514</v>
      </c>
      <c r="P83" s="2">
        <f t="shared" si="20"/>
        <v>5.7269446737946891E-11</v>
      </c>
      <c r="Q83" s="2">
        <f t="shared" si="21"/>
        <v>1.5948524471883079E-11</v>
      </c>
      <c r="R83" s="6">
        <f t="shared" si="22"/>
        <v>-74.496059488692282</v>
      </c>
      <c r="S83" s="2">
        <f t="shared" si="23"/>
        <v>2.6389713157838432E-12</v>
      </c>
      <c r="T83" s="2">
        <f t="shared" si="24"/>
        <v>3.6643053350593732E-12</v>
      </c>
      <c r="U83" s="6">
        <f t="shared" si="25"/>
        <v>318.01803045325994</v>
      </c>
      <c r="V83" s="2">
        <f t="shared" si="26"/>
        <v>3.2166617652741925E-10</v>
      </c>
      <c r="W83" s="2">
        <f t="shared" si="27"/>
        <v>7.3105786740825852E-13</v>
      </c>
    </row>
    <row r="84" spans="1:23" x14ac:dyDescent="0.45">
      <c r="A84">
        <v>25.461680000000001</v>
      </c>
      <c r="B84">
        <v>70.65137</v>
      </c>
      <c r="C84">
        <v>273.28305999999998</v>
      </c>
      <c r="D84">
        <v>27794550.9263</v>
      </c>
      <c r="E84" s="10" t="s">
        <v>262</v>
      </c>
      <c r="F84" s="10" t="s">
        <v>263</v>
      </c>
      <c r="G84" s="10" t="s">
        <v>264</v>
      </c>
      <c r="H84" s="10">
        <v>-11.1248923612334</v>
      </c>
      <c r="I84" s="10">
        <v>177.950851499697</v>
      </c>
      <c r="J84" s="10">
        <v>-66.7960206166875</v>
      </c>
      <c r="K84" s="4">
        <f t="shared" si="15"/>
        <v>-11.124892361111112</v>
      </c>
      <c r="L84" s="4">
        <f t="shared" si="16"/>
        <v>177.95085150555553</v>
      </c>
      <c r="M84" s="4">
        <f t="shared" si="17"/>
        <v>293.20398055555557</v>
      </c>
      <c r="N84" s="4">
        <f t="shared" si="18"/>
        <v>293.20397938331251</v>
      </c>
      <c r="O84" s="5">
        <f t="shared" si="19"/>
        <v>-11.124892360603214</v>
      </c>
      <c r="P84" s="2">
        <f t="shared" si="20"/>
        <v>4.5654169711663814E-11</v>
      </c>
      <c r="Q84" s="2">
        <f t="shared" si="21"/>
        <v>5.6646452024303749E-11</v>
      </c>
      <c r="R84" s="6">
        <f t="shared" si="22"/>
        <v>177.95085149927127</v>
      </c>
      <c r="S84" s="2">
        <f t="shared" si="23"/>
        <v>3.5314623535485456E-11</v>
      </c>
      <c r="T84" s="2">
        <f t="shared" si="24"/>
        <v>2.3923953269689555E-12</v>
      </c>
      <c r="U84" s="6">
        <f t="shared" si="25"/>
        <v>293.20397938359969</v>
      </c>
      <c r="V84" s="2">
        <f t="shared" si="26"/>
        <v>3.9970667682686403E-9</v>
      </c>
      <c r="W84" s="2">
        <f t="shared" si="27"/>
        <v>9.7943060898697459E-13</v>
      </c>
    </row>
    <row r="85" spans="1:23" x14ac:dyDescent="0.45">
      <c r="A85">
        <v>27.532489999999999</v>
      </c>
      <c r="B85">
        <v>66.864069999999998</v>
      </c>
      <c r="C85">
        <v>241.31356</v>
      </c>
      <c r="D85">
        <v>21855867.1241</v>
      </c>
      <c r="E85" s="10" t="s">
        <v>265</v>
      </c>
      <c r="F85" s="10" t="s">
        <v>266</v>
      </c>
      <c r="G85" s="10" t="s">
        <v>267</v>
      </c>
      <c r="H85" s="10">
        <v>-18.576347164985499</v>
      </c>
      <c r="I85" s="10">
        <v>-128.19337374137501</v>
      </c>
      <c r="J85" s="10">
        <v>-55.1824505893957</v>
      </c>
      <c r="K85" s="4">
        <f t="shared" si="15"/>
        <v>-18.57634716388889</v>
      </c>
      <c r="L85" s="4">
        <f t="shared" si="16"/>
        <v>-128.19337373611108</v>
      </c>
      <c r="M85" s="4">
        <f t="shared" si="17"/>
        <v>304.81754999999998</v>
      </c>
      <c r="N85" s="4">
        <f t="shared" si="18"/>
        <v>304.81754941060433</v>
      </c>
      <c r="O85" s="5">
        <f t="shared" si="19"/>
        <v>-18.576347164339861</v>
      </c>
      <c r="P85" s="2">
        <f t="shared" si="20"/>
        <v>2.4276614356268851E-11</v>
      </c>
      <c r="Q85" s="2">
        <f t="shared" si="21"/>
        <v>3.4755929345412717E-11</v>
      </c>
      <c r="R85" s="6">
        <f t="shared" si="22"/>
        <v>-128.19337374148728</v>
      </c>
      <c r="S85" s="2">
        <f t="shared" si="23"/>
        <v>4.1938156050899914E-11</v>
      </c>
      <c r="T85" s="2">
        <f t="shared" si="24"/>
        <v>8.7575316081927511E-13</v>
      </c>
      <c r="U85" s="6">
        <f t="shared" si="25"/>
        <v>304.81754941091458</v>
      </c>
      <c r="V85" s="2">
        <f t="shared" si="26"/>
        <v>1.9325836149533115E-9</v>
      </c>
      <c r="W85" s="2">
        <f t="shared" si="27"/>
        <v>1.0178265022541933E-12</v>
      </c>
    </row>
    <row r="86" spans="1:23" x14ac:dyDescent="0.45">
      <c r="A86">
        <v>-74.066460000000006</v>
      </c>
      <c r="B86">
        <v>-160.19710000000001</v>
      </c>
      <c r="C86">
        <v>169.49234999999999</v>
      </c>
      <c r="D86">
        <v>11149450.6668</v>
      </c>
      <c r="E86" s="10" t="s">
        <v>268</v>
      </c>
      <c r="F86" s="10" t="s">
        <v>269</v>
      </c>
      <c r="G86" s="10" t="s">
        <v>270</v>
      </c>
      <c r="H86" s="10">
        <v>-5.4493412152386398</v>
      </c>
      <c r="I86" s="10">
        <v>9.4021807891450599</v>
      </c>
      <c r="J86" s="10">
        <v>2.8915626126554002</v>
      </c>
      <c r="K86" s="4">
        <f t="shared" si="15"/>
        <v>-5.4493412166666664</v>
      </c>
      <c r="L86" s="4">
        <f t="shared" si="16"/>
        <v>9.4021807888889271</v>
      </c>
      <c r="M86" s="4">
        <f t="shared" si="17"/>
        <v>2.891563888888868</v>
      </c>
      <c r="N86" s="4">
        <f t="shared" si="18"/>
        <v>2.8915626126553775</v>
      </c>
      <c r="O86" s="5">
        <f t="shared" si="19"/>
        <v>-5.4493412149392935</v>
      </c>
      <c r="P86" s="2">
        <f t="shared" si="20"/>
        <v>3.1698747475974609E-10</v>
      </c>
      <c r="Q86" s="2">
        <f t="shared" si="21"/>
        <v>5.4932571421314993E-11</v>
      </c>
      <c r="R86" s="6">
        <f t="shared" si="22"/>
        <v>9.4021807891420561</v>
      </c>
      <c r="S86" s="2">
        <f t="shared" si="23"/>
        <v>2.6922378854577315E-11</v>
      </c>
      <c r="T86" s="2">
        <f t="shared" si="24"/>
        <v>3.1948113770517711E-13</v>
      </c>
      <c r="U86" s="6">
        <f t="shared" si="25"/>
        <v>2.8915626126540093</v>
      </c>
      <c r="V86" s="2">
        <f t="shared" si="26"/>
        <v>4.4136491799009546E-7</v>
      </c>
      <c r="W86" s="2">
        <f t="shared" si="27"/>
        <v>4.7318320189911534E-13</v>
      </c>
    </row>
    <row r="87" spans="1:23" x14ac:dyDescent="0.45">
      <c r="A87">
        <v>6.8207199999999997</v>
      </c>
      <c r="B87">
        <v>-5.5500699999999998</v>
      </c>
      <c r="C87">
        <v>253.76505</v>
      </c>
      <c r="D87">
        <v>13419455.063300001</v>
      </c>
      <c r="E87" s="10" t="s">
        <v>271</v>
      </c>
      <c r="F87" s="10" t="s">
        <v>272</v>
      </c>
      <c r="G87" s="10" t="s">
        <v>273</v>
      </c>
      <c r="H87" s="10">
        <v>-17.450683954345902</v>
      </c>
      <c r="I87" s="10">
        <v>-125.509315421704</v>
      </c>
      <c r="J87" s="10">
        <v>-87.525893901400806</v>
      </c>
      <c r="K87" s="4">
        <f t="shared" si="15"/>
        <v>-17.450683955555554</v>
      </c>
      <c r="L87" s="4">
        <f t="shared" si="16"/>
        <v>-125.50931541944442</v>
      </c>
      <c r="M87" s="4">
        <f t="shared" si="17"/>
        <v>272.47410555555552</v>
      </c>
      <c r="N87" s="4">
        <f t="shared" si="18"/>
        <v>272.47410609859918</v>
      </c>
      <c r="O87" s="5">
        <f t="shared" si="19"/>
        <v>-17.450683954312343</v>
      </c>
      <c r="P87" s="2">
        <f t="shared" si="20"/>
        <v>7.1241434371855094E-11</v>
      </c>
      <c r="Q87" s="2">
        <f t="shared" si="21"/>
        <v>1.9230726714062142E-12</v>
      </c>
      <c r="R87" s="6">
        <f t="shared" si="22"/>
        <v>-125.50931542226525</v>
      </c>
      <c r="S87" s="2">
        <f t="shared" si="23"/>
        <v>2.2475034859612925E-11</v>
      </c>
      <c r="T87" s="2">
        <f t="shared" si="24"/>
        <v>4.4717278094971869E-12</v>
      </c>
      <c r="U87" s="6">
        <f t="shared" si="25"/>
        <v>272.47410609884389</v>
      </c>
      <c r="V87" s="2">
        <f t="shared" si="26"/>
        <v>1.9939082442307602E-9</v>
      </c>
      <c r="W87" s="2">
        <f t="shared" si="27"/>
        <v>8.981070594180641E-13</v>
      </c>
    </row>
    <row r="88" spans="1:23" x14ac:dyDescent="0.45">
      <c r="A88">
        <v>-8.9919799999999999</v>
      </c>
      <c r="B88">
        <v>-101.81959999999999</v>
      </c>
      <c r="C88">
        <v>173.00154000000001</v>
      </c>
      <c r="D88">
        <v>15406147.542099999</v>
      </c>
      <c r="E88" s="10" t="s">
        <v>274</v>
      </c>
      <c r="F88" s="10" t="s">
        <v>275</v>
      </c>
      <c r="G88" s="10" t="s">
        <v>276</v>
      </c>
      <c r="H88" s="10">
        <v>-32.220497868422498</v>
      </c>
      <c r="I88" s="10">
        <v>72.661603617908995</v>
      </c>
      <c r="J88" s="10">
        <v>8.1709944452362695</v>
      </c>
      <c r="K88" s="4">
        <f t="shared" si="15"/>
        <v>-32.220497869444443</v>
      </c>
      <c r="L88" s="4">
        <f t="shared" si="16"/>
        <v>72.661603616666639</v>
      </c>
      <c r="M88" s="4">
        <f t="shared" si="17"/>
        <v>8.1709944444444318</v>
      </c>
      <c r="N88" s="4">
        <f t="shared" si="18"/>
        <v>8.1709944452362606</v>
      </c>
      <c r="O88" s="5">
        <f t="shared" si="19"/>
        <v>-32.220497867994219</v>
      </c>
      <c r="P88" s="2">
        <f t="shared" si="20"/>
        <v>4.5009386105390037E-11</v>
      </c>
      <c r="Q88" s="2">
        <f t="shared" si="21"/>
        <v>1.3292148238315498E-11</v>
      </c>
      <c r="R88" s="6">
        <f t="shared" si="22"/>
        <v>72.66160361792123</v>
      </c>
      <c r="S88" s="2">
        <f t="shared" si="23"/>
        <v>1.7266218129393498E-11</v>
      </c>
      <c r="T88" s="2">
        <f t="shared" si="24"/>
        <v>1.6839080477950275E-13</v>
      </c>
      <c r="U88" s="6">
        <f t="shared" si="25"/>
        <v>8.1709944451979339</v>
      </c>
      <c r="V88" s="2">
        <f t="shared" si="26"/>
        <v>9.2216700756230721E-11</v>
      </c>
      <c r="W88" s="2">
        <f t="shared" si="27"/>
        <v>4.690576578380186E-12</v>
      </c>
    </row>
    <row r="89" spans="1:23" x14ac:dyDescent="0.45">
      <c r="A89">
        <v>41.645980000000002</v>
      </c>
      <c r="B89">
        <v>-166.89362</v>
      </c>
      <c r="C89">
        <v>198.12486000000001</v>
      </c>
      <c r="D89">
        <v>12387170.2107</v>
      </c>
      <c r="E89" s="10" t="s">
        <v>277</v>
      </c>
      <c r="F89" s="10" t="s">
        <v>278</v>
      </c>
      <c r="G89" s="10" t="s">
        <v>279</v>
      </c>
      <c r="H89" s="10">
        <v>-64.917009149260593</v>
      </c>
      <c r="I89" s="10">
        <v>150.29881498976701</v>
      </c>
      <c r="J89" s="10">
        <v>-146.79333080843099</v>
      </c>
      <c r="K89" s="4">
        <f t="shared" si="15"/>
        <v>-64.91700915277778</v>
      </c>
      <c r="L89" s="4">
        <f t="shared" si="16"/>
        <v>150.29881498888892</v>
      </c>
      <c r="M89" s="4">
        <f t="shared" si="17"/>
        <v>213.20666944444446</v>
      </c>
      <c r="N89" s="4">
        <f t="shared" si="18"/>
        <v>213.20666919156901</v>
      </c>
      <c r="O89" s="5">
        <f t="shared" si="19"/>
        <v>-64.917009149741546</v>
      </c>
      <c r="P89" s="2">
        <f t="shared" si="20"/>
        <v>4.6771014479204173E-11</v>
      </c>
      <c r="Q89" s="2">
        <f t="shared" si="21"/>
        <v>7.4087234344925865E-12</v>
      </c>
      <c r="R89" s="6">
        <f t="shared" si="22"/>
        <v>150.29881498908978</v>
      </c>
      <c r="S89" s="2">
        <f t="shared" si="23"/>
        <v>1.3363792692544764E-12</v>
      </c>
      <c r="T89" s="2">
        <f t="shared" si="24"/>
        <v>4.5059070648945276E-12</v>
      </c>
      <c r="U89" s="6">
        <f t="shared" si="25"/>
        <v>213.20666919224078</v>
      </c>
      <c r="V89" s="2">
        <f t="shared" si="26"/>
        <v>1.1829070697772617E-9</v>
      </c>
      <c r="W89" s="2">
        <f t="shared" si="27"/>
        <v>3.1508185304158096E-12</v>
      </c>
    </row>
    <row r="90" spans="1:23" x14ac:dyDescent="0.45">
      <c r="A90">
        <v>7.4174100000000003</v>
      </c>
      <c r="B90">
        <v>15.89446</v>
      </c>
      <c r="C90">
        <v>135.06273999999999</v>
      </c>
      <c r="D90">
        <v>2739129.8221</v>
      </c>
      <c r="E90" s="10" t="s">
        <v>280</v>
      </c>
      <c r="F90" s="10" t="s">
        <v>281</v>
      </c>
      <c r="G90" s="10" t="s">
        <v>282</v>
      </c>
      <c r="H90" s="10">
        <v>-10.1876835255621</v>
      </c>
      <c r="I90" s="10">
        <v>33.276915257278503</v>
      </c>
      <c r="J90" s="10">
        <v>134.63421461711201</v>
      </c>
      <c r="K90" s="4">
        <f t="shared" si="15"/>
        <v>-10.187683527777779</v>
      </c>
      <c r="L90" s="4">
        <f t="shared" si="16"/>
        <v>33.276915258333361</v>
      </c>
      <c r="M90" s="4">
        <f t="shared" si="17"/>
        <v>134.63421388888889</v>
      </c>
      <c r="N90" s="4">
        <f t="shared" si="18"/>
        <v>134.63421461711198</v>
      </c>
      <c r="O90" s="5">
        <f t="shared" si="19"/>
        <v>-10.187683525677425</v>
      </c>
      <c r="P90" s="2">
        <f t="shared" si="20"/>
        <v>2.0616597119835799E-10</v>
      </c>
      <c r="Q90" s="2">
        <f t="shared" si="21"/>
        <v>1.132000600903826E-11</v>
      </c>
      <c r="R90" s="6">
        <f t="shared" si="22"/>
        <v>33.276915257395686</v>
      </c>
      <c r="S90" s="2">
        <f t="shared" si="23"/>
        <v>2.8177937149338291E-11</v>
      </c>
      <c r="T90" s="2">
        <f t="shared" si="24"/>
        <v>3.5214414279558229E-12</v>
      </c>
      <c r="U90" s="6">
        <f t="shared" si="25"/>
        <v>134.63421461709115</v>
      </c>
      <c r="V90" s="2">
        <f t="shared" si="26"/>
        <v>5.4087458992916148E-9</v>
      </c>
      <c r="W90" s="2">
        <f t="shared" si="27"/>
        <v>1.5473862325214807E-13</v>
      </c>
    </row>
    <row r="91" spans="1:23" x14ac:dyDescent="0.45">
      <c r="A91">
        <v>-88.821200000000005</v>
      </c>
      <c r="B91">
        <v>176.71505999999999</v>
      </c>
      <c r="C91">
        <v>114.91654</v>
      </c>
      <c r="D91">
        <v>10992541.662900001</v>
      </c>
      <c r="E91" s="10" t="s">
        <v>283</v>
      </c>
      <c r="F91" s="10" t="s">
        <v>284</v>
      </c>
      <c r="G91" s="10" t="s">
        <v>285</v>
      </c>
      <c r="H91" s="10">
        <v>8.4547010832884109</v>
      </c>
      <c r="I91" s="10">
        <v>-68.211011583486695</v>
      </c>
      <c r="J91" s="10">
        <v>1.0843703475245801</v>
      </c>
      <c r="K91" s="4">
        <f t="shared" si="15"/>
        <v>8.4547010833333331</v>
      </c>
      <c r="L91" s="4">
        <f t="shared" si="16"/>
        <v>-68.211011583333402</v>
      </c>
      <c r="M91" s="4">
        <f t="shared" si="17"/>
        <v>1.0843694444444054</v>
      </c>
      <c r="N91" s="4">
        <f t="shared" si="18"/>
        <v>1.0843703475245547</v>
      </c>
      <c r="O91" s="5">
        <f t="shared" si="19"/>
        <v>8.4547010836112193</v>
      </c>
      <c r="P91" s="2">
        <f t="shared" si="20"/>
        <v>3.2867650291766286E-11</v>
      </c>
      <c r="Q91" s="2">
        <f t="shared" si="21"/>
        <v>3.8180941402892966E-11</v>
      </c>
      <c r="R91" s="6">
        <f t="shared" si="22"/>
        <v>-68.211011583485359</v>
      </c>
      <c r="S91" s="2">
        <f t="shared" si="23"/>
        <v>2.2277439660018754E-12</v>
      </c>
      <c r="T91" s="2">
        <f t="shared" si="24"/>
        <v>1.9583646572870635E-14</v>
      </c>
      <c r="U91" s="6">
        <f t="shared" si="25"/>
        <v>1.0843703475255844</v>
      </c>
      <c r="V91" s="2">
        <f t="shared" si="26"/>
        <v>8.3281688134591717E-7</v>
      </c>
      <c r="W91" s="2">
        <f t="shared" si="27"/>
        <v>9.4951031756616262E-13</v>
      </c>
    </row>
    <row r="92" spans="1:23" x14ac:dyDescent="0.45">
      <c r="A92">
        <v>-31.76643</v>
      </c>
      <c r="B92">
        <v>175.65602000000001</v>
      </c>
      <c r="C92">
        <v>230.52977000000001</v>
      </c>
      <c r="D92">
        <v>26809519.5977</v>
      </c>
      <c r="E92" s="10" t="s">
        <v>286</v>
      </c>
      <c r="F92" s="10" t="s">
        <v>287</v>
      </c>
      <c r="G92" s="10" t="s">
        <v>288</v>
      </c>
      <c r="H92" s="10">
        <v>46.685593768734002</v>
      </c>
      <c r="I92" s="10">
        <v>-84.204685749635104</v>
      </c>
      <c r="J92" s="10">
        <v>-107.07542706312501</v>
      </c>
      <c r="K92" s="4">
        <f t="shared" si="15"/>
        <v>46.685593769444445</v>
      </c>
      <c r="L92" s="4">
        <f t="shared" si="16"/>
        <v>-84.204685744444419</v>
      </c>
      <c r="M92" s="4">
        <f t="shared" si="17"/>
        <v>252.92457222222222</v>
      </c>
      <c r="N92" s="4">
        <f t="shared" si="18"/>
        <v>252.92457293687499</v>
      </c>
      <c r="O92" s="5">
        <f t="shared" si="19"/>
        <v>46.685593768406633</v>
      </c>
      <c r="P92" s="2">
        <f t="shared" si="20"/>
        <v>2.2229804327841465E-11</v>
      </c>
      <c r="Q92" s="2">
        <f t="shared" si="21"/>
        <v>7.0121921607858857E-12</v>
      </c>
      <c r="R92" s="6">
        <f t="shared" si="22"/>
        <v>-84.204685750217578</v>
      </c>
      <c r="S92" s="2">
        <f t="shared" si="23"/>
        <v>6.8561026942989457E-11</v>
      </c>
      <c r="T92" s="2">
        <f t="shared" si="24"/>
        <v>6.9173646084086699E-12</v>
      </c>
      <c r="U92" s="6">
        <f t="shared" si="25"/>
        <v>252.92457293574773</v>
      </c>
      <c r="V92" s="2">
        <f t="shared" si="26"/>
        <v>2.8210999928974146E-9</v>
      </c>
      <c r="W92" s="2">
        <f t="shared" si="27"/>
        <v>4.4569091343687915E-12</v>
      </c>
    </row>
    <row r="93" spans="1:23" x14ac:dyDescent="0.45">
      <c r="A93">
        <v>-33.89461</v>
      </c>
      <c r="B93">
        <v>177.00147000000001</v>
      </c>
      <c r="C93">
        <v>243.01021</v>
      </c>
      <c r="D93">
        <v>16426525.8873</v>
      </c>
      <c r="E93" s="10" t="s">
        <v>289</v>
      </c>
      <c r="F93" s="10" t="s">
        <v>290</v>
      </c>
      <c r="G93" s="10" t="s">
        <v>291</v>
      </c>
      <c r="H93" s="10">
        <v>15.796439401798899</v>
      </c>
      <c r="I93" s="10">
        <v>26.802138611587601</v>
      </c>
      <c r="J93" s="10">
        <v>-50.291108821528901</v>
      </c>
      <c r="K93" s="4">
        <f t="shared" si="15"/>
        <v>15.796439402777779</v>
      </c>
      <c r="L93" s="4">
        <f t="shared" si="16"/>
        <v>26.802138613888928</v>
      </c>
      <c r="M93" s="4">
        <f t="shared" si="17"/>
        <v>309.70889166666666</v>
      </c>
      <c r="N93" s="4">
        <f t="shared" si="18"/>
        <v>309.70889117847111</v>
      </c>
      <c r="O93" s="5">
        <f t="shared" si="19"/>
        <v>15.796439402314636</v>
      </c>
      <c r="P93" s="2">
        <f t="shared" si="20"/>
        <v>2.9319418224592237E-11</v>
      </c>
      <c r="Q93" s="2">
        <f t="shared" si="21"/>
        <v>3.2648926349294907E-11</v>
      </c>
      <c r="R93" s="6">
        <f t="shared" si="22"/>
        <v>26.802138611582059</v>
      </c>
      <c r="S93" s="2">
        <f t="shared" si="23"/>
        <v>8.6070346677685979E-11</v>
      </c>
      <c r="T93" s="2">
        <f t="shared" si="24"/>
        <v>2.0678325036841126E-13</v>
      </c>
      <c r="U93" s="6">
        <f t="shared" si="25"/>
        <v>309.70889117829677</v>
      </c>
      <c r="V93" s="2">
        <f t="shared" si="26"/>
        <v>1.5768675205093607E-9</v>
      </c>
      <c r="W93" s="2">
        <f t="shared" si="27"/>
        <v>5.629117232725318E-13</v>
      </c>
    </row>
    <row r="94" spans="1:23" x14ac:dyDescent="0.45">
      <c r="A94">
        <v>-32.473849999999999</v>
      </c>
      <c r="B94">
        <v>16.285630000000001</v>
      </c>
      <c r="C94">
        <v>24.15812</v>
      </c>
      <c r="D94">
        <v>3009187.4501999998</v>
      </c>
      <c r="E94" s="10" t="s">
        <v>292</v>
      </c>
      <c r="F94" s="10" t="s">
        <v>293</v>
      </c>
      <c r="G94" s="10" t="s">
        <v>294</v>
      </c>
      <c r="H94" s="10">
        <v>-7.24222648261697</v>
      </c>
      <c r="I94" s="10">
        <v>27.090086758605199</v>
      </c>
      <c r="J94" s="10">
        <v>20.386912453372101</v>
      </c>
      <c r="K94" s="4">
        <f t="shared" si="15"/>
        <v>-7.2422264805555558</v>
      </c>
      <c r="L94" s="4">
        <f t="shared" si="16"/>
        <v>27.090086758333314</v>
      </c>
      <c r="M94" s="4">
        <f t="shared" si="17"/>
        <v>20.38691111111109</v>
      </c>
      <c r="N94" s="4">
        <f t="shared" si="18"/>
        <v>20.386912453372076</v>
      </c>
      <c r="O94" s="5">
        <f t="shared" si="19"/>
        <v>-7.2422264824577764</v>
      </c>
      <c r="P94" s="2">
        <f t="shared" si="20"/>
        <v>2.6265687884287685E-10</v>
      </c>
      <c r="Q94" s="2">
        <f t="shared" si="21"/>
        <v>2.1981299206186553E-11</v>
      </c>
      <c r="R94" s="6">
        <f t="shared" si="22"/>
        <v>27.090086758641302</v>
      </c>
      <c r="S94" s="2">
        <f t="shared" si="23"/>
        <v>1.1369040796229729E-11</v>
      </c>
      <c r="T94" s="2">
        <f t="shared" si="24"/>
        <v>1.3326895821956948E-12</v>
      </c>
      <c r="U94" s="6">
        <f t="shared" si="25"/>
        <v>20.386912453364637</v>
      </c>
      <c r="V94" s="2">
        <f t="shared" si="26"/>
        <v>6.5838985617052395E-8</v>
      </c>
      <c r="W94" s="2">
        <f t="shared" si="27"/>
        <v>3.6490971648714494E-13</v>
      </c>
    </row>
    <row r="95" spans="1:23" x14ac:dyDescent="0.45">
      <c r="A95">
        <v>72.12079</v>
      </c>
      <c r="B95">
        <v>-154.69436999999999</v>
      </c>
      <c r="C95">
        <v>137.78511</v>
      </c>
      <c r="D95">
        <v>14766525.0417</v>
      </c>
      <c r="E95" s="10" t="s">
        <v>295</v>
      </c>
      <c r="F95" s="10" t="s">
        <v>296</v>
      </c>
      <c r="G95" s="10" t="s">
        <v>297</v>
      </c>
      <c r="H95" s="10">
        <v>-54.692418763785902</v>
      </c>
      <c r="I95" s="10">
        <v>-96.673767106203201</v>
      </c>
      <c r="J95" s="10">
        <v>159.07143830420699</v>
      </c>
      <c r="K95" s="4">
        <f t="shared" si="15"/>
        <v>-54.69241876666667</v>
      </c>
      <c r="L95" s="4">
        <f t="shared" si="16"/>
        <v>-96.673767105555555</v>
      </c>
      <c r="M95" s="4">
        <f t="shared" si="17"/>
        <v>159.07143888888891</v>
      </c>
      <c r="N95" s="4">
        <f t="shared" si="18"/>
        <v>159.07143830420705</v>
      </c>
      <c r="O95" s="5">
        <f t="shared" si="19"/>
        <v>-54.69241876438798</v>
      </c>
      <c r="P95" s="2">
        <f t="shared" si="20"/>
        <v>4.1663712973128895E-11</v>
      </c>
      <c r="Q95" s="2">
        <f t="shared" si="21"/>
        <v>1.1008443231349309E-11</v>
      </c>
      <c r="R95" s="6">
        <f t="shared" si="22"/>
        <v>-96.673767105877232</v>
      </c>
      <c r="S95" s="2">
        <f t="shared" si="23"/>
        <v>3.3274477344208794E-12</v>
      </c>
      <c r="T95" s="2">
        <f t="shared" si="24"/>
        <v>3.3718411438255347E-12</v>
      </c>
      <c r="U95" s="6">
        <f t="shared" si="25"/>
        <v>159.07143830388239</v>
      </c>
      <c r="V95" s="2">
        <f t="shared" si="26"/>
        <v>3.6776339107823881E-9</v>
      </c>
      <c r="W95" s="2">
        <f t="shared" si="27"/>
        <v>2.040977250753371E-12</v>
      </c>
    </row>
    <row r="96" spans="1:23" x14ac:dyDescent="0.45">
      <c r="A96">
        <v>25.50112</v>
      </c>
      <c r="B96">
        <v>97.481629999999996</v>
      </c>
      <c r="C96">
        <v>8.1338899999999992</v>
      </c>
      <c r="D96">
        <v>11388563.956800001</v>
      </c>
      <c r="E96" s="10" t="s">
        <v>298</v>
      </c>
      <c r="F96" s="10" t="s">
        <v>299</v>
      </c>
      <c r="G96" s="10" t="s">
        <v>300</v>
      </c>
      <c r="H96" s="10">
        <v>51.449002267071698</v>
      </c>
      <c r="I96" s="10">
        <v>-95.346466048500602</v>
      </c>
      <c r="J96" s="10">
        <v>168.19286457922101</v>
      </c>
      <c r="K96" s="4">
        <f t="shared" si="15"/>
        <v>51.449002269444442</v>
      </c>
      <c r="L96" s="4">
        <f t="shared" si="16"/>
        <v>-95.346466050000004</v>
      </c>
      <c r="M96" s="4">
        <f t="shared" si="17"/>
        <v>168.19286388888895</v>
      </c>
      <c r="N96" s="4">
        <f t="shared" si="18"/>
        <v>168.19286457922101</v>
      </c>
      <c r="O96" s="5">
        <f t="shared" si="19"/>
        <v>51.44900226685423</v>
      </c>
      <c r="P96" s="2">
        <f t="shared" si="20"/>
        <v>5.03452423698058E-11</v>
      </c>
      <c r="Q96" s="2">
        <f t="shared" si="21"/>
        <v>4.2268790476801963E-12</v>
      </c>
      <c r="R96" s="6">
        <f t="shared" si="22"/>
        <v>-95.346466048476913</v>
      </c>
      <c r="S96" s="2">
        <f t="shared" si="23"/>
        <v>1.5974278332111505E-11</v>
      </c>
      <c r="T96" s="2">
        <f t="shared" si="24"/>
        <v>2.4845697792502793E-13</v>
      </c>
      <c r="U96" s="6">
        <f t="shared" si="25"/>
        <v>168.19286457927743</v>
      </c>
      <c r="V96" s="2">
        <f t="shared" si="26"/>
        <v>4.1047429677720542E-9</v>
      </c>
      <c r="W96" s="2">
        <f t="shared" si="27"/>
        <v>3.3543095517455066E-13</v>
      </c>
    </row>
    <row r="97" spans="1:23" x14ac:dyDescent="0.45">
      <c r="A97">
        <v>41.900829999999999</v>
      </c>
      <c r="B97">
        <v>-160.6241</v>
      </c>
      <c r="C97">
        <v>266.49374999999998</v>
      </c>
      <c r="D97">
        <v>11341171.712300001</v>
      </c>
      <c r="E97" s="10" t="s">
        <v>301</v>
      </c>
      <c r="F97" s="10" t="s">
        <v>302</v>
      </c>
      <c r="G97" s="10" t="s">
        <v>303</v>
      </c>
      <c r="H97" s="10">
        <v>-10.694816428499401</v>
      </c>
      <c r="I97" s="10">
        <v>102.783690467901</v>
      </c>
      <c r="J97" s="10">
        <v>-130.792084081479</v>
      </c>
      <c r="K97" s="4">
        <f t="shared" si="15"/>
        <v>-10.694816430555555</v>
      </c>
      <c r="L97" s="4">
        <f t="shared" si="16"/>
        <v>102.78369046944442</v>
      </c>
      <c r="M97" s="4">
        <f t="shared" si="17"/>
        <v>229.20791666666668</v>
      </c>
      <c r="N97" s="4">
        <f t="shared" si="18"/>
        <v>229.207915918521</v>
      </c>
      <c r="O97" s="5">
        <f t="shared" si="19"/>
        <v>-10.694816428886307</v>
      </c>
      <c r="P97" s="2">
        <f t="shared" si="20"/>
        <v>1.560800843935778E-10</v>
      </c>
      <c r="Q97" s="2">
        <f t="shared" si="21"/>
        <v>3.6177012426497192E-11</v>
      </c>
      <c r="R97" s="6">
        <f t="shared" si="22"/>
        <v>102.78369046779993</v>
      </c>
      <c r="S97" s="2">
        <f t="shared" si="23"/>
        <v>1.5999564823825497E-11</v>
      </c>
      <c r="T97" s="2">
        <f t="shared" si="24"/>
        <v>9.8330385175340364E-13</v>
      </c>
      <c r="U97" s="6">
        <f t="shared" si="25"/>
        <v>229.20791591860555</v>
      </c>
      <c r="V97" s="2">
        <f t="shared" si="26"/>
        <v>3.2636792690734228E-9</v>
      </c>
      <c r="W97" s="2">
        <f t="shared" si="27"/>
        <v>3.688990636148424E-13</v>
      </c>
    </row>
    <row r="98" spans="1:23" x14ac:dyDescent="0.45">
      <c r="A98">
        <v>48.390430000000002</v>
      </c>
      <c r="B98">
        <v>-167.33677</v>
      </c>
      <c r="C98">
        <v>292.34510999999998</v>
      </c>
      <c r="D98">
        <v>8308069.4910000004</v>
      </c>
      <c r="E98" s="10" t="s">
        <v>304</v>
      </c>
      <c r="F98" s="10" t="s">
        <v>305</v>
      </c>
      <c r="G98" s="10" t="s">
        <v>306</v>
      </c>
      <c r="H98" s="10">
        <v>26.198762559576501</v>
      </c>
      <c r="I98" s="10">
        <v>96.488891915789694</v>
      </c>
      <c r="J98" s="10">
        <v>-136.737183326891</v>
      </c>
      <c r="K98" s="4">
        <f t="shared" si="15"/>
        <v>26.19876256111111</v>
      </c>
      <c r="L98" s="4">
        <f t="shared" si="16"/>
        <v>96.48889191666666</v>
      </c>
      <c r="M98" s="4">
        <f t="shared" si="17"/>
        <v>223.26281666666665</v>
      </c>
      <c r="N98" s="4">
        <f t="shared" si="18"/>
        <v>223.262816673109</v>
      </c>
      <c r="O98" s="5">
        <f t="shared" si="19"/>
        <v>26.198762559377457</v>
      </c>
      <c r="P98" s="2">
        <f t="shared" si="20"/>
        <v>6.6173095654314094E-11</v>
      </c>
      <c r="Q98" s="2">
        <f t="shared" si="21"/>
        <v>7.5974709155001551E-12</v>
      </c>
      <c r="R98" s="6">
        <f t="shared" si="22"/>
        <v>96.488891915928846</v>
      </c>
      <c r="S98" s="2">
        <f t="shared" si="23"/>
        <v>7.6466145615579326E-12</v>
      </c>
      <c r="T98" s="2">
        <f t="shared" si="24"/>
        <v>1.442162787947684E-12</v>
      </c>
      <c r="U98" s="6">
        <f t="shared" si="25"/>
        <v>223.26281667301737</v>
      </c>
      <c r="V98" s="2">
        <f t="shared" si="26"/>
        <v>2.8445028958260123E-11</v>
      </c>
      <c r="W98" s="2">
        <f t="shared" si="27"/>
        <v>4.1042029554695274E-13</v>
      </c>
    </row>
    <row r="99" spans="1:23" x14ac:dyDescent="0.45">
      <c r="A99">
        <v>-38.660769999999999</v>
      </c>
      <c r="B99">
        <v>54.641919999999999</v>
      </c>
      <c r="C99">
        <v>59.211219999999997</v>
      </c>
      <c r="D99">
        <v>4874355.4786</v>
      </c>
      <c r="E99" s="10" t="s">
        <v>307</v>
      </c>
      <c r="F99" s="10" t="s">
        <v>308</v>
      </c>
      <c r="G99" s="10" t="s">
        <v>309</v>
      </c>
      <c r="H99" s="10">
        <v>-9.9146563213063992</v>
      </c>
      <c r="I99" s="10">
        <v>91.751058823140298</v>
      </c>
      <c r="J99" s="10">
        <v>42.984307667886902</v>
      </c>
      <c r="K99" s="4">
        <f t="shared" si="15"/>
        <v>-9.914656319444445</v>
      </c>
      <c r="L99" s="4">
        <f t="shared" si="16"/>
        <v>91.751058822222262</v>
      </c>
      <c r="M99" s="4">
        <f t="shared" si="17"/>
        <v>42.984308333333331</v>
      </c>
      <c r="N99" s="4">
        <f t="shared" si="18"/>
        <v>42.984307667886924</v>
      </c>
      <c r="O99" s="5">
        <f t="shared" si="19"/>
        <v>-9.9146563211258201</v>
      </c>
      <c r="P99" s="2">
        <f t="shared" si="20"/>
        <v>1.6958480304557172E-10</v>
      </c>
      <c r="Q99" s="2">
        <f t="shared" si="21"/>
        <v>1.8213350152627111E-11</v>
      </c>
      <c r="R99" s="6">
        <f t="shared" si="22"/>
        <v>91.751058823184565</v>
      </c>
      <c r="S99" s="2">
        <f t="shared" si="23"/>
        <v>1.0488186733181849E-11</v>
      </c>
      <c r="T99" s="2">
        <f t="shared" si="24"/>
        <v>4.8246650235593596E-13</v>
      </c>
      <c r="U99" s="6">
        <f t="shared" si="25"/>
        <v>42.984307667857728</v>
      </c>
      <c r="V99" s="2">
        <f t="shared" si="26"/>
        <v>1.5481826492384471E-8</v>
      </c>
      <c r="W99" s="2">
        <f t="shared" si="27"/>
        <v>6.7922929544343129E-13</v>
      </c>
    </row>
    <row r="100" spans="1:23" x14ac:dyDescent="0.4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10" t="s">
        <v>310</v>
      </c>
      <c r="F100" s="10" t="s">
        <v>311</v>
      </c>
      <c r="G100" s="10" t="s">
        <v>312</v>
      </c>
      <c r="H100" s="10">
        <v>-0.65241082209077605</v>
      </c>
      <c r="I100" s="10">
        <v>-138.061989685041</v>
      </c>
      <c r="J100" s="10">
        <v>-97.991695153744104</v>
      </c>
      <c r="K100" s="4">
        <f t="shared" si="15"/>
        <v>-0.65241082222222224</v>
      </c>
      <c r="L100" s="4">
        <f t="shared" si="16"/>
        <v>-138.0619896805556</v>
      </c>
      <c r="M100" s="4">
        <f t="shared" si="17"/>
        <v>262.00830555555558</v>
      </c>
      <c r="N100" s="4">
        <f t="shared" si="18"/>
        <v>262.0083048462559</v>
      </c>
      <c r="O100" s="5">
        <f t="shared" si="19"/>
        <v>-0.6524108222726005</v>
      </c>
      <c r="P100" s="2">
        <f t="shared" si="20"/>
        <v>7.7218610430022344E-11</v>
      </c>
      <c r="Q100" s="2">
        <f t="shared" si="21"/>
        <v>2.7869624205028035E-10</v>
      </c>
      <c r="R100" s="6">
        <f t="shared" si="22"/>
        <v>-138.06198968622093</v>
      </c>
      <c r="S100" s="2">
        <f t="shared" si="23"/>
        <v>4.1034666931717816E-11</v>
      </c>
      <c r="T100" s="2">
        <f t="shared" si="24"/>
        <v>8.5463585574492658E-12</v>
      </c>
      <c r="U100" s="6">
        <f t="shared" si="25"/>
        <v>262.00830484627079</v>
      </c>
      <c r="V100" s="2">
        <f t="shared" si="26"/>
        <v>2.7071080414674698E-9</v>
      </c>
      <c r="W100" s="2">
        <f t="shared" si="27"/>
        <v>5.6841617101682189E-14</v>
      </c>
    </row>
    <row r="101" spans="1:23" x14ac:dyDescent="0.45">
      <c r="A101">
        <v>45.63044</v>
      </c>
      <c r="B101">
        <v>-129.56118000000001</v>
      </c>
      <c r="C101">
        <v>147.68849</v>
      </c>
      <c r="D101">
        <v>2696126.9289000002</v>
      </c>
      <c r="E101" s="10" t="s">
        <v>313</v>
      </c>
      <c r="F101" s="10" t="s">
        <v>314</v>
      </c>
      <c r="G101" s="10" t="s">
        <v>315</v>
      </c>
      <c r="H101" s="10">
        <v>24.100341203530899</v>
      </c>
      <c r="I101" s="10">
        <v>-115.670119589763</v>
      </c>
      <c r="J101" s="10">
        <v>155.79836325747701</v>
      </c>
      <c r="K101" s="4">
        <f t="shared" si="15"/>
        <v>24.100341202777777</v>
      </c>
      <c r="L101" s="4">
        <f t="shared" si="16"/>
        <v>-115.67011958888889</v>
      </c>
      <c r="M101" s="4">
        <f t="shared" si="17"/>
        <v>155.79836388888884</v>
      </c>
      <c r="N101" s="4">
        <f t="shared" si="18"/>
        <v>155.79836325747704</v>
      </c>
      <c r="O101" s="5">
        <f t="shared" si="19"/>
        <v>24.100341203428602</v>
      </c>
      <c r="P101" s="2">
        <f t="shared" si="20"/>
        <v>2.7004811511055669E-11</v>
      </c>
      <c r="Q101" s="2">
        <f t="shared" si="21"/>
        <v>4.2446219662813028E-12</v>
      </c>
      <c r="R101" s="6">
        <f t="shared" si="22"/>
        <v>-115.67011958975266</v>
      </c>
      <c r="S101" s="2">
        <f t="shared" si="23"/>
        <v>7.4674788473407966E-12</v>
      </c>
      <c r="T101" s="2">
        <f t="shared" si="24"/>
        <v>8.9439712428400163E-14</v>
      </c>
      <c r="U101" s="6">
        <f t="shared" si="25"/>
        <v>155.79836325749693</v>
      </c>
      <c r="V101" s="2">
        <f t="shared" si="26"/>
        <v>4.05262223052306E-9</v>
      </c>
      <c r="W101" s="2">
        <f t="shared" si="27"/>
        <v>1.2769836720558745E-13</v>
      </c>
    </row>
    <row r="102" spans="1:23" x14ac:dyDescent="0.4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10" t="s">
        <v>316</v>
      </c>
      <c r="F102" s="10" t="s">
        <v>317</v>
      </c>
      <c r="G102" s="10" t="s">
        <v>318</v>
      </c>
      <c r="H102" s="10">
        <v>-70.992572042902793</v>
      </c>
      <c r="I102" s="10">
        <v>59.722005447100599</v>
      </c>
      <c r="J102" s="10">
        <v>160.55955214990399</v>
      </c>
      <c r="K102" s="4">
        <f t="shared" si="15"/>
        <v>-70.992572041666662</v>
      </c>
      <c r="L102" s="4">
        <f t="shared" si="16"/>
        <v>59.722005447222273</v>
      </c>
      <c r="M102" s="4">
        <f t="shared" si="17"/>
        <v>160.55955277777775</v>
      </c>
      <c r="N102" s="4">
        <f t="shared" si="18"/>
        <v>160.55955214990399</v>
      </c>
      <c r="O102" s="5">
        <f t="shared" si="19"/>
        <v>-70.992572042992109</v>
      </c>
      <c r="P102" s="2">
        <f t="shared" si="20"/>
        <v>1.8670212688011437E-11</v>
      </c>
      <c r="Q102" s="2">
        <f t="shared" si="21"/>
        <v>1.2580924921422612E-12</v>
      </c>
      <c r="R102" s="6">
        <f t="shared" si="22"/>
        <v>59.722005447183342</v>
      </c>
      <c r="S102" s="2">
        <f t="shared" si="23"/>
        <v>6.5186418642119776E-13</v>
      </c>
      <c r="T102" s="2">
        <f t="shared" si="24"/>
        <v>1.3854642180854743E-12</v>
      </c>
      <c r="U102" s="6">
        <f t="shared" si="25"/>
        <v>160.55955214981162</v>
      </c>
      <c r="V102" s="2">
        <f t="shared" si="26"/>
        <v>3.9111103623954626E-9</v>
      </c>
      <c r="W102" s="2">
        <f t="shared" si="27"/>
        <v>5.7530401905065509E-13</v>
      </c>
    </row>
    <row r="103" spans="1:23" x14ac:dyDescent="0.4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10" t="s">
        <v>319</v>
      </c>
      <c r="F103" s="10" t="s">
        <v>320</v>
      </c>
      <c r="G103" s="10" t="s">
        <v>321</v>
      </c>
      <c r="H103" s="10">
        <v>-21.1787672888067</v>
      </c>
      <c r="I103" s="10">
        <v>-167.965930830563</v>
      </c>
      <c r="J103" s="10">
        <v>30.0582701647504</v>
      </c>
      <c r="K103" s="4">
        <f t="shared" si="15"/>
        <v>-21.178767288888888</v>
      </c>
      <c r="L103" s="4">
        <f t="shared" si="16"/>
        <v>-167.96593083333335</v>
      </c>
      <c r="M103" s="4">
        <f t="shared" si="17"/>
        <v>30.058269444444477</v>
      </c>
      <c r="N103" s="4">
        <f t="shared" si="18"/>
        <v>30.058270164750411</v>
      </c>
      <c r="O103" s="5">
        <f t="shared" si="19"/>
        <v>-21.178767288558216</v>
      </c>
      <c r="P103" s="2">
        <f t="shared" si="20"/>
        <v>1.5613391178886862E-11</v>
      </c>
      <c r="Q103" s="2">
        <f t="shared" si="21"/>
        <v>1.1732689477823959E-11</v>
      </c>
      <c r="R103" s="6">
        <f t="shared" si="22"/>
        <v>-167.96593083061444</v>
      </c>
      <c r="S103" s="2">
        <f t="shared" si="23"/>
        <v>1.618724687650267E-11</v>
      </c>
      <c r="T103" s="2">
        <f t="shared" si="24"/>
        <v>3.0627219350169942E-13</v>
      </c>
      <c r="U103" s="6">
        <f t="shared" si="25"/>
        <v>30.058270164695099</v>
      </c>
      <c r="V103" s="2">
        <f t="shared" si="26"/>
        <v>2.3961812676604783E-8</v>
      </c>
      <c r="W103" s="2">
        <f t="shared" si="27"/>
        <v>1.8401657501272341E-12</v>
      </c>
    </row>
    <row r="104" spans="1:23" x14ac:dyDescent="0.45">
      <c r="A104">
        <v>15.35918</v>
      </c>
      <c r="B104">
        <v>147.99860000000001</v>
      </c>
      <c r="C104">
        <v>17.105060000000002</v>
      </c>
      <c r="D104">
        <v>736539.3763</v>
      </c>
      <c r="E104" s="10" t="s">
        <v>322</v>
      </c>
      <c r="F104" s="10" t="s">
        <v>323</v>
      </c>
      <c r="G104" s="10" t="s">
        <v>324</v>
      </c>
      <c r="H104" s="10">
        <v>21.708343638641399</v>
      </c>
      <c r="I104" s="10">
        <v>150.08804405760199</v>
      </c>
      <c r="J104" s="10">
        <v>17.7703093135238</v>
      </c>
      <c r="K104" s="4">
        <f t="shared" si="15"/>
        <v>21.708343638888888</v>
      </c>
      <c r="L104" s="4">
        <f t="shared" si="16"/>
        <v>150.08804405833337</v>
      </c>
      <c r="M104" s="4">
        <f t="shared" si="17"/>
        <v>17.770308333333332</v>
      </c>
      <c r="N104" s="4">
        <f t="shared" si="18"/>
        <v>17.770309313523796</v>
      </c>
      <c r="O104" s="5">
        <f t="shared" si="19"/>
        <v>21.708343638672996</v>
      </c>
      <c r="P104" s="2">
        <f t="shared" si="20"/>
        <v>9.9450841770624814E-12</v>
      </c>
      <c r="Q104" s="2">
        <f t="shared" si="21"/>
        <v>1.4555617869898979E-12</v>
      </c>
      <c r="R104" s="6">
        <f t="shared" si="22"/>
        <v>150.0880440576081</v>
      </c>
      <c r="S104" s="2">
        <f t="shared" si="23"/>
        <v>4.8322648602387485E-12</v>
      </c>
      <c r="T104" s="2">
        <f t="shared" si="24"/>
        <v>4.0713886078704979E-14</v>
      </c>
      <c r="U104" s="6">
        <f t="shared" si="25"/>
        <v>17.77030931352779</v>
      </c>
      <c r="V104" s="2">
        <f t="shared" si="26"/>
        <v>5.5159113661394444E-8</v>
      </c>
      <c r="W104" s="2">
        <f t="shared" si="27"/>
        <v>2.2471472524863518E-13</v>
      </c>
    </row>
    <row r="105" spans="1:23" x14ac:dyDescent="0.45">
      <c r="A105">
        <v>16.97861</v>
      </c>
      <c r="B105">
        <v>-69.482510000000005</v>
      </c>
      <c r="C105">
        <v>337.9323</v>
      </c>
      <c r="D105">
        <v>2680862.1616000002</v>
      </c>
      <c r="E105" s="10" t="s">
        <v>325</v>
      </c>
      <c r="F105" s="10" t="s">
        <v>326</v>
      </c>
      <c r="G105" s="10" t="s">
        <v>327</v>
      </c>
      <c r="H105" s="10">
        <v>39.019838838408297</v>
      </c>
      <c r="I105" s="10">
        <v>-80.846730002315397</v>
      </c>
      <c r="J105" s="10">
        <v>-27.5171661100335</v>
      </c>
      <c r="K105" s="4">
        <f t="shared" si="15"/>
        <v>39.019838838888887</v>
      </c>
      <c r="L105" s="4">
        <f t="shared" si="16"/>
        <v>-80.846730002777804</v>
      </c>
      <c r="M105" s="4">
        <f t="shared" si="17"/>
        <v>332.48283333333336</v>
      </c>
      <c r="N105" s="4">
        <f t="shared" si="18"/>
        <v>332.48283388996651</v>
      </c>
      <c r="O105" s="5">
        <f t="shared" si="19"/>
        <v>39.019838838529346</v>
      </c>
      <c r="P105" s="2">
        <f t="shared" si="20"/>
        <v>9.2143314893354504E-12</v>
      </c>
      <c r="Q105" s="2">
        <f t="shared" si="21"/>
        <v>3.1022183603931172E-12</v>
      </c>
      <c r="R105" s="6">
        <f t="shared" si="22"/>
        <v>-80.846730002362165</v>
      </c>
      <c r="S105" s="2">
        <f t="shared" si="23"/>
        <v>5.141074706372754E-12</v>
      </c>
      <c r="T105" s="2">
        <f t="shared" si="24"/>
        <v>5.7847636962423085E-13</v>
      </c>
      <c r="U105" s="6">
        <f t="shared" si="25"/>
        <v>332.48283388991524</v>
      </c>
      <c r="V105" s="2">
        <f t="shared" si="26"/>
        <v>1.6740168971979528E-9</v>
      </c>
      <c r="W105" s="2">
        <f t="shared" si="27"/>
        <v>1.5421176249182623E-13</v>
      </c>
    </row>
    <row r="106" spans="1:23" x14ac:dyDescent="0.45">
      <c r="A106">
        <v>10.929650000000001</v>
      </c>
      <c r="B106">
        <v>-135.72478000000001</v>
      </c>
      <c r="C106">
        <v>249.20694</v>
      </c>
      <c r="D106">
        <v>2593134.8231000002</v>
      </c>
      <c r="E106" s="10" t="s">
        <v>328</v>
      </c>
      <c r="F106" s="10" t="s">
        <v>329</v>
      </c>
      <c r="G106" s="10" t="s">
        <v>330</v>
      </c>
      <c r="H106" s="10">
        <v>2.0238745876506798</v>
      </c>
      <c r="I106" s="10">
        <v>-157.435546594415</v>
      </c>
      <c r="J106" s="10">
        <v>-113.279115007173</v>
      </c>
      <c r="K106" s="4">
        <f t="shared" ref="K106:K169" si="28">ConvertDecimal(E106)</f>
        <v>2.0238745861111109</v>
      </c>
      <c r="L106" s="4">
        <f t="shared" ref="L106:L169" si="29">MOD(ConvertDecimal(F106)+3*180, 360) - 180</f>
        <v>-157.43554659444442</v>
      </c>
      <c r="M106" s="4">
        <f t="shared" ref="M106:M169" si="30">MOD(ConvertDecimal(G106)+180, 360)</f>
        <v>246.7208861111111</v>
      </c>
      <c r="N106" s="4">
        <f t="shared" ref="N106:N169" si="31">MOD(J106+360, 360)</f>
        <v>246.720884992827</v>
      </c>
      <c r="O106" s="5">
        <f t="shared" si="19"/>
        <v>2.0238745875857349</v>
      </c>
      <c r="P106" s="2">
        <f t="shared" si="20"/>
        <v>7.2861430673666619E-10</v>
      </c>
      <c r="Q106" s="2">
        <f t="shared" si="21"/>
        <v>3.2089408460576107E-11</v>
      </c>
      <c r="R106" s="6">
        <f t="shared" si="22"/>
        <v>-157.43554659454884</v>
      </c>
      <c r="S106" s="2">
        <f t="shared" si="23"/>
        <v>6.6326419100442936E-13</v>
      </c>
      <c r="T106" s="2">
        <f t="shared" si="24"/>
        <v>8.5011188770834014E-13</v>
      </c>
      <c r="U106" s="6">
        <f t="shared" si="25"/>
        <v>246.72088499282128</v>
      </c>
      <c r="V106" s="2">
        <f t="shared" si="26"/>
        <v>4.5326110566926936E-9</v>
      </c>
      <c r="W106" s="2">
        <f t="shared" si="27"/>
        <v>2.315476290415096E-14</v>
      </c>
    </row>
    <row r="107" spans="1:23" x14ac:dyDescent="0.45">
      <c r="A107">
        <v>-59.242919999999998</v>
      </c>
      <c r="B107">
        <v>64.601219999999998</v>
      </c>
      <c r="C107">
        <v>245.32203999999999</v>
      </c>
      <c r="D107">
        <v>1124977.1808</v>
      </c>
      <c r="E107" s="10" t="s">
        <v>331</v>
      </c>
      <c r="F107" s="10" t="s">
        <v>332</v>
      </c>
      <c r="G107" s="10" t="s">
        <v>333</v>
      </c>
      <c r="H107" s="10">
        <v>-62.065730414040701</v>
      </c>
      <c r="I107" s="10">
        <v>44.7565090920342</v>
      </c>
      <c r="J107" s="10">
        <v>-97.333028540683699</v>
      </c>
      <c r="K107" s="4">
        <f t="shared" si="28"/>
        <v>-62.065730413888886</v>
      </c>
      <c r="L107" s="4">
        <f t="shared" si="29"/>
        <v>44.756509091666658</v>
      </c>
      <c r="M107" s="4">
        <f t="shared" si="30"/>
        <v>262.66697222222223</v>
      </c>
      <c r="N107" s="4">
        <f t="shared" si="31"/>
        <v>262.6669714593163</v>
      </c>
      <c r="O107" s="5">
        <f t="shared" si="19"/>
        <v>-62.065730414039209</v>
      </c>
      <c r="P107" s="2">
        <f t="shared" si="20"/>
        <v>2.4219874667545696E-12</v>
      </c>
      <c r="Q107" s="2">
        <f t="shared" si="21"/>
        <v>2.4041282284799373E-14</v>
      </c>
      <c r="R107" s="6">
        <f t="shared" si="22"/>
        <v>44.756509092090489</v>
      </c>
      <c r="S107" s="2">
        <f t="shared" si="23"/>
        <v>9.4697206072413856E-12</v>
      </c>
      <c r="T107" s="2">
        <f t="shared" si="24"/>
        <v>1.2576761831707186E-12</v>
      </c>
      <c r="U107" s="6">
        <f t="shared" si="25"/>
        <v>262.66697145929442</v>
      </c>
      <c r="V107" s="2">
        <f t="shared" si="26"/>
        <v>2.9045441272584624E-9</v>
      </c>
      <c r="W107" s="2">
        <f t="shared" si="27"/>
        <v>8.3317351016097365E-14</v>
      </c>
    </row>
    <row r="108" spans="1:23" x14ac:dyDescent="0.45">
      <c r="A108">
        <v>2.3506800000000001</v>
      </c>
      <c r="B108">
        <v>-118.36722</v>
      </c>
      <c r="C108">
        <v>318.8005</v>
      </c>
      <c r="D108">
        <v>8704.3340000000007</v>
      </c>
      <c r="E108" s="10" t="s">
        <v>334</v>
      </c>
      <c r="F108" s="10" t="s">
        <v>335</v>
      </c>
      <c r="G108" s="10" t="s">
        <v>336</v>
      </c>
      <c r="H108" s="10">
        <v>2.40990806675291</v>
      </c>
      <c r="I108" s="10">
        <v>-118.41876924936599</v>
      </c>
      <c r="J108" s="10">
        <v>-41.201640944833798</v>
      </c>
      <c r="K108" s="4">
        <f t="shared" si="28"/>
        <v>2.4099080666666666</v>
      </c>
      <c r="L108" s="4">
        <f t="shared" si="29"/>
        <v>-118.41876924999997</v>
      </c>
      <c r="M108" s="4">
        <f t="shared" si="30"/>
        <v>318.79835833333334</v>
      </c>
      <c r="N108" s="4">
        <f t="shared" si="31"/>
        <v>318.7983590551662</v>
      </c>
      <c r="O108" s="5">
        <f t="shared" si="19"/>
        <v>2.4099080667532706</v>
      </c>
      <c r="P108" s="2">
        <f t="shared" si="20"/>
        <v>3.5936664330394497E-11</v>
      </c>
      <c r="Q108" s="2">
        <f t="shared" si="21"/>
        <v>1.4963244588998818E-13</v>
      </c>
      <c r="R108" s="6">
        <f t="shared" si="22"/>
        <v>-118.41876924936591</v>
      </c>
      <c r="S108" s="2">
        <f t="shared" si="23"/>
        <v>5.3543869751279582E-12</v>
      </c>
      <c r="T108" s="2">
        <f t="shared" si="24"/>
        <v>7.2003052245595375E-16</v>
      </c>
      <c r="U108" s="6">
        <f t="shared" si="25"/>
        <v>318.79835905516586</v>
      </c>
      <c r="V108" s="2">
        <f t="shared" si="26"/>
        <v>2.2642291028115644E-9</v>
      </c>
      <c r="W108" s="2">
        <f t="shared" si="27"/>
        <v>1.0698314576513536E-15</v>
      </c>
    </row>
    <row r="109" spans="1:23" x14ac:dyDescent="0.45">
      <c r="A109">
        <v>-62.10389</v>
      </c>
      <c r="B109">
        <v>145.56889000000001</v>
      </c>
      <c r="C109">
        <v>255.88317000000001</v>
      </c>
      <c r="D109">
        <v>13395.294099999999</v>
      </c>
      <c r="E109" s="10" t="s">
        <v>337</v>
      </c>
      <c r="F109" s="10" t="s">
        <v>338</v>
      </c>
      <c r="G109" s="10" t="s">
        <v>339</v>
      </c>
      <c r="H109" s="10">
        <v>-62.132981362171599</v>
      </c>
      <c r="I109" s="10">
        <v>145.31987977662101</v>
      </c>
      <c r="J109" s="10">
        <v>-103.896725759812</v>
      </c>
      <c r="K109" s="4">
        <f t="shared" si="28"/>
        <v>-62.132981361111113</v>
      </c>
      <c r="L109" s="4">
        <f t="shared" si="29"/>
        <v>145.31987977777771</v>
      </c>
      <c r="M109" s="4">
        <f t="shared" si="30"/>
        <v>256.103275</v>
      </c>
      <c r="N109" s="4">
        <f t="shared" si="31"/>
        <v>256.103274240188</v>
      </c>
      <c r="O109" s="5">
        <f t="shared" si="19"/>
        <v>-62.132981362171527</v>
      </c>
      <c r="P109" s="2">
        <f t="shared" si="20"/>
        <v>1.7066845266692516E-11</v>
      </c>
      <c r="Q109" s="2">
        <f t="shared" si="21"/>
        <v>1.1435838425623974E-15</v>
      </c>
      <c r="R109" s="6">
        <f t="shared" si="22"/>
        <v>145.31987977662138</v>
      </c>
      <c r="S109" s="2">
        <f t="shared" si="23"/>
        <v>7.9571855546828906E-12</v>
      </c>
      <c r="T109" s="2">
        <f t="shared" si="24"/>
        <v>2.5425442352636339E-15</v>
      </c>
      <c r="U109" s="6">
        <f t="shared" si="25"/>
        <v>256.10327424018777</v>
      </c>
      <c r="V109" s="2">
        <f t="shared" si="26"/>
        <v>2.9668196308893607E-9</v>
      </c>
      <c r="W109" s="2">
        <f t="shared" si="27"/>
        <v>8.8782025968941062E-16</v>
      </c>
    </row>
    <row r="110" spans="1:23" x14ac:dyDescent="0.45">
      <c r="A110">
        <v>77.644260000000003</v>
      </c>
      <c r="B110">
        <v>-149.10624999999999</v>
      </c>
      <c r="C110">
        <v>106.19928</v>
      </c>
      <c r="D110">
        <v>2002954.9594000001</v>
      </c>
      <c r="E110" s="10" t="s">
        <v>340</v>
      </c>
      <c r="F110" s="10" t="s">
        <v>341</v>
      </c>
      <c r="G110" s="10" t="s">
        <v>342</v>
      </c>
      <c r="H110" s="10">
        <v>65.631356768475598</v>
      </c>
      <c r="I110" s="10">
        <v>-103.299126248234</v>
      </c>
      <c r="J110" s="10">
        <v>150.11725398416999</v>
      </c>
      <c r="K110" s="4">
        <f t="shared" si="28"/>
        <v>65.631356769444452</v>
      </c>
      <c r="L110" s="4">
        <f t="shared" si="29"/>
        <v>-103.29912624999997</v>
      </c>
      <c r="M110" s="4">
        <f t="shared" si="30"/>
        <v>150.11725277777776</v>
      </c>
      <c r="N110" s="4">
        <f t="shared" si="31"/>
        <v>150.11725398417002</v>
      </c>
      <c r="O110" s="5">
        <f t="shared" si="19"/>
        <v>65.631356768498264</v>
      </c>
      <c r="P110" s="2">
        <f t="shared" si="20"/>
        <v>1.4416693105574953E-11</v>
      </c>
      <c r="Q110" s="2">
        <f t="shared" si="21"/>
        <v>3.4535798719971607E-13</v>
      </c>
      <c r="R110" s="6">
        <f t="shared" si="22"/>
        <v>-103.29912624828246</v>
      </c>
      <c r="S110" s="2">
        <f t="shared" si="23"/>
        <v>1.6626565512935298E-11</v>
      </c>
      <c r="T110" s="2">
        <f t="shared" si="24"/>
        <v>4.6911349920219955E-13</v>
      </c>
      <c r="U110" s="6">
        <f t="shared" si="25"/>
        <v>150.11725398414089</v>
      </c>
      <c r="V110" s="2">
        <f t="shared" si="26"/>
        <v>8.0361390902871324E-9</v>
      </c>
      <c r="W110" s="2">
        <f t="shared" si="27"/>
        <v>1.9406331646085218E-13</v>
      </c>
    </row>
    <row r="111" spans="1:23" x14ac:dyDescent="0.45">
      <c r="A111">
        <v>63.34713</v>
      </c>
      <c r="B111">
        <v>-89.70778</v>
      </c>
      <c r="C111">
        <v>173.62156999999999</v>
      </c>
      <c r="D111">
        <v>2686520.6908999998</v>
      </c>
      <c r="E111" s="10" t="s">
        <v>343</v>
      </c>
      <c r="F111" s="10" t="s">
        <v>344</v>
      </c>
      <c r="G111" s="10" t="s">
        <v>345</v>
      </c>
      <c r="H111" s="10">
        <v>39.282973814402901</v>
      </c>
      <c r="I111" s="10">
        <v>-86.347917585269698</v>
      </c>
      <c r="J111" s="10">
        <v>176.30354609558</v>
      </c>
      <c r="K111" s="4">
        <f t="shared" si="28"/>
        <v>39.282973813888887</v>
      </c>
      <c r="L111" s="4">
        <f t="shared" si="29"/>
        <v>-86.347917586111123</v>
      </c>
      <c r="M111" s="4">
        <f t="shared" si="30"/>
        <v>176.30354722222228</v>
      </c>
      <c r="N111" s="4">
        <f t="shared" si="31"/>
        <v>176.30354609558003</v>
      </c>
      <c r="O111" s="5">
        <f t="shared" si="19"/>
        <v>39.282973814326681</v>
      </c>
      <c r="P111" s="2">
        <f t="shared" si="20"/>
        <v>1.1144619633059495E-11</v>
      </c>
      <c r="Q111" s="2">
        <f t="shared" si="21"/>
        <v>1.9402787483731768E-12</v>
      </c>
      <c r="R111" s="6">
        <f t="shared" si="22"/>
        <v>-86.347917585266856</v>
      </c>
      <c r="S111" s="2">
        <f t="shared" si="23"/>
        <v>9.7775013252427244E-12</v>
      </c>
      <c r="T111" s="2">
        <f t="shared" si="24"/>
        <v>3.2915338580501605E-14</v>
      </c>
      <c r="U111" s="6">
        <f t="shared" si="25"/>
        <v>176.30354609558373</v>
      </c>
      <c r="V111" s="2">
        <f t="shared" si="26"/>
        <v>6.3903339954969845E-9</v>
      </c>
      <c r="W111" s="2">
        <f t="shared" si="27"/>
        <v>2.0957163413771807E-14</v>
      </c>
    </row>
    <row r="112" spans="1:23" x14ac:dyDescent="0.45">
      <c r="A112">
        <v>-35.52337</v>
      </c>
      <c r="B112">
        <v>84.479879999999994</v>
      </c>
      <c r="C112">
        <v>19.505510000000001</v>
      </c>
      <c r="D112">
        <v>798705.37609999999</v>
      </c>
      <c r="E112" s="10" t="s">
        <v>346</v>
      </c>
      <c r="F112" s="10" t="s">
        <v>347</v>
      </c>
      <c r="G112" s="10" t="s">
        <v>348</v>
      </c>
      <c r="H112" s="10">
        <v>-28.702651338112702</v>
      </c>
      <c r="I112" s="10">
        <v>87.202939611746999</v>
      </c>
      <c r="J112" s="10">
        <v>18.055183443699701</v>
      </c>
      <c r="K112" s="4">
        <f t="shared" si="28"/>
        <v>-28.702651338888888</v>
      </c>
      <c r="L112" s="4">
        <f t="shared" si="29"/>
        <v>87.202939611111105</v>
      </c>
      <c r="M112" s="4">
        <f t="shared" si="30"/>
        <v>18.055183333333332</v>
      </c>
      <c r="N112" s="4">
        <f t="shared" si="31"/>
        <v>18.055183443699718</v>
      </c>
      <c r="O112" s="5">
        <f t="shared" si="19"/>
        <v>-28.702651338078265</v>
      </c>
      <c r="P112" s="2">
        <f t="shared" si="20"/>
        <v>2.8242083650077548E-11</v>
      </c>
      <c r="Q112" s="2">
        <f t="shared" si="21"/>
        <v>1.1997655994548124E-12</v>
      </c>
      <c r="R112" s="6">
        <f t="shared" si="22"/>
        <v>87.202939611750253</v>
      </c>
      <c r="S112" s="2">
        <f t="shared" si="23"/>
        <v>7.3294249542648137E-12</v>
      </c>
      <c r="T112" s="2">
        <f t="shared" si="24"/>
        <v>3.7318532428726501E-14</v>
      </c>
      <c r="U112" s="6">
        <f t="shared" si="25"/>
        <v>18.055183443693561</v>
      </c>
      <c r="V112" s="2">
        <f t="shared" si="26"/>
        <v>6.112384868212846E-9</v>
      </c>
      <c r="W112" s="2">
        <f t="shared" si="27"/>
        <v>3.4100195240661906E-13</v>
      </c>
    </row>
    <row r="113" spans="1:23" x14ac:dyDescent="0.45">
      <c r="A113">
        <v>-84.516180000000006</v>
      </c>
      <c r="B113">
        <v>-15.54405</v>
      </c>
      <c r="C113">
        <v>200.28919999999999</v>
      </c>
      <c r="D113">
        <v>665017.86780000001</v>
      </c>
      <c r="E113" s="10" t="s">
        <v>349</v>
      </c>
      <c r="F113" s="10" t="s">
        <v>350</v>
      </c>
      <c r="G113" s="10" t="s">
        <v>351</v>
      </c>
      <c r="H113" s="10">
        <v>-87.9360986582154</v>
      </c>
      <c r="I113" s="10">
        <v>-108.41102372823001</v>
      </c>
      <c r="J113" s="10">
        <v>-66.942560472935796</v>
      </c>
      <c r="K113" s="4">
        <f t="shared" si="28"/>
        <v>-87.936098658333336</v>
      </c>
      <c r="L113" s="4">
        <f t="shared" si="29"/>
        <v>-108.41102372222224</v>
      </c>
      <c r="M113" s="4">
        <f t="shared" si="30"/>
        <v>293.0574388888889</v>
      </c>
      <c r="N113" s="4">
        <f t="shared" si="31"/>
        <v>293.05743952706422</v>
      </c>
      <c r="O113" s="5">
        <f t="shared" si="19"/>
        <v>-87.93609865823494</v>
      </c>
      <c r="P113" s="2">
        <f t="shared" si="20"/>
        <v>1.1189484131012685E-12</v>
      </c>
      <c r="Q113" s="2">
        <f t="shared" si="21"/>
        <v>2.2220596014100341E-13</v>
      </c>
      <c r="R113" s="6">
        <f t="shared" si="22"/>
        <v>-108.41102372695323</v>
      </c>
      <c r="S113" s="2">
        <f t="shared" si="23"/>
        <v>4.3639404224968999E-11</v>
      </c>
      <c r="T113" s="2">
        <f t="shared" si="24"/>
        <v>1.177716248753451E-11</v>
      </c>
      <c r="U113" s="6">
        <f t="shared" si="25"/>
        <v>293.05743952578945</v>
      </c>
      <c r="V113" s="2">
        <f t="shared" si="26"/>
        <v>2.1732959732002964E-9</v>
      </c>
      <c r="W113" s="2">
        <f t="shared" si="27"/>
        <v>4.3498998470392146E-12</v>
      </c>
    </row>
    <row r="114" spans="1:23" x14ac:dyDescent="0.45">
      <c r="A114">
        <v>-52.912570000000002</v>
      </c>
      <c r="B114">
        <v>-154.26669999999999</v>
      </c>
      <c r="C114">
        <v>248.05546000000001</v>
      </c>
      <c r="D114">
        <v>1950926.7751</v>
      </c>
      <c r="E114" s="10" t="s">
        <v>352</v>
      </c>
      <c r="F114" s="10" t="s">
        <v>353</v>
      </c>
      <c r="G114" s="10" t="s">
        <v>354</v>
      </c>
      <c r="H114" s="10">
        <v>-55.9583525978598</v>
      </c>
      <c r="I114" s="10">
        <v>175.87611750027901</v>
      </c>
      <c r="J114" s="10">
        <v>-87.462142595641794</v>
      </c>
      <c r="K114" s="4">
        <f t="shared" si="28"/>
        <v>-55.958352597222223</v>
      </c>
      <c r="L114" s="4">
        <f t="shared" si="29"/>
        <v>175.87611749999996</v>
      </c>
      <c r="M114" s="4">
        <f t="shared" si="30"/>
        <v>272.53785833333336</v>
      </c>
      <c r="N114" s="4">
        <f t="shared" si="31"/>
        <v>272.53785740435819</v>
      </c>
      <c r="O114" s="5">
        <f t="shared" si="19"/>
        <v>-55.958352597859403</v>
      </c>
      <c r="P114" s="2">
        <f t="shared" si="20"/>
        <v>1.138666827594384E-11</v>
      </c>
      <c r="Q114" s="2">
        <f t="shared" si="21"/>
        <v>7.1107156224766064E-15</v>
      </c>
      <c r="R114" s="6">
        <f t="shared" si="22"/>
        <v>175.87611750034083</v>
      </c>
      <c r="S114" s="2">
        <f t="shared" si="23"/>
        <v>1.9380775857690587E-12</v>
      </c>
      <c r="T114" s="2">
        <f t="shared" si="24"/>
        <v>3.514815933495385E-13</v>
      </c>
      <c r="U114" s="6">
        <f t="shared" si="25"/>
        <v>272.53785740437297</v>
      </c>
      <c r="V114" s="2">
        <f t="shared" si="26"/>
        <v>3.4085554028428356E-9</v>
      </c>
      <c r="W114" s="2">
        <f t="shared" si="27"/>
        <v>5.4228388835839383E-14</v>
      </c>
    </row>
    <row r="115" spans="1:23" x14ac:dyDescent="0.45">
      <c r="A115">
        <v>-7.6414200000000001</v>
      </c>
      <c r="B115">
        <v>157.20014</v>
      </c>
      <c r="C115">
        <v>124.09694</v>
      </c>
      <c r="D115">
        <v>2303142.2283000001</v>
      </c>
      <c r="E115" s="10" t="s">
        <v>355</v>
      </c>
      <c r="F115" s="10" t="s">
        <v>356</v>
      </c>
      <c r="G115" s="10" t="s">
        <v>357</v>
      </c>
      <c r="H115" s="10">
        <v>-18.772439300531101</v>
      </c>
      <c r="I115" s="10">
        <v>175.192341642055</v>
      </c>
      <c r="J115" s="10">
        <v>119.93408063891199</v>
      </c>
      <c r="K115" s="4">
        <f t="shared" si="28"/>
        <v>-18.772439299999998</v>
      </c>
      <c r="L115" s="4">
        <f t="shared" si="29"/>
        <v>175.19234164166664</v>
      </c>
      <c r="M115" s="4">
        <f t="shared" si="30"/>
        <v>119.93408055555557</v>
      </c>
      <c r="N115" s="4">
        <f t="shared" si="31"/>
        <v>119.93408063891201</v>
      </c>
      <c r="O115" s="5">
        <f t="shared" si="19"/>
        <v>-18.772439300600791</v>
      </c>
      <c r="P115" s="2">
        <f t="shared" si="20"/>
        <v>3.2003955117041993E-11</v>
      </c>
      <c r="Q115" s="2">
        <f t="shared" si="21"/>
        <v>3.7123588686409544E-12</v>
      </c>
      <c r="R115" s="6">
        <f t="shared" si="22"/>
        <v>175.19234164214717</v>
      </c>
      <c r="S115" s="2">
        <f t="shared" si="23"/>
        <v>2.7428473004984101E-12</v>
      </c>
      <c r="T115" s="2">
        <f t="shared" si="24"/>
        <v>5.2611662598312097E-13</v>
      </c>
      <c r="U115" s="6">
        <f t="shared" si="25"/>
        <v>119.93408063887078</v>
      </c>
      <c r="V115" s="2">
        <f t="shared" si="26"/>
        <v>6.9467505730851821E-10</v>
      </c>
      <c r="W115" s="2">
        <f t="shared" si="27"/>
        <v>3.4373623668254932E-13</v>
      </c>
    </row>
    <row r="116" spans="1:23" x14ac:dyDescent="0.45">
      <c r="A116">
        <v>-3.24092</v>
      </c>
      <c r="B116">
        <v>136.62436</v>
      </c>
      <c r="C116">
        <v>48.931519999999999</v>
      </c>
      <c r="D116">
        <v>2125350.6011000001</v>
      </c>
      <c r="E116" s="10" t="s">
        <v>358</v>
      </c>
      <c r="F116" s="10" t="s">
        <v>359</v>
      </c>
      <c r="G116" s="10" t="s">
        <v>360</v>
      </c>
      <c r="H116" s="10">
        <v>9.3543525514339407</v>
      </c>
      <c r="I116" s="10">
        <v>151.09540684136701</v>
      </c>
      <c r="J116" s="10">
        <v>49.712055715675</v>
      </c>
      <c r="K116" s="4">
        <f t="shared" si="28"/>
        <v>9.3543525527777778</v>
      </c>
      <c r="L116" s="4">
        <f t="shared" si="29"/>
        <v>151.09540684166666</v>
      </c>
      <c r="M116" s="4">
        <f t="shared" si="30"/>
        <v>49.712055555555594</v>
      </c>
      <c r="N116" s="4">
        <f t="shared" si="31"/>
        <v>49.712055715674978</v>
      </c>
      <c r="O116" s="5">
        <f t="shared" si="19"/>
        <v>9.3543525515189518</v>
      </c>
      <c r="P116" s="2">
        <f t="shared" si="20"/>
        <v>1.3457114485258684E-10</v>
      </c>
      <c r="Q116" s="2">
        <f t="shared" si="21"/>
        <v>9.0878667225500637E-12</v>
      </c>
      <c r="R116" s="6">
        <f t="shared" si="22"/>
        <v>151.09540684146651</v>
      </c>
      <c r="S116" s="2">
        <f t="shared" si="23"/>
        <v>1.3246311187913098E-12</v>
      </c>
      <c r="T116" s="2">
        <f t="shared" si="24"/>
        <v>6.5855347158443235E-13</v>
      </c>
      <c r="U116" s="6">
        <f t="shared" si="25"/>
        <v>49.712055715691335</v>
      </c>
      <c r="V116" s="2">
        <f t="shared" si="26"/>
        <v>3.2212657336787234E-9</v>
      </c>
      <c r="W116" s="2">
        <f t="shared" si="27"/>
        <v>3.2902871429716371E-13</v>
      </c>
    </row>
    <row r="117" spans="1:23" x14ac:dyDescent="0.45">
      <c r="A117">
        <v>78.895430000000005</v>
      </c>
      <c r="B117">
        <v>61.840670000000003</v>
      </c>
      <c r="C117">
        <v>273.64731</v>
      </c>
      <c r="D117">
        <v>1313369.7516000001</v>
      </c>
      <c r="E117" s="10" t="s">
        <v>361</v>
      </c>
      <c r="F117" s="10" t="s">
        <v>362</v>
      </c>
      <c r="G117" s="10" t="s">
        <v>363</v>
      </c>
      <c r="H117" s="10">
        <v>74.401194442056095</v>
      </c>
      <c r="I117" s="10">
        <v>12.683071276573701</v>
      </c>
      <c r="J117" s="10">
        <v>-134.366060275216</v>
      </c>
      <c r="K117" s="4">
        <f t="shared" si="28"/>
        <v>74.401194441666661</v>
      </c>
      <c r="L117" s="4">
        <f t="shared" si="29"/>
        <v>12.683071277777799</v>
      </c>
      <c r="M117" s="4">
        <f t="shared" si="30"/>
        <v>225.63393888888891</v>
      </c>
      <c r="N117" s="4">
        <f t="shared" si="31"/>
        <v>225.633939724784</v>
      </c>
      <c r="O117" s="5">
        <f t="shared" si="19"/>
        <v>74.401194442055697</v>
      </c>
      <c r="P117" s="2">
        <f t="shared" si="20"/>
        <v>5.2288993691947945E-12</v>
      </c>
      <c r="Q117" s="2">
        <f t="shared" si="21"/>
        <v>5.3480852694582077E-15</v>
      </c>
      <c r="R117" s="6">
        <f t="shared" si="22"/>
        <v>12.683071276585634</v>
      </c>
      <c r="S117" s="2">
        <f t="shared" si="23"/>
        <v>9.3996522069434427E-11</v>
      </c>
      <c r="T117" s="2">
        <f t="shared" si="24"/>
        <v>9.409050053304363E-13</v>
      </c>
      <c r="U117" s="6">
        <f t="shared" si="25"/>
        <v>225.63393972478335</v>
      </c>
      <c r="V117" s="2">
        <f t="shared" si="26"/>
        <v>3.7046485294017742E-9</v>
      </c>
      <c r="W117" s="2">
        <f t="shared" si="27"/>
        <v>2.8971674992540529E-15</v>
      </c>
    </row>
    <row r="118" spans="1:23" x14ac:dyDescent="0.4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10" t="s">
        <v>364</v>
      </c>
      <c r="F118" s="10" t="s">
        <v>365</v>
      </c>
      <c r="G118" s="10" t="s">
        <v>366</v>
      </c>
      <c r="H118" s="10">
        <v>-37.838073470492198</v>
      </c>
      <c r="I118" s="10">
        <v>43.864077291320598</v>
      </c>
      <c r="J118" s="10">
        <v>6.4454275104188801</v>
      </c>
      <c r="K118" s="4">
        <f t="shared" si="28"/>
        <v>-37.838073469444446</v>
      </c>
      <c r="L118" s="4">
        <f t="shared" si="29"/>
        <v>43.864077291666717</v>
      </c>
      <c r="M118" s="4">
        <f t="shared" si="30"/>
        <v>6.4454277777778088</v>
      </c>
      <c r="N118" s="4">
        <f t="shared" si="31"/>
        <v>6.445427510418881</v>
      </c>
      <c r="O118" s="5">
        <f t="shared" si="19"/>
        <v>-37.838073470453494</v>
      </c>
      <c r="P118" s="2">
        <f t="shared" si="20"/>
        <v>2.6667553391562541E-11</v>
      </c>
      <c r="Q118" s="2">
        <f t="shared" si="21"/>
        <v>1.0228655760456507E-12</v>
      </c>
      <c r="R118" s="6">
        <f t="shared" si="22"/>
        <v>43.864077291322218</v>
      </c>
      <c r="S118" s="2">
        <f t="shared" si="23"/>
        <v>7.8537965751618551E-12</v>
      </c>
      <c r="T118" s="2">
        <f t="shared" si="24"/>
        <v>3.6933124724672732E-14</v>
      </c>
      <c r="U118" s="6">
        <f t="shared" si="25"/>
        <v>6.4454275104154881</v>
      </c>
      <c r="V118" s="2">
        <f t="shared" si="26"/>
        <v>4.1480927247220561E-8</v>
      </c>
      <c r="W118" s="2">
        <f t="shared" si="27"/>
        <v>5.2639511619206489E-13</v>
      </c>
    </row>
    <row r="119" spans="1:23" x14ac:dyDescent="0.4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10" t="s">
        <v>367</v>
      </c>
      <c r="F119" s="10" t="s">
        <v>368</v>
      </c>
      <c r="G119" s="10" t="s">
        <v>369</v>
      </c>
      <c r="H119" s="10">
        <v>-76.5235344380106</v>
      </c>
      <c r="I119" s="10">
        <v>46.193703038723903</v>
      </c>
      <c r="J119" s="10">
        <v>-21.1332054634908</v>
      </c>
      <c r="K119" s="4">
        <f t="shared" si="28"/>
        <v>-76.523534438888888</v>
      </c>
      <c r="L119" s="4">
        <f t="shared" si="29"/>
        <v>46.193703038888884</v>
      </c>
      <c r="M119" s="4">
        <f t="shared" si="30"/>
        <v>338.86679444444445</v>
      </c>
      <c r="N119" s="4">
        <f t="shared" si="31"/>
        <v>338.86679453650919</v>
      </c>
      <c r="O119" s="5">
        <f t="shared" si="19"/>
        <v>-76.523534438044862</v>
      </c>
      <c r="P119" s="2">
        <f t="shared" si="20"/>
        <v>1.1029617231990569E-11</v>
      </c>
      <c r="Q119" s="2">
        <f t="shared" si="21"/>
        <v>4.4773638554433132E-13</v>
      </c>
      <c r="R119" s="6">
        <f t="shared" si="22"/>
        <v>46.193703038783639</v>
      </c>
      <c r="S119" s="2">
        <f t="shared" si="23"/>
        <v>2.2783536087631558E-12</v>
      </c>
      <c r="T119" s="2">
        <f t="shared" si="24"/>
        <v>1.2931487165096042E-12</v>
      </c>
      <c r="U119" s="6">
        <f t="shared" si="25"/>
        <v>338.86679453645365</v>
      </c>
      <c r="V119" s="2">
        <f t="shared" si="26"/>
        <v>2.7152026561339377E-10</v>
      </c>
      <c r="W119" s="2">
        <f t="shared" si="27"/>
        <v>1.6388746587864935E-13</v>
      </c>
    </row>
    <row r="120" spans="1:23" x14ac:dyDescent="0.4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10" t="s">
        <v>370</v>
      </c>
      <c r="F120" s="10" t="s">
        <v>371</v>
      </c>
      <c r="G120" s="10" t="s">
        <v>372</v>
      </c>
      <c r="H120" s="10">
        <v>-72.063151982843394</v>
      </c>
      <c r="I120" s="10">
        <v>79.944230765573295</v>
      </c>
      <c r="J120" s="10">
        <v>70.473298101178301</v>
      </c>
      <c r="K120" s="4">
        <f t="shared" si="28"/>
        <v>-72.063151983333327</v>
      </c>
      <c r="L120" s="4">
        <f t="shared" si="29"/>
        <v>79.944230763888868</v>
      </c>
      <c r="M120" s="4">
        <f t="shared" si="30"/>
        <v>70.473297222222186</v>
      </c>
      <c r="N120" s="4">
        <f t="shared" si="31"/>
        <v>70.473298101178329</v>
      </c>
      <c r="O120" s="5">
        <f t="shared" si="19"/>
        <v>-72.063151982857534</v>
      </c>
      <c r="P120" s="2">
        <f t="shared" si="20"/>
        <v>6.6024537315508929E-12</v>
      </c>
      <c r="Q120" s="2">
        <f t="shared" si="21"/>
        <v>1.9621401579814828E-13</v>
      </c>
      <c r="R120" s="6">
        <f t="shared" si="22"/>
        <v>79.944230765427406</v>
      </c>
      <c r="S120" s="2">
        <f t="shared" si="23"/>
        <v>1.9245143408601146E-11</v>
      </c>
      <c r="T120" s="2">
        <f t="shared" si="24"/>
        <v>1.8248800833929391E-12</v>
      </c>
      <c r="U120" s="6">
        <f t="shared" si="25"/>
        <v>70.473298101302575</v>
      </c>
      <c r="V120" s="2">
        <f t="shared" si="26"/>
        <v>1.2473950043162225E-8</v>
      </c>
      <c r="W120" s="2">
        <f t="shared" si="27"/>
        <v>1.7630152997328459E-12</v>
      </c>
    </row>
    <row r="121" spans="1:23" x14ac:dyDescent="0.45">
      <c r="A121">
        <v>1.9955499999999999</v>
      </c>
      <c r="B121">
        <v>18.549589999999998</v>
      </c>
      <c r="C121">
        <v>205.93687</v>
      </c>
      <c r="D121">
        <v>2610595.4756999998</v>
      </c>
      <c r="E121" s="10" t="s">
        <v>373</v>
      </c>
      <c r="F121" s="10" t="s">
        <v>374</v>
      </c>
      <c r="G121" s="10" t="s">
        <v>375</v>
      </c>
      <c r="H121" s="10">
        <v>-19.143131721226901</v>
      </c>
      <c r="I121" s="10">
        <v>7.9373826786432904</v>
      </c>
      <c r="J121" s="10">
        <v>-152.44906708749099</v>
      </c>
      <c r="K121" s="4">
        <f t="shared" si="28"/>
        <v>-19.143131722222222</v>
      </c>
      <c r="L121" s="4">
        <f t="shared" si="29"/>
        <v>7.9373826777778049</v>
      </c>
      <c r="M121" s="4">
        <f t="shared" si="30"/>
        <v>207.55093333333332</v>
      </c>
      <c r="N121" s="4">
        <f t="shared" si="31"/>
        <v>207.55093291250901</v>
      </c>
      <c r="O121" s="5">
        <f t="shared" si="19"/>
        <v>-19.143131721338378</v>
      </c>
      <c r="P121" s="2">
        <f t="shared" si="20"/>
        <v>4.6170298665707976E-11</v>
      </c>
      <c r="Q121" s="2">
        <f t="shared" si="21"/>
        <v>5.8233444473346317E-12</v>
      </c>
      <c r="R121" s="6">
        <f t="shared" si="22"/>
        <v>7.93738267858404</v>
      </c>
      <c r="S121" s="2">
        <f t="shared" si="23"/>
        <v>1.0157442464703112E-10</v>
      </c>
      <c r="T121" s="2">
        <f t="shared" si="24"/>
        <v>7.4647254362092594E-12</v>
      </c>
      <c r="U121" s="6">
        <f t="shared" si="25"/>
        <v>207.55093291252882</v>
      </c>
      <c r="V121" s="2">
        <f t="shared" si="26"/>
        <v>2.0274758116828289E-9</v>
      </c>
      <c r="W121" s="2">
        <f t="shared" si="27"/>
        <v>9.5446121079794275E-14</v>
      </c>
    </row>
    <row r="122" spans="1:23" x14ac:dyDescent="0.45">
      <c r="A122">
        <v>-45.648980000000002</v>
      </c>
      <c r="B122">
        <v>-35.092579999999998</v>
      </c>
      <c r="C122">
        <v>205.41822999999999</v>
      </c>
      <c r="D122">
        <v>2662309.7689</v>
      </c>
      <c r="E122" s="10" t="s">
        <v>376</v>
      </c>
      <c r="F122" s="10" t="s">
        <v>377</v>
      </c>
      <c r="G122" s="10" t="s">
        <v>378</v>
      </c>
      <c r="H122" s="10">
        <v>-65.458139398782805</v>
      </c>
      <c r="I122" s="10">
        <v>-59.7885903648328</v>
      </c>
      <c r="J122" s="10">
        <v>-133.81168359077799</v>
      </c>
      <c r="K122" s="4">
        <f t="shared" si="28"/>
        <v>-65.458139399999993</v>
      </c>
      <c r="L122" s="4">
        <f t="shared" si="29"/>
        <v>-59.788590363888886</v>
      </c>
      <c r="M122" s="4">
        <f t="shared" si="30"/>
        <v>226.18831666666665</v>
      </c>
      <c r="N122" s="4">
        <f t="shared" si="31"/>
        <v>226.18831640922201</v>
      </c>
      <c r="O122" s="5">
        <f t="shared" si="19"/>
        <v>-65.458139398803354</v>
      </c>
      <c r="P122" s="2">
        <f t="shared" si="20"/>
        <v>1.8280984505775611E-11</v>
      </c>
      <c r="Q122" s="2">
        <f t="shared" si="21"/>
        <v>3.1392422862792531E-13</v>
      </c>
      <c r="R122" s="6">
        <f t="shared" si="22"/>
        <v>-59.788590364861633</v>
      </c>
      <c r="S122" s="2">
        <f t="shared" si="23"/>
        <v>1.626978007325311E-11</v>
      </c>
      <c r="T122" s="2">
        <f t="shared" si="24"/>
        <v>4.8226298765700126E-13</v>
      </c>
      <c r="U122" s="6">
        <f t="shared" si="25"/>
        <v>226.18831640926859</v>
      </c>
      <c r="V122" s="2">
        <f t="shared" si="26"/>
        <v>1.1379812204271992E-9</v>
      </c>
      <c r="W122" s="2">
        <f t="shared" si="27"/>
        <v>2.0594866479377937E-13</v>
      </c>
    </row>
    <row r="123" spans="1:23" x14ac:dyDescent="0.45">
      <c r="A123">
        <v>79.030199999999994</v>
      </c>
      <c r="B123">
        <v>-49.263179999999998</v>
      </c>
      <c r="C123">
        <v>305.83573999999999</v>
      </c>
      <c r="D123">
        <v>1821170.4897</v>
      </c>
      <c r="E123" s="10" t="s">
        <v>379</v>
      </c>
      <c r="F123" s="10" t="s">
        <v>380</v>
      </c>
      <c r="G123" s="10" t="s">
        <v>381</v>
      </c>
      <c r="H123" s="10">
        <v>76.783372857756902</v>
      </c>
      <c r="I123" s="10">
        <v>-133.92953106147101</v>
      </c>
      <c r="J123" s="10">
        <v>-137.56284838055299</v>
      </c>
      <c r="K123" s="4">
        <f t="shared" si="28"/>
        <v>76.783372858333337</v>
      </c>
      <c r="L123" s="4">
        <f t="shared" si="29"/>
        <v>-133.92953106111111</v>
      </c>
      <c r="M123" s="4">
        <f t="shared" si="30"/>
        <v>222.43715277777778</v>
      </c>
      <c r="N123" s="4">
        <f t="shared" si="31"/>
        <v>222.43715161944701</v>
      </c>
      <c r="O123" s="5">
        <f t="shared" si="19"/>
        <v>76.783372857758891</v>
      </c>
      <c r="P123" s="2">
        <f t="shared" si="20"/>
        <v>7.4813772665661915E-12</v>
      </c>
      <c r="Q123" s="2">
        <f t="shared" si="21"/>
        <v>2.5910813579574251E-14</v>
      </c>
      <c r="R123" s="6">
        <f t="shared" si="22"/>
        <v>-133.92953106144779</v>
      </c>
      <c r="S123" s="2">
        <f t="shared" si="23"/>
        <v>2.5138859760431741E-12</v>
      </c>
      <c r="T123" s="2">
        <f t="shared" si="24"/>
        <v>1.7337876434423043E-13</v>
      </c>
      <c r="U123" s="6">
        <f t="shared" si="25"/>
        <v>222.43715161945536</v>
      </c>
      <c r="V123" s="2">
        <f t="shared" si="26"/>
        <v>5.2074143408577778E-9</v>
      </c>
      <c r="W123" s="2">
        <f t="shared" si="27"/>
        <v>3.7565588804313028E-14</v>
      </c>
    </row>
    <row r="124" spans="1:23" x14ac:dyDescent="0.45">
      <c r="A124">
        <v>37.448909999999998</v>
      </c>
      <c r="B124">
        <v>-25.214690000000001</v>
      </c>
      <c r="C124">
        <v>299.32281</v>
      </c>
      <c r="D124">
        <v>2787665.4001000002</v>
      </c>
      <c r="E124" s="10" t="s">
        <v>382</v>
      </c>
      <c r="F124" s="10" t="s">
        <v>383</v>
      </c>
      <c r="G124" s="10" t="s">
        <v>384</v>
      </c>
      <c r="H124" s="10">
        <v>45.704958772820703</v>
      </c>
      <c r="I124" s="10">
        <v>-57.057740453768098</v>
      </c>
      <c r="J124" s="10">
        <v>-82.1723395123676</v>
      </c>
      <c r="K124" s="4">
        <f t="shared" si="28"/>
        <v>45.70495877222222</v>
      </c>
      <c r="L124" s="4">
        <f t="shared" si="29"/>
        <v>-57.057740452777807</v>
      </c>
      <c r="M124" s="4">
        <f t="shared" si="30"/>
        <v>277.82766111111113</v>
      </c>
      <c r="N124" s="4">
        <f t="shared" si="31"/>
        <v>277.82766048763239</v>
      </c>
      <c r="O124" s="5">
        <f t="shared" si="19"/>
        <v>45.704958772832533</v>
      </c>
      <c r="P124" s="2">
        <f t="shared" si="20"/>
        <v>1.3353333945565365E-11</v>
      </c>
      <c r="Q124" s="2">
        <f t="shared" si="21"/>
        <v>2.5884579853162269E-13</v>
      </c>
      <c r="R124" s="6">
        <f t="shared" si="22"/>
        <v>-57.057740453736571</v>
      </c>
      <c r="S124" s="2">
        <f t="shared" si="23"/>
        <v>1.6803394727206676E-11</v>
      </c>
      <c r="T124" s="2">
        <f t="shared" si="24"/>
        <v>5.5254170485809369E-13</v>
      </c>
      <c r="U124" s="6">
        <f t="shared" si="25"/>
        <v>277.82766048754257</v>
      </c>
      <c r="V124" s="2">
        <f t="shared" si="26"/>
        <v>2.2444437344488764E-9</v>
      </c>
      <c r="W124" s="2">
        <f t="shared" si="27"/>
        <v>3.2326731486145424E-13</v>
      </c>
    </row>
    <row r="125" spans="1:23" x14ac:dyDescent="0.4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10" t="s">
        <v>385</v>
      </c>
      <c r="F125" s="10" t="s">
        <v>386</v>
      </c>
      <c r="G125" s="10" t="s">
        <v>387</v>
      </c>
      <c r="H125" s="10">
        <v>-18.768825921986299</v>
      </c>
      <c r="I125" s="10">
        <v>-69.191406231611694</v>
      </c>
      <c r="J125" s="10">
        <v>-35.677219796048497</v>
      </c>
      <c r="K125" s="4">
        <f t="shared" si="28"/>
        <v>-18.768825922222224</v>
      </c>
      <c r="L125" s="4">
        <f t="shared" si="29"/>
        <v>-69.191406230555572</v>
      </c>
      <c r="M125" s="4">
        <f t="shared" si="30"/>
        <v>324.3227805555556</v>
      </c>
      <c r="N125" s="4">
        <f t="shared" si="31"/>
        <v>324.32278020395148</v>
      </c>
      <c r="O125" s="5">
        <f t="shared" si="19"/>
        <v>-18.768825921889775</v>
      </c>
      <c r="P125" s="2">
        <f t="shared" si="20"/>
        <v>1.7712814673922545E-11</v>
      </c>
      <c r="Q125" s="2">
        <f t="shared" si="21"/>
        <v>5.1427659002506074E-12</v>
      </c>
      <c r="R125" s="6">
        <f t="shared" si="22"/>
        <v>-69.191406231634431</v>
      </c>
      <c r="S125" s="2">
        <f t="shared" si="23"/>
        <v>1.5592394013120536E-11</v>
      </c>
      <c r="T125" s="2">
        <f t="shared" si="24"/>
        <v>3.2861548540019574E-13</v>
      </c>
      <c r="U125" s="6">
        <f t="shared" si="25"/>
        <v>324.32278020397456</v>
      </c>
      <c r="V125" s="2">
        <f t="shared" si="26"/>
        <v>1.0840466885549617E-9</v>
      </c>
      <c r="W125" s="2">
        <f t="shared" si="27"/>
        <v>7.1158825300446385E-14</v>
      </c>
    </row>
    <row r="126" spans="1:23" x14ac:dyDescent="0.4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10" t="s">
        <v>388</v>
      </c>
      <c r="F126" s="10" t="s">
        <v>389</v>
      </c>
      <c r="G126" s="10" t="s">
        <v>390</v>
      </c>
      <c r="H126" s="10">
        <v>-38.335140583189002</v>
      </c>
      <c r="I126" s="10">
        <v>-75.332353029387406</v>
      </c>
      <c r="J126" s="10">
        <v>-91.190052798101107</v>
      </c>
      <c r="K126" s="4">
        <f t="shared" si="28"/>
        <v>-38.335140583333335</v>
      </c>
      <c r="L126" s="4">
        <f t="shared" si="29"/>
        <v>-75.332353030555566</v>
      </c>
      <c r="M126" s="4">
        <f t="shared" si="30"/>
        <v>268.80994722222221</v>
      </c>
      <c r="N126" s="4">
        <f t="shared" si="31"/>
        <v>268.80994720189892</v>
      </c>
      <c r="O126" s="5">
        <f t="shared" si="19"/>
        <v>-38.335140583189329</v>
      </c>
      <c r="P126" s="2">
        <f t="shared" si="20"/>
        <v>3.7564932348026324E-12</v>
      </c>
      <c r="Q126" s="2">
        <f t="shared" si="21"/>
        <v>8.5261108600962985E-15</v>
      </c>
      <c r="R126" s="6">
        <f t="shared" si="22"/>
        <v>-75.332353029377245</v>
      </c>
      <c r="S126" s="2">
        <f t="shared" si="23"/>
        <v>1.5641638592418127E-11</v>
      </c>
      <c r="T126" s="2">
        <f t="shared" si="24"/>
        <v>1.3487911518449032E-13</v>
      </c>
      <c r="U126" s="6">
        <f t="shared" si="25"/>
        <v>268.80994720190893</v>
      </c>
      <c r="V126" s="2">
        <f t="shared" si="26"/>
        <v>7.5567441446693512E-11</v>
      </c>
      <c r="W126" s="2">
        <f t="shared" si="27"/>
        <v>3.7217527936151973E-14</v>
      </c>
    </row>
    <row r="127" spans="1:23" x14ac:dyDescent="0.45">
      <c r="A127">
        <v>30.126300000000001</v>
      </c>
      <c r="B127">
        <v>-91.789060000000006</v>
      </c>
      <c r="C127">
        <v>12.69722</v>
      </c>
      <c r="D127">
        <v>2319961.3678000001</v>
      </c>
      <c r="E127" s="10" t="s">
        <v>391</v>
      </c>
      <c r="F127" s="10" t="s">
        <v>392</v>
      </c>
      <c r="G127" s="10" t="s">
        <v>393</v>
      </c>
      <c r="H127" s="10">
        <v>50.337821915538697</v>
      </c>
      <c r="I127" s="10">
        <v>-84.765859457642605</v>
      </c>
      <c r="J127" s="10">
        <v>17.308365107258901</v>
      </c>
      <c r="K127" s="4">
        <f t="shared" si="28"/>
        <v>50.33782191666667</v>
      </c>
      <c r="L127" s="4">
        <f t="shared" si="29"/>
        <v>-84.765859458333352</v>
      </c>
      <c r="M127" s="4">
        <f t="shared" si="30"/>
        <v>17.308363888888891</v>
      </c>
      <c r="N127" s="4">
        <f t="shared" si="31"/>
        <v>17.308365107258908</v>
      </c>
      <c r="O127" s="5">
        <f t="shared" si="19"/>
        <v>50.337821915622833</v>
      </c>
      <c r="P127" s="2">
        <f t="shared" si="20"/>
        <v>2.0736634543924909E-11</v>
      </c>
      <c r="Q127" s="2">
        <f t="shared" si="21"/>
        <v>1.6714144978804071E-12</v>
      </c>
      <c r="R127" s="6">
        <f t="shared" si="22"/>
        <v>-84.76585945761893</v>
      </c>
      <c r="S127" s="2">
        <f t="shared" si="23"/>
        <v>8.4281844561314754E-12</v>
      </c>
      <c r="T127" s="2">
        <f t="shared" si="24"/>
        <v>2.7930211652436615E-13</v>
      </c>
      <c r="U127" s="6">
        <f t="shared" si="25"/>
        <v>17.308365107290474</v>
      </c>
      <c r="V127" s="2">
        <f t="shared" si="26"/>
        <v>7.0393804412364205E-8</v>
      </c>
      <c r="W127" s="2">
        <f t="shared" si="27"/>
        <v>1.8237344105310174E-12</v>
      </c>
    </row>
    <row r="128" spans="1:23" x14ac:dyDescent="0.45">
      <c r="A128">
        <v>16.645330000000001</v>
      </c>
      <c r="B128">
        <v>-152.07943</v>
      </c>
      <c r="C128">
        <v>262.28955999999999</v>
      </c>
      <c r="D128">
        <v>181575.44039999999</v>
      </c>
      <c r="E128" s="10" t="s">
        <v>394</v>
      </c>
      <c r="F128" s="10" t="s">
        <v>395</v>
      </c>
      <c r="G128" s="10" t="s">
        <v>396</v>
      </c>
      <c r="H128" s="10">
        <v>16.418374816244199</v>
      </c>
      <c r="I128" s="10">
        <v>-153.764079273227</v>
      </c>
      <c r="J128" s="10">
        <v>-98.189837030683506</v>
      </c>
      <c r="K128" s="4">
        <f t="shared" si="28"/>
        <v>16.418374816666667</v>
      </c>
      <c r="L128" s="4">
        <f t="shared" si="29"/>
        <v>-153.76407927222226</v>
      </c>
      <c r="M128" s="4">
        <f t="shared" si="30"/>
        <v>261.81016388888889</v>
      </c>
      <c r="N128" s="4">
        <f t="shared" si="31"/>
        <v>261.81016296931648</v>
      </c>
      <c r="O128" s="5">
        <f t="shared" si="19"/>
        <v>16.418374816242409</v>
      </c>
      <c r="P128" s="2">
        <f t="shared" si="20"/>
        <v>2.5840435903821876E-11</v>
      </c>
      <c r="Q128" s="2">
        <f t="shared" si="21"/>
        <v>1.0905876581303773E-13</v>
      </c>
      <c r="R128" s="6">
        <f t="shared" si="22"/>
        <v>-153.76407927323305</v>
      </c>
      <c r="S128" s="2">
        <f t="shared" si="23"/>
        <v>6.5736398186561965E-12</v>
      </c>
      <c r="T128" s="2">
        <f t="shared" si="24"/>
        <v>3.9370860459020935E-14</v>
      </c>
      <c r="U128" s="6">
        <f t="shared" si="25"/>
        <v>261.81016296931267</v>
      </c>
      <c r="V128" s="2">
        <f t="shared" si="26"/>
        <v>3.5123778600080243E-9</v>
      </c>
      <c r="W128" s="2">
        <f t="shared" si="27"/>
        <v>1.4546834318729196E-14</v>
      </c>
    </row>
    <row r="129" spans="1:23" x14ac:dyDescent="0.45">
      <c r="A129">
        <v>-88.874809999999997</v>
      </c>
      <c r="B129">
        <v>84.816130000000001</v>
      </c>
      <c r="C129">
        <v>155.5087</v>
      </c>
      <c r="D129">
        <v>2189603.9449</v>
      </c>
      <c r="E129" s="10" t="s">
        <v>397</v>
      </c>
      <c r="F129" s="10" t="s">
        <v>398</v>
      </c>
      <c r="G129" s="10" t="s">
        <v>399</v>
      </c>
      <c r="H129" s="10">
        <v>-71.408270108110202</v>
      </c>
      <c r="I129" s="10">
        <v>-121.05830219052901</v>
      </c>
      <c r="J129" s="10">
        <v>1.4636140912039399</v>
      </c>
      <c r="K129" s="4">
        <f t="shared" si="28"/>
        <v>-71.40827010833334</v>
      </c>
      <c r="L129" s="4">
        <f t="shared" si="29"/>
        <v>-121.0583021916666</v>
      </c>
      <c r="M129" s="4">
        <f t="shared" si="30"/>
        <v>1.4636138888888581</v>
      </c>
      <c r="N129" s="4">
        <f t="shared" si="31"/>
        <v>1.463614091203965</v>
      </c>
      <c r="O129" s="5">
        <f t="shared" si="19"/>
        <v>-71.408270108106123</v>
      </c>
      <c r="P129" s="2">
        <f t="shared" si="20"/>
        <v>3.1819473528297751E-12</v>
      </c>
      <c r="Q129" s="2">
        <f t="shared" si="21"/>
        <v>5.7115447511726755E-14</v>
      </c>
      <c r="R129" s="6">
        <f t="shared" si="22"/>
        <v>-121.05830219053018</v>
      </c>
      <c r="S129" s="2">
        <f t="shared" si="23"/>
        <v>9.387325026796073E-12</v>
      </c>
      <c r="T129" s="2">
        <f t="shared" si="24"/>
        <v>9.7432470141981273E-15</v>
      </c>
      <c r="U129" s="6">
        <f t="shared" si="25"/>
        <v>1.4636140912037565</v>
      </c>
      <c r="V129" s="2">
        <f t="shared" si="26"/>
        <v>1.3822969290311705E-7</v>
      </c>
      <c r="W129" s="2">
        <f t="shared" si="27"/>
        <v>1.4245550468367857E-13</v>
      </c>
    </row>
    <row r="130" spans="1:23" x14ac:dyDescent="0.45">
      <c r="A130">
        <v>16.28764</v>
      </c>
      <c r="B130">
        <v>-146.46427</v>
      </c>
      <c r="C130">
        <v>108.74630000000001</v>
      </c>
      <c r="D130">
        <v>428196.28370000003</v>
      </c>
      <c r="E130" s="10" t="s">
        <v>400</v>
      </c>
      <c r="F130" s="10" t="s">
        <v>401</v>
      </c>
      <c r="G130" s="10" t="s">
        <v>402</v>
      </c>
      <c r="H130" s="10">
        <v>15.0110543274448</v>
      </c>
      <c r="I130" s="10">
        <v>-142.69404390656399</v>
      </c>
      <c r="J130" s="10">
        <v>109.763721637375</v>
      </c>
      <c r="K130" s="4">
        <f t="shared" si="28"/>
        <v>15.011054327777778</v>
      </c>
      <c r="L130" s="4">
        <f t="shared" si="29"/>
        <v>-142.69404390555553</v>
      </c>
      <c r="M130" s="4">
        <f t="shared" si="30"/>
        <v>109.76372222222221</v>
      </c>
      <c r="N130" s="4">
        <f t="shared" si="31"/>
        <v>109.763721637375</v>
      </c>
      <c r="O130" s="5">
        <f t="shared" si="19"/>
        <v>15.011054327436437</v>
      </c>
      <c r="P130" s="2">
        <f t="shared" si="20"/>
        <v>2.2739320642776271E-11</v>
      </c>
      <c r="Q130" s="2">
        <f t="shared" si="21"/>
        <v>5.5712862117926626E-13</v>
      </c>
      <c r="R130" s="6">
        <f t="shared" si="22"/>
        <v>-142.69404390655262</v>
      </c>
      <c r="S130" s="2">
        <f t="shared" si="23"/>
        <v>6.9876105753746428E-12</v>
      </c>
      <c r="T130" s="2">
        <f t="shared" si="24"/>
        <v>7.9671747053477673E-14</v>
      </c>
      <c r="U130" s="6">
        <f t="shared" si="25"/>
        <v>109.76372163738141</v>
      </c>
      <c r="V130" s="2">
        <f t="shared" si="26"/>
        <v>5.3281794137215242E-9</v>
      </c>
      <c r="W130" s="2">
        <f t="shared" si="27"/>
        <v>5.8389925022128443E-14</v>
      </c>
    </row>
    <row r="131" spans="1:23" x14ac:dyDescent="0.45">
      <c r="A131">
        <v>-51.531190000000002</v>
      </c>
      <c r="B131">
        <v>-66.095110000000005</v>
      </c>
      <c r="C131">
        <v>343.22847999999999</v>
      </c>
      <c r="D131">
        <v>1626173.7615</v>
      </c>
      <c r="E131" s="10" t="s">
        <v>403</v>
      </c>
      <c r="F131" s="10" t="s">
        <v>404</v>
      </c>
      <c r="G131" s="10" t="s">
        <v>405</v>
      </c>
      <c r="H131" s="10">
        <v>-37.377884228500101</v>
      </c>
      <c r="I131" s="10">
        <v>-71.3432618516578</v>
      </c>
      <c r="J131" s="10">
        <v>-13.0664315021556</v>
      </c>
      <c r="K131" s="4">
        <f t="shared" si="28"/>
        <v>-37.377884227777777</v>
      </c>
      <c r="L131" s="4">
        <f t="shared" si="29"/>
        <v>-71.3432618527778</v>
      </c>
      <c r="M131" s="4">
        <f t="shared" si="30"/>
        <v>346.93356944444446</v>
      </c>
      <c r="N131" s="4">
        <f t="shared" si="31"/>
        <v>346.93356849784442</v>
      </c>
      <c r="O131" s="5">
        <f t="shared" si="19"/>
        <v>-37.377884228406074</v>
      </c>
      <c r="P131" s="2">
        <f t="shared" si="20"/>
        <v>1.6809335977046626E-11</v>
      </c>
      <c r="Q131" s="2">
        <f t="shared" si="21"/>
        <v>2.5155549107148361E-12</v>
      </c>
      <c r="R131" s="6">
        <f t="shared" si="22"/>
        <v>-71.343261851675123</v>
      </c>
      <c r="S131" s="2">
        <f t="shared" si="23"/>
        <v>1.5455938404482284E-11</v>
      </c>
      <c r="T131" s="2">
        <f t="shared" si="24"/>
        <v>2.4281244574786297E-13</v>
      </c>
      <c r="U131" s="6">
        <f t="shared" si="25"/>
        <v>346.93356849786073</v>
      </c>
      <c r="V131" s="2">
        <f t="shared" si="26"/>
        <v>2.7284293263888119E-9</v>
      </c>
      <c r="W131" s="2">
        <f t="shared" si="27"/>
        <v>4.7023588071020758E-14</v>
      </c>
    </row>
    <row r="132" spans="1:23" x14ac:dyDescent="0.45">
      <c r="A132">
        <v>44.172539999999998</v>
      </c>
      <c r="B132">
        <v>-15.464270000000001</v>
      </c>
      <c r="C132">
        <v>30.423839999999998</v>
      </c>
      <c r="D132">
        <v>52780.7088</v>
      </c>
      <c r="E132" s="10" t="s">
        <v>406</v>
      </c>
      <c r="F132" s="10" t="s">
        <v>407</v>
      </c>
      <c r="G132" s="10" t="s">
        <v>408</v>
      </c>
      <c r="H132" s="10">
        <v>44.581631925039098</v>
      </c>
      <c r="I132" s="10">
        <v>-15.1277287014499</v>
      </c>
      <c r="J132" s="10">
        <v>30.659211278666501</v>
      </c>
      <c r="K132" s="4">
        <f t="shared" si="28"/>
        <v>44.581631925000003</v>
      </c>
      <c r="L132" s="4">
        <f t="shared" si="29"/>
        <v>-15.127728702777745</v>
      </c>
      <c r="M132" s="4">
        <f t="shared" si="30"/>
        <v>30.659211111111119</v>
      </c>
      <c r="N132" s="4">
        <f t="shared" si="31"/>
        <v>30.659211278666476</v>
      </c>
      <c r="O132" s="5">
        <f t="shared" si="19"/>
        <v>44.581631925043354</v>
      </c>
      <c r="P132" s="2">
        <f t="shared" si="20"/>
        <v>9.7237831898240259E-13</v>
      </c>
      <c r="Q132" s="2">
        <f t="shared" si="21"/>
        <v>9.5468712189796476E-14</v>
      </c>
      <c r="R132" s="6">
        <f t="shared" si="22"/>
        <v>-15.127728701447049</v>
      </c>
      <c r="S132" s="2">
        <f t="shared" si="23"/>
        <v>8.7964001727700009E-11</v>
      </c>
      <c r="T132" s="2">
        <f t="shared" si="24"/>
        <v>1.8846535283014073E-13</v>
      </c>
      <c r="U132" s="6">
        <f t="shared" si="25"/>
        <v>30.65921127866897</v>
      </c>
      <c r="V132" s="2">
        <f t="shared" si="26"/>
        <v>5.4651716136499679E-9</v>
      </c>
      <c r="W132" s="2">
        <f t="shared" si="27"/>
        <v>8.1346026153430402E-14</v>
      </c>
    </row>
    <row r="133" spans="1:23" x14ac:dyDescent="0.45">
      <c r="A133">
        <v>-8.7405799999999996</v>
      </c>
      <c r="B133">
        <v>-91.287660000000002</v>
      </c>
      <c r="C133">
        <v>111.05248</v>
      </c>
      <c r="D133">
        <v>873745.98479999998</v>
      </c>
      <c r="E133" s="10" t="s">
        <v>409</v>
      </c>
      <c r="F133" s="10" t="s">
        <v>410</v>
      </c>
      <c r="G133" s="10" t="s">
        <v>411</v>
      </c>
      <c r="H133" s="10">
        <v>-11.4974473122719</v>
      </c>
      <c r="I133" s="10">
        <v>-83.815776967837294</v>
      </c>
      <c r="J133" s="10">
        <v>109.73751937396401</v>
      </c>
      <c r="K133" s="4">
        <f t="shared" si="28"/>
        <v>-11.497447311111111</v>
      </c>
      <c r="L133" s="4">
        <f t="shared" si="29"/>
        <v>-83.815776966666647</v>
      </c>
      <c r="M133" s="4">
        <f t="shared" si="30"/>
        <v>109.73751944444444</v>
      </c>
      <c r="N133" s="4">
        <f t="shared" si="31"/>
        <v>109.73751937396401</v>
      </c>
      <c r="O133" s="5">
        <f t="shared" ref="O133:O196" si="32">vincentyDirLat(A133, $B133, $C133, $D133)</f>
        <v>-11.49744731228485</v>
      </c>
      <c r="P133" s="2">
        <f t="shared" ref="P133:P196" si="33">ABS((K133-O133)/K133)</f>
        <v>1.0208687267829036E-10</v>
      </c>
      <c r="Q133" s="2">
        <f t="shared" ref="Q133:Q196" si="34">ABS((H133-O133)/H133)</f>
        <v>1.1263057796669278E-12</v>
      </c>
      <c r="R133" s="6">
        <f t="shared" ref="R133:R196" si="35">VincentyDirLon($A133, $B133, $C133, $D133)</f>
        <v>-83.815776967812127</v>
      </c>
      <c r="S133" s="2">
        <f t="shared" ref="S133:S196" si="36">ABS((L133-R133)/L133)</f>
        <v>1.3666641253342168E-11</v>
      </c>
      <c r="T133" s="2">
        <f t="shared" ref="T133:T196" si="37">ABS((I133-R133)/I133)</f>
        <v>3.002707200373537E-13</v>
      </c>
      <c r="U133" s="6">
        <f t="shared" ref="U133:U196" si="38">VincentyDirRevAzimuth($A133, $B133, $C133, $D133)</f>
        <v>109.73751937395632</v>
      </c>
      <c r="V133" s="2">
        <f t="shared" ref="V133:V196" si="39">ABS((M133-U133)/M133)</f>
        <v>6.4233388627575366E-10</v>
      </c>
      <c r="W133" s="2">
        <f t="shared" ref="W133:W196" si="40">ABS((N133-U133)/N133)</f>
        <v>7.0058740572810261E-14</v>
      </c>
    </row>
    <row r="134" spans="1:23" x14ac:dyDescent="0.45">
      <c r="A134">
        <v>7.5902399999999997</v>
      </c>
      <c r="B134">
        <v>-126.13188</v>
      </c>
      <c r="C134">
        <v>183.72388000000001</v>
      </c>
      <c r="D134">
        <v>1467787.2390000001</v>
      </c>
      <c r="E134" s="10" t="s">
        <v>412</v>
      </c>
      <c r="F134" s="10" t="s">
        <v>413</v>
      </c>
      <c r="G134" s="10" t="s">
        <v>414</v>
      </c>
      <c r="H134" s="10">
        <v>-5.6556803130069104</v>
      </c>
      <c r="I134" s="10">
        <v>-126.984812340511</v>
      </c>
      <c r="J134" s="10">
        <v>-176.290616137695</v>
      </c>
      <c r="K134" s="4">
        <f t="shared" si="28"/>
        <v>-5.6556803138888885</v>
      </c>
      <c r="L134" s="4">
        <f t="shared" si="29"/>
        <v>-126.98481234166667</v>
      </c>
      <c r="M134" s="4">
        <f t="shared" si="30"/>
        <v>183.70938333333334</v>
      </c>
      <c r="N134" s="4">
        <f t="shared" si="31"/>
        <v>183.709383862305</v>
      </c>
      <c r="O134" s="5">
        <f t="shared" si="32"/>
        <v>-5.6556803130829092</v>
      </c>
      <c r="P134" s="2">
        <f t="shared" si="33"/>
        <v>1.4250792806206556E-10</v>
      </c>
      <c r="Q134" s="2">
        <f t="shared" si="34"/>
        <v>1.3437598773696415E-11</v>
      </c>
      <c r="R134" s="6">
        <f t="shared" si="35"/>
        <v>-126.98481234051781</v>
      </c>
      <c r="S134" s="2">
        <f t="shared" si="36"/>
        <v>9.0472420867516796E-12</v>
      </c>
      <c r="T134" s="2">
        <f t="shared" si="37"/>
        <v>5.3604831027577733E-14</v>
      </c>
      <c r="U134" s="6">
        <f t="shared" si="38"/>
        <v>183.70938386230509</v>
      </c>
      <c r="V134" s="2">
        <f t="shared" si="39"/>
        <v>2.8793943124333167E-9</v>
      </c>
      <c r="W134" s="2">
        <f t="shared" si="40"/>
        <v>4.6413050056887937E-16</v>
      </c>
    </row>
    <row r="135" spans="1:23" x14ac:dyDescent="0.4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10" t="s">
        <v>415</v>
      </c>
      <c r="F135" s="10" t="s">
        <v>416</v>
      </c>
      <c r="G135" s="10" t="s">
        <v>417</v>
      </c>
      <c r="H135" s="10">
        <v>33.937653897908199</v>
      </c>
      <c r="I135" s="10">
        <v>101.634104700169</v>
      </c>
      <c r="J135" s="10">
        <v>-60.137235036209802</v>
      </c>
      <c r="K135" s="4">
        <f t="shared" si="28"/>
        <v>33.937653897222219</v>
      </c>
      <c r="L135" s="4">
        <f t="shared" si="29"/>
        <v>101.63410469999997</v>
      </c>
      <c r="M135" s="4">
        <f t="shared" si="30"/>
        <v>299.86276388888888</v>
      </c>
      <c r="N135" s="4">
        <f t="shared" si="31"/>
        <v>299.8627649637902</v>
      </c>
      <c r="O135" s="5">
        <f t="shared" si="32"/>
        <v>33.937653897946959</v>
      </c>
      <c r="P135" s="2">
        <f t="shared" si="33"/>
        <v>2.1355023002338608E-11</v>
      </c>
      <c r="Q135" s="2">
        <f t="shared" si="34"/>
        <v>1.1420973987274501E-12</v>
      </c>
      <c r="R135" s="6">
        <f t="shared" si="35"/>
        <v>101.6341047001154</v>
      </c>
      <c r="S135" s="2">
        <f t="shared" si="36"/>
        <v>1.1357877672295363E-12</v>
      </c>
      <c r="T135" s="2">
        <f t="shared" si="37"/>
        <v>5.2741492773392652E-13</v>
      </c>
      <c r="U135" s="6">
        <f t="shared" si="38"/>
        <v>299.86276496374478</v>
      </c>
      <c r="V135" s="2">
        <f t="shared" si="39"/>
        <v>3.5844927463535343E-9</v>
      </c>
      <c r="W135" s="2">
        <f t="shared" si="40"/>
        <v>1.5146225866112461E-13</v>
      </c>
    </row>
    <row r="136" spans="1:23" x14ac:dyDescent="0.4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10" t="s">
        <v>418</v>
      </c>
      <c r="F136" s="10" t="s">
        <v>419</v>
      </c>
      <c r="G136" s="10" t="s">
        <v>420</v>
      </c>
      <c r="H136" s="10">
        <v>-26.934268160666999</v>
      </c>
      <c r="I136" s="10">
        <v>-96.133920305452904</v>
      </c>
      <c r="J136" s="10">
        <v>-74.7371100010362</v>
      </c>
      <c r="K136" s="4">
        <f t="shared" si="28"/>
        <v>-26.93426816111111</v>
      </c>
      <c r="L136" s="4">
        <f t="shared" si="29"/>
        <v>-96.133920305555534</v>
      </c>
      <c r="M136" s="4">
        <f t="shared" si="30"/>
        <v>285.26288888888888</v>
      </c>
      <c r="N136" s="4">
        <f t="shared" si="31"/>
        <v>285.26288999896383</v>
      </c>
      <c r="O136" s="5">
        <f t="shared" si="32"/>
        <v>-26.934268160663013</v>
      </c>
      <c r="P136" s="2">
        <f t="shared" si="33"/>
        <v>1.6636675190110843E-11</v>
      </c>
      <c r="Q136" s="2">
        <f t="shared" si="34"/>
        <v>1.4799528703866032E-13</v>
      </c>
      <c r="R136" s="6">
        <f t="shared" si="35"/>
        <v>-96.133920305464514</v>
      </c>
      <c r="S136" s="2">
        <f t="shared" si="36"/>
        <v>9.468096605398583E-13</v>
      </c>
      <c r="T136" s="2">
        <f t="shared" si="37"/>
        <v>1.2077181774580641E-13</v>
      </c>
      <c r="U136" s="6">
        <f t="shared" si="38"/>
        <v>285.26288999897082</v>
      </c>
      <c r="V136" s="2">
        <f t="shared" si="39"/>
        <v>3.8914348220455896E-9</v>
      </c>
      <c r="W136" s="2">
        <f t="shared" si="40"/>
        <v>2.4509814507960648E-14</v>
      </c>
    </row>
    <row r="137" spans="1:23" x14ac:dyDescent="0.45">
      <c r="A137">
        <v>36.551279999999998</v>
      </c>
      <c r="B137">
        <v>-105.62241</v>
      </c>
      <c r="C137">
        <v>356.37335000000002</v>
      </c>
      <c r="D137">
        <v>2618918.1118000001</v>
      </c>
      <c r="E137" s="10" t="s">
        <v>421</v>
      </c>
      <c r="F137" s="10" t="s">
        <v>422</v>
      </c>
      <c r="G137" s="10" t="s">
        <v>423</v>
      </c>
      <c r="H137" s="10">
        <v>60.0301845351675</v>
      </c>
      <c r="I137" s="10">
        <v>-108.51240576522601</v>
      </c>
      <c r="J137" s="10">
        <v>-5.8304931340633601</v>
      </c>
      <c r="K137" s="4">
        <f t="shared" si="28"/>
        <v>60.030184536111108</v>
      </c>
      <c r="L137" s="4">
        <f t="shared" si="29"/>
        <v>-108.51240576388886</v>
      </c>
      <c r="M137" s="4">
        <f t="shared" si="30"/>
        <v>354.16950555555559</v>
      </c>
      <c r="N137" s="4">
        <f t="shared" si="31"/>
        <v>354.16950686593663</v>
      </c>
      <c r="O137" s="5">
        <f t="shared" si="32"/>
        <v>60.030184535244054</v>
      </c>
      <c r="P137" s="2">
        <f t="shared" si="33"/>
        <v>1.4443633496485453E-11</v>
      </c>
      <c r="Q137" s="2">
        <f t="shared" si="34"/>
        <v>1.2752563555080463E-12</v>
      </c>
      <c r="R137" s="6">
        <f t="shared" si="35"/>
        <v>-108.51240576523786</v>
      </c>
      <c r="S137" s="2">
        <f t="shared" si="36"/>
        <v>1.2431701205530765E-11</v>
      </c>
      <c r="T137" s="2">
        <f t="shared" si="37"/>
        <v>1.0922117843484885E-13</v>
      </c>
      <c r="U137" s="6">
        <f t="shared" si="38"/>
        <v>354.16950686592253</v>
      </c>
      <c r="V137" s="2">
        <f t="shared" si="39"/>
        <v>3.6998299394314475E-9</v>
      </c>
      <c r="W137" s="2">
        <f t="shared" si="40"/>
        <v>3.9803448925422518E-14</v>
      </c>
    </row>
    <row r="138" spans="1:23" x14ac:dyDescent="0.45">
      <c r="A138">
        <v>87.715130000000002</v>
      </c>
      <c r="B138">
        <v>-55.234169999999999</v>
      </c>
      <c r="C138">
        <v>208.72172</v>
      </c>
      <c r="D138">
        <v>1139643.1462999999</v>
      </c>
      <c r="E138" s="10" t="s">
        <v>424</v>
      </c>
      <c r="F138" s="10" t="s">
        <v>425</v>
      </c>
      <c r="G138" s="10" t="s">
        <v>426</v>
      </c>
      <c r="H138" s="10">
        <v>77.742364814194801</v>
      </c>
      <c r="I138" s="10">
        <v>-78.875889229646404</v>
      </c>
      <c r="J138" s="10">
        <v>-174.82179518935999</v>
      </c>
      <c r="K138" s="4">
        <f t="shared" si="28"/>
        <v>77.742364813888884</v>
      </c>
      <c r="L138" s="4">
        <f t="shared" si="29"/>
        <v>-78.875889230555572</v>
      </c>
      <c r="M138" s="4">
        <f t="shared" si="30"/>
        <v>185.17820555555556</v>
      </c>
      <c r="N138" s="4">
        <f t="shared" si="31"/>
        <v>185.17820481064001</v>
      </c>
      <c r="O138" s="5">
        <f t="shared" si="32"/>
        <v>77.742364814195653</v>
      </c>
      <c r="P138" s="2">
        <f t="shared" si="33"/>
        <v>3.945978765521941E-12</v>
      </c>
      <c r="Q138" s="2">
        <f t="shared" si="34"/>
        <v>1.0967653028692492E-14</v>
      </c>
      <c r="R138" s="6">
        <f t="shared" si="35"/>
        <v>-78.875889229644741</v>
      </c>
      <c r="S138" s="2">
        <f t="shared" si="36"/>
        <v>1.1547641883995552E-11</v>
      </c>
      <c r="T138" s="2">
        <f t="shared" si="37"/>
        <v>2.1079572197757245E-14</v>
      </c>
      <c r="U138" s="6">
        <f t="shared" si="38"/>
        <v>185.17820481064047</v>
      </c>
      <c r="V138" s="2">
        <f t="shared" si="39"/>
        <v>4.0226931471720354E-9</v>
      </c>
      <c r="W138" s="2">
        <f t="shared" si="40"/>
        <v>2.4557282610633404E-15</v>
      </c>
    </row>
    <row r="139" spans="1:23" x14ac:dyDescent="0.45">
      <c r="A139">
        <v>20.04429</v>
      </c>
      <c r="B139">
        <v>39.647959999999998</v>
      </c>
      <c r="C139">
        <v>32.218359999999997</v>
      </c>
      <c r="D139">
        <v>1149778.3717</v>
      </c>
      <c r="E139" s="10" t="s">
        <v>427</v>
      </c>
      <c r="F139" s="10" t="s">
        <v>428</v>
      </c>
      <c r="G139" s="10" t="s">
        <v>429</v>
      </c>
      <c r="H139" s="10">
        <v>28.708348311838702</v>
      </c>
      <c r="I139" s="10">
        <v>45.899948855913401</v>
      </c>
      <c r="J139" s="10">
        <v>34.808292763081198</v>
      </c>
      <c r="K139" s="4">
        <f t="shared" si="28"/>
        <v>28.708348311111109</v>
      </c>
      <c r="L139" s="4">
        <f t="shared" si="29"/>
        <v>45.899948855555522</v>
      </c>
      <c r="M139" s="4">
        <f t="shared" si="30"/>
        <v>34.808291666666662</v>
      </c>
      <c r="N139" s="4">
        <f t="shared" si="31"/>
        <v>34.808292763081226</v>
      </c>
      <c r="O139" s="5">
        <f t="shared" si="32"/>
        <v>28.708348311889459</v>
      </c>
      <c r="P139" s="2">
        <f t="shared" si="33"/>
        <v>2.7112316619498399E-11</v>
      </c>
      <c r="Q139" s="2">
        <f t="shared" si="34"/>
        <v>1.7680439075657798E-12</v>
      </c>
      <c r="R139" s="6">
        <f t="shared" si="35"/>
        <v>45.899948855934554</v>
      </c>
      <c r="S139" s="2">
        <f t="shared" si="36"/>
        <v>8.2577851700153153E-12</v>
      </c>
      <c r="T139" s="2">
        <f t="shared" si="37"/>
        <v>4.6084707653989054E-13</v>
      </c>
      <c r="U139" s="6">
        <f t="shared" si="38"/>
        <v>34.808292763100482</v>
      </c>
      <c r="V139" s="2">
        <f t="shared" si="39"/>
        <v>3.1499213770096714E-8</v>
      </c>
      <c r="W139" s="2">
        <f t="shared" si="40"/>
        <v>5.5319312182762167E-13</v>
      </c>
    </row>
    <row r="140" spans="1:23" x14ac:dyDescent="0.45">
      <c r="A140">
        <v>-39.779949999999999</v>
      </c>
      <c r="B140">
        <v>89.824470000000005</v>
      </c>
      <c r="C140">
        <v>12.89039</v>
      </c>
      <c r="D140">
        <v>617458.06770000001</v>
      </c>
      <c r="E140" s="10" t="s">
        <v>430</v>
      </c>
      <c r="F140" s="10" t="s">
        <v>431</v>
      </c>
      <c r="G140" s="10" t="s">
        <v>432</v>
      </c>
      <c r="H140" s="10">
        <v>-34.346461404681399</v>
      </c>
      <c r="I140" s="10">
        <v>91.319413798633207</v>
      </c>
      <c r="J140" s="10">
        <v>11.9883444820933</v>
      </c>
      <c r="K140" s="4">
        <f t="shared" si="28"/>
        <v>-34.346461405555559</v>
      </c>
      <c r="L140" s="4">
        <f t="shared" si="29"/>
        <v>91.319413797222182</v>
      </c>
      <c r="M140" s="4">
        <f t="shared" si="30"/>
        <v>11.988344444444465</v>
      </c>
      <c r="N140" s="4">
        <f t="shared" si="31"/>
        <v>11.988344482093282</v>
      </c>
      <c r="O140" s="5">
        <f t="shared" si="32"/>
        <v>-34.346461404656651</v>
      </c>
      <c r="P140" s="2">
        <f t="shared" si="33"/>
        <v>2.6171767868485687E-11</v>
      </c>
      <c r="Q140" s="2">
        <f t="shared" si="34"/>
        <v>7.2054594489175317E-13</v>
      </c>
      <c r="R140" s="6">
        <f t="shared" si="35"/>
        <v>91.31941379863477</v>
      </c>
      <c r="S140" s="2">
        <f t="shared" si="36"/>
        <v>1.5468642664934393E-11</v>
      </c>
      <c r="T140" s="2">
        <f t="shared" si="37"/>
        <v>1.7117871804556163E-14</v>
      </c>
      <c r="U140" s="6">
        <f t="shared" si="38"/>
        <v>11.988344482089696</v>
      </c>
      <c r="V140" s="2">
        <f t="shared" si="39"/>
        <v>3.1401525962970765E-9</v>
      </c>
      <c r="W140" s="2">
        <f t="shared" si="40"/>
        <v>2.9916261282832891E-13</v>
      </c>
    </row>
    <row r="141" spans="1:23" x14ac:dyDescent="0.4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10" t="s">
        <v>433</v>
      </c>
      <c r="F141" s="10" t="s">
        <v>434</v>
      </c>
      <c r="G141" s="10" t="s">
        <v>435</v>
      </c>
      <c r="H141" s="10">
        <v>67.933493752033996</v>
      </c>
      <c r="I141" s="10">
        <v>-116.721726016563</v>
      </c>
      <c r="J141" s="10">
        <v>-169.754529529302</v>
      </c>
      <c r="K141" s="4">
        <f t="shared" si="28"/>
        <v>67.933493752777778</v>
      </c>
      <c r="L141" s="4">
        <f t="shared" si="29"/>
        <v>-116.72172601666665</v>
      </c>
      <c r="M141" s="4">
        <f t="shared" si="30"/>
        <v>190.24546944444444</v>
      </c>
      <c r="N141" s="4">
        <f t="shared" si="31"/>
        <v>190.245470470698</v>
      </c>
      <c r="O141" s="5">
        <f t="shared" si="32"/>
        <v>67.933493752024859</v>
      </c>
      <c r="P141" s="2">
        <f t="shared" si="33"/>
        <v>1.1083185376286435E-11</v>
      </c>
      <c r="Q141" s="2">
        <f t="shared" si="34"/>
        <v>1.3450772332169799E-13</v>
      </c>
      <c r="R141" s="6">
        <f t="shared" si="35"/>
        <v>-116.72172601655915</v>
      </c>
      <c r="S141" s="2">
        <f t="shared" si="36"/>
        <v>9.2103775011990948E-13</v>
      </c>
      <c r="T141" s="2">
        <f t="shared" si="37"/>
        <v>3.2994214181456327E-14</v>
      </c>
      <c r="U141" s="6">
        <f t="shared" si="38"/>
        <v>190.24547047069441</v>
      </c>
      <c r="V141" s="2">
        <f t="shared" si="39"/>
        <v>5.3943464654544435E-9</v>
      </c>
      <c r="W141" s="2">
        <f t="shared" si="40"/>
        <v>1.8823761634747982E-14</v>
      </c>
    </row>
    <row r="142" spans="1:23" x14ac:dyDescent="0.4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10" t="s">
        <v>436</v>
      </c>
      <c r="F142" s="10" t="s">
        <v>437</v>
      </c>
      <c r="G142" s="10" t="s">
        <v>438</v>
      </c>
      <c r="H142" s="10">
        <v>56.924744139908299</v>
      </c>
      <c r="I142" s="10">
        <v>-52.941221433568501</v>
      </c>
      <c r="J142" s="10">
        <v>-18.846162121024101</v>
      </c>
      <c r="K142" s="4">
        <f t="shared" si="28"/>
        <v>56.92474413888889</v>
      </c>
      <c r="L142" s="4">
        <f t="shared" si="29"/>
        <v>-52.94122143333334</v>
      </c>
      <c r="M142" s="4">
        <f t="shared" si="30"/>
        <v>341.15383888888891</v>
      </c>
      <c r="N142" s="4">
        <f t="shared" si="31"/>
        <v>341.15383787897588</v>
      </c>
      <c r="O142" s="5">
        <f t="shared" si="32"/>
        <v>56.924744139946739</v>
      </c>
      <c r="P142" s="2">
        <f t="shared" si="33"/>
        <v>1.8583288086306849E-11</v>
      </c>
      <c r="Q142" s="2">
        <f t="shared" si="34"/>
        <v>6.7528387848601662E-13</v>
      </c>
      <c r="R142" s="6">
        <f t="shared" si="35"/>
        <v>-52.941221433585639</v>
      </c>
      <c r="S142" s="2">
        <f t="shared" si="36"/>
        <v>4.7656534508068831E-12</v>
      </c>
      <c r="T142" s="2">
        <f t="shared" si="37"/>
        <v>3.2372299547412255E-13</v>
      </c>
      <c r="U142" s="6">
        <f t="shared" si="38"/>
        <v>341.15383787895519</v>
      </c>
      <c r="V142" s="2">
        <f t="shared" si="39"/>
        <v>2.9603469486697156E-9</v>
      </c>
      <c r="W142" s="2">
        <f t="shared" si="40"/>
        <v>6.0650070929802176E-14</v>
      </c>
    </row>
    <row r="143" spans="1:23" x14ac:dyDescent="0.45">
      <c r="A143">
        <v>63.401179999999997</v>
      </c>
      <c r="B143">
        <v>167.19977</v>
      </c>
      <c r="C143">
        <v>94.497129999999999</v>
      </c>
      <c r="D143">
        <v>2044625.3829000001</v>
      </c>
      <c r="E143" s="10" t="s">
        <v>439</v>
      </c>
      <c r="F143" s="10" t="s">
        <v>440</v>
      </c>
      <c r="G143" s="10" t="s">
        <v>441</v>
      </c>
      <c r="H143" s="10">
        <v>56.898772356683899</v>
      </c>
      <c r="I143" s="10">
        <v>-157.776975453212</v>
      </c>
      <c r="J143" s="10">
        <v>125.154483322715</v>
      </c>
      <c r="K143" s="4">
        <f t="shared" si="28"/>
        <v>56.898772355555558</v>
      </c>
      <c r="L143" s="4">
        <f t="shared" si="29"/>
        <v>-157.77697545277783</v>
      </c>
      <c r="M143" s="4">
        <f t="shared" si="30"/>
        <v>125.15448333333336</v>
      </c>
      <c r="N143" s="4">
        <f t="shared" si="31"/>
        <v>125.15448332271501</v>
      </c>
      <c r="O143" s="5">
        <f t="shared" si="32"/>
        <v>56.89877235667894</v>
      </c>
      <c r="P143" s="2">
        <f t="shared" si="33"/>
        <v>1.9743523973971072E-11</v>
      </c>
      <c r="Q143" s="2">
        <f t="shared" si="34"/>
        <v>8.7165119565587544E-14</v>
      </c>
      <c r="R143" s="6">
        <f t="shared" si="35"/>
        <v>-157.77697545325074</v>
      </c>
      <c r="S143" s="2">
        <f t="shared" si="36"/>
        <v>2.997324684767027E-12</v>
      </c>
      <c r="T143" s="2">
        <f t="shared" si="37"/>
        <v>2.4552879051182259E-13</v>
      </c>
      <c r="U143" s="6">
        <f t="shared" si="38"/>
        <v>125.15448332272514</v>
      </c>
      <c r="V143" s="2">
        <f t="shared" si="39"/>
        <v>8.4760993144235443E-11</v>
      </c>
      <c r="W143" s="2">
        <f t="shared" si="40"/>
        <v>8.095866119164468E-14</v>
      </c>
    </row>
    <row r="144" spans="1:23" x14ac:dyDescent="0.45">
      <c r="A144">
        <v>16.416530000000002</v>
      </c>
      <c r="B144">
        <v>-30.20589</v>
      </c>
      <c r="C144">
        <v>159.85739000000001</v>
      </c>
      <c r="D144">
        <v>81952.523000000001</v>
      </c>
      <c r="E144" s="10" t="s">
        <v>442</v>
      </c>
      <c r="F144" s="10" t="s">
        <v>443</v>
      </c>
      <c r="G144" s="10" t="s">
        <v>444</v>
      </c>
      <c r="H144" s="10">
        <v>15.7210785073568</v>
      </c>
      <c r="I144" s="10">
        <v>-29.9425955261359</v>
      </c>
      <c r="J144" s="10">
        <v>159.930269138743</v>
      </c>
      <c r="K144" s="4">
        <f t="shared" si="28"/>
        <v>15.721078508333333</v>
      </c>
      <c r="L144" s="4">
        <f t="shared" si="29"/>
        <v>-29.942595525000002</v>
      </c>
      <c r="M144" s="4">
        <f t="shared" si="30"/>
        <v>159.93026944444443</v>
      </c>
      <c r="N144" s="4">
        <f t="shared" si="31"/>
        <v>159.93026913874303</v>
      </c>
      <c r="O144" s="5">
        <f t="shared" si="32"/>
        <v>15.721078507353878</v>
      </c>
      <c r="P144" s="2">
        <f t="shared" si="33"/>
        <v>6.2302006762238626E-11</v>
      </c>
      <c r="Q144" s="2">
        <f t="shared" si="34"/>
        <v>1.8587191708545883E-13</v>
      </c>
      <c r="R144" s="6">
        <f t="shared" si="35"/>
        <v>-29.942595526135275</v>
      </c>
      <c r="S144" s="2">
        <f t="shared" si="36"/>
        <v>3.7914989962259755E-11</v>
      </c>
      <c r="T144" s="2">
        <f t="shared" si="37"/>
        <v>2.0882545299825596E-14</v>
      </c>
      <c r="U144" s="6">
        <f t="shared" si="38"/>
        <v>159.93026913874343</v>
      </c>
      <c r="V144" s="2">
        <f t="shared" si="39"/>
        <v>1.9114643443107316E-9</v>
      </c>
      <c r="W144" s="2">
        <f t="shared" si="40"/>
        <v>2.4879838830288322E-15</v>
      </c>
    </row>
    <row r="145" spans="1:23" x14ac:dyDescent="0.45">
      <c r="A145">
        <v>89.181359999999998</v>
      </c>
      <c r="B145">
        <v>-12.85374</v>
      </c>
      <c r="C145">
        <v>333.07477</v>
      </c>
      <c r="D145">
        <v>1367935.1714999999</v>
      </c>
      <c r="E145" s="10" t="s">
        <v>445</v>
      </c>
      <c r="F145" s="10" t="s">
        <v>446</v>
      </c>
      <c r="G145" s="10" t="s">
        <v>447</v>
      </c>
      <c r="H145" s="10">
        <v>78.475295806145795</v>
      </c>
      <c r="I145" s="10">
        <v>-164.112291003021</v>
      </c>
      <c r="J145" s="10">
        <v>-178.14403308407401</v>
      </c>
      <c r="K145" s="4">
        <f t="shared" si="28"/>
        <v>78.475295805555561</v>
      </c>
      <c r="L145" s="4">
        <f t="shared" si="29"/>
        <v>-164.11229100277774</v>
      </c>
      <c r="M145" s="4">
        <f t="shared" si="30"/>
        <v>181.85596666666666</v>
      </c>
      <c r="N145" s="4">
        <f t="shared" si="31"/>
        <v>181.85596691592599</v>
      </c>
      <c r="O145" s="5">
        <f t="shared" si="32"/>
        <v>78.475295806148679</v>
      </c>
      <c r="P145" s="2">
        <f t="shared" si="33"/>
        <v>7.5580274933655862E-12</v>
      </c>
      <c r="Q145" s="2">
        <f t="shared" si="34"/>
        <v>3.6760657956769161E-14</v>
      </c>
      <c r="R145" s="6">
        <f t="shared" si="35"/>
        <v>-164.11229100301992</v>
      </c>
      <c r="S145" s="2">
        <f t="shared" si="36"/>
        <v>1.4757053513583173E-12</v>
      </c>
      <c r="T145" s="2">
        <f t="shared" si="37"/>
        <v>6.581012011680899E-15</v>
      </c>
      <c r="U145" s="6">
        <f t="shared" si="38"/>
        <v>181.85596691592684</v>
      </c>
      <c r="V145" s="2">
        <f t="shared" si="39"/>
        <v>1.3706461593818327E-9</v>
      </c>
      <c r="W145" s="2">
        <f t="shared" si="40"/>
        <v>4.6886076787698163E-15</v>
      </c>
    </row>
    <row r="146" spans="1:23" x14ac:dyDescent="0.4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10" t="s">
        <v>448</v>
      </c>
      <c r="F146" s="10" t="s">
        <v>449</v>
      </c>
      <c r="G146" s="10" t="s">
        <v>450</v>
      </c>
      <c r="H146" s="10">
        <v>44.514594745390099</v>
      </c>
      <c r="I146" s="10">
        <v>-133.59527850453699</v>
      </c>
      <c r="J146" s="10">
        <v>132.16314509988601</v>
      </c>
      <c r="K146" s="4">
        <f t="shared" si="28"/>
        <v>44.514594744444445</v>
      </c>
      <c r="L146" s="4">
        <f t="shared" si="29"/>
        <v>-133.5952785055556</v>
      </c>
      <c r="M146" s="4">
        <f t="shared" si="30"/>
        <v>132.16314444444447</v>
      </c>
      <c r="N146" s="4">
        <f t="shared" si="31"/>
        <v>132.16314509988604</v>
      </c>
      <c r="O146" s="5">
        <f t="shared" si="32"/>
        <v>44.514594745379419</v>
      </c>
      <c r="P146" s="2">
        <f t="shared" si="33"/>
        <v>2.1003780212869919E-11</v>
      </c>
      <c r="Q146" s="2">
        <f t="shared" si="34"/>
        <v>2.3990912148156226E-13</v>
      </c>
      <c r="R146" s="6">
        <f t="shared" si="35"/>
        <v>-133.59527850453321</v>
      </c>
      <c r="S146" s="2">
        <f t="shared" si="36"/>
        <v>7.6528582676518529E-12</v>
      </c>
      <c r="T146" s="2">
        <f t="shared" si="37"/>
        <v>2.8295066985584812E-14</v>
      </c>
      <c r="U146" s="6">
        <f t="shared" si="38"/>
        <v>132.16314509989709</v>
      </c>
      <c r="V146" s="2">
        <f t="shared" si="39"/>
        <v>4.9594206197770034E-9</v>
      </c>
      <c r="W146" s="2">
        <f t="shared" si="40"/>
        <v>8.3654523808972922E-14</v>
      </c>
    </row>
    <row r="147" spans="1:23" x14ac:dyDescent="0.45">
      <c r="A147">
        <v>-77.300409999999999</v>
      </c>
      <c r="B147">
        <v>-174.85292000000001</v>
      </c>
      <c r="C147">
        <v>347.72064999999998</v>
      </c>
      <c r="D147">
        <v>2549616.412</v>
      </c>
      <c r="E147" s="10" t="s">
        <v>451</v>
      </c>
      <c r="F147" s="10" t="s">
        <v>452</v>
      </c>
      <c r="G147" s="10" t="s">
        <v>453</v>
      </c>
      <c r="H147" s="10">
        <v>-54.6264954467104</v>
      </c>
      <c r="I147" s="10">
        <v>176.94433725082601</v>
      </c>
      <c r="J147" s="10">
        <v>-4.6370049678043896</v>
      </c>
      <c r="K147" s="4">
        <f t="shared" si="28"/>
        <v>-54.626495447222226</v>
      </c>
      <c r="L147" s="4">
        <f t="shared" si="29"/>
        <v>176.94433724999999</v>
      </c>
      <c r="M147" s="4">
        <f t="shared" si="30"/>
        <v>355.36299444444444</v>
      </c>
      <c r="N147" s="4">
        <f t="shared" si="31"/>
        <v>355.36299503219561</v>
      </c>
      <c r="O147" s="5">
        <f t="shared" si="32"/>
        <v>-54.626495446668208</v>
      </c>
      <c r="P147" s="2">
        <f t="shared" si="33"/>
        <v>1.014191505356179E-11</v>
      </c>
      <c r="Q147" s="2">
        <f t="shared" si="34"/>
        <v>7.7237295390099099E-13</v>
      </c>
      <c r="R147" s="6">
        <f t="shared" si="35"/>
        <v>176.94433725082283</v>
      </c>
      <c r="S147" s="2">
        <f t="shared" si="36"/>
        <v>4.6502585078891894E-12</v>
      </c>
      <c r="T147" s="2">
        <f t="shared" si="37"/>
        <v>1.7990015988434177E-14</v>
      </c>
      <c r="U147" s="6">
        <f t="shared" si="38"/>
        <v>355.36299503220022</v>
      </c>
      <c r="V147" s="2">
        <f t="shared" si="39"/>
        <v>1.6539588743293449E-9</v>
      </c>
      <c r="W147" s="2">
        <f t="shared" si="40"/>
        <v>1.295665838056183E-14</v>
      </c>
    </row>
    <row r="148" spans="1:23" x14ac:dyDescent="0.4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10" t="s">
        <v>454</v>
      </c>
      <c r="F148" s="10" t="s">
        <v>455</v>
      </c>
      <c r="G148" s="10" t="s">
        <v>456</v>
      </c>
      <c r="H148" s="10">
        <v>14.0851997651883</v>
      </c>
      <c r="I148" s="10">
        <v>145.860219615011</v>
      </c>
      <c r="J148" s="10">
        <v>-67.2013815096293</v>
      </c>
      <c r="K148" s="4">
        <f t="shared" si="28"/>
        <v>14.085199766666667</v>
      </c>
      <c r="L148" s="4">
        <f t="shared" si="29"/>
        <v>145.86021961388883</v>
      </c>
      <c r="M148" s="4">
        <f t="shared" si="30"/>
        <v>292.79861944444445</v>
      </c>
      <c r="N148" s="4">
        <f t="shared" si="31"/>
        <v>292.7986184903707</v>
      </c>
      <c r="O148" s="5">
        <f t="shared" si="32"/>
        <v>14.085199765198881</v>
      </c>
      <c r="P148" s="2">
        <f t="shared" si="33"/>
        <v>1.0420767309964762E-10</v>
      </c>
      <c r="Q148" s="2">
        <f t="shared" si="34"/>
        <v>7.5126784630063985E-13</v>
      </c>
      <c r="R148" s="6">
        <f t="shared" si="35"/>
        <v>145.86021961500114</v>
      </c>
      <c r="S148" s="2">
        <f t="shared" si="36"/>
        <v>7.6258764947202691E-12</v>
      </c>
      <c r="T148" s="2">
        <f t="shared" si="37"/>
        <v>6.7614961765320297E-14</v>
      </c>
      <c r="U148" s="6">
        <f t="shared" si="38"/>
        <v>292.79861849036411</v>
      </c>
      <c r="V148" s="2">
        <f t="shared" si="39"/>
        <v>3.2584865009180817E-9</v>
      </c>
      <c r="W148" s="2">
        <f t="shared" si="40"/>
        <v>2.2520039957328495E-14</v>
      </c>
    </row>
    <row r="149" spans="1:23" x14ac:dyDescent="0.45">
      <c r="A149">
        <v>40.893459999999997</v>
      </c>
      <c r="B149">
        <v>13.135</v>
      </c>
      <c r="C149">
        <v>250.38964000000001</v>
      </c>
      <c r="D149">
        <v>436314.18910000002</v>
      </c>
      <c r="E149" s="10" t="s">
        <v>457</v>
      </c>
      <c r="F149" s="10" t="s">
        <v>458</v>
      </c>
      <c r="G149" s="10" t="s">
        <v>459</v>
      </c>
      <c r="H149" s="10">
        <v>39.474522618517</v>
      </c>
      <c r="I149" s="10">
        <v>8.3565214977774591</v>
      </c>
      <c r="J149" s="10">
        <v>-112.69493025035899</v>
      </c>
      <c r="K149" s="4">
        <f t="shared" si="28"/>
        <v>39.474522619444443</v>
      </c>
      <c r="L149" s="4">
        <f t="shared" si="29"/>
        <v>8.3565214972222748</v>
      </c>
      <c r="M149" s="4">
        <f t="shared" si="30"/>
        <v>247.30506944444443</v>
      </c>
      <c r="N149" s="4">
        <f t="shared" si="31"/>
        <v>247.30506974964101</v>
      </c>
      <c r="O149" s="5">
        <f t="shared" si="32"/>
        <v>39.474522618510697</v>
      </c>
      <c r="P149" s="2">
        <f t="shared" si="33"/>
        <v>2.3654384230209135E-11</v>
      </c>
      <c r="Q149" s="2">
        <f t="shared" si="34"/>
        <v>1.5966029854495716E-13</v>
      </c>
      <c r="R149" s="6">
        <f t="shared" si="35"/>
        <v>8.3565214977832518</v>
      </c>
      <c r="S149" s="2">
        <f t="shared" si="36"/>
        <v>6.713044928834897E-11</v>
      </c>
      <c r="T149" s="2">
        <f t="shared" si="37"/>
        <v>6.9319508779159743E-13</v>
      </c>
      <c r="U149" s="6">
        <f t="shared" si="38"/>
        <v>247.30506974962876</v>
      </c>
      <c r="V149" s="2">
        <f t="shared" si="39"/>
        <v>1.2340399250565547E-9</v>
      </c>
      <c r="W149" s="2">
        <f t="shared" si="40"/>
        <v>4.9532978749304061E-14</v>
      </c>
    </row>
    <row r="150" spans="1:23" x14ac:dyDescent="0.4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10" t="s">
        <v>460</v>
      </c>
      <c r="F150" s="10" t="s">
        <v>461</v>
      </c>
      <c r="G150" s="10" t="s">
        <v>462</v>
      </c>
      <c r="H150" s="10">
        <v>5.0075780038229398</v>
      </c>
      <c r="I150" s="10">
        <v>66.982615500982803</v>
      </c>
      <c r="J150" s="10">
        <v>-41.922366679555402</v>
      </c>
      <c r="K150" s="4">
        <f t="shared" si="28"/>
        <v>5.0075780027777776</v>
      </c>
      <c r="L150" s="4">
        <f t="shared" si="29"/>
        <v>66.982615499999952</v>
      </c>
      <c r="M150" s="4">
        <f t="shared" si="30"/>
        <v>318.07763333333332</v>
      </c>
      <c r="N150" s="4">
        <f t="shared" si="31"/>
        <v>318.07763332044459</v>
      </c>
      <c r="O150" s="5">
        <f t="shared" si="32"/>
        <v>5.007578003832875</v>
      </c>
      <c r="P150" s="2">
        <f t="shared" si="33"/>
        <v>2.1070013132951108E-10</v>
      </c>
      <c r="Q150" s="2">
        <f t="shared" si="34"/>
        <v>1.9840257695797827E-12</v>
      </c>
      <c r="R150" s="6">
        <f t="shared" si="35"/>
        <v>66.982615500973679</v>
      </c>
      <c r="S150" s="2">
        <f t="shared" si="36"/>
        <v>1.4537022148465403E-11</v>
      </c>
      <c r="T150" s="2">
        <f t="shared" si="37"/>
        <v>1.3620502363073332E-13</v>
      </c>
      <c r="U150" s="6">
        <f t="shared" si="38"/>
        <v>318.07763332044345</v>
      </c>
      <c r="V150" s="2">
        <f t="shared" si="39"/>
        <v>4.0524290781513671E-11</v>
      </c>
      <c r="W150" s="2">
        <f t="shared" si="40"/>
        <v>3.5741852243688946E-15</v>
      </c>
    </row>
    <row r="151" spans="1:23" x14ac:dyDescent="0.45">
      <c r="A151">
        <v>-76.697630000000004</v>
      </c>
      <c r="B151">
        <v>144.84648999999999</v>
      </c>
      <c r="C151">
        <v>343.57542999999998</v>
      </c>
      <c r="D151">
        <v>1297329.2392</v>
      </c>
      <c r="E151" s="10" t="s">
        <v>463</v>
      </c>
      <c r="F151" s="10" t="s">
        <v>464</v>
      </c>
      <c r="G151" s="10" t="s">
        <v>465</v>
      </c>
      <c r="H151" s="10">
        <v>-65.328464754560301</v>
      </c>
      <c r="I151" s="10">
        <v>137.00339050228101</v>
      </c>
      <c r="J151" s="10">
        <v>-8.9703957214385603</v>
      </c>
      <c r="K151" s="4">
        <f t="shared" si="28"/>
        <v>-65.328464755555558</v>
      </c>
      <c r="L151" s="4">
        <f t="shared" si="29"/>
        <v>137.00339050277785</v>
      </c>
      <c r="M151" s="4">
        <f t="shared" si="30"/>
        <v>351.02960555555558</v>
      </c>
      <c r="N151" s="4">
        <f t="shared" si="31"/>
        <v>351.02960427856146</v>
      </c>
      <c r="O151" s="5">
        <f t="shared" si="32"/>
        <v>-65.328464754562674</v>
      </c>
      <c r="P151" s="2">
        <f t="shared" si="33"/>
        <v>1.5198336604983488E-11</v>
      </c>
      <c r="Q151" s="2">
        <f t="shared" si="34"/>
        <v>3.6327391839911115E-14</v>
      </c>
      <c r="R151" s="6">
        <f t="shared" si="35"/>
        <v>137.00339050228368</v>
      </c>
      <c r="S151" s="2">
        <f t="shared" si="36"/>
        <v>3.6069783386595447E-12</v>
      </c>
      <c r="T151" s="2">
        <f t="shared" si="37"/>
        <v>1.9500544305241086E-14</v>
      </c>
      <c r="U151" s="6">
        <f t="shared" si="38"/>
        <v>351.02960427856038</v>
      </c>
      <c r="V151" s="2">
        <f t="shared" si="39"/>
        <v>3.6378561011553563E-9</v>
      </c>
      <c r="W151" s="2">
        <f t="shared" si="40"/>
        <v>3.0767346833183124E-15</v>
      </c>
    </row>
    <row r="152" spans="1:23" x14ac:dyDescent="0.4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10" t="s">
        <v>466</v>
      </c>
      <c r="F152" s="10" t="s">
        <v>467</v>
      </c>
      <c r="G152" s="10" t="s">
        <v>468</v>
      </c>
      <c r="H152" s="10">
        <v>-61.750881403453299</v>
      </c>
      <c r="I152" s="10">
        <v>74.554906230293199</v>
      </c>
      <c r="J152" s="10">
        <v>-9.5960891758476698</v>
      </c>
      <c r="K152" s="4">
        <f t="shared" si="28"/>
        <v>-61.750881402777779</v>
      </c>
      <c r="L152" s="4">
        <f t="shared" si="29"/>
        <v>74.554906230555616</v>
      </c>
      <c r="M152" s="4">
        <f t="shared" si="30"/>
        <v>350.40391111111114</v>
      </c>
      <c r="N152" s="4">
        <f t="shared" si="31"/>
        <v>350.40391082415232</v>
      </c>
      <c r="O152" s="5">
        <f t="shared" si="32"/>
        <v>-61.750881403446662</v>
      </c>
      <c r="P152" s="2">
        <f t="shared" si="33"/>
        <v>1.083196870988139E-11</v>
      </c>
      <c r="Q152" s="2">
        <f t="shared" si="34"/>
        <v>1.0747165062534968E-13</v>
      </c>
      <c r="R152" s="6">
        <f t="shared" si="35"/>
        <v>74.554906230291493</v>
      </c>
      <c r="S152" s="2">
        <f t="shared" si="36"/>
        <v>3.5426635092258513E-12</v>
      </c>
      <c r="T152" s="2">
        <f t="shared" si="37"/>
        <v>2.2873109927289277E-14</v>
      </c>
      <c r="U152" s="6">
        <f t="shared" si="38"/>
        <v>350.40391082415408</v>
      </c>
      <c r="V152" s="2">
        <f t="shared" si="39"/>
        <v>8.1893224270826205E-10</v>
      </c>
      <c r="W152" s="2">
        <f t="shared" si="40"/>
        <v>5.02889930805986E-15</v>
      </c>
    </row>
    <row r="153" spans="1:23" x14ac:dyDescent="0.4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10" t="s">
        <v>469</v>
      </c>
      <c r="F153" s="10" t="s">
        <v>470</v>
      </c>
      <c r="G153" s="10" t="s">
        <v>471</v>
      </c>
      <c r="H153" s="10">
        <v>75.077068506839097</v>
      </c>
      <c r="I153" s="10">
        <v>-120.178533743439</v>
      </c>
      <c r="J153" s="10">
        <v>78.855576823296005</v>
      </c>
      <c r="K153" s="4">
        <f t="shared" si="28"/>
        <v>75.077068505555559</v>
      </c>
      <c r="L153" s="4">
        <f t="shared" si="29"/>
        <v>-120.17853374444445</v>
      </c>
      <c r="M153" s="4">
        <f t="shared" si="30"/>
        <v>78.855577777777796</v>
      </c>
      <c r="N153" s="4">
        <f t="shared" si="31"/>
        <v>78.855576823296019</v>
      </c>
      <c r="O153" s="5">
        <f t="shared" si="32"/>
        <v>75.077068506842664</v>
      </c>
      <c r="P153" s="2">
        <f t="shared" si="33"/>
        <v>1.714379049269928E-11</v>
      </c>
      <c r="Q153" s="2">
        <f t="shared" si="34"/>
        <v>4.7510173272026148E-14</v>
      </c>
      <c r="R153" s="6">
        <f t="shared" si="35"/>
        <v>-120.17853374338949</v>
      </c>
      <c r="S153" s="2">
        <f t="shared" si="36"/>
        <v>8.7782483091453423E-12</v>
      </c>
      <c r="T153" s="2">
        <f t="shared" si="37"/>
        <v>4.1197555241821005E-13</v>
      </c>
      <c r="U153" s="6">
        <f t="shared" si="38"/>
        <v>78.855576823364814</v>
      </c>
      <c r="V153" s="2">
        <f t="shared" si="39"/>
        <v>1.210330339742249E-8</v>
      </c>
      <c r="W153" s="2">
        <f t="shared" si="40"/>
        <v>8.7241448794993928E-13</v>
      </c>
    </row>
    <row r="154" spans="1:23" x14ac:dyDescent="0.4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10" t="s">
        <v>472</v>
      </c>
      <c r="F154" s="10" t="s">
        <v>473</v>
      </c>
      <c r="G154" s="10" t="s">
        <v>474</v>
      </c>
      <c r="H154" s="10">
        <v>-18.4665668843333</v>
      </c>
      <c r="I154" s="10">
        <v>164.70068887905799</v>
      </c>
      <c r="J154" s="10">
        <v>-108.36586280752</v>
      </c>
      <c r="K154" s="4">
        <f t="shared" si="28"/>
        <v>-18.466566883333332</v>
      </c>
      <c r="L154" s="4">
        <f t="shared" si="29"/>
        <v>164.70068888055562</v>
      </c>
      <c r="M154" s="4">
        <f t="shared" si="30"/>
        <v>251.6341361111111</v>
      </c>
      <c r="N154" s="4">
        <f t="shared" si="31"/>
        <v>251.63413719248001</v>
      </c>
      <c r="O154" s="5">
        <f t="shared" si="32"/>
        <v>-18.466566884350531</v>
      </c>
      <c r="P154" s="2">
        <f t="shared" si="33"/>
        <v>5.5083263504571535E-11</v>
      </c>
      <c r="Q154" s="2">
        <f t="shared" si="34"/>
        <v>9.3307334547390124E-13</v>
      </c>
      <c r="R154" s="6">
        <f t="shared" si="35"/>
        <v>164.70068887903304</v>
      </c>
      <c r="S154" s="2">
        <f t="shared" si="36"/>
        <v>9.2445235429487448E-12</v>
      </c>
      <c r="T154" s="2">
        <f t="shared" si="37"/>
        <v>1.51512789956932E-13</v>
      </c>
      <c r="U154" s="6">
        <f t="shared" si="38"/>
        <v>251.63413719249661</v>
      </c>
      <c r="V154" s="2">
        <f t="shared" si="39"/>
        <v>4.2974515393582813E-9</v>
      </c>
      <c r="W154" s="2">
        <f t="shared" si="40"/>
        <v>6.5961949728067232E-14</v>
      </c>
    </row>
    <row r="155" spans="1:23" x14ac:dyDescent="0.45">
      <c r="A155">
        <v>34.470559999999999</v>
      </c>
      <c r="B155">
        <v>149.87987000000001</v>
      </c>
      <c r="C155">
        <v>123.46666</v>
      </c>
      <c r="D155">
        <v>1885709.7080000001</v>
      </c>
      <c r="E155" s="10" t="s">
        <v>475</v>
      </c>
      <c r="F155" s="10" t="s">
        <v>476</v>
      </c>
      <c r="G155" s="10" t="s">
        <v>477</v>
      </c>
      <c r="H155" s="10">
        <v>24.096584982019099</v>
      </c>
      <c r="I155" s="10">
        <v>165.31280125311801</v>
      </c>
      <c r="J155" s="10">
        <v>131.081664240165</v>
      </c>
      <c r="K155" s="4">
        <f t="shared" si="28"/>
        <v>24.096584980555555</v>
      </c>
      <c r="L155" s="4">
        <f t="shared" si="29"/>
        <v>165.31280125277772</v>
      </c>
      <c r="M155" s="4">
        <f t="shared" si="30"/>
        <v>131.0816638888889</v>
      </c>
      <c r="N155" s="4">
        <f t="shared" si="31"/>
        <v>131.08166424016497</v>
      </c>
      <c r="O155" s="5">
        <f t="shared" si="32"/>
        <v>24.096584981958937</v>
      </c>
      <c r="P155" s="2">
        <f t="shared" si="33"/>
        <v>5.8239883385599239E-11</v>
      </c>
      <c r="Q155" s="2">
        <f t="shared" si="34"/>
        <v>2.4966879531560337E-12</v>
      </c>
      <c r="R155" s="6">
        <f t="shared" si="35"/>
        <v>165.31280125312878</v>
      </c>
      <c r="S155" s="2">
        <f t="shared" si="36"/>
        <v>2.1236404696061094E-12</v>
      </c>
      <c r="T155" s="2">
        <f t="shared" si="37"/>
        <v>6.5160276714625861E-14</v>
      </c>
      <c r="U155" s="6">
        <f t="shared" si="38"/>
        <v>131.08166424019583</v>
      </c>
      <c r="V155" s="2">
        <f t="shared" si="39"/>
        <v>2.6800616264394184E-9</v>
      </c>
      <c r="W155" s="2">
        <f t="shared" si="40"/>
        <v>2.3547135001938016E-13</v>
      </c>
    </row>
    <row r="156" spans="1:23" x14ac:dyDescent="0.45">
      <c r="A156">
        <v>70.729879999999994</v>
      </c>
      <c r="B156">
        <v>38.88579</v>
      </c>
      <c r="C156">
        <v>191.17984999999999</v>
      </c>
      <c r="D156">
        <v>1874375.6106</v>
      </c>
      <c r="E156" s="10" t="s">
        <v>478</v>
      </c>
      <c r="F156" s="10" t="s">
        <v>479</v>
      </c>
      <c r="G156" s="10" t="s">
        <v>480</v>
      </c>
      <c r="H156" s="10">
        <v>54.088231745474097</v>
      </c>
      <c r="I156" s="10">
        <v>33.402959267444103</v>
      </c>
      <c r="J156" s="10">
        <v>-173.73193965705099</v>
      </c>
      <c r="K156" s="4">
        <f t="shared" si="28"/>
        <v>54.088231744444442</v>
      </c>
      <c r="L156" s="4">
        <f t="shared" si="29"/>
        <v>33.402959266666699</v>
      </c>
      <c r="M156" s="4">
        <f t="shared" si="30"/>
        <v>186.26806111111111</v>
      </c>
      <c r="N156" s="4">
        <f t="shared" si="31"/>
        <v>186.26806034294901</v>
      </c>
      <c r="O156" s="5">
        <f t="shared" si="32"/>
        <v>54.088231745435969</v>
      </c>
      <c r="P156" s="2">
        <f t="shared" si="33"/>
        <v>1.8331656048605701E-11</v>
      </c>
      <c r="Q156" s="2">
        <f t="shared" si="34"/>
        <v>7.0491716904902081E-13</v>
      </c>
      <c r="R156" s="6">
        <f t="shared" si="35"/>
        <v>33.402959267439293</v>
      </c>
      <c r="S156" s="2">
        <f t="shared" si="36"/>
        <v>2.3129520552540176E-11</v>
      </c>
      <c r="T156" s="2">
        <f t="shared" si="37"/>
        <v>1.4401042382446238E-13</v>
      </c>
      <c r="U156" s="6">
        <f t="shared" si="38"/>
        <v>186.26806034294353</v>
      </c>
      <c r="V156" s="2">
        <f t="shared" si="39"/>
        <v>4.1239897839585429E-9</v>
      </c>
      <c r="W156" s="2">
        <f t="shared" si="40"/>
        <v>2.9448902350561341E-14</v>
      </c>
    </row>
    <row r="157" spans="1:23" x14ac:dyDescent="0.45">
      <c r="A157">
        <v>-4.0652499999999998</v>
      </c>
      <c r="B157">
        <v>-141.67541</v>
      </c>
      <c r="C157">
        <v>353.87957</v>
      </c>
      <c r="D157">
        <v>1483495.4898999999</v>
      </c>
      <c r="E157" s="10" t="s">
        <v>481</v>
      </c>
      <c r="F157" s="10" t="s">
        <v>482</v>
      </c>
      <c r="G157" s="10" t="s">
        <v>483</v>
      </c>
      <c r="H157" s="10">
        <v>9.27355893460674</v>
      </c>
      <c r="I157" s="10">
        <v>-143.102068264857</v>
      </c>
      <c r="J157" s="10">
        <v>-6.1856978073190003</v>
      </c>
      <c r="K157" s="4">
        <f t="shared" si="28"/>
        <v>9.2735589361111117</v>
      </c>
      <c r="L157" s="4">
        <f t="shared" si="29"/>
        <v>-143.1020682638889</v>
      </c>
      <c r="M157" s="4">
        <f t="shared" si="30"/>
        <v>353.81430277777781</v>
      </c>
      <c r="N157" s="4">
        <f t="shared" si="31"/>
        <v>353.814302192681</v>
      </c>
      <c r="O157" s="5">
        <f t="shared" si="32"/>
        <v>9.2735589346841554</v>
      </c>
      <c r="P157" s="2">
        <f t="shared" si="33"/>
        <v>1.5387364664474927E-10</v>
      </c>
      <c r="Q157" s="2">
        <f t="shared" si="34"/>
        <v>8.3479716863615569E-12</v>
      </c>
      <c r="R157" s="6">
        <f t="shared" si="35"/>
        <v>-143.10206826486754</v>
      </c>
      <c r="S157" s="2">
        <f t="shared" si="36"/>
        <v>6.8387880950289336E-12</v>
      </c>
      <c r="T157" s="2">
        <f t="shared" si="37"/>
        <v>7.3684848350087703E-14</v>
      </c>
      <c r="U157" s="6">
        <f t="shared" si="38"/>
        <v>353.81430219267924</v>
      </c>
      <c r="V157" s="2">
        <f t="shared" si="39"/>
        <v>1.653688308296167E-9</v>
      </c>
      <c r="W157" s="2">
        <f t="shared" si="40"/>
        <v>4.9804260985623328E-15</v>
      </c>
    </row>
    <row r="158" spans="1:23" x14ac:dyDescent="0.45">
      <c r="A158">
        <v>79.544569999999993</v>
      </c>
      <c r="B158">
        <v>116.16714</v>
      </c>
      <c r="C158">
        <v>38.644680000000001</v>
      </c>
      <c r="D158">
        <v>2689115.5479000001</v>
      </c>
      <c r="E158" s="10" t="s">
        <v>484</v>
      </c>
      <c r="F158" s="10" t="s">
        <v>485</v>
      </c>
      <c r="G158" s="10" t="s">
        <v>486</v>
      </c>
      <c r="H158" s="10">
        <v>72.869929699639599</v>
      </c>
      <c r="I158" s="10">
        <v>-123.73502590267</v>
      </c>
      <c r="J158" s="10">
        <v>157.36716039212899</v>
      </c>
      <c r="K158" s="4">
        <f t="shared" si="28"/>
        <v>72.8699297</v>
      </c>
      <c r="L158" s="4">
        <f t="shared" si="29"/>
        <v>-123.73502590277781</v>
      </c>
      <c r="M158" s="4">
        <f t="shared" si="30"/>
        <v>157.36716111111105</v>
      </c>
      <c r="N158" s="4">
        <f t="shared" si="31"/>
        <v>157.36716039212899</v>
      </c>
      <c r="O158" s="5">
        <f t="shared" si="32"/>
        <v>72.869929699639485</v>
      </c>
      <c r="P158" s="2">
        <f t="shared" si="33"/>
        <v>4.9473791830755622E-12</v>
      </c>
      <c r="Q158" s="2">
        <f t="shared" si="34"/>
        <v>1.5601337642319464E-15</v>
      </c>
      <c r="R158" s="6">
        <f t="shared" si="35"/>
        <v>-123.73502590268471</v>
      </c>
      <c r="S158" s="2">
        <f t="shared" si="36"/>
        <v>7.5237636683760022E-13</v>
      </c>
      <c r="T158" s="2">
        <f t="shared" si="37"/>
        <v>1.1886880471341699E-13</v>
      </c>
      <c r="U158" s="6">
        <f t="shared" si="38"/>
        <v>157.3671603921288</v>
      </c>
      <c r="V158" s="2">
        <f t="shared" si="39"/>
        <v>4.5688201061783691E-9</v>
      </c>
      <c r="W158" s="2">
        <f t="shared" si="40"/>
        <v>1.2642533900788298E-15</v>
      </c>
    </row>
    <row r="159" spans="1:23" x14ac:dyDescent="0.45">
      <c r="A159">
        <v>19.886410000000001</v>
      </c>
      <c r="B159">
        <v>113.63709</v>
      </c>
      <c r="C159">
        <v>292.68759999999997</v>
      </c>
      <c r="D159">
        <v>1829661.7711</v>
      </c>
      <c r="E159" s="10" t="s">
        <v>487</v>
      </c>
      <c r="F159" s="10" t="s">
        <v>488</v>
      </c>
      <c r="G159" s="10" t="s">
        <v>489</v>
      </c>
      <c r="H159" s="10">
        <v>25.425447100970398</v>
      </c>
      <c r="I159" s="10">
        <v>96.846694714253999</v>
      </c>
      <c r="J159" s="10">
        <v>-73.827531120592198</v>
      </c>
      <c r="K159" s="4">
        <f t="shared" si="28"/>
        <v>25.4254471</v>
      </c>
      <c r="L159" s="4">
        <f t="shared" si="29"/>
        <v>96.846694713888837</v>
      </c>
      <c r="M159" s="4">
        <f t="shared" si="30"/>
        <v>286.17246944444446</v>
      </c>
      <c r="N159" s="4">
        <f t="shared" si="31"/>
        <v>286.1724688794078</v>
      </c>
      <c r="O159" s="5">
        <f t="shared" si="32"/>
        <v>25.42544710099811</v>
      </c>
      <c r="P159" s="2">
        <f t="shared" si="33"/>
        <v>3.9256341693328536E-11</v>
      </c>
      <c r="Q159" s="2">
        <f t="shared" si="34"/>
        <v>1.0898988947803506E-12</v>
      </c>
      <c r="R159" s="6">
        <f t="shared" si="35"/>
        <v>96.846694714234985</v>
      </c>
      <c r="S159" s="2">
        <f t="shared" si="36"/>
        <v>3.574184954638923E-12</v>
      </c>
      <c r="T159" s="2">
        <f t="shared" si="37"/>
        <v>1.9633218939522324E-13</v>
      </c>
      <c r="U159" s="6">
        <f t="shared" si="38"/>
        <v>286.17246887936221</v>
      </c>
      <c r="V159" s="2">
        <f t="shared" si="39"/>
        <v>1.9746212729047899E-9</v>
      </c>
      <c r="W159" s="2">
        <f t="shared" si="40"/>
        <v>1.593040102875125E-13</v>
      </c>
    </row>
    <row r="160" spans="1:23" x14ac:dyDescent="0.45">
      <c r="A160">
        <v>-10.59013</v>
      </c>
      <c r="B160">
        <v>-116.79353999999999</v>
      </c>
      <c r="C160">
        <v>151.79773</v>
      </c>
      <c r="D160">
        <v>734948.68389999995</v>
      </c>
      <c r="E160" s="10" t="s">
        <v>490</v>
      </c>
      <c r="F160" s="10" t="s">
        <v>491</v>
      </c>
      <c r="G160" s="10" t="s">
        <v>492</v>
      </c>
      <c r="H160" s="10">
        <v>-16.425147098399801</v>
      </c>
      <c r="I160" s="10">
        <v>-113.547065353631</v>
      </c>
      <c r="J160" s="10">
        <v>151.03825309845101</v>
      </c>
      <c r="K160" s="4">
        <f t="shared" si="28"/>
        <v>-16.4251471</v>
      </c>
      <c r="L160" s="4">
        <f t="shared" si="29"/>
        <v>-113.54706535277779</v>
      </c>
      <c r="M160" s="4">
        <f t="shared" si="30"/>
        <v>151.03825277777776</v>
      </c>
      <c r="N160" s="4">
        <f t="shared" si="31"/>
        <v>151.03825309845104</v>
      </c>
      <c r="O160" s="5">
        <f t="shared" si="32"/>
        <v>-16.425147098430859</v>
      </c>
      <c r="P160" s="2">
        <f t="shared" si="33"/>
        <v>9.5532858964199618E-11</v>
      </c>
      <c r="Q160" s="2">
        <f t="shared" si="34"/>
        <v>1.8908703096546241E-12</v>
      </c>
      <c r="R160" s="6">
        <f t="shared" si="35"/>
        <v>-113.54706535361683</v>
      </c>
      <c r="S160" s="2">
        <f t="shared" si="36"/>
        <v>7.3893348233013631E-12</v>
      </c>
      <c r="T160" s="2">
        <f t="shared" si="37"/>
        <v>1.2477840890850754E-13</v>
      </c>
      <c r="U160" s="6">
        <f t="shared" si="38"/>
        <v>151.03825309844621</v>
      </c>
      <c r="V160" s="2">
        <f t="shared" si="39"/>
        <v>2.1230942648092052E-9</v>
      </c>
      <c r="W160" s="2">
        <f t="shared" si="40"/>
        <v>3.1989846969557094E-14</v>
      </c>
    </row>
    <row r="161" spans="1:23" x14ac:dyDescent="0.45">
      <c r="A161">
        <v>-53.979939999999999</v>
      </c>
      <c r="B161">
        <v>176.4941</v>
      </c>
      <c r="C161">
        <v>351.76226000000003</v>
      </c>
      <c r="D161">
        <v>290204.74209999997</v>
      </c>
      <c r="E161" s="10" t="s">
        <v>493</v>
      </c>
      <c r="F161" s="10" t="s">
        <v>494</v>
      </c>
      <c r="G161" s="10" t="s">
        <v>495</v>
      </c>
      <c r="H161" s="10">
        <v>-51.397419338067699</v>
      </c>
      <c r="I161" s="10">
        <v>175.89683806748101</v>
      </c>
      <c r="J161" s="10">
        <v>-7.7625830470879897</v>
      </c>
      <c r="K161" s="4">
        <f t="shared" si="28"/>
        <v>-51.397419338888888</v>
      </c>
      <c r="L161" s="4">
        <f t="shared" si="29"/>
        <v>175.89683806666665</v>
      </c>
      <c r="M161" s="4">
        <f t="shared" si="30"/>
        <v>352.23741666666666</v>
      </c>
      <c r="N161" s="4">
        <f t="shared" si="31"/>
        <v>352.23741695291199</v>
      </c>
      <c r="O161" s="5">
        <f t="shared" si="32"/>
        <v>-51.397419338059997</v>
      </c>
      <c r="P161" s="2">
        <f t="shared" si="33"/>
        <v>1.6127088567677132E-11</v>
      </c>
      <c r="Q161" s="2">
        <f t="shared" si="34"/>
        <v>1.4985739274140482E-13</v>
      </c>
      <c r="R161" s="6">
        <f t="shared" si="35"/>
        <v>175.89683806747937</v>
      </c>
      <c r="S161" s="2">
        <f t="shared" si="36"/>
        <v>4.6204285994861039E-12</v>
      </c>
      <c r="T161" s="2">
        <f t="shared" si="37"/>
        <v>9.3717383727558428E-15</v>
      </c>
      <c r="U161" s="6">
        <f t="shared" si="38"/>
        <v>352.23741695291295</v>
      </c>
      <c r="V161" s="2">
        <f t="shared" si="39"/>
        <v>8.1265157284927816E-10</v>
      </c>
      <c r="W161" s="2">
        <f t="shared" si="40"/>
        <v>2.7434283642924817E-15</v>
      </c>
    </row>
    <row r="162" spans="1:23" x14ac:dyDescent="0.4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10" t="s">
        <v>496</v>
      </c>
      <c r="F162" s="10" t="s">
        <v>497</v>
      </c>
      <c r="G162" s="10" t="s">
        <v>498</v>
      </c>
      <c r="H162" s="10">
        <v>67.783943316787898</v>
      </c>
      <c r="I162" s="10">
        <v>21.752296001947201</v>
      </c>
      <c r="J162" s="10">
        <v>167.32228220945601</v>
      </c>
      <c r="K162" s="4">
        <f t="shared" si="28"/>
        <v>67.783943316666665</v>
      </c>
      <c r="L162" s="4">
        <f t="shared" si="29"/>
        <v>21.752296002777825</v>
      </c>
      <c r="M162" s="4">
        <f t="shared" si="30"/>
        <v>167.32228333333342</v>
      </c>
      <c r="N162" s="4">
        <f t="shared" si="31"/>
        <v>167.32228220945603</v>
      </c>
      <c r="O162" s="5">
        <f t="shared" si="32"/>
        <v>67.783943316831255</v>
      </c>
      <c r="P162" s="2">
        <f t="shared" si="33"/>
        <v>2.4281579273509204E-12</v>
      </c>
      <c r="Q162" s="2">
        <f t="shared" si="34"/>
        <v>6.3963994442535042E-13</v>
      </c>
      <c r="R162" s="6">
        <f t="shared" si="35"/>
        <v>21.752296001913511</v>
      </c>
      <c r="S162" s="2">
        <f t="shared" si="36"/>
        <v>3.973441892337466E-11</v>
      </c>
      <c r="T162" s="2">
        <f t="shared" si="37"/>
        <v>1.5488196654297684E-12</v>
      </c>
      <c r="U162" s="6">
        <f t="shared" si="38"/>
        <v>167.32228220943185</v>
      </c>
      <c r="V162" s="2">
        <f t="shared" si="39"/>
        <v>6.7169868038762078E-9</v>
      </c>
      <c r="W162" s="2">
        <f t="shared" si="40"/>
        <v>1.4455262267458431E-13</v>
      </c>
    </row>
    <row r="163" spans="1:23" x14ac:dyDescent="0.4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10" t="s">
        <v>499</v>
      </c>
      <c r="F163" s="10" t="s">
        <v>500</v>
      </c>
      <c r="G163" s="10" t="s">
        <v>501</v>
      </c>
      <c r="H163" s="10">
        <v>82.412224417826906</v>
      </c>
      <c r="I163" s="10">
        <v>-52.494110806558503</v>
      </c>
      <c r="J163" s="10">
        <v>-43.467843717914903</v>
      </c>
      <c r="K163" s="4">
        <f t="shared" si="28"/>
        <v>82.41222441666666</v>
      </c>
      <c r="L163" s="4">
        <f t="shared" si="29"/>
        <v>-52.494110805555579</v>
      </c>
      <c r="M163" s="4">
        <f t="shared" si="30"/>
        <v>316.53215555555556</v>
      </c>
      <c r="N163" s="4">
        <f t="shared" si="31"/>
        <v>316.53215628208511</v>
      </c>
      <c r="O163" s="5">
        <f t="shared" si="32"/>
        <v>82.412224417826664</v>
      </c>
      <c r="P163" s="2">
        <f t="shared" si="33"/>
        <v>1.4075625999701998E-11</v>
      </c>
      <c r="Q163" s="2">
        <f t="shared" si="34"/>
        <v>2.9314162051203653E-15</v>
      </c>
      <c r="R163" s="6">
        <f t="shared" si="35"/>
        <v>-52.494110806557607</v>
      </c>
      <c r="S163" s="2">
        <f t="shared" si="36"/>
        <v>1.9088401858307484E-11</v>
      </c>
      <c r="T163" s="2">
        <f t="shared" si="37"/>
        <v>1.7054938797932195E-14</v>
      </c>
      <c r="U163" s="6">
        <f t="shared" si="38"/>
        <v>316.53215628208557</v>
      </c>
      <c r="V163" s="2">
        <f t="shared" si="39"/>
        <v>2.2952802469087715E-9</v>
      </c>
      <c r="W163" s="2">
        <f t="shared" si="40"/>
        <v>1.4366545131711839E-15</v>
      </c>
    </row>
    <row r="164" spans="1:23" x14ac:dyDescent="0.45">
      <c r="A164">
        <v>-59.903570000000002</v>
      </c>
      <c r="B164">
        <v>108.36845</v>
      </c>
      <c r="C164">
        <v>145.06591</v>
      </c>
      <c r="D164">
        <v>1868677.4461000001</v>
      </c>
      <c r="E164" s="10" t="s">
        <v>502</v>
      </c>
      <c r="F164" s="10" t="s">
        <v>503</v>
      </c>
      <c r="G164" s="10" t="s">
        <v>504</v>
      </c>
      <c r="H164" s="10">
        <v>-71.261431280904006</v>
      </c>
      <c r="I164" s="10">
        <v>139.25196402509101</v>
      </c>
      <c r="J164" s="10">
        <v>116.69530837372599</v>
      </c>
      <c r="K164" s="4">
        <f t="shared" si="28"/>
        <v>-71.261431280555556</v>
      </c>
      <c r="L164" s="4">
        <f t="shared" si="29"/>
        <v>139.25196402500001</v>
      </c>
      <c r="M164" s="4">
        <f t="shared" si="30"/>
        <v>116.69530833333334</v>
      </c>
      <c r="N164" s="4">
        <f t="shared" si="31"/>
        <v>116.69530837372599</v>
      </c>
      <c r="O164" s="5">
        <f t="shared" si="32"/>
        <v>-71.261431280916</v>
      </c>
      <c r="P164" s="2">
        <f t="shared" si="33"/>
        <v>5.0580533188748154E-12</v>
      </c>
      <c r="Q164" s="2">
        <f t="shared" si="34"/>
        <v>1.683092966846503E-13</v>
      </c>
      <c r="R164" s="6">
        <f t="shared" si="35"/>
        <v>139.25196402514587</v>
      </c>
      <c r="S164" s="2">
        <f t="shared" si="36"/>
        <v>1.0474553362180728E-12</v>
      </c>
      <c r="T164" s="2">
        <f t="shared" si="37"/>
        <v>3.9391831623140284E-13</v>
      </c>
      <c r="U164" s="6">
        <f t="shared" si="38"/>
        <v>116.69530837365524</v>
      </c>
      <c r="V164" s="2">
        <f t="shared" si="39"/>
        <v>3.4553140101049943E-10</v>
      </c>
      <c r="W164" s="2">
        <f t="shared" si="40"/>
        <v>6.0632982262139934E-13</v>
      </c>
    </row>
    <row r="165" spans="1:23" x14ac:dyDescent="0.45">
      <c r="A165">
        <v>-89.752740000000003</v>
      </c>
      <c r="B165">
        <v>10.639889999999999</v>
      </c>
      <c r="C165">
        <v>279.07071000000002</v>
      </c>
      <c r="D165">
        <v>1326845.2703</v>
      </c>
      <c r="E165" s="10" t="s">
        <v>505</v>
      </c>
      <c r="F165" s="10" t="s">
        <v>506</v>
      </c>
      <c r="G165" s="10" t="s">
        <v>507</v>
      </c>
      <c r="H165" s="10">
        <v>-78.077538653448798</v>
      </c>
      <c r="I165" s="10">
        <v>-69.132647612605595</v>
      </c>
      <c r="J165" s="10">
        <v>-1.1821588711737601</v>
      </c>
      <c r="K165" s="4">
        <f t="shared" si="28"/>
        <v>-78.077538652777775</v>
      </c>
      <c r="L165" s="4">
        <f t="shared" si="29"/>
        <v>-69.132647613888878</v>
      </c>
      <c r="M165" s="4">
        <f t="shared" si="30"/>
        <v>358.81784166666671</v>
      </c>
      <c r="N165" s="4">
        <f t="shared" si="31"/>
        <v>358.81784112882622</v>
      </c>
      <c r="O165" s="5">
        <f t="shared" si="32"/>
        <v>-78.077538653450944</v>
      </c>
      <c r="P165" s="2">
        <f t="shared" si="33"/>
        <v>8.6217905875951889E-12</v>
      </c>
      <c r="Q165" s="2">
        <f t="shared" si="34"/>
        <v>2.7483436325009175E-14</v>
      </c>
      <c r="R165" s="6">
        <f t="shared" si="35"/>
        <v>-69.132647612604927</v>
      </c>
      <c r="S165" s="2">
        <f t="shared" si="36"/>
        <v>1.8572277611722089E-11</v>
      </c>
      <c r="T165" s="2">
        <f t="shared" si="37"/>
        <v>9.6612844246501558E-15</v>
      </c>
      <c r="U165" s="6">
        <f t="shared" si="38"/>
        <v>358.81784112882553</v>
      </c>
      <c r="V165" s="2">
        <f t="shared" si="39"/>
        <v>1.498925392800486E-9</v>
      </c>
      <c r="W165" s="2">
        <f t="shared" si="40"/>
        <v>1.9010231603416692E-15</v>
      </c>
    </row>
    <row r="166" spans="1:23" x14ac:dyDescent="0.45">
      <c r="A166">
        <v>87.834500000000006</v>
      </c>
      <c r="B166">
        <v>160.72366</v>
      </c>
      <c r="C166">
        <v>295.68838</v>
      </c>
      <c r="D166">
        <v>2618896.7393999998</v>
      </c>
      <c r="E166" s="10" t="s">
        <v>508</v>
      </c>
      <c r="F166" s="10" t="s">
        <v>509</v>
      </c>
      <c r="G166" s="10" t="s">
        <v>510</v>
      </c>
      <c r="H166" s="10">
        <v>67.400454967998598</v>
      </c>
      <c r="I166" s="10">
        <v>49.716939323144999</v>
      </c>
      <c r="J166" s="10">
        <v>-174.91387868047801</v>
      </c>
      <c r="K166" s="4">
        <f t="shared" si="28"/>
        <v>67.400454969444439</v>
      </c>
      <c r="L166" s="4">
        <f t="shared" si="29"/>
        <v>49.716939322222174</v>
      </c>
      <c r="M166" s="4">
        <f t="shared" si="30"/>
        <v>185.08612222222223</v>
      </c>
      <c r="N166" s="4">
        <f t="shared" si="31"/>
        <v>185.08612131952199</v>
      </c>
      <c r="O166" s="5">
        <f t="shared" si="32"/>
        <v>67.400454967987187</v>
      </c>
      <c r="P166" s="2">
        <f t="shared" si="33"/>
        <v>2.1620805043987095E-11</v>
      </c>
      <c r="Q166" s="2">
        <f t="shared" si="34"/>
        <v>1.6930622117796157E-13</v>
      </c>
      <c r="R166" s="6">
        <f t="shared" si="35"/>
        <v>49.716939323146462</v>
      </c>
      <c r="S166" s="2">
        <f t="shared" si="36"/>
        <v>1.8591011718179539E-11</v>
      </c>
      <c r="T166" s="2">
        <f t="shared" si="37"/>
        <v>2.9441032686104908E-14</v>
      </c>
      <c r="U166" s="6">
        <f t="shared" si="38"/>
        <v>185.08612131951995</v>
      </c>
      <c r="V166" s="2">
        <f t="shared" si="39"/>
        <v>4.8772013366699729E-9</v>
      </c>
      <c r="W166" s="2">
        <f t="shared" si="40"/>
        <v>1.1056275124250756E-14</v>
      </c>
    </row>
    <row r="167" spans="1:23" x14ac:dyDescent="0.45">
      <c r="A167">
        <v>-46.257820000000002</v>
      </c>
      <c r="B167">
        <v>128.56489999999999</v>
      </c>
      <c r="C167">
        <v>346.95398</v>
      </c>
      <c r="D167">
        <v>870222.554</v>
      </c>
      <c r="E167" s="10" t="s">
        <v>511</v>
      </c>
      <c r="F167" s="10" t="s">
        <v>512</v>
      </c>
      <c r="G167" s="10" t="s">
        <v>513</v>
      </c>
      <c r="H167" s="10">
        <v>-38.601950997436703</v>
      </c>
      <c r="I167" s="10">
        <v>126.316245122601</v>
      </c>
      <c r="J167" s="10">
        <v>-11.525373924079799</v>
      </c>
      <c r="K167" s="4">
        <f t="shared" si="28"/>
        <v>-38.601950997222225</v>
      </c>
      <c r="L167" s="4">
        <f t="shared" si="29"/>
        <v>126.3162451222222</v>
      </c>
      <c r="M167" s="4">
        <f t="shared" si="30"/>
        <v>348.474625</v>
      </c>
      <c r="N167" s="4">
        <f t="shared" si="31"/>
        <v>348.47462607592018</v>
      </c>
      <c r="O167" s="5">
        <f t="shared" si="32"/>
        <v>-38.601950997407123</v>
      </c>
      <c r="P167" s="2">
        <f t="shared" si="33"/>
        <v>4.7898467803556972E-12</v>
      </c>
      <c r="Q167" s="2">
        <f t="shared" si="34"/>
        <v>7.662797689074621E-13</v>
      </c>
      <c r="R167" s="6">
        <f t="shared" si="35"/>
        <v>126.31624512259894</v>
      </c>
      <c r="S167" s="2">
        <f t="shared" si="36"/>
        <v>2.9825456653670084E-12</v>
      </c>
      <c r="T167" s="2">
        <f t="shared" si="37"/>
        <v>1.6312818131225503E-14</v>
      </c>
      <c r="U167" s="6">
        <f t="shared" si="38"/>
        <v>348.47462607592462</v>
      </c>
      <c r="V167" s="2">
        <f t="shared" si="39"/>
        <v>3.087526430882153E-9</v>
      </c>
      <c r="W167" s="2">
        <f t="shared" si="40"/>
        <v>1.2723413239783665E-14</v>
      </c>
    </row>
    <row r="168" spans="1:23" x14ac:dyDescent="0.4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10" t="s">
        <v>514</v>
      </c>
      <c r="F168" s="10" t="s">
        <v>515</v>
      </c>
      <c r="G168" s="10" t="s">
        <v>516</v>
      </c>
      <c r="H168" s="10">
        <v>56.631323198368598</v>
      </c>
      <c r="I168" s="10">
        <v>77.568442970676202</v>
      </c>
      <c r="J168" s="10">
        <v>-88.1723603611523</v>
      </c>
      <c r="K168" s="4">
        <f t="shared" si="28"/>
        <v>56.631323197222223</v>
      </c>
      <c r="L168" s="4">
        <f t="shared" si="29"/>
        <v>77.568442969444504</v>
      </c>
      <c r="M168" s="4">
        <f t="shared" si="30"/>
        <v>271.82763888888888</v>
      </c>
      <c r="N168" s="4">
        <f t="shared" si="31"/>
        <v>271.8276396388477</v>
      </c>
      <c r="O168" s="5">
        <f t="shared" si="32"/>
        <v>56.631323198368513</v>
      </c>
      <c r="P168" s="2">
        <f t="shared" si="33"/>
        <v>2.0241274778276148E-11</v>
      </c>
      <c r="Q168" s="2">
        <f t="shared" si="34"/>
        <v>1.5056178008157204E-15</v>
      </c>
      <c r="R168" s="6">
        <f t="shared" si="35"/>
        <v>77.568442970683421</v>
      </c>
      <c r="S168" s="2">
        <f t="shared" si="36"/>
        <v>1.5971914318482011E-11</v>
      </c>
      <c r="T168" s="2">
        <f t="shared" si="37"/>
        <v>9.306766925889843E-14</v>
      </c>
      <c r="U168" s="6">
        <f t="shared" si="38"/>
        <v>271.82763963884719</v>
      </c>
      <c r="V168" s="2">
        <f t="shared" si="39"/>
        <v>2.7589479367300374E-9</v>
      </c>
      <c r="W168" s="2">
        <f t="shared" si="40"/>
        <v>1.8820410258021429E-15</v>
      </c>
    </row>
    <row r="169" spans="1:23" x14ac:dyDescent="0.4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10" t="s">
        <v>517</v>
      </c>
      <c r="F169" s="10" t="s">
        <v>518</v>
      </c>
      <c r="G169" s="10" t="s">
        <v>519</v>
      </c>
      <c r="H169" s="10">
        <v>37.750741355019997</v>
      </c>
      <c r="I169" s="10">
        <v>8.9077156504208705</v>
      </c>
      <c r="J169" s="10">
        <v>-77.905782513220302</v>
      </c>
      <c r="K169" s="4">
        <f t="shared" si="28"/>
        <v>37.750741355555554</v>
      </c>
      <c r="L169" s="4">
        <f t="shared" si="29"/>
        <v>8.9077156500000001</v>
      </c>
      <c r="M169" s="4">
        <f t="shared" si="30"/>
        <v>282.09421666666668</v>
      </c>
      <c r="N169" s="4">
        <f t="shared" si="31"/>
        <v>282.09421748677971</v>
      </c>
      <c r="O169" s="5">
        <f t="shared" si="32"/>
        <v>37.750741355045889</v>
      </c>
      <c r="P169" s="2">
        <f t="shared" si="33"/>
        <v>1.3500799736171482E-11</v>
      </c>
      <c r="Q169" s="2">
        <f t="shared" si="34"/>
        <v>6.8587202162733094E-13</v>
      </c>
      <c r="R169" s="6">
        <f t="shared" si="35"/>
        <v>8.9077156504382788</v>
      </c>
      <c r="S169" s="2">
        <f t="shared" si="36"/>
        <v>4.9202148322772784E-11</v>
      </c>
      <c r="T169" s="2">
        <f t="shared" si="37"/>
        <v>1.9542941994673964E-12</v>
      </c>
      <c r="U169" s="6">
        <f t="shared" si="38"/>
        <v>282.09421748668575</v>
      </c>
      <c r="V169" s="2">
        <f t="shared" si="39"/>
        <v>2.9068978352322065E-9</v>
      </c>
      <c r="W169" s="2">
        <f t="shared" si="40"/>
        <v>3.3308790309152357E-13</v>
      </c>
    </row>
    <row r="170" spans="1:23" x14ac:dyDescent="0.45">
      <c r="A170">
        <v>57.864229999999999</v>
      </c>
      <c r="B170">
        <v>-127.27303000000001</v>
      </c>
      <c r="C170">
        <v>287.40098</v>
      </c>
      <c r="D170">
        <v>2605914.9846000001</v>
      </c>
      <c r="E170" s="10" t="s">
        <v>520</v>
      </c>
      <c r="F170" s="10" t="s">
        <v>521</v>
      </c>
      <c r="G170" s="10" t="s">
        <v>522</v>
      </c>
      <c r="H170" s="10">
        <v>57.189154326735398</v>
      </c>
      <c r="I170" s="10">
        <v>-171.54663093782801</v>
      </c>
      <c r="J170" s="10">
        <v>-110.48490582655801</v>
      </c>
      <c r="K170" s="4">
        <f t="shared" ref="K170:K233" si="41">ConvertDecimal(E170)</f>
        <v>57.189154327777779</v>
      </c>
      <c r="L170" s="4">
        <f t="shared" ref="L170:L233" si="42">MOD(ConvertDecimal(F170)+3*180, 360) - 180</f>
        <v>-171.54663093611111</v>
      </c>
      <c r="M170" s="4">
        <f t="shared" ref="M170:M233" si="43">MOD(ConvertDecimal(G170)+180, 360)</f>
        <v>249.51509444444446</v>
      </c>
      <c r="N170" s="4">
        <f t="shared" ref="N170:N233" si="44">MOD(J170+360, 360)</f>
        <v>249.51509417344198</v>
      </c>
      <c r="O170" s="5">
        <f t="shared" si="32"/>
        <v>57.189154326734815</v>
      </c>
      <c r="P170" s="2">
        <f t="shared" si="33"/>
        <v>1.82370776682655E-11</v>
      </c>
      <c r="Q170" s="2">
        <f t="shared" si="34"/>
        <v>1.0188033905773302E-14</v>
      </c>
      <c r="R170" s="6">
        <f t="shared" si="35"/>
        <v>-171.54663093774062</v>
      </c>
      <c r="S170" s="2">
        <f t="shared" si="36"/>
        <v>9.4988858590888111E-12</v>
      </c>
      <c r="T170" s="2">
        <f t="shared" si="37"/>
        <v>5.0946355530681737E-13</v>
      </c>
      <c r="U170" s="6">
        <f t="shared" si="38"/>
        <v>249.5150941734403</v>
      </c>
      <c r="V170" s="2">
        <f t="shared" si="39"/>
        <v>1.0861232857757596E-9</v>
      </c>
      <c r="W170" s="2">
        <f t="shared" si="40"/>
        <v>6.7205587780120807E-15</v>
      </c>
    </row>
    <row r="171" spans="1:23" x14ac:dyDescent="0.45">
      <c r="A171">
        <v>-3.3862000000000001</v>
      </c>
      <c r="B171">
        <v>7.5736299999999996</v>
      </c>
      <c r="C171">
        <v>116.54897</v>
      </c>
      <c r="D171">
        <v>2164002.2919000001</v>
      </c>
      <c r="E171" s="10" t="s">
        <v>523</v>
      </c>
      <c r="F171" s="10" t="s">
        <v>524</v>
      </c>
      <c r="G171" s="10" t="s">
        <v>525</v>
      </c>
      <c r="H171" s="10">
        <v>-11.8363525265663</v>
      </c>
      <c r="I171" s="10">
        <v>25.279856065005699</v>
      </c>
      <c r="J171" s="10">
        <v>114.178654167017</v>
      </c>
      <c r="K171" s="4">
        <f t="shared" si="41"/>
        <v>-11.836352527777779</v>
      </c>
      <c r="L171" s="4">
        <f t="shared" si="42"/>
        <v>25.279856063888928</v>
      </c>
      <c r="M171" s="4">
        <f t="shared" si="43"/>
        <v>114.17865555555557</v>
      </c>
      <c r="N171" s="4">
        <f t="shared" si="44"/>
        <v>114.17865416701699</v>
      </c>
      <c r="O171" s="5">
        <f t="shared" si="32"/>
        <v>-11.836352526622109</v>
      </c>
      <c r="P171" s="2">
        <f t="shared" si="33"/>
        <v>9.7637286088955671E-11</v>
      </c>
      <c r="Q171" s="2">
        <f t="shared" si="34"/>
        <v>4.7150994408973815E-12</v>
      </c>
      <c r="R171" s="6">
        <f t="shared" si="35"/>
        <v>25.279856065116434</v>
      </c>
      <c r="S171" s="2">
        <f t="shared" si="36"/>
        <v>4.855665338787872E-11</v>
      </c>
      <c r="T171" s="2">
        <f t="shared" si="37"/>
        <v>4.3803466431844123E-12</v>
      </c>
      <c r="U171" s="6">
        <f t="shared" si="38"/>
        <v>114.17865416699124</v>
      </c>
      <c r="V171" s="2">
        <f t="shared" si="39"/>
        <v>1.2161330168516156E-8</v>
      </c>
      <c r="W171" s="2">
        <f t="shared" si="40"/>
        <v>2.2552436733296603E-13</v>
      </c>
    </row>
    <row r="172" spans="1:23" x14ac:dyDescent="0.45">
      <c r="A172">
        <v>-80.098529999999997</v>
      </c>
      <c r="B172">
        <v>-167.62505999999999</v>
      </c>
      <c r="C172">
        <v>342.86336</v>
      </c>
      <c r="D172">
        <v>2374062.4010000001</v>
      </c>
      <c r="E172" s="10" t="s">
        <v>526</v>
      </c>
      <c r="F172" s="10" t="s">
        <v>527</v>
      </c>
      <c r="G172" s="10" t="s">
        <v>528</v>
      </c>
      <c r="H172" s="10">
        <v>-59.1238182501084</v>
      </c>
      <c r="I172" s="10">
        <v>-179.649111774517</v>
      </c>
      <c r="J172" s="10">
        <v>-5.6705080743902201</v>
      </c>
      <c r="K172" s="4">
        <f t="shared" si="41"/>
        <v>-59.123818249999999</v>
      </c>
      <c r="L172" s="4">
        <f t="shared" si="42"/>
        <v>-179.64911177499999</v>
      </c>
      <c r="M172" s="4">
        <f t="shared" si="43"/>
        <v>354.32949166666663</v>
      </c>
      <c r="N172" s="4">
        <f t="shared" si="44"/>
        <v>354.32949192560977</v>
      </c>
      <c r="O172" s="5">
        <f t="shared" si="32"/>
        <v>-59.123818250086764</v>
      </c>
      <c r="P172" s="2">
        <f t="shared" si="33"/>
        <v>1.4675028783964884E-12</v>
      </c>
      <c r="Q172" s="2">
        <f t="shared" si="34"/>
        <v>3.6594433418304107E-13</v>
      </c>
      <c r="R172" s="6">
        <f t="shared" si="35"/>
        <v>-179.64911177451839</v>
      </c>
      <c r="S172" s="2">
        <f t="shared" si="36"/>
        <v>2.680814068824226E-12</v>
      </c>
      <c r="T172" s="2">
        <f t="shared" si="37"/>
        <v>7.752132745514325E-15</v>
      </c>
      <c r="U172" s="6">
        <f t="shared" si="38"/>
        <v>354.32949192561318</v>
      </c>
      <c r="V172" s="2">
        <f t="shared" si="39"/>
        <v>7.3080723657404806E-10</v>
      </c>
      <c r="W172" s="2">
        <f t="shared" si="40"/>
        <v>9.6255186468207546E-15</v>
      </c>
    </row>
    <row r="173" spans="1:23" x14ac:dyDescent="0.45">
      <c r="A173">
        <v>-25.796659999999999</v>
      </c>
      <c r="B173">
        <v>-91.601020000000005</v>
      </c>
      <c r="C173">
        <v>110.88793</v>
      </c>
      <c r="D173">
        <v>1445060.1989</v>
      </c>
      <c r="E173" s="10" t="s">
        <v>529</v>
      </c>
      <c r="F173" s="10" t="s">
        <v>530</v>
      </c>
      <c r="G173" s="10" t="s">
        <v>531</v>
      </c>
      <c r="H173" s="10">
        <v>-29.764890153602199</v>
      </c>
      <c r="I173" s="10">
        <v>-77.621978794453597</v>
      </c>
      <c r="J173" s="10">
        <v>104.342977331781</v>
      </c>
      <c r="K173" s="4">
        <f t="shared" si="41"/>
        <v>-29.764890152777777</v>
      </c>
      <c r="L173" s="4">
        <f t="shared" si="42"/>
        <v>-77.621978794444431</v>
      </c>
      <c r="M173" s="4">
        <f t="shared" si="43"/>
        <v>104.34297777777778</v>
      </c>
      <c r="N173" s="4">
        <f t="shared" si="44"/>
        <v>104.34297733178101</v>
      </c>
      <c r="O173" s="5">
        <f t="shared" si="32"/>
        <v>-29.764890153620097</v>
      </c>
      <c r="P173" s="2">
        <f t="shared" si="33"/>
        <v>2.8299113056043303E-11</v>
      </c>
      <c r="Q173" s="2">
        <f t="shared" si="34"/>
        <v>6.0133168378687285E-13</v>
      </c>
      <c r="R173" s="6">
        <f t="shared" si="35"/>
        <v>-77.621978794459551</v>
      </c>
      <c r="S173" s="2">
        <f t="shared" si="36"/>
        <v>1.9479469155271171E-13</v>
      </c>
      <c r="T173" s="2">
        <f t="shared" si="37"/>
        <v>7.6709563684752412E-14</v>
      </c>
      <c r="U173" s="6">
        <f t="shared" si="38"/>
        <v>104.34297733174124</v>
      </c>
      <c r="V173" s="2">
        <f t="shared" si="39"/>
        <v>4.2747154334858855E-9</v>
      </c>
      <c r="W173" s="2">
        <f t="shared" si="40"/>
        <v>3.8120612776242194E-13</v>
      </c>
    </row>
    <row r="174" spans="1:23" x14ac:dyDescent="0.45">
      <c r="A174">
        <v>-15.803190000000001</v>
      </c>
      <c r="B174">
        <v>62.382840000000002</v>
      </c>
      <c r="C174">
        <v>103.39551</v>
      </c>
      <c r="D174">
        <v>371706.70150000002</v>
      </c>
      <c r="E174" s="10" t="s">
        <v>532</v>
      </c>
      <c r="F174" s="10" t="s">
        <v>533</v>
      </c>
      <c r="G174" s="10" t="s">
        <v>534</v>
      </c>
      <c r="H174" s="10">
        <v>-16.554647608692701</v>
      </c>
      <c r="I174" s="10">
        <v>65.770698520245304</v>
      </c>
      <c r="J174" s="10">
        <v>102.451248965359</v>
      </c>
      <c r="K174" s="4">
        <f t="shared" si="41"/>
        <v>-16.554647608333333</v>
      </c>
      <c r="L174" s="4">
        <f t="shared" si="42"/>
        <v>65.770698519444409</v>
      </c>
      <c r="M174" s="4">
        <f t="shared" si="43"/>
        <v>102.45125000000002</v>
      </c>
      <c r="N174" s="4">
        <f t="shared" si="44"/>
        <v>102.45124896535901</v>
      </c>
      <c r="O174" s="5">
        <f t="shared" si="32"/>
        <v>-16.554647608697586</v>
      </c>
      <c r="P174" s="2">
        <f t="shared" si="33"/>
        <v>2.2003043295026047E-11</v>
      </c>
      <c r="Q174" s="2">
        <f t="shared" si="34"/>
        <v>2.950821680907075E-13</v>
      </c>
      <c r="R174" s="6">
        <f t="shared" si="35"/>
        <v>65.770698520255976</v>
      </c>
      <c r="S174" s="2">
        <f t="shared" si="36"/>
        <v>1.2339350504093246E-11</v>
      </c>
      <c r="T174" s="2">
        <f t="shared" si="37"/>
        <v>1.6226605663662792E-13</v>
      </c>
      <c r="U174" s="6">
        <f t="shared" si="38"/>
        <v>102.45124896535258</v>
      </c>
      <c r="V174" s="2">
        <f t="shared" si="39"/>
        <v>1.0098924510182281E-8</v>
      </c>
      <c r="W174" s="2">
        <f t="shared" si="40"/>
        <v>6.283493125753081E-14</v>
      </c>
    </row>
    <row r="175" spans="1:23" x14ac:dyDescent="0.4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10" t="s">
        <v>535</v>
      </c>
      <c r="F175" s="10" t="s">
        <v>536</v>
      </c>
      <c r="G175" s="10" t="s">
        <v>537</v>
      </c>
      <c r="H175" s="10">
        <v>-17.511175624978101</v>
      </c>
      <c r="I175" s="10">
        <v>127.554314192508</v>
      </c>
      <c r="J175" s="10">
        <v>-35.429608337755297</v>
      </c>
      <c r="K175" s="4">
        <f t="shared" si="41"/>
        <v>-17.511175625</v>
      </c>
      <c r="L175" s="4">
        <f t="shared" si="42"/>
        <v>127.55431419166666</v>
      </c>
      <c r="M175" s="4">
        <f t="shared" si="43"/>
        <v>324.57039166666664</v>
      </c>
      <c r="N175" s="4">
        <f t="shared" si="44"/>
        <v>324.57039166224467</v>
      </c>
      <c r="O175" s="5">
        <f t="shared" si="32"/>
        <v>-17.511175624957403</v>
      </c>
      <c r="P175" s="2">
        <f t="shared" si="33"/>
        <v>2.4325629484295693E-12</v>
      </c>
      <c r="Q175" s="2">
        <f t="shared" si="34"/>
        <v>1.1819943067196326E-12</v>
      </c>
      <c r="R175" s="6">
        <f t="shared" si="35"/>
        <v>127.55431419249868</v>
      </c>
      <c r="S175" s="2">
        <f t="shared" si="36"/>
        <v>6.5228457942663921E-12</v>
      </c>
      <c r="T175" s="2">
        <f t="shared" si="37"/>
        <v>7.3085106938076954E-14</v>
      </c>
      <c r="U175" s="6">
        <f t="shared" si="38"/>
        <v>324.57039166224899</v>
      </c>
      <c r="V175" s="2">
        <f t="shared" si="39"/>
        <v>1.361073977666906E-11</v>
      </c>
      <c r="W175" s="2">
        <f t="shared" si="40"/>
        <v>1.3310209262454855E-14</v>
      </c>
    </row>
    <row r="176" spans="1:23" x14ac:dyDescent="0.4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10" t="s">
        <v>538</v>
      </c>
      <c r="F176" s="10" t="s">
        <v>539</v>
      </c>
      <c r="G176" s="10" t="s">
        <v>540</v>
      </c>
      <c r="H176" s="10">
        <v>-31.768885829873899</v>
      </c>
      <c r="I176" s="10">
        <v>50.837175086012699</v>
      </c>
      <c r="J176" s="10">
        <v>-175.49595304104901</v>
      </c>
      <c r="K176" s="4">
        <f t="shared" si="41"/>
        <v>-31.768885830555554</v>
      </c>
      <c r="L176" s="4">
        <f t="shared" si="42"/>
        <v>50.837175086111074</v>
      </c>
      <c r="M176" s="4">
        <f t="shared" si="43"/>
        <v>184.50404722222223</v>
      </c>
      <c r="N176" s="4">
        <f t="shared" si="44"/>
        <v>184.50404695895099</v>
      </c>
      <c r="O176" s="5">
        <f t="shared" si="32"/>
        <v>-31.768885829971374</v>
      </c>
      <c r="P176" s="2">
        <f t="shared" si="33"/>
        <v>1.8388426296985696E-11</v>
      </c>
      <c r="Q176" s="2">
        <f t="shared" si="34"/>
        <v>3.0682789987424703E-12</v>
      </c>
      <c r="R176" s="6">
        <f t="shared" si="35"/>
        <v>50.837175086007917</v>
      </c>
      <c r="S176" s="2">
        <f t="shared" si="36"/>
        <v>2.0291566988708261E-12</v>
      </c>
      <c r="T176" s="2">
        <f t="shared" si="37"/>
        <v>9.4064089980900151E-14</v>
      </c>
      <c r="U176" s="6">
        <f t="shared" si="38"/>
        <v>184.50404695895509</v>
      </c>
      <c r="V176" s="2">
        <f t="shared" si="39"/>
        <v>1.4268908655808438E-9</v>
      </c>
      <c r="W176" s="2">
        <f t="shared" si="40"/>
        <v>2.2182311041062091E-14</v>
      </c>
    </row>
    <row r="177" spans="1:23" x14ac:dyDescent="0.4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10" t="s">
        <v>541</v>
      </c>
      <c r="F177" s="10" t="s">
        <v>542</v>
      </c>
      <c r="G177" s="10" t="s">
        <v>543</v>
      </c>
      <c r="H177" s="10">
        <v>32.4486554566747</v>
      </c>
      <c r="I177" s="10">
        <v>104.371006665674</v>
      </c>
      <c r="J177" s="10">
        <v>-16.431850705150499</v>
      </c>
      <c r="K177" s="4">
        <f t="shared" si="41"/>
        <v>32.448655458333334</v>
      </c>
      <c r="L177" s="4">
        <f t="shared" si="42"/>
        <v>104.37100666666663</v>
      </c>
      <c r="M177" s="4">
        <f t="shared" si="43"/>
        <v>343.56815</v>
      </c>
      <c r="N177" s="4">
        <f t="shared" si="44"/>
        <v>343.56814929484949</v>
      </c>
      <c r="O177" s="5">
        <f t="shared" si="32"/>
        <v>32.44865545673251</v>
      </c>
      <c r="P177" s="2">
        <f t="shared" si="33"/>
        <v>4.9334073765048962E-11</v>
      </c>
      <c r="Q177" s="2">
        <f t="shared" si="34"/>
        <v>1.7815763447773384E-12</v>
      </c>
      <c r="R177" s="6">
        <f t="shared" si="35"/>
        <v>104.37100666566501</v>
      </c>
      <c r="S177" s="2">
        <f t="shared" si="36"/>
        <v>9.5967616379374749E-12</v>
      </c>
      <c r="T177" s="2">
        <f t="shared" si="37"/>
        <v>8.6187451114058654E-14</v>
      </c>
      <c r="U177" s="6">
        <f t="shared" si="38"/>
        <v>343.56814929483818</v>
      </c>
      <c r="V177" s="2">
        <f t="shared" si="39"/>
        <v>2.0524656434069874E-9</v>
      </c>
      <c r="W177" s="2">
        <f t="shared" si="40"/>
        <v>3.292458971100082E-14</v>
      </c>
    </row>
    <row r="178" spans="1:23" x14ac:dyDescent="0.45">
      <c r="A178">
        <v>11.624750000000001</v>
      </c>
      <c r="B178">
        <v>-125.80128000000001</v>
      </c>
      <c r="C178">
        <v>130.08402000000001</v>
      </c>
      <c r="D178">
        <v>2133546.6453</v>
      </c>
      <c r="E178" s="10" t="s">
        <v>544</v>
      </c>
      <c r="F178" s="10" t="s">
        <v>545</v>
      </c>
      <c r="G178" s="10" t="s">
        <v>546</v>
      </c>
      <c r="H178" s="10">
        <v>-1.0409997814454801</v>
      </c>
      <c r="I178" s="10">
        <v>-111.251856780354</v>
      </c>
      <c r="J178" s="10">
        <v>131.44146656362099</v>
      </c>
      <c r="K178" s="4">
        <f t="shared" si="41"/>
        <v>-1.0409997833333333</v>
      </c>
      <c r="L178" s="4">
        <f t="shared" si="42"/>
        <v>-111.25185678055556</v>
      </c>
      <c r="M178" s="4">
        <f t="shared" si="43"/>
        <v>131.44146666666666</v>
      </c>
      <c r="N178" s="4">
        <f t="shared" si="44"/>
        <v>131.44146656362102</v>
      </c>
      <c r="O178" s="5">
        <f t="shared" si="32"/>
        <v>-1.0409997815311902</v>
      </c>
      <c r="P178" s="2">
        <f t="shared" si="33"/>
        <v>1.7311656834780955E-9</v>
      </c>
      <c r="Q178" s="2">
        <f t="shared" si="34"/>
        <v>8.2334412751239037E-11</v>
      </c>
      <c r="R178" s="6">
        <f t="shared" si="35"/>
        <v>-111.25185678026145</v>
      </c>
      <c r="S178" s="2">
        <f t="shared" si="36"/>
        <v>2.6436219376180735E-12</v>
      </c>
      <c r="T178" s="2">
        <f t="shared" si="37"/>
        <v>8.3194383841020996E-13</v>
      </c>
      <c r="U178" s="6">
        <f t="shared" si="38"/>
        <v>131.4414665636186</v>
      </c>
      <c r="V178" s="2">
        <f t="shared" si="39"/>
        <v>7.8398434286087778E-10</v>
      </c>
      <c r="W178" s="2">
        <f t="shared" si="40"/>
        <v>1.8379628322352977E-14</v>
      </c>
    </row>
    <row r="179" spans="1:23" x14ac:dyDescent="0.4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10" t="s">
        <v>547</v>
      </c>
      <c r="F179" s="10" t="s">
        <v>548</v>
      </c>
      <c r="G179" s="10" t="s">
        <v>549</v>
      </c>
      <c r="H179" s="10">
        <v>-30.774317569758701</v>
      </c>
      <c r="I179" s="10">
        <v>-45.419423463938003</v>
      </c>
      <c r="J179" s="10">
        <v>54.740515132740498</v>
      </c>
      <c r="K179" s="4">
        <f t="shared" si="41"/>
        <v>-30.774317569444445</v>
      </c>
      <c r="L179" s="4">
        <f t="shared" si="42"/>
        <v>-45.419423463888904</v>
      </c>
      <c r="M179" s="4">
        <f t="shared" si="43"/>
        <v>54.740513888888927</v>
      </c>
      <c r="N179" s="4">
        <f t="shared" si="44"/>
        <v>54.740515132740484</v>
      </c>
      <c r="O179" s="5">
        <f t="shared" si="32"/>
        <v>-30.774317569709041</v>
      </c>
      <c r="P179" s="2">
        <f t="shared" si="33"/>
        <v>8.5979309227230254E-12</v>
      </c>
      <c r="Q179" s="2">
        <f t="shared" si="34"/>
        <v>1.6136777587254482E-12</v>
      </c>
      <c r="R179" s="6">
        <f t="shared" si="35"/>
        <v>-45.419423463945655</v>
      </c>
      <c r="S179" s="2">
        <f t="shared" si="36"/>
        <v>1.2494885222459859E-12</v>
      </c>
      <c r="T179" s="2">
        <f t="shared" si="37"/>
        <v>1.6848618235350845E-13</v>
      </c>
      <c r="U179" s="6">
        <f t="shared" si="38"/>
        <v>54.740515132698832</v>
      </c>
      <c r="V179" s="2">
        <f t="shared" si="39"/>
        <v>2.2721925982904926E-8</v>
      </c>
      <c r="W179" s="2">
        <f t="shared" si="40"/>
        <v>7.6089921823451862E-13</v>
      </c>
    </row>
    <row r="180" spans="1:23" x14ac:dyDescent="0.45">
      <c r="A180">
        <v>-46.98603</v>
      </c>
      <c r="B180">
        <v>9.5822699999999994</v>
      </c>
      <c r="C180">
        <v>213.37765999999999</v>
      </c>
      <c r="D180">
        <v>2987346.8437999999</v>
      </c>
      <c r="E180" s="10" t="s">
        <v>550</v>
      </c>
      <c r="F180" s="10" t="s">
        <v>551</v>
      </c>
      <c r="G180" s="10" t="s">
        <v>552</v>
      </c>
      <c r="H180" s="10">
        <v>-65.458353206503801</v>
      </c>
      <c r="I180" s="10">
        <v>-27.027984800020199</v>
      </c>
      <c r="J180" s="10">
        <v>-115.486944679364</v>
      </c>
      <c r="K180" s="4">
        <f t="shared" si="41"/>
        <v>-65.458353205555554</v>
      </c>
      <c r="L180" s="4">
        <f t="shared" si="42"/>
        <v>-27.027984800000013</v>
      </c>
      <c r="M180" s="4">
        <f t="shared" si="43"/>
        <v>244.51305555555555</v>
      </c>
      <c r="N180" s="4">
        <f t="shared" si="44"/>
        <v>244.513055320636</v>
      </c>
      <c r="O180" s="5">
        <f t="shared" si="32"/>
        <v>-65.458353206532593</v>
      </c>
      <c r="P180" s="2">
        <f t="shared" si="33"/>
        <v>1.4926114794946605E-11</v>
      </c>
      <c r="Q180" s="2">
        <f t="shared" si="34"/>
        <v>4.3983984079420178E-13</v>
      </c>
      <c r="R180" s="6">
        <f t="shared" si="35"/>
        <v>-27.027984800124017</v>
      </c>
      <c r="S180" s="2">
        <f t="shared" si="36"/>
        <v>4.5879823879748754E-12</v>
      </c>
      <c r="T180" s="2">
        <f t="shared" si="37"/>
        <v>3.8411076478713519E-12</v>
      </c>
      <c r="U180" s="6">
        <f t="shared" si="38"/>
        <v>244.51305532076728</v>
      </c>
      <c r="V180" s="2">
        <f t="shared" si="39"/>
        <v>9.6022796665215703E-10</v>
      </c>
      <c r="W180" s="2">
        <f t="shared" si="40"/>
        <v>5.3690333911571948E-13</v>
      </c>
    </row>
    <row r="181" spans="1:23" x14ac:dyDescent="0.45">
      <c r="A181">
        <v>89.82347</v>
      </c>
      <c r="B181">
        <v>85.361630000000005</v>
      </c>
      <c r="C181">
        <v>90.753590000000003</v>
      </c>
      <c r="D181">
        <v>2388158.3117999998</v>
      </c>
      <c r="E181" s="10" t="s">
        <v>553</v>
      </c>
      <c r="F181" s="10" t="s">
        <v>554</v>
      </c>
      <c r="G181" s="10" t="s">
        <v>555</v>
      </c>
      <c r="H181" s="10">
        <v>68.605952928229897</v>
      </c>
      <c r="I181" s="10">
        <v>174.157258018363</v>
      </c>
      <c r="J181" s="10">
        <v>179.51588449258901</v>
      </c>
      <c r="K181" s="4">
        <f t="shared" si="41"/>
        <v>68.605952927777778</v>
      </c>
      <c r="L181" s="4">
        <f t="shared" si="42"/>
        <v>174.1572580194445</v>
      </c>
      <c r="M181" s="4">
        <f t="shared" si="43"/>
        <v>179.51588333333325</v>
      </c>
      <c r="N181" s="4">
        <f t="shared" si="44"/>
        <v>179.51588449258907</v>
      </c>
      <c r="O181" s="5">
        <f t="shared" si="32"/>
        <v>68.605952928220276</v>
      </c>
      <c r="P181" s="2">
        <f t="shared" si="33"/>
        <v>6.4498425462843133E-12</v>
      </c>
      <c r="Q181" s="2">
        <f t="shared" si="34"/>
        <v>1.4023198033931866E-13</v>
      </c>
      <c r="R181" s="6">
        <f t="shared" si="35"/>
        <v>174.1572580183626</v>
      </c>
      <c r="S181" s="2">
        <f t="shared" si="36"/>
        <v>6.2122061605779631E-12</v>
      </c>
      <c r="T181" s="2">
        <f t="shared" si="37"/>
        <v>2.2847393014404342E-15</v>
      </c>
      <c r="U181" s="6">
        <f t="shared" si="38"/>
        <v>179.5158844925889</v>
      </c>
      <c r="V181" s="2">
        <f t="shared" si="39"/>
        <v>6.4576773075347389E-9</v>
      </c>
      <c r="W181" s="2">
        <f t="shared" si="40"/>
        <v>9.4994522108412095E-16</v>
      </c>
    </row>
    <row r="182" spans="1:23" x14ac:dyDescent="0.45">
      <c r="A182">
        <v>-45.130540000000003</v>
      </c>
      <c r="B182">
        <v>109.06982000000001</v>
      </c>
      <c r="C182">
        <v>23.030760000000001</v>
      </c>
      <c r="D182">
        <v>1516703.9686</v>
      </c>
      <c r="E182" s="10" t="s">
        <v>556</v>
      </c>
      <c r="F182" s="10" t="s">
        <v>557</v>
      </c>
      <c r="G182" s="10" t="s">
        <v>558</v>
      </c>
      <c r="H182" s="10">
        <v>-32.365237120133301</v>
      </c>
      <c r="I182" s="10">
        <v>115.32760155155</v>
      </c>
      <c r="J182" s="10">
        <v>19.0871787557376</v>
      </c>
      <c r="K182" s="4">
        <f t="shared" si="41"/>
        <v>-32.365237119444444</v>
      </c>
      <c r="L182" s="4">
        <f t="shared" si="42"/>
        <v>115.32760155000005</v>
      </c>
      <c r="M182" s="4">
        <f t="shared" si="43"/>
        <v>19.087177777777811</v>
      </c>
      <c r="N182" s="4">
        <f t="shared" si="44"/>
        <v>19.087178755737625</v>
      </c>
      <c r="O182" s="5">
        <f t="shared" si="32"/>
        <v>-32.365237120077715</v>
      </c>
      <c r="P182" s="2">
        <f t="shared" si="33"/>
        <v>1.9566401163973906E-11</v>
      </c>
      <c r="Q182" s="2">
        <f t="shared" si="34"/>
        <v>1.7174525251333521E-12</v>
      </c>
      <c r="R182" s="6">
        <f t="shared" si="35"/>
        <v>115.3276015515557</v>
      </c>
      <c r="S182" s="2">
        <f t="shared" si="36"/>
        <v>1.3488948299544754E-11</v>
      </c>
      <c r="T182" s="2">
        <f t="shared" si="37"/>
        <v>4.9411872475721444E-14</v>
      </c>
      <c r="U182" s="6">
        <f t="shared" si="38"/>
        <v>19.087178755725429</v>
      </c>
      <c r="V182" s="2">
        <f t="shared" si="39"/>
        <v>5.1235841641070721E-8</v>
      </c>
      <c r="W182" s="2">
        <f t="shared" si="40"/>
        <v>6.3898736504764225E-13</v>
      </c>
    </row>
    <row r="183" spans="1:23" x14ac:dyDescent="0.45">
      <c r="A183">
        <v>-79.574380000000005</v>
      </c>
      <c r="B183">
        <v>34.26979</v>
      </c>
      <c r="C183">
        <v>313.0317</v>
      </c>
      <c r="D183">
        <v>1158783.3785999999</v>
      </c>
      <c r="E183" s="10" t="s">
        <v>559</v>
      </c>
      <c r="F183" s="10" t="s">
        <v>560</v>
      </c>
      <c r="G183" s="10" t="s">
        <v>561</v>
      </c>
      <c r="H183" s="10">
        <v>-70.933546449533296</v>
      </c>
      <c r="I183" s="10">
        <v>10.4966933087969</v>
      </c>
      <c r="J183" s="10">
        <v>-23.8931390749268</v>
      </c>
      <c r="K183" s="4">
        <f t="shared" si="41"/>
        <v>-70.933546449999994</v>
      </c>
      <c r="L183" s="4">
        <f t="shared" si="42"/>
        <v>10.496693308333306</v>
      </c>
      <c r="M183" s="4">
        <f t="shared" si="43"/>
        <v>336.10686111111113</v>
      </c>
      <c r="N183" s="4">
        <f t="shared" si="44"/>
        <v>336.10686092507319</v>
      </c>
      <c r="O183" s="5">
        <f t="shared" si="32"/>
        <v>-70.933546449561291</v>
      </c>
      <c r="P183" s="2">
        <f t="shared" si="33"/>
        <v>6.1847083343314363E-12</v>
      </c>
      <c r="Q183" s="2">
        <f t="shared" si="34"/>
        <v>3.9467057817087536E-13</v>
      </c>
      <c r="R183" s="6">
        <f t="shared" si="35"/>
        <v>10.496693308840939</v>
      </c>
      <c r="S183" s="2">
        <f t="shared" si="36"/>
        <v>4.836123451430932E-11</v>
      </c>
      <c r="T183" s="2">
        <f t="shared" si="37"/>
        <v>4.1955535392753782E-12</v>
      </c>
      <c r="U183" s="6">
        <f t="shared" si="38"/>
        <v>336.10686092503698</v>
      </c>
      <c r="V183" s="2">
        <f t="shared" si="39"/>
        <v>5.5361603062252857E-10</v>
      </c>
      <c r="W183" s="2">
        <f t="shared" si="40"/>
        <v>1.077313855321944E-13</v>
      </c>
    </row>
    <row r="184" spans="1:23" x14ac:dyDescent="0.45">
      <c r="A184">
        <v>38.25056</v>
      </c>
      <c r="B184">
        <v>-173.99167</v>
      </c>
      <c r="C184">
        <v>181.36596</v>
      </c>
      <c r="D184">
        <v>1704611.0134999999</v>
      </c>
      <c r="E184" s="10" t="s">
        <v>562</v>
      </c>
      <c r="F184" s="10" t="s">
        <v>563</v>
      </c>
      <c r="G184" s="10" t="s">
        <v>564</v>
      </c>
      <c r="H184" s="10">
        <v>22.878724657548702</v>
      </c>
      <c r="I184" s="10">
        <v>-174.38295885758399</v>
      </c>
      <c r="J184" s="10">
        <v>-178.83482459606199</v>
      </c>
      <c r="K184" s="4">
        <f t="shared" si="41"/>
        <v>22.878724658333333</v>
      </c>
      <c r="L184" s="4">
        <f t="shared" si="42"/>
        <v>-174.38295885833332</v>
      </c>
      <c r="M184" s="4">
        <f t="shared" si="43"/>
        <v>181.165175</v>
      </c>
      <c r="N184" s="4">
        <f t="shared" si="44"/>
        <v>181.16517540393801</v>
      </c>
      <c r="O184" s="5">
        <f t="shared" si="32"/>
        <v>22.878724657482358</v>
      </c>
      <c r="P184" s="2">
        <f t="shared" si="33"/>
        <v>3.7195010419681238E-11</v>
      </c>
      <c r="Q184" s="2">
        <f t="shared" si="34"/>
        <v>2.899784679039395E-12</v>
      </c>
      <c r="R184" s="6">
        <f t="shared" si="35"/>
        <v>-174.38295885758433</v>
      </c>
      <c r="S184" s="2">
        <f t="shared" si="36"/>
        <v>4.2951290282206616E-12</v>
      </c>
      <c r="T184" s="2">
        <f t="shared" si="37"/>
        <v>1.955813316847016E-15</v>
      </c>
      <c r="U184" s="6">
        <f t="shared" si="38"/>
        <v>181.16517540393772</v>
      </c>
      <c r="V184" s="2">
        <f t="shared" si="39"/>
        <v>2.2296653803866208E-9</v>
      </c>
      <c r="W184" s="2">
        <f t="shared" si="40"/>
        <v>1.5688285216534061E-15</v>
      </c>
    </row>
    <row r="185" spans="1:23" x14ac:dyDescent="0.45">
      <c r="A185">
        <v>72.217129999999997</v>
      </c>
      <c r="B185">
        <v>175.3751</v>
      </c>
      <c r="C185">
        <v>116.47589000000001</v>
      </c>
      <c r="D185">
        <v>1416256.8084</v>
      </c>
      <c r="E185" s="10" t="s">
        <v>565</v>
      </c>
      <c r="F185" s="10" t="s">
        <v>566</v>
      </c>
      <c r="G185" s="10" t="s">
        <v>567</v>
      </c>
      <c r="H185" s="10">
        <v>64.0293427749926</v>
      </c>
      <c r="I185" s="10">
        <v>-157.94768359287099</v>
      </c>
      <c r="J185" s="10">
        <v>141.35531341553099</v>
      </c>
      <c r="K185" s="4">
        <f t="shared" si="41"/>
        <v>64.029342775000003</v>
      </c>
      <c r="L185" s="4">
        <f t="shared" si="42"/>
        <v>-157.94768359444447</v>
      </c>
      <c r="M185" s="4">
        <f t="shared" si="43"/>
        <v>141.35531388888887</v>
      </c>
      <c r="N185" s="4">
        <f t="shared" si="44"/>
        <v>141.35531341553099</v>
      </c>
      <c r="O185" s="5">
        <f t="shared" si="32"/>
        <v>64.029342775000657</v>
      </c>
      <c r="P185" s="2">
        <f t="shared" si="33"/>
        <v>1.0209371025350059E-14</v>
      </c>
      <c r="Q185" s="2">
        <f t="shared" si="34"/>
        <v>1.2584159502987288E-13</v>
      </c>
      <c r="R185" s="6">
        <f t="shared" si="35"/>
        <v>-157.94768359290109</v>
      </c>
      <c r="S185" s="2">
        <f t="shared" si="36"/>
        <v>9.7714892176710246E-12</v>
      </c>
      <c r="T185" s="2">
        <f t="shared" si="37"/>
        <v>1.9056050460594631E-13</v>
      </c>
      <c r="U185" s="6">
        <f t="shared" si="38"/>
        <v>141.35531341551754</v>
      </c>
      <c r="V185" s="2">
        <f t="shared" si="39"/>
        <v>3.3488046304516199E-9</v>
      </c>
      <c r="W185" s="2">
        <f t="shared" si="40"/>
        <v>9.5104090789020421E-14</v>
      </c>
    </row>
    <row r="186" spans="1:23" x14ac:dyDescent="0.45">
      <c r="A186">
        <v>-51.30735</v>
      </c>
      <c r="B186">
        <v>37.752899999999997</v>
      </c>
      <c r="C186">
        <v>262.05437999999998</v>
      </c>
      <c r="D186">
        <v>37084.650699999998</v>
      </c>
      <c r="E186" s="10" t="s">
        <v>568</v>
      </c>
      <c r="F186" s="10" t="s">
        <v>569</v>
      </c>
      <c r="G186" s="10" t="s">
        <v>570</v>
      </c>
      <c r="H186" s="10">
        <v>-51.352241686427703</v>
      </c>
      <c r="I186" s="10">
        <v>37.225676430774001</v>
      </c>
      <c r="J186" s="10">
        <v>-97.533986156237006</v>
      </c>
      <c r="K186" s="4">
        <f t="shared" si="41"/>
        <v>-51.352241686111114</v>
      </c>
      <c r="L186" s="4">
        <f t="shared" si="42"/>
        <v>37.225676430555495</v>
      </c>
      <c r="M186" s="4">
        <f t="shared" si="43"/>
        <v>262.46601388888888</v>
      </c>
      <c r="N186" s="4">
        <f t="shared" si="44"/>
        <v>262.46601384376299</v>
      </c>
      <c r="O186" s="5">
        <f t="shared" si="32"/>
        <v>-51.352241686427689</v>
      </c>
      <c r="P186" s="2">
        <f t="shared" si="33"/>
        <v>6.164778792435403E-12</v>
      </c>
      <c r="Q186" s="2">
        <f t="shared" si="34"/>
        <v>2.7673289906169579E-16</v>
      </c>
      <c r="R186" s="6">
        <f t="shared" si="35"/>
        <v>37.225676430775074</v>
      </c>
      <c r="S186" s="2">
        <f t="shared" si="36"/>
        <v>5.8985905075914057E-12</v>
      </c>
      <c r="T186" s="2">
        <f t="shared" si="37"/>
        <v>2.8822029144130799E-14</v>
      </c>
      <c r="U186" s="6">
        <f t="shared" si="38"/>
        <v>262.46601384376339</v>
      </c>
      <c r="V186" s="2">
        <f t="shared" si="39"/>
        <v>1.7192888501849546E-10</v>
      </c>
      <c r="W186" s="2">
        <f t="shared" si="40"/>
        <v>1.5160207837899907E-15</v>
      </c>
    </row>
    <row r="187" spans="1:23" x14ac:dyDescent="0.45">
      <c r="A187">
        <v>-82.285049999999998</v>
      </c>
      <c r="B187">
        <v>116.79396</v>
      </c>
      <c r="C187">
        <v>329.89497999999998</v>
      </c>
      <c r="D187">
        <v>2760978.3983</v>
      </c>
      <c r="E187" s="10" t="s">
        <v>571</v>
      </c>
      <c r="F187" s="10" t="s">
        <v>572</v>
      </c>
      <c r="G187" s="10" t="s">
        <v>573</v>
      </c>
      <c r="H187" s="10">
        <v>-58.353982821700903</v>
      </c>
      <c r="I187" s="10">
        <v>93.208043697612993</v>
      </c>
      <c r="J187" s="10">
        <v>-7.3800181038062398</v>
      </c>
      <c r="K187" s="4">
        <f t="shared" si="41"/>
        <v>-58.353982822222221</v>
      </c>
      <c r="L187" s="4">
        <f t="shared" si="42"/>
        <v>93.208043697222251</v>
      </c>
      <c r="M187" s="4">
        <f t="shared" si="43"/>
        <v>352.61998055555557</v>
      </c>
      <c r="N187" s="4">
        <f t="shared" si="44"/>
        <v>352.61998189619374</v>
      </c>
      <c r="O187" s="5">
        <f t="shared" si="32"/>
        <v>-58.353982821677789</v>
      </c>
      <c r="P187" s="2">
        <f t="shared" si="33"/>
        <v>9.3298182688358801E-12</v>
      </c>
      <c r="Q187" s="2">
        <f t="shared" si="34"/>
        <v>3.9609901632421827E-13</v>
      </c>
      <c r="R187" s="6">
        <f t="shared" si="35"/>
        <v>93.208043697612368</v>
      </c>
      <c r="S187" s="2">
        <f t="shared" si="36"/>
        <v>4.1854368804154131E-12</v>
      </c>
      <c r="T187" s="2">
        <f t="shared" si="37"/>
        <v>6.7084082302748857E-15</v>
      </c>
      <c r="U187" s="6">
        <f t="shared" si="38"/>
        <v>352.6199818961984</v>
      </c>
      <c r="V187" s="2">
        <f t="shared" si="39"/>
        <v>3.801947986855731E-9</v>
      </c>
      <c r="W187" s="2">
        <f t="shared" si="40"/>
        <v>1.3218650632108636E-14</v>
      </c>
    </row>
    <row r="188" spans="1:23" x14ac:dyDescent="0.45">
      <c r="A188">
        <v>9.4714899999999993</v>
      </c>
      <c r="B188">
        <v>48.057989999999997</v>
      </c>
      <c r="C188">
        <v>122.84132</v>
      </c>
      <c r="D188">
        <v>2197247.2039999999</v>
      </c>
      <c r="E188" s="10" t="s">
        <v>574</v>
      </c>
      <c r="F188" s="10" t="s">
        <v>575</v>
      </c>
      <c r="G188" s="10" t="s">
        <v>576</v>
      </c>
      <c r="H188" s="10">
        <v>-1.5484170713285299</v>
      </c>
      <c r="I188" s="10">
        <v>64.547403856699106</v>
      </c>
      <c r="J188" s="10">
        <v>123.99381205562</v>
      </c>
      <c r="K188" s="4">
        <f t="shared" si="41"/>
        <v>-1.5484170722222221</v>
      </c>
      <c r="L188" s="4">
        <f t="shared" si="42"/>
        <v>64.547403855555558</v>
      </c>
      <c r="M188" s="4">
        <f t="shared" si="43"/>
        <v>123.99381111111109</v>
      </c>
      <c r="N188" s="4">
        <f t="shared" si="44"/>
        <v>123.99381205561997</v>
      </c>
      <c r="O188" s="5">
        <f t="shared" si="32"/>
        <v>-1.5484170714059571</v>
      </c>
      <c r="P188" s="2">
        <f t="shared" si="33"/>
        <v>5.2716097632286598E-10</v>
      </c>
      <c r="Q188" s="2">
        <f t="shared" si="34"/>
        <v>5.0004083018492831E-11</v>
      </c>
      <c r="R188" s="6">
        <f t="shared" si="35"/>
        <v>64.547403856808998</v>
      </c>
      <c r="S188" s="2">
        <f t="shared" si="36"/>
        <v>1.9418906781284581E-11</v>
      </c>
      <c r="T188" s="2">
        <f t="shared" si="37"/>
        <v>1.7025090545334428E-12</v>
      </c>
      <c r="U188" s="6">
        <f t="shared" si="38"/>
        <v>123.99381205561711</v>
      </c>
      <c r="V188" s="2">
        <f t="shared" si="39"/>
        <v>7.6173642757134213E-9</v>
      </c>
      <c r="W188" s="2">
        <f t="shared" si="40"/>
        <v>2.3036486663336989E-14</v>
      </c>
    </row>
    <row r="189" spans="1:23" x14ac:dyDescent="0.45">
      <c r="A189">
        <v>41.320790000000002</v>
      </c>
      <c r="B189">
        <v>30.491199999999999</v>
      </c>
      <c r="C189">
        <v>177.5402</v>
      </c>
      <c r="D189">
        <v>2332316.2525999998</v>
      </c>
      <c r="E189" s="10" t="s">
        <v>577</v>
      </c>
      <c r="F189" s="10" t="s">
        <v>578</v>
      </c>
      <c r="G189" s="10" t="s">
        <v>579</v>
      </c>
      <c r="H189" s="10">
        <v>20.299903024550101</v>
      </c>
      <c r="I189" s="10">
        <v>31.4283293000707</v>
      </c>
      <c r="J189" s="10">
        <v>178.02842092742401</v>
      </c>
      <c r="K189" s="4">
        <f t="shared" si="41"/>
        <v>20.299903024999999</v>
      </c>
      <c r="L189" s="4">
        <f t="shared" si="42"/>
        <v>31.428329299999973</v>
      </c>
      <c r="M189" s="4">
        <f t="shared" si="43"/>
        <v>178.02842222222216</v>
      </c>
      <c r="N189" s="4">
        <f t="shared" si="44"/>
        <v>178.02842092742401</v>
      </c>
      <c r="O189" s="5">
        <f t="shared" si="32"/>
        <v>20.299903024468186</v>
      </c>
      <c r="P189" s="2">
        <f t="shared" si="33"/>
        <v>2.6197800814716187E-11</v>
      </c>
      <c r="Q189" s="2">
        <f t="shared" si="34"/>
        <v>4.0352369759125288E-12</v>
      </c>
      <c r="R189" s="6">
        <f t="shared" si="35"/>
        <v>31.428329300070594</v>
      </c>
      <c r="S189" s="2">
        <f t="shared" si="36"/>
        <v>2.2470441184793244E-12</v>
      </c>
      <c r="T189" s="2">
        <f t="shared" si="37"/>
        <v>3.3912528199128698E-15</v>
      </c>
      <c r="U189" s="6">
        <f t="shared" si="38"/>
        <v>178.02842092742455</v>
      </c>
      <c r="V189" s="2">
        <f t="shared" si="39"/>
        <v>7.2729825775291765E-9</v>
      </c>
      <c r="W189" s="2">
        <f t="shared" si="40"/>
        <v>3.0332936525782051E-15</v>
      </c>
    </row>
    <row r="190" spans="1:23" x14ac:dyDescent="0.45">
      <c r="A190">
        <v>2.6245699999999998</v>
      </c>
      <c r="B190">
        <v>79.611260000000001</v>
      </c>
      <c r="C190">
        <v>349.54712000000001</v>
      </c>
      <c r="D190">
        <v>934757.1679</v>
      </c>
      <c r="E190" s="10" t="s">
        <v>580</v>
      </c>
      <c r="F190" s="10" t="s">
        <v>581</v>
      </c>
      <c r="G190" s="10" t="s">
        <v>582</v>
      </c>
      <c r="H190" s="10">
        <v>10.9346816465873</v>
      </c>
      <c r="I190" s="10">
        <v>78.065217769178503</v>
      </c>
      <c r="J190" s="10">
        <v>-10.6358857308851</v>
      </c>
      <c r="K190" s="4">
        <f t="shared" si="41"/>
        <v>10.934681647222222</v>
      </c>
      <c r="L190" s="4">
        <f t="shared" si="42"/>
        <v>78.065217769444416</v>
      </c>
      <c r="M190" s="4">
        <f t="shared" si="43"/>
        <v>349.36411388888888</v>
      </c>
      <c r="N190" s="4">
        <f t="shared" si="44"/>
        <v>349.36411426911491</v>
      </c>
      <c r="O190" s="5">
        <f t="shared" si="32"/>
        <v>10.934681646593031</v>
      </c>
      <c r="P190" s="2">
        <f t="shared" si="33"/>
        <v>5.7540854126825229E-11</v>
      </c>
      <c r="Q190" s="2">
        <f t="shared" si="34"/>
        <v>5.2406895318197924E-13</v>
      </c>
      <c r="R190" s="6">
        <f t="shared" si="35"/>
        <v>78.065217769175845</v>
      </c>
      <c r="S190" s="2">
        <f t="shared" si="36"/>
        <v>3.440340665618745E-12</v>
      </c>
      <c r="T190" s="2">
        <f t="shared" si="37"/>
        <v>3.4041150562087768E-14</v>
      </c>
      <c r="U190" s="6">
        <f t="shared" si="38"/>
        <v>349.36411426911428</v>
      </c>
      <c r="V190" s="2">
        <f t="shared" si="39"/>
        <v>1.0883355967899884E-9</v>
      </c>
      <c r="W190" s="2">
        <f t="shared" si="40"/>
        <v>1.78975911357409E-15</v>
      </c>
    </row>
    <row r="191" spans="1:23" x14ac:dyDescent="0.45">
      <c r="A191">
        <v>73.9572</v>
      </c>
      <c r="B191">
        <v>-21.14536</v>
      </c>
      <c r="C191">
        <v>113.57872999999999</v>
      </c>
      <c r="D191">
        <v>2202448.0323999999</v>
      </c>
      <c r="E191" s="10" t="s">
        <v>583</v>
      </c>
      <c r="F191" s="10" t="s">
        <v>584</v>
      </c>
      <c r="G191" s="10" t="s">
        <v>585</v>
      </c>
      <c r="H191" s="10">
        <v>60.135731584481498</v>
      </c>
      <c r="I191" s="10">
        <v>17.281352895106199</v>
      </c>
      <c r="J191" s="10">
        <v>149.406221088281</v>
      </c>
      <c r="K191" s="4">
        <f t="shared" si="41"/>
        <v>60.135731586111113</v>
      </c>
      <c r="L191" s="4">
        <f t="shared" si="42"/>
        <v>17.281352894444467</v>
      </c>
      <c r="M191" s="4">
        <f t="shared" si="43"/>
        <v>149.4062222222222</v>
      </c>
      <c r="N191" s="4">
        <f t="shared" si="44"/>
        <v>149.40622108828097</v>
      </c>
      <c r="O191" s="5">
        <f t="shared" si="32"/>
        <v>60.135731584475749</v>
      </c>
      <c r="P191" s="2">
        <f t="shared" si="33"/>
        <v>2.7194544760823626E-11</v>
      </c>
      <c r="Q191" s="2">
        <f t="shared" si="34"/>
        <v>9.5588605656584423E-14</v>
      </c>
      <c r="R191" s="6">
        <f t="shared" si="35"/>
        <v>17.281352895093008</v>
      </c>
      <c r="S191" s="2">
        <f t="shared" si="36"/>
        <v>3.7528356755341986E-11</v>
      </c>
      <c r="T191" s="2">
        <f t="shared" si="37"/>
        <v>7.6332136548879823E-13</v>
      </c>
      <c r="U191" s="6">
        <f t="shared" si="38"/>
        <v>149.40622108828632</v>
      </c>
      <c r="V191" s="2">
        <f t="shared" si="39"/>
        <v>7.5896161834141607E-9</v>
      </c>
      <c r="W191" s="2">
        <f t="shared" si="40"/>
        <v>3.5763446354477578E-14</v>
      </c>
    </row>
    <row r="192" spans="1:23" x14ac:dyDescent="0.45">
      <c r="A192">
        <v>-26.624669999999998</v>
      </c>
      <c r="B192">
        <v>-129.90504999999999</v>
      </c>
      <c r="C192">
        <v>15.761990000000001</v>
      </c>
      <c r="D192">
        <v>1541236.2863</v>
      </c>
      <c r="E192" s="10" t="s">
        <v>586</v>
      </c>
      <c r="F192" s="10" t="s">
        <v>587</v>
      </c>
      <c r="G192" s="10" t="s">
        <v>588</v>
      </c>
      <c r="H192" s="10">
        <v>-13.178633226223701</v>
      </c>
      <c r="I192" s="10">
        <v>-126.077877166067</v>
      </c>
      <c r="J192" s="10">
        <v>14.4497059546964</v>
      </c>
      <c r="K192" s="4">
        <f t="shared" si="41"/>
        <v>-13.178633225</v>
      </c>
      <c r="L192" s="4">
        <f t="shared" si="42"/>
        <v>-126.07787716666667</v>
      </c>
      <c r="M192" s="4">
        <f t="shared" si="43"/>
        <v>14.449705555555568</v>
      </c>
      <c r="N192" s="4">
        <f t="shared" si="44"/>
        <v>14.449705954696412</v>
      </c>
      <c r="O192" s="5">
        <f t="shared" si="32"/>
        <v>-13.17863322618132</v>
      </c>
      <c r="P192" s="2">
        <f t="shared" si="33"/>
        <v>8.9639032409243805E-11</v>
      </c>
      <c r="Q192" s="2">
        <f t="shared" si="34"/>
        <v>3.2158358721206426E-12</v>
      </c>
      <c r="R192" s="6">
        <f t="shared" si="35"/>
        <v>-126.07787716606498</v>
      </c>
      <c r="S192" s="2">
        <f t="shared" si="36"/>
        <v>4.7723486638838425E-12</v>
      </c>
      <c r="T192" s="2">
        <f t="shared" si="37"/>
        <v>1.6005515122218443E-14</v>
      </c>
      <c r="U192" s="6">
        <f t="shared" si="38"/>
        <v>14.449705954693826</v>
      </c>
      <c r="V192" s="2">
        <f t="shared" si="39"/>
        <v>2.7622587665189478E-8</v>
      </c>
      <c r="W192" s="2">
        <f t="shared" si="40"/>
        <v>1.7899157022819185E-13</v>
      </c>
    </row>
    <row r="193" spans="1:23" x14ac:dyDescent="0.45">
      <c r="A193">
        <v>66.366519999999994</v>
      </c>
      <c r="B193">
        <v>-161.80237</v>
      </c>
      <c r="C193">
        <v>326.47483999999997</v>
      </c>
      <c r="D193">
        <v>2847786.9182000002</v>
      </c>
      <c r="E193" s="10" t="s">
        <v>589</v>
      </c>
      <c r="F193" s="10" t="s">
        <v>590</v>
      </c>
      <c r="G193" s="10" t="s">
        <v>591</v>
      </c>
      <c r="H193" s="10">
        <v>76.1108854331613</v>
      </c>
      <c r="I193" s="10">
        <v>116.069504516875</v>
      </c>
      <c r="J193" s="10">
        <v>-112.771951487378</v>
      </c>
      <c r="K193" s="4">
        <f t="shared" si="41"/>
        <v>76.110885433333337</v>
      </c>
      <c r="L193" s="4">
        <f t="shared" si="42"/>
        <v>116.06950451944442</v>
      </c>
      <c r="M193" s="4">
        <f t="shared" si="43"/>
        <v>247.22804722222222</v>
      </c>
      <c r="N193" s="4">
        <f t="shared" si="44"/>
        <v>247.228048512622</v>
      </c>
      <c r="O193" s="5">
        <f t="shared" si="32"/>
        <v>76.110885433156184</v>
      </c>
      <c r="P193" s="2">
        <f t="shared" si="33"/>
        <v>2.3275581918552073E-12</v>
      </c>
      <c r="Q193" s="2">
        <f t="shared" si="34"/>
        <v>6.7216504818688318E-14</v>
      </c>
      <c r="R193" s="6">
        <f t="shared" si="35"/>
        <v>116.06950451685429</v>
      </c>
      <c r="S193" s="2">
        <f t="shared" si="36"/>
        <v>2.2315312144523454E-11</v>
      </c>
      <c r="T193" s="2">
        <f t="shared" si="37"/>
        <v>1.7838635054256694E-13</v>
      </c>
      <c r="U193" s="6">
        <f t="shared" si="38"/>
        <v>247.22804851257402</v>
      </c>
      <c r="V193" s="2">
        <f t="shared" si="39"/>
        <v>5.2192775802381285E-9</v>
      </c>
      <c r="W193" s="2">
        <f t="shared" si="40"/>
        <v>1.9405502655202409E-13</v>
      </c>
    </row>
    <row r="194" spans="1:23" x14ac:dyDescent="0.45">
      <c r="A194">
        <v>27.10934</v>
      </c>
      <c r="B194">
        <v>-107.87071</v>
      </c>
      <c r="C194">
        <v>65.259439999999998</v>
      </c>
      <c r="D194">
        <v>2278616.4051999999</v>
      </c>
      <c r="E194" s="10" t="s">
        <v>592</v>
      </c>
      <c r="F194" s="10" t="s">
        <v>593</v>
      </c>
      <c r="G194" s="10" t="s">
        <v>594</v>
      </c>
      <c r="H194" s="10">
        <v>33.890507900344801</v>
      </c>
      <c r="I194" s="10">
        <v>-85.399480205443396</v>
      </c>
      <c r="J194" s="10">
        <v>76.794660313059595</v>
      </c>
      <c r="K194" s="4">
        <f t="shared" si="41"/>
        <v>33.890507900000003</v>
      </c>
      <c r="L194" s="4">
        <f t="shared" si="42"/>
        <v>-85.399480205555562</v>
      </c>
      <c r="M194" s="4">
        <f t="shared" si="43"/>
        <v>76.794661111111111</v>
      </c>
      <c r="N194" s="4">
        <f t="shared" si="44"/>
        <v>76.79466031305958</v>
      </c>
      <c r="O194" s="5">
        <f t="shared" si="32"/>
        <v>33.890507900369322</v>
      </c>
      <c r="P194" s="2">
        <f t="shared" si="33"/>
        <v>1.0897411123367297E-11</v>
      </c>
      <c r="Q194" s="2">
        <f t="shared" si="34"/>
        <v>7.2353090379125255E-13</v>
      </c>
      <c r="R194" s="6">
        <f t="shared" si="35"/>
        <v>-85.399480205456783</v>
      </c>
      <c r="S194" s="2">
        <f t="shared" si="36"/>
        <v>1.1566774281015252E-12</v>
      </c>
      <c r="T194" s="2">
        <f t="shared" si="37"/>
        <v>1.5675300493066723E-13</v>
      </c>
      <c r="U194" s="6">
        <f t="shared" si="38"/>
        <v>76.794660313129256</v>
      </c>
      <c r="V194" s="2">
        <f t="shared" si="39"/>
        <v>1.0391111091198523E-8</v>
      </c>
      <c r="W194" s="2">
        <f t="shared" si="40"/>
        <v>9.0730033031719086E-13</v>
      </c>
    </row>
    <row r="195" spans="1:23" x14ac:dyDescent="0.45">
      <c r="A195">
        <v>27.242100000000001</v>
      </c>
      <c r="B195">
        <v>-150.59838999999999</v>
      </c>
      <c r="C195">
        <v>206.12979999999999</v>
      </c>
      <c r="D195">
        <v>2226010.7078</v>
      </c>
      <c r="E195" s="10" t="s">
        <v>595</v>
      </c>
      <c r="F195" s="10" t="s">
        <v>596</v>
      </c>
      <c r="G195" s="10" t="s">
        <v>597</v>
      </c>
      <c r="H195" s="10">
        <v>8.9408645210848494</v>
      </c>
      <c r="I195" s="10">
        <v>-159.366150398429</v>
      </c>
      <c r="J195" s="10">
        <v>-156.633021997143</v>
      </c>
      <c r="K195" s="4">
        <f t="shared" si="41"/>
        <v>8.9408645194444443</v>
      </c>
      <c r="L195" s="4">
        <f t="shared" si="42"/>
        <v>-159.36615039722221</v>
      </c>
      <c r="M195" s="4">
        <f t="shared" si="43"/>
        <v>203.36697777777778</v>
      </c>
      <c r="N195" s="4">
        <f t="shared" si="44"/>
        <v>203.366978002857</v>
      </c>
      <c r="O195" s="5">
        <f t="shared" si="32"/>
        <v>8.9408645210139834</v>
      </c>
      <c r="P195" s="2">
        <f t="shared" si="33"/>
        <v>1.7554668923672317E-10</v>
      </c>
      <c r="Q195" s="2">
        <f t="shared" si="34"/>
        <v>7.9260769004958583E-12</v>
      </c>
      <c r="R195" s="6">
        <f t="shared" si="35"/>
        <v>-159.36615039844273</v>
      </c>
      <c r="S195" s="2">
        <f t="shared" si="36"/>
        <v>7.6585489768542038E-12</v>
      </c>
      <c r="T195" s="2">
        <f t="shared" si="37"/>
        <v>8.6139281275005693E-14</v>
      </c>
      <c r="U195" s="6">
        <f t="shared" si="38"/>
        <v>203.36697800285211</v>
      </c>
      <c r="V195" s="2">
        <f t="shared" si="39"/>
        <v>1.1067398118810869E-9</v>
      </c>
      <c r="W195" s="2">
        <f t="shared" si="40"/>
        <v>2.4037993139480162E-14</v>
      </c>
    </row>
    <row r="196" spans="1:23" x14ac:dyDescent="0.45">
      <c r="A196">
        <v>-51.306910000000002</v>
      </c>
      <c r="B196">
        <v>-69.268109999999993</v>
      </c>
      <c r="C196">
        <v>29.194759999999999</v>
      </c>
      <c r="D196">
        <v>165961.9748</v>
      </c>
      <c r="E196" s="10" t="s">
        <v>598</v>
      </c>
      <c r="F196" s="10" t="s">
        <v>599</v>
      </c>
      <c r="G196" s="10" t="s">
        <v>600</v>
      </c>
      <c r="H196" s="10">
        <v>-49.998963871666597</v>
      </c>
      <c r="I196" s="10">
        <v>-68.139071240190106</v>
      </c>
      <c r="J196" s="10">
        <v>28.321583734943399</v>
      </c>
      <c r="K196" s="4">
        <f t="shared" si="41"/>
        <v>-49.99896387222222</v>
      </c>
      <c r="L196" s="4">
        <f t="shared" si="42"/>
        <v>-68.139071238888903</v>
      </c>
      <c r="M196" s="4">
        <f t="shared" si="43"/>
        <v>28.321583333333365</v>
      </c>
      <c r="N196" s="4">
        <f t="shared" si="44"/>
        <v>28.321583734943374</v>
      </c>
      <c r="O196" s="5">
        <f t="shared" si="32"/>
        <v>-49.998963871662433</v>
      </c>
      <c r="P196" s="2">
        <f t="shared" si="33"/>
        <v>1.1195969679381275E-11</v>
      </c>
      <c r="Q196" s="2">
        <f t="shared" si="34"/>
        <v>8.3277334351196773E-14</v>
      </c>
      <c r="R196" s="6">
        <f t="shared" si="35"/>
        <v>-68.139071240188159</v>
      </c>
      <c r="S196" s="2">
        <f t="shared" si="36"/>
        <v>1.906770653641154E-11</v>
      </c>
      <c r="T196" s="2">
        <f t="shared" si="37"/>
        <v>2.8572257598286022E-14</v>
      </c>
      <c r="U196" s="6">
        <f t="shared" si="38"/>
        <v>28.321583734940766</v>
      </c>
      <c r="V196" s="2">
        <f t="shared" si="39"/>
        <v>1.418025951550622E-8</v>
      </c>
      <c r="W196" s="2">
        <f t="shared" si="40"/>
        <v>9.2074365072394544E-14</v>
      </c>
    </row>
    <row r="197" spans="1:23" x14ac:dyDescent="0.45">
      <c r="A197">
        <v>72.25667</v>
      </c>
      <c r="B197">
        <v>43.026400000000002</v>
      </c>
      <c r="C197">
        <v>199.46280999999999</v>
      </c>
      <c r="D197">
        <v>176432.5575</v>
      </c>
      <c r="E197" s="10" t="s">
        <v>601</v>
      </c>
      <c r="F197" s="10" t="s">
        <v>602</v>
      </c>
      <c r="G197" s="10" t="s">
        <v>603</v>
      </c>
      <c r="H197" s="10">
        <v>70.758832501150593</v>
      </c>
      <c r="I197" s="10">
        <v>41.428709850690701</v>
      </c>
      <c r="J197" s="10">
        <v>-162.05252530685701</v>
      </c>
      <c r="K197" s="4">
        <f t="shared" si="41"/>
        <v>70.758832499999997</v>
      </c>
      <c r="L197" s="4">
        <f t="shared" si="42"/>
        <v>41.428709850000018</v>
      </c>
      <c r="M197" s="4">
        <f t="shared" si="43"/>
        <v>197.947475</v>
      </c>
      <c r="N197" s="4">
        <f t="shared" si="44"/>
        <v>197.94747469314299</v>
      </c>
      <c r="O197" s="5">
        <f t="shared" ref="O197:O260" si="45">vincentyDirLat(A197, $B197, $C197, $D197)</f>
        <v>70.758832501153165</v>
      </c>
      <c r="P197" s="2">
        <f t="shared" ref="P197:P260" si="46">ABS((K197-O197)/K197)</f>
        <v>1.6297163008935979E-11</v>
      </c>
      <c r="Q197" s="2">
        <f t="shared" ref="Q197:Q260" si="47">ABS((H197-O197)/H197)</f>
        <v>3.6351146740722965E-14</v>
      </c>
      <c r="R197" s="6">
        <f t="shared" ref="R197:R260" si="48">VincentyDirLon($A197, $B197, $C197, $D197)</f>
        <v>41.428709850693792</v>
      </c>
      <c r="S197" s="2">
        <f t="shared" ref="S197:S260" si="49">ABS((L197-R197)/L197)</f>
        <v>1.6746211255626669E-11</v>
      </c>
      <c r="T197" s="2">
        <f t="shared" ref="T197:T260" si="50">ABS((I197-R197)/I197)</f>
        <v>7.4606737977019211E-14</v>
      </c>
      <c r="U197" s="6">
        <f t="shared" ref="U197:U260" si="51">VincentyDirRevAzimuth($A197, $B197, $C197, $D197)</f>
        <v>197.94747469314487</v>
      </c>
      <c r="V197" s="2">
        <f t="shared" ref="V197:V260" si="52">ABS((M197-U197)/M197)</f>
        <v>1.5501846031322401E-9</v>
      </c>
      <c r="W197" s="2">
        <f t="shared" ref="W197:W260" si="53">ABS((N197-U197)/N197)</f>
        <v>9.476417041008326E-15</v>
      </c>
    </row>
    <row r="198" spans="1:23" x14ac:dyDescent="0.4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10" t="s">
        <v>604</v>
      </c>
      <c r="F198" s="10" t="s">
        <v>605</v>
      </c>
      <c r="G198" s="10" t="s">
        <v>606</v>
      </c>
      <c r="H198" s="10">
        <v>22.687216133045101</v>
      </c>
      <c r="I198" s="10">
        <v>81.836545723606903</v>
      </c>
      <c r="J198" s="10">
        <v>-27.635930625254598</v>
      </c>
      <c r="K198" s="4">
        <f t="shared" si="41"/>
        <v>22.687216133333333</v>
      </c>
      <c r="L198" s="4">
        <f t="shared" si="42"/>
        <v>81.836545724999951</v>
      </c>
      <c r="M198" s="4">
        <f t="shared" si="43"/>
        <v>332.36406944444445</v>
      </c>
      <c r="N198" s="4">
        <f t="shared" si="44"/>
        <v>332.36406937474538</v>
      </c>
      <c r="O198" s="5">
        <f t="shared" si="45"/>
        <v>22.687216133178644</v>
      </c>
      <c r="P198" s="2">
        <f t="shared" si="46"/>
        <v>6.818320298953527E-12</v>
      </c>
      <c r="Q198" s="2">
        <f t="shared" si="47"/>
        <v>5.8862644799297264E-12</v>
      </c>
      <c r="R198" s="6">
        <f t="shared" si="48"/>
        <v>81.836545723538379</v>
      </c>
      <c r="S198" s="2">
        <f t="shared" si="49"/>
        <v>1.7859651622090892E-11</v>
      </c>
      <c r="T198" s="2">
        <f t="shared" si="50"/>
        <v>8.3733667924032547E-13</v>
      </c>
      <c r="U198" s="6">
        <f t="shared" si="51"/>
        <v>332.36406937471594</v>
      </c>
      <c r="V198" s="2">
        <f t="shared" si="52"/>
        <v>2.0979558540871309E-10</v>
      </c>
      <c r="W198" s="2">
        <f t="shared" si="53"/>
        <v>8.8592280824131454E-14</v>
      </c>
    </row>
    <row r="199" spans="1:23" x14ac:dyDescent="0.45">
      <c r="A199">
        <v>79.068299999999994</v>
      </c>
      <c r="B199">
        <v>-14.22913</v>
      </c>
      <c r="C199">
        <v>217.73258999999999</v>
      </c>
      <c r="D199">
        <v>55334.114500000003</v>
      </c>
      <c r="E199" s="10" t="s">
        <v>607</v>
      </c>
      <c r="F199" s="10" t="s">
        <v>608</v>
      </c>
      <c r="G199" s="10" t="s">
        <v>609</v>
      </c>
      <c r="H199" s="10">
        <v>78.672335571492198</v>
      </c>
      <c r="I199" s="10">
        <v>-15.773022566537501</v>
      </c>
      <c r="J199" s="10">
        <v>-143.78227872419501</v>
      </c>
      <c r="K199" s="4">
        <f t="shared" si="41"/>
        <v>78.672335572222224</v>
      </c>
      <c r="L199" s="4">
        <f t="shared" si="42"/>
        <v>-15.773022566666668</v>
      </c>
      <c r="M199" s="4">
        <f t="shared" si="43"/>
        <v>216.21772222222222</v>
      </c>
      <c r="N199" s="4">
        <f t="shared" si="44"/>
        <v>216.21772127580499</v>
      </c>
      <c r="O199" s="5">
        <f t="shared" si="45"/>
        <v>78.672335571494486</v>
      </c>
      <c r="P199" s="2">
        <f t="shared" si="46"/>
        <v>9.2502385326722859E-12</v>
      </c>
      <c r="Q199" s="2">
        <f t="shared" si="47"/>
        <v>2.908198406120011E-14</v>
      </c>
      <c r="R199" s="6">
        <f t="shared" si="48"/>
        <v>-15.773022566528304</v>
      </c>
      <c r="S199" s="2">
        <f t="shared" si="49"/>
        <v>8.7721922890651729E-12</v>
      </c>
      <c r="T199" s="2">
        <f t="shared" si="50"/>
        <v>5.8303342423948927E-13</v>
      </c>
      <c r="U199" s="6">
        <f t="shared" si="51"/>
        <v>216.217721275814</v>
      </c>
      <c r="V199" s="2">
        <f t="shared" si="52"/>
        <v>4.3771075349343862E-9</v>
      </c>
      <c r="W199" s="2">
        <f t="shared" si="53"/>
        <v>4.1669488681482388E-14</v>
      </c>
    </row>
    <row r="200" spans="1:23" x14ac:dyDescent="0.45">
      <c r="A200">
        <v>64.10736</v>
      </c>
      <c r="B200">
        <v>-122.36005</v>
      </c>
      <c r="C200">
        <v>299.22041000000002</v>
      </c>
      <c r="D200">
        <v>1237165.5629</v>
      </c>
      <c r="E200" s="10" t="s">
        <v>610</v>
      </c>
      <c r="F200" s="10" t="s">
        <v>611</v>
      </c>
      <c r="G200" s="10" t="s">
        <v>612</v>
      </c>
      <c r="H200" s="10">
        <v>67.493951814450199</v>
      </c>
      <c r="I200" s="10">
        <v>-148.35198748083101</v>
      </c>
      <c r="J200" s="10">
        <v>-84.565618639559204</v>
      </c>
      <c r="K200" s="4">
        <f t="shared" si="41"/>
        <v>67.493951813888884</v>
      </c>
      <c r="L200" s="4">
        <f t="shared" si="42"/>
        <v>-148.35198748055552</v>
      </c>
      <c r="M200" s="4">
        <f t="shared" si="43"/>
        <v>275.43438055555555</v>
      </c>
      <c r="N200" s="4">
        <f t="shared" si="44"/>
        <v>275.4343813604408</v>
      </c>
      <c r="O200" s="5">
        <f t="shared" si="45"/>
        <v>67.49395181444693</v>
      </c>
      <c r="P200" s="2">
        <f t="shared" si="46"/>
        <v>8.2680897889939969E-12</v>
      </c>
      <c r="Q200" s="2">
        <f t="shared" si="47"/>
        <v>4.8426510770653799E-14</v>
      </c>
      <c r="R200" s="6">
        <f t="shared" si="48"/>
        <v>-148.35198748071977</v>
      </c>
      <c r="S200" s="2">
        <f t="shared" si="49"/>
        <v>1.1071577913294412E-12</v>
      </c>
      <c r="T200" s="2">
        <f t="shared" si="50"/>
        <v>7.4985561433732232E-13</v>
      </c>
      <c r="U200" s="6">
        <f t="shared" si="51"/>
        <v>275.43438136051986</v>
      </c>
      <c r="V200" s="2">
        <f t="shared" si="52"/>
        <v>2.9225266432775131E-9</v>
      </c>
      <c r="W200" s="2">
        <f t="shared" si="53"/>
        <v>2.8707089959082446E-13</v>
      </c>
    </row>
    <row r="201" spans="1:23" x14ac:dyDescent="0.45">
      <c r="A201">
        <v>80.774240000000006</v>
      </c>
      <c r="B201">
        <v>127.7698</v>
      </c>
      <c r="C201">
        <v>218.86179000000001</v>
      </c>
      <c r="D201">
        <v>106597.6541</v>
      </c>
      <c r="E201" s="10" t="s">
        <v>613</v>
      </c>
      <c r="F201" s="10" t="s">
        <v>614</v>
      </c>
      <c r="G201" s="10" t="s">
        <v>615</v>
      </c>
      <c r="H201" s="10">
        <v>80.013077707422795</v>
      </c>
      <c r="I201" s="10">
        <v>124.314607088746</v>
      </c>
      <c r="J201" s="10">
        <v>-144.545056598603</v>
      </c>
      <c r="K201" s="4">
        <f t="shared" si="41"/>
        <v>80.013077708333327</v>
      </c>
      <c r="L201" s="4">
        <f t="shared" si="42"/>
        <v>124.31460708888892</v>
      </c>
      <c r="M201" s="4">
        <f t="shared" si="43"/>
        <v>215.45494444444444</v>
      </c>
      <c r="N201" s="4">
        <f t="shared" si="44"/>
        <v>215.454943401397</v>
      </c>
      <c r="O201" s="5">
        <f t="shared" si="45"/>
        <v>80.013077707427726</v>
      </c>
      <c r="P201" s="2">
        <f t="shared" si="46"/>
        <v>1.1318161399591369E-11</v>
      </c>
      <c r="Q201" s="2">
        <f t="shared" si="47"/>
        <v>6.1629507668814898E-14</v>
      </c>
      <c r="R201" s="6">
        <f t="shared" si="48"/>
        <v>124.31460708876763</v>
      </c>
      <c r="S201" s="2">
        <f t="shared" si="49"/>
        <v>9.7566688126619852E-13</v>
      </c>
      <c r="T201" s="2">
        <f t="shared" si="50"/>
        <v>1.7398535363665626E-13</v>
      </c>
      <c r="U201" s="6">
        <f t="shared" si="51"/>
        <v>215.45494340141752</v>
      </c>
      <c r="V201" s="2">
        <f t="shared" si="52"/>
        <v>4.8410442170573743E-9</v>
      </c>
      <c r="W201" s="2">
        <f t="shared" si="53"/>
        <v>9.5242531384028758E-14</v>
      </c>
    </row>
    <row r="202" spans="1:23" x14ac:dyDescent="0.45">
      <c r="A202">
        <v>-11.60303</v>
      </c>
      <c r="B202">
        <v>79.391970000000001</v>
      </c>
      <c r="C202">
        <v>87.639240000000001</v>
      </c>
      <c r="D202">
        <v>2806480.9803999998</v>
      </c>
      <c r="E202" s="10" t="s">
        <v>616</v>
      </c>
      <c r="F202" s="10" t="s">
        <v>617</v>
      </c>
      <c r="G202" s="10" t="s">
        <v>618</v>
      </c>
      <c r="H202" s="10">
        <v>-9.4715959011763093</v>
      </c>
      <c r="I202" s="10">
        <v>104.950816725349</v>
      </c>
      <c r="J202" s="10">
        <v>82.887453906497996</v>
      </c>
      <c r="K202" s="4">
        <f t="shared" si="41"/>
        <v>-9.4715959000000005</v>
      </c>
      <c r="L202" s="4">
        <f t="shared" si="42"/>
        <v>104.95081672499998</v>
      </c>
      <c r="M202" s="4">
        <f t="shared" si="43"/>
        <v>82.887452777777753</v>
      </c>
      <c r="N202" s="4">
        <f t="shared" si="44"/>
        <v>82.887453906497967</v>
      </c>
      <c r="O202" s="5">
        <f t="shared" si="45"/>
        <v>-9.4715959011546556</v>
      </c>
      <c r="P202" s="2">
        <f t="shared" si="46"/>
        <v>1.2190712636389767E-10</v>
      </c>
      <c r="Q202" s="2">
        <f t="shared" si="47"/>
        <v>2.2861817689667054E-12</v>
      </c>
      <c r="R202" s="6">
        <f t="shared" si="48"/>
        <v>104.95081672547285</v>
      </c>
      <c r="S202" s="2">
        <f t="shared" si="49"/>
        <v>4.5055980068014734E-12</v>
      </c>
      <c r="T202" s="2">
        <f t="shared" si="50"/>
        <v>1.1800536928367921E-12</v>
      </c>
      <c r="U202" s="6">
        <f t="shared" si="51"/>
        <v>82.887453906469176</v>
      </c>
      <c r="V202" s="2">
        <f t="shared" si="52"/>
        <v>1.361715657998755E-8</v>
      </c>
      <c r="W202" s="2">
        <f t="shared" si="53"/>
        <v>3.4735282960286676E-13</v>
      </c>
    </row>
    <row r="203" spans="1:23" x14ac:dyDescent="0.4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10" t="s">
        <v>619</v>
      </c>
      <c r="F203" s="10" t="s">
        <v>620</v>
      </c>
      <c r="G203" s="10" t="s">
        <v>621</v>
      </c>
      <c r="H203" s="10">
        <v>57.1871274338028</v>
      </c>
      <c r="I203" s="10">
        <v>120.419761998493</v>
      </c>
      <c r="J203" s="10">
        <v>126.306593200053</v>
      </c>
      <c r="K203" s="4">
        <f t="shared" si="41"/>
        <v>57.18712743333333</v>
      </c>
      <c r="L203" s="4">
        <f t="shared" si="42"/>
        <v>120.41976199722217</v>
      </c>
      <c r="M203" s="4">
        <f t="shared" si="43"/>
        <v>126.30659444444444</v>
      </c>
      <c r="N203" s="4">
        <f t="shared" si="44"/>
        <v>126.30659320005299</v>
      </c>
      <c r="O203" s="5">
        <f t="shared" si="45"/>
        <v>57.187127433799326</v>
      </c>
      <c r="P203" s="2">
        <f t="shared" si="46"/>
        <v>8.1486037734066433E-12</v>
      </c>
      <c r="Q203" s="2">
        <f t="shared" si="47"/>
        <v>6.0757623853180499E-14</v>
      </c>
      <c r="R203" s="6">
        <f t="shared" si="48"/>
        <v>120.41976199843467</v>
      </c>
      <c r="S203" s="2">
        <f t="shared" si="49"/>
        <v>1.0068933253982309E-11</v>
      </c>
      <c r="T203" s="2">
        <f t="shared" si="50"/>
        <v>4.8443509302596251E-13</v>
      </c>
      <c r="U203" s="6">
        <f t="shared" si="51"/>
        <v>126.30659320006019</v>
      </c>
      <c r="V203" s="2">
        <f t="shared" si="52"/>
        <v>9.8520924915050363E-9</v>
      </c>
      <c r="W203" s="2">
        <f t="shared" si="53"/>
        <v>5.7042971060076015E-14</v>
      </c>
    </row>
    <row r="204" spans="1:23" x14ac:dyDescent="0.45">
      <c r="A204">
        <v>21.538509999999999</v>
      </c>
      <c r="B204">
        <v>175.23721</v>
      </c>
      <c r="C204">
        <v>199.35462999999999</v>
      </c>
      <c r="D204">
        <v>176914.5307</v>
      </c>
      <c r="E204" s="10" t="s">
        <v>622</v>
      </c>
      <c r="F204" s="10" t="s">
        <v>623</v>
      </c>
      <c r="G204" s="10" t="s">
        <v>624</v>
      </c>
      <c r="H204" s="10">
        <v>20.029949559333001</v>
      </c>
      <c r="I204" s="10">
        <v>174.676884254562</v>
      </c>
      <c r="J204" s="10">
        <v>-160.844220083587</v>
      </c>
      <c r="K204" s="4">
        <f t="shared" si="41"/>
        <v>20.029949558333332</v>
      </c>
      <c r="L204" s="4">
        <f t="shared" si="42"/>
        <v>174.67688425555559</v>
      </c>
      <c r="M204" s="4">
        <f t="shared" si="43"/>
        <v>199.15578055555557</v>
      </c>
      <c r="N204" s="4">
        <f t="shared" si="44"/>
        <v>199.155779916413</v>
      </c>
      <c r="O204" s="5">
        <f t="shared" si="45"/>
        <v>20.029949559325608</v>
      </c>
      <c r="P204" s="2">
        <f t="shared" si="46"/>
        <v>4.9539639643766775E-11</v>
      </c>
      <c r="Q204" s="2">
        <f t="shared" si="47"/>
        <v>3.6910712848694941E-13</v>
      </c>
      <c r="R204" s="6">
        <f t="shared" si="48"/>
        <v>174.67688425456041</v>
      </c>
      <c r="S204" s="2">
        <f t="shared" si="49"/>
        <v>5.6972973839493277E-12</v>
      </c>
      <c r="T204" s="2">
        <f t="shared" si="50"/>
        <v>9.111770769755166E-15</v>
      </c>
      <c r="U204" s="6">
        <f t="shared" si="51"/>
        <v>199.15577991641231</v>
      </c>
      <c r="V204" s="2">
        <f t="shared" si="52"/>
        <v>3.2092628710973121E-9</v>
      </c>
      <c r="W204" s="2">
        <f t="shared" si="53"/>
        <v>3.4250626650955693E-15</v>
      </c>
    </row>
    <row r="205" spans="1:23" x14ac:dyDescent="0.4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10" t="s">
        <v>625</v>
      </c>
      <c r="F205" s="10" t="s">
        <v>626</v>
      </c>
      <c r="G205" s="10" t="s">
        <v>627</v>
      </c>
      <c r="H205" s="10">
        <v>-60.606327205059898</v>
      </c>
      <c r="I205" s="10">
        <v>-74.559782116203294</v>
      </c>
      <c r="J205" s="10">
        <v>-133.329088530804</v>
      </c>
      <c r="K205" s="4">
        <f t="shared" si="41"/>
        <v>-60.606327205555559</v>
      </c>
      <c r="L205" s="4">
        <f t="shared" si="42"/>
        <v>-74.559782116666668</v>
      </c>
      <c r="M205" s="4">
        <f t="shared" si="43"/>
        <v>226.67091111111111</v>
      </c>
      <c r="N205" s="4">
        <f t="shared" si="44"/>
        <v>226.670911469196</v>
      </c>
      <c r="O205" s="5">
        <f t="shared" si="45"/>
        <v>-60.606327205060765</v>
      </c>
      <c r="P205" s="2">
        <f t="shared" si="46"/>
        <v>8.164057488514953E-12</v>
      </c>
      <c r="Q205" s="2">
        <f t="shared" si="47"/>
        <v>1.4303162352906113E-14</v>
      </c>
      <c r="R205" s="6">
        <f t="shared" si="48"/>
        <v>-74.559782116203422</v>
      </c>
      <c r="S205" s="2">
        <f t="shared" si="49"/>
        <v>6.2130739770845397E-12</v>
      </c>
      <c r="T205" s="2">
        <f t="shared" si="50"/>
        <v>1.7153710593934712E-15</v>
      </c>
      <c r="U205" s="6">
        <f t="shared" si="51"/>
        <v>226.67091146919773</v>
      </c>
      <c r="V205" s="2">
        <f t="shared" si="52"/>
        <v>1.5797643451864475E-9</v>
      </c>
      <c r="W205" s="2">
        <f t="shared" si="53"/>
        <v>7.6486403306771593E-15</v>
      </c>
    </row>
    <row r="206" spans="1:23" x14ac:dyDescent="0.45">
      <c r="A206">
        <v>-33.798830000000002</v>
      </c>
      <c r="B206">
        <v>25.238350000000001</v>
      </c>
      <c r="C206">
        <v>228.72524000000001</v>
      </c>
      <c r="D206">
        <v>207159.9688</v>
      </c>
      <c r="E206" s="10" t="s">
        <v>628</v>
      </c>
      <c r="F206" s="10" t="s">
        <v>629</v>
      </c>
      <c r="G206" s="10" t="s">
        <v>630</v>
      </c>
      <c r="H206" s="10">
        <v>-35.0190097343202</v>
      </c>
      <c r="I206" s="10">
        <v>23.532502183266701</v>
      </c>
      <c r="J206" s="10">
        <v>-130.310689649241</v>
      </c>
      <c r="K206" s="4">
        <f t="shared" si="41"/>
        <v>-35.019009733333334</v>
      </c>
      <c r="L206" s="4">
        <f t="shared" si="42"/>
        <v>23.532502183333349</v>
      </c>
      <c r="M206" s="4">
        <f t="shared" si="43"/>
        <v>229.68931111111112</v>
      </c>
      <c r="N206" s="4">
        <f t="shared" si="44"/>
        <v>229.689310350759</v>
      </c>
      <c r="O206" s="5">
        <f t="shared" si="45"/>
        <v>-35.019009734326367</v>
      </c>
      <c r="P206" s="2">
        <f t="shared" si="46"/>
        <v>2.8356975790523588E-11</v>
      </c>
      <c r="Q206" s="2">
        <f t="shared" si="47"/>
        <v>1.7611894206001011E-13</v>
      </c>
      <c r="R206" s="6">
        <f t="shared" si="48"/>
        <v>23.532502183264508</v>
      </c>
      <c r="S206" s="2">
        <f t="shared" si="49"/>
        <v>2.9253554262016888E-12</v>
      </c>
      <c r="T206" s="2">
        <f t="shared" si="50"/>
        <v>9.3148800019175001E-14</v>
      </c>
      <c r="U206" s="6">
        <f t="shared" si="51"/>
        <v>229.689310350764</v>
      </c>
      <c r="V206" s="2">
        <f t="shared" si="52"/>
        <v>3.3103287074979395E-9</v>
      </c>
      <c r="W206" s="2">
        <f t="shared" si="53"/>
        <v>2.1778204880811404E-14</v>
      </c>
    </row>
    <row r="207" spans="1:23" x14ac:dyDescent="0.45">
      <c r="A207">
        <v>-31.408069999999999</v>
      </c>
      <c r="B207">
        <v>-121.16597</v>
      </c>
      <c r="C207">
        <v>189.62191999999999</v>
      </c>
      <c r="D207">
        <v>158829.51319999999</v>
      </c>
      <c r="E207" s="10" t="s">
        <v>631</v>
      </c>
      <c r="F207" s="10" t="s">
        <v>632</v>
      </c>
      <c r="G207" s="10" t="s">
        <v>633</v>
      </c>
      <c r="H207" s="10">
        <v>-32.8199384369344</v>
      </c>
      <c r="I207" s="10">
        <v>-121.449442194821</v>
      </c>
      <c r="J207" s="10">
        <v>-170.227372891898</v>
      </c>
      <c r="K207" s="4">
        <f t="shared" si="41"/>
        <v>-32.819938436111109</v>
      </c>
      <c r="L207" s="4">
        <f t="shared" si="42"/>
        <v>-121.44944219444443</v>
      </c>
      <c r="M207" s="4">
        <f t="shared" si="43"/>
        <v>189.77262777777779</v>
      </c>
      <c r="N207" s="4">
        <f t="shared" si="44"/>
        <v>189.772627108102</v>
      </c>
      <c r="O207" s="5">
        <f t="shared" si="45"/>
        <v>-32.81993843694179</v>
      </c>
      <c r="P207" s="2">
        <f t="shared" si="46"/>
        <v>2.5310263854987498E-11</v>
      </c>
      <c r="Q207" s="2">
        <f t="shared" si="47"/>
        <v>2.2515716981324367E-13</v>
      </c>
      <c r="R207" s="6">
        <f t="shared" si="48"/>
        <v>-121.44944219482109</v>
      </c>
      <c r="S207" s="2">
        <f t="shared" si="49"/>
        <v>3.1013621587770366E-12</v>
      </c>
      <c r="T207" s="2">
        <f t="shared" si="50"/>
        <v>7.0206274109053099E-16</v>
      </c>
      <c r="U207" s="6">
        <f t="shared" si="51"/>
        <v>189.77262710810245</v>
      </c>
      <c r="V207" s="2">
        <f t="shared" si="52"/>
        <v>3.5288299379221499E-9</v>
      </c>
      <c r="W207" s="2">
        <f t="shared" si="53"/>
        <v>2.3962747305354107E-15</v>
      </c>
    </row>
    <row r="208" spans="1:23" x14ac:dyDescent="0.45">
      <c r="A208">
        <v>-47.694389999999999</v>
      </c>
      <c r="B208">
        <v>-133.09656000000001</v>
      </c>
      <c r="C208">
        <v>281.80646000000002</v>
      </c>
      <c r="D208">
        <v>250931.2175</v>
      </c>
      <c r="E208" s="10" t="s">
        <v>634</v>
      </c>
      <c r="F208" s="10" t="s">
        <v>635</v>
      </c>
      <c r="G208" s="10" t="s">
        <v>636</v>
      </c>
      <c r="H208" s="10">
        <v>-47.186485754788002</v>
      </c>
      <c r="I208" s="10">
        <v>-136.338246262159</v>
      </c>
      <c r="J208" s="10">
        <v>-75.805480366076793</v>
      </c>
      <c r="K208" s="4">
        <f t="shared" si="41"/>
        <v>-47.186485755555559</v>
      </c>
      <c r="L208" s="4">
        <f t="shared" si="42"/>
        <v>-136.33824626111112</v>
      </c>
      <c r="M208" s="4">
        <f t="shared" si="43"/>
        <v>284.19451944444444</v>
      </c>
      <c r="N208" s="4">
        <f t="shared" si="44"/>
        <v>284.19451963392322</v>
      </c>
      <c r="O208" s="5">
        <f t="shared" si="45"/>
        <v>-47.18648575478646</v>
      </c>
      <c r="P208" s="2">
        <f t="shared" si="46"/>
        <v>1.6299127818043522E-11</v>
      </c>
      <c r="Q208" s="2">
        <f t="shared" si="47"/>
        <v>3.2676257024352854E-14</v>
      </c>
      <c r="R208" s="6">
        <f t="shared" si="48"/>
        <v>-136.33824626215335</v>
      </c>
      <c r="S208" s="2">
        <f t="shared" si="49"/>
        <v>7.6443999640194666E-12</v>
      </c>
      <c r="T208" s="2">
        <f t="shared" si="50"/>
        <v>4.1484472125120856E-14</v>
      </c>
      <c r="U208" s="6">
        <f t="shared" si="51"/>
        <v>284.19451963392925</v>
      </c>
      <c r="V208" s="2">
        <f t="shared" si="52"/>
        <v>6.6674335824213355E-10</v>
      </c>
      <c r="W208" s="2">
        <f t="shared" si="53"/>
        <v>2.120168399801338E-14</v>
      </c>
    </row>
    <row r="209" spans="1:23" x14ac:dyDescent="0.4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10" t="s">
        <v>637</v>
      </c>
      <c r="F209" s="10" t="s">
        <v>638</v>
      </c>
      <c r="G209" s="10" t="s">
        <v>639</v>
      </c>
      <c r="H209" s="10">
        <v>-55.432925524221801</v>
      </c>
      <c r="I209" s="10">
        <v>63.355425141103701</v>
      </c>
      <c r="J209" s="10">
        <v>42.214314914924202</v>
      </c>
      <c r="K209" s="4">
        <f t="shared" si="41"/>
        <v>-55.432925525000002</v>
      </c>
      <c r="L209" s="4">
        <f t="shared" si="42"/>
        <v>63.355425141666615</v>
      </c>
      <c r="M209" s="4">
        <f t="shared" si="43"/>
        <v>42.21431388888891</v>
      </c>
      <c r="N209" s="4">
        <f t="shared" si="44"/>
        <v>42.214314914924216</v>
      </c>
      <c r="O209" s="5">
        <f t="shared" si="45"/>
        <v>-55.432925524220842</v>
      </c>
      <c r="P209" s="2">
        <f t="shared" si="46"/>
        <v>1.4055903425141353E-11</v>
      </c>
      <c r="Q209" s="2">
        <f t="shared" si="47"/>
        <v>1.7304385150247788E-14</v>
      </c>
      <c r="R209" s="6">
        <f t="shared" si="48"/>
        <v>63.355425141104384</v>
      </c>
      <c r="S209" s="2">
        <f t="shared" si="49"/>
        <v>8.8742384613111051E-12</v>
      </c>
      <c r="T209" s="2">
        <f t="shared" si="50"/>
        <v>1.076657641883852E-14</v>
      </c>
      <c r="U209" s="6">
        <f t="shared" si="51"/>
        <v>42.214314914923165</v>
      </c>
      <c r="V209" s="2">
        <f t="shared" si="52"/>
        <v>2.4305363758662021E-8</v>
      </c>
      <c r="W209" s="2">
        <f t="shared" si="53"/>
        <v>2.4911058039062723E-14</v>
      </c>
    </row>
    <row r="210" spans="1:23" x14ac:dyDescent="0.45">
      <c r="A210">
        <v>-39.496360000000003</v>
      </c>
      <c r="B210">
        <v>-55.758110000000002</v>
      </c>
      <c r="C210">
        <v>114.02579</v>
      </c>
      <c r="D210">
        <v>159268.535</v>
      </c>
      <c r="E210" s="10" t="s">
        <v>640</v>
      </c>
      <c r="F210" s="10" t="s">
        <v>641</v>
      </c>
      <c r="G210" s="10" t="s">
        <v>642</v>
      </c>
      <c r="H210" s="10">
        <v>-40.067944673938896</v>
      </c>
      <c r="I210" s="10">
        <v>-54.052826953855799</v>
      </c>
      <c r="J210" s="10">
        <v>112.9345685744</v>
      </c>
      <c r="K210" s="4">
        <f t="shared" si="41"/>
        <v>-40.067944675</v>
      </c>
      <c r="L210" s="4">
        <f t="shared" si="42"/>
        <v>-54.052826952777764</v>
      </c>
      <c r="M210" s="4">
        <f t="shared" si="43"/>
        <v>112.93456944444443</v>
      </c>
      <c r="N210" s="4">
        <f t="shared" si="44"/>
        <v>112.93456857440003</v>
      </c>
      <c r="O210" s="5">
        <f t="shared" si="45"/>
        <v>-40.067944673941234</v>
      </c>
      <c r="P210" s="2">
        <f t="shared" si="46"/>
        <v>2.6424253309953691E-11</v>
      </c>
      <c r="Q210" s="2">
        <f t="shared" si="47"/>
        <v>5.8343037549695264E-14</v>
      </c>
      <c r="R210" s="6">
        <f t="shared" si="48"/>
        <v>-54.052826953857306</v>
      </c>
      <c r="S210" s="2">
        <f t="shared" si="49"/>
        <v>1.9971976493258288E-11</v>
      </c>
      <c r="T210" s="2">
        <f t="shared" si="50"/>
        <v>2.7868118740530711E-14</v>
      </c>
      <c r="U210" s="6">
        <f t="shared" si="51"/>
        <v>112.93456857439551</v>
      </c>
      <c r="V210" s="2">
        <f t="shared" si="52"/>
        <v>7.704008844034305E-9</v>
      </c>
      <c r="W210" s="2">
        <f t="shared" si="53"/>
        <v>4.0014778968736542E-14</v>
      </c>
    </row>
    <row r="211" spans="1:23" x14ac:dyDescent="0.45">
      <c r="A211">
        <v>56.888509999999997</v>
      </c>
      <c r="B211">
        <v>139.53071</v>
      </c>
      <c r="C211">
        <v>168.49395999999999</v>
      </c>
      <c r="D211">
        <v>239557.7653</v>
      </c>
      <c r="E211" s="10" t="s">
        <v>643</v>
      </c>
      <c r="F211" s="10" t="s">
        <v>644</v>
      </c>
      <c r="G211" s="10" t="s">
        <v>645</v>
      </c>
      <c r="H211" s="10">
        <v>54.777827073940401</v>
      </c>
      <c r="I211" s="10">
        <v>140.27316622138301</v>
      </c>
      <c r="J211" s="10">
        <v>169.108379688208</v>
      </c>
      <c r="K211" s="4">
        <f t="shared" si="41"/>
        <v>54.777827074999998</v>
      </c>
      <c r="L211" s="4">
        <f t="shared" si="42"/>
        <v>140.27316622222224</v>
      </c>
      <c r="M211" s="4">
        <f t="shared" si="43"/>
        <v>169.10838055555553</v>
      </c>
      <c r="N211" s="4">
        <f t="shared" si="44"/>
        <v>169.10837968820806</v>
      </c>
      <c r="O211" s="5">
        <f t="shared" si="45"/>
        <v>54.777827073934581</v>
      </c>
      <c r="P211" s="2">
        <f t="shared" si="46"/>
        <v>1.9449771131837557E-11</v>
      </c>
      <c r="Q211" s="2">
        <f t="shared" si="47"/>
        <v>1.0623541160221875E-13</v>
      </c>
      <c r="R211" s="6">
        <f t="shared" si="48"/>
        <v>140.27316622138451</v>
      </c>
      <c r="S211" s="2">
        <f t="shared" si="49"/>
        <v>5.9721321477410549E-12</v>
      </c>
      <c r="T211" s="2">
        <f t="shared" si="50"/>
        <v>1.0738693938326366E-14</v>
      </c>
      <c r="U211" s="6">
        <f t="shared" si="51"/>
        <v>169.10837968820888</v>
      </c>
      <c r="V211" s="2">
        <f t="shared" si="52"/>
        <v>5.1289394390660691E-9</v>
      </c>
      <c r="W211" s="2">
        <f t="shared" si="53"/>
        <v>4.8739723897856603E-15</v>
      </c>
    </row>
    <row r="212" spans="1:23" x14ac:dyDescent="0.4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10" t="s">
        <v>646</v>
      </c>
      <c r="F212" s="10" t="s">
        <v>647</v>
      </c>
      <c r="G212" s="10" t="s">
        <v>648</v>
      </c>
      <c r="H212" s="10">
        <v>71.761966785479203</v>
      </c>
      <c r="I212" s="10">
        <v>25.548529211982199</v>
      </c>
      <c r="J212" s="10">
        <v>70.459414719790203</v>
      </c>
      <c r="K212" s="4">
        <f t="shared" si="41"/>
        <v>71.761966786111117</v>
      </c>
      <c r="L212" s="4">
        <f t="shared" si="42"/>
        <v>25.548529211111145</v>
      </c>
      <c r="M212" s="4">
        <f t="shared" si="43"/>
        <v>70.459413888888889</v>
      </c>
      <c r="N212" s="4">
        <f t="shared" si="44"/>
        <v>70.459414719790175</v>
      </c>
      <c r="O212" s="5">
        <f t="shared" si="45"/>
        <v>71.761966785478307</v>
      </c>
      <c r="P212" s="2">
        <f t="shared" si="46"/>
        <v>8.8181719204276288E-12</v>
      </c>
      <c r="Q212" s="2">
        <f t="shared" si="47"/>
        <v>1.2475742892248655E-14</v>
      </c>
      <c r="R212" s="6">
        <f t="shared" si="48"/>
        <v>25.548529211973943</v>
      </c>
      <c r="S212" s="2">
        <f t="shared" si="49"/>
        <v>3.3770939456019278E-11</v>
      </c>
      <c r="T212" s="2">
        <f t="shared" si="50"/>
        <v>3.2316954612244696E-13</v>
      </c>
      <c r="U212" s="6">
        <f t="shared" si="51"/>
        <v>70.459414719783169</v>
      </c>
      <c r="V212" s="2">
        <f t="shared" si="52"/>
        <v>1.1792523294507033E-8</v>
      </c>
      <c r="W212" s="2">
        <f t="shared" si="53"/>
        <v>9.943243784321136E-14</v>
      </c>
    </row>
    <row r="213" spans="1:23" x14ac:dyDescent="0.4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10" t="s">
        <v>649</v>
      </c>
      <c r="F213" s="10" t="s">
        <v>650</v>
      </c>
      <c r="G213" s="10" t="s">
        <v>651</v>
      </c>
      <c r="H213" s="10">
        <v>19.7077015462331</v>
      </c>
      <c r="I213" s="10">
        <v>-20.381808578174901</v>
      </c>
      <c r="J213" s="10">
        <v>121.295073874273</v>
      </c>
      <c r="K213" s="4">
        <f t="shared" si="41"/>
        <v>19.707701547222221</v>
      </c>
      <c r="L213" s="4">
        <f t="shared" si="42"/>
        <v>-20.381808577777747</v>
      </c>
      <c r="M213" s="4">
        <f t="shared" si="43"/>
        <v>121.295075</v>
      </c>
      <c r="N213" s="4">
        <f t="shared" si="44"/>
        <v>121.29507387427299</v>
      </c>
      <c r="O213" s="5">
        <f t="shared" si="45"/>
        <v>19.707701546235121</v>
      </c>
      <c r="P213" s="2">
        <f t="shared" si="46"/>
        <v>5.0087026993352099E-11</v>
      </c>
      <c r="Q213" s="2">
        <f t="shared" si="47"/>
        <v>1.0257381250143146E-13</v>
      </c>
      <c r="R213" s="6">
        <f t="shared" si="48"/>
        <v>-20.381808578182881</v>
      </c>
      <c r="S213" s="2">
        <f t="shared" si="49"/>
        <v>1.9877220552632005E-11</v>
      </c>
      <c r="T213" s="2">
        <f t="shared" si="50"/>
        <v>3.9149592107985756E-13</v>
      </c>
      <c r="U213" s="6">
        <f t="shared" si="51"/>
        <v>121.29507387427208</v>
      </c>
      <c r="V213" s="2">
        <f t="shared" si="52"/>
        <v>9.2809037775913393E-9</v>
      </c>
      <c r="W213" s="2">
        <f t="shared" si="53"/>
        <v>7.4981998256223871E-15</v>
      </c>
    </row>
    <row r="214" spans="1:23" x14ac:dyDescent="0.4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10" t="s">
        <v>652</v>
      </c>
      <c r="F214" s="10" t="s">
        <v>653</v>
      </c>
      <c r="G214" s="10" t="s">
        <v>654</v>
      </c>
      <c r="H214" s="10">
        <v>76.444712733659699</v>
      </c>
      <c r="I214" s="10">
        <v>47.7675187471824</v>
      </c>
      <c r="J214" s="10">
        <v>-96.354993072686895</v>
      </c>
      <c r="K214" s="4">
        <f t="shared" si="41"/>
        <v>76.444712733333333</v>
      </c>
      <c r="L214" s="4">
        <f t="shared" si="42"/>
        <v>47.767518747222198</v>
      </c>
      <c r="M214" s="4">
        <f t="shared" si="43"/>
        <v>263.64500555555554</v>
      </c>
      <c r="N214" s="4">
        <f t="shared" si="44"/>
        <v>263.64500692731309</v>
      </c>
      <c r="O214" s="5">
        <f t="shared" si="45"/>
        <v>76.444712733660424</v>
      </c>
      <c r="P214" s="2">
        <f t="shared" si="46"/>
        <v>4.2787948477328508E-12</v>
      </c>
      <c r="Q214" s="2">
        <f t="shared" si="47"/>
        <v>9.4807549738646982E-15</v>
      </c>
      <c r="R214" s="6">
        <f t="shared" si="48"/>
        <v>47.767518747217338</v>
      </c>
      <c r="S214" s="2">
        <f t="shared" si="49"/>
        <v>1.0174512807160855E-13</v>
      </c>
      <c r="T214" s="2">
        <f t="shared" si="50"/>
        <v>7.3140467065572524E-13</v>
      </c>
      <c r="U214" s="6">
        <f t="shared" si="51"/>
        <v>263.64500692734509</v>
      </c>
      <c r="V214" s="2">
        <f t="shared" si="52"/>
        <v>5.2031691190008487E-9</v>
      </c>
      <c r="W214" s="2">
        <f t="shared" si="53"/>
        <v>1.2138612140474975E-13</v>
      </c>
    </row>
    <row r="215" spans="1:23" x14ac:dyDescent="0.45">
      <c r="A215">
        <v>13.729810000000001</v>
      </c>
      <c r="B215">
        <v>58.733600000000003</v>
      </c>
      <c r="C215">
        <v>139.60749000000001</v>
      </c>
      <c r="D215">
        <v>181052.9467</v>
      </c>
      <c r="E215" s="10" t="s">
        <v>655</v>
      </c>
      <c r="F215" s="10" t="s">
        <v>656</v>
      </c>
      <c r="G215" s="10" t="s">
        <v>657</v>
      </c>
      <c r="H215" s="10">
        <v>12.4810819871468</v>
      </c>
      <c r="I215" s="10">
        <v>59.812817548607498</v>
      </c>
      <c r="J215" s="10">
        <v>139.85221747695101</v>
      </c>
      <c r="K215" s="4">
        <f t="shared" si="41"/>
        <v>12.481081986111111</v>
      </c>
      <c r="L215" s="4">
        <f t="shared" si="42"/>
        <v>59.812817547222267</v>
      </c>
      <c r="M215" s="4">
        <f t="shared" si="43"/>
        <v>139.85221666666666</v>
      </c>
      <c r="N215" s="4">
        <f t="shared" si="44"/>
        <v>139.85221747695101</v>
      </c>
      <c r="O215" s="5">
        <f t="shared" si="45"/>
        <v>12.481081987139051</v>
      </c>
      <c r="P215" s="2">
        <f t="shared" si="46"/>
        <v>8.2359878783841397E-11</v>
      </c>
      <c r="Q215" s="2">
        <f t="shared" si="47"/>
        <v>6.2081705267567178E-13</v>
      </c>
      <c r="R215" s="6">
        <f t="shared" si="48"/>
        <v>59.812817548612905</v>
      </c>
      <c r="S215" s="2">
        <f t="shared" si="49"/>
        <v>2.3249844637313227E-11</v>
      </c>
      <c r="T215" s="2">
        <f t="shared" si="50"/>
        <v>9.0402533114915063E-14</v>
      </c>
      <c r="U215" s="6">
        <f t="shared" si="51"/>
        <v>139.85221747695189</v>
      </c>
      <c r="V215" s="2">
        <f t="shared" si="52"/>
        <v>5.7938676157499337E-9</v>
      </c>
      <c r="W215" s="2">
        <f t="shared" si="53"/>
        <v>6.3000287606289369E-15</v>
      </c>
    </row>
    <row r="216" spans="1:23" x14ac:dyDescent="0.4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10" t="s">
        <v>658</v>
      </c>
      <c r="F216" s="10" t="s">
        <v>659</v>
      </c>
      <c r="G216" s="10" t="s">
        <v>660</v>
      </c>
      <c r="H216" s="10">
        <v>-33.011179453936201</v>
      </c>
      <c r="I216" s="10">
        <v>-130.533547339975</v>
      </c>
      <c r="J216" s="10">
        <v>-51.9793050852929</v>
      </c>
      <c r="K216" s="4">
        <f t="shared" si="41"/>
        <v>-33.011179452777775</v>
      </c>
      <c r="L216" s="4">
        <f t="shared" si="42"/>
        <v>-130.53354733888887</v>
      </c>
      <c r="M216" s="4">
        <f t="shared" si="43"/>
        <v>308.02069444444442</v>
      </c>
      <c r="N216" s="4">
        <f t="shared" si="44"/>
        <v>308.02069491470712</v>
      </c>
      <c r="O216" s="5">
        <f t="shared" si="45"/>
        <v>-33.011179453929678</v>
      </c>
      <c r="P216" s="2">
        <f t="shared" si="46"/>
        <v>3.4894344297895587E-11</v>
      </c>
      <c r="Q216" s="2">
        <f t="shared" si="47"/>
        <v>1.975931312414817E-13</v>
      </c>
      <c r="R216" s="6">
        <f t="shared" si="48"/>
        <v>-130.53354733997654</v>
      </c>
      <c r="S216" s="2">
        <f t="shared" si="49"/>
        <v>8.332497050496456E-12</v>
      </c>
      <c r="T216" s="2">
        <f t="shared" si="50"/>
        <v>1.1757684829053924E-14</v>
      </c>
      <c r="U216" s="6">
        <f t="shared" si="51"/>
        <v>308.02069491471224</v>
      </c>
      <c r="V216" s="2">
        <f t="shared" si="52"/>
        <v>1.5267409937406632E-9</v>
      </c>
      <c r="W216" s="2">
        <f t="shared" si="53"/>
        <v>1.66089739486152E-14</v>
      </c>
    </row>
    <row r="217" spans="1:23" x14ac:dyDescent="0.45">
      <c r="A217">
        <v>67.883499999999998</v>
      </c>
      <c r="B217">
        <v>102.04498</v>
      </c>
      <c r="C217">
        <v>125.37953</v>
      </c>
      <c r="D217">
        <v>269764.81349999999</v>
      </c>
      <c r="E217" s="10" t="s">
        <v>661</v>
      </c>
      <c r="F217" s="10" t="s">
        <v>662</v>
      </c>
      <c r="G217" s="10" t="s">
        <v>663</v>
      </c>
      <c r="H217" s="10">
        <v>66.404651559977395</v>
      </c>
      <c r="I217" s="10">
        <v>106.97188621248399</v>
      </c>
      <c r="J217" s="10">
        <v>129.920397974541</v>
      </c>
      <c r="K217" s="4">
        <f t="shared" si="41"/>
        <v>66.404651561111109</v>
      </c>
      <c r="L217" s="4">
        <f t="shared" si="42"/>
        <v>106.97188621111115</v>
      </c>
      <c r="M217" s="4">
        <f t="shared" si="43"/>
        <v>129.92039722222222</v>
      </c>
      <c r="N217" s="4">
        <f t="shared" si="44"/>
        <v>129.920397974541</v>
      </c>
      <c r="O217" s="5">
        <f t="shared" si="45"/>
        <v>66.404651559979726</v>
      </c>
      <c r="P217" s="2">
        <f t="shared" si="46"/>
        <v>1.7037706857853162E-11</v>
      </c>
      <c r="Q217" s="2">
        <f t="shared" si="47"/>
        <v>3.5096640348878622E-14</v>
      </c>
      <c r="R217" s="6">
        <f t="shared" si="48"/>
        <v>106.97188621247308</v>
      </c>
      <c r="S217" s="2">
        <f t="shared" si="49"/>
        <v>1.2731622593370251E-11</v>
      </c>
      <c r="T217" s="2">
        <f t="shared" si="50"/>
        <v>1.020262127527246E-13</v>
      </c>
      <c r="U217" s="6">
        <f t="shared" si="51"/>
        <v>129.92039797453452</v>
      </c>
      <c r="V217" s="2">
        <f t="shared" si="52"/>
        <v>5.7905634465831379E-9</v>
      </c>
      <c r="W217" s="2">
        <f t="shared" si="53"/>
        <v>4.9877847136844156E-14</v>
      </c>
    </row>
    <row r="218" spans="1:23" x14ac:dyDescent="0.4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10" t="s">
        <v>664</v>
      </c>
      <c r="F218" s="10" t="s">
        <v>665</v>
      </c>
      <c r="G218" s="10" t="s">
        <v>666</v>
      </c>
      <c r="H218" s="10">
        <v>62.378426951477003</v>
      </c>
      <c r="I218" s="10">
        <v>-177.145605841692</v>
      </c>
      <c r="J218" s="10">
        <v>-161.68818476549501</v>
      </c>
      <c r="K218" s="4">
        <f t="shared" si="41"/>
        <v>62.378426952777779</v>
      </c>
      <c r="L218" s="4">
        <f t="shared" si="42"/>
        <v>-177.14560584166668</v>
      </c>
      <c r="M218" s="4">
        <f t="shared" si="43"/>
        <v>198.31181388888888</v>
      </c>
      <c r="N218" s="4">
        <f t="shared" si="44"/>
        <v>198.31181523450499</v>
      </c>
      <c r="O218" s="5">
        <f t="shared" si="45"/>
        <v>62.378426951475561</v>
      </c>
      <c r="P218" s="2">
        <f t="shared" si="46"/>
        <v>2.0876107989076245E-11</v>
      </c>
      <c r="Q218" s="2">
        <f t="shared" si="47"/>
        <v>2.3123406986761951E-14</v>
      </c>
      <c r="R218" s="6">
        <f t="shared" si="48"/>
        <v>-177.14560584169229</v>
      </c>
      <c r="S218" s="2">
        <f t="shared" si="49"/>
        <v>1.4455882252976959E-13</v>
      </c>
      <c r="T218" s="2">
        <f t="shared" si="50"/>
        <v>1.6044264431714644E-15</v>
      </c>
      <c r="U218" s="6">
        <f t="shared" si="51"/>
        <v>198.31181523450414</v>
      </c>
      <c r="V218" s="2">
        <f t="shared" si="52"/>
        <v>6.7853509769241361E-9</v>
      </c>
      <c r="W218" s="2">
        <f t="shared" si="53"/>
        <v>4.29954857658811E-15</v>
      </c>
    </row>
    <row r="219" spans="1:23" x14ac:dyDescent="0.4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10" t="s">
        <v>667</v>
      </c>
      <c r="F219" s="10" t="s">
        <v>668</v>
      </c>
      <c r="G219" s="10" t="s">
        <v>669</v>
      </c>
      <c r="H219" s="10">
        <v>5.4706714178052902</v>
      </c>
      <c r="I219" s="10">
        <v>127.443829429601</v>
      </c>
      <c r="J219" s="10">
        <v>97.347152575076905</v>
      </c>
      <c r="K219" s="4">
        <f t="shared" si="41"/>
        <v>5.4706714166666668</v>
      </c>
      <c r="L219" s="4">
        <f t="shared" si="42"/>
        <v>127.44382943055552</v>
      </c>
      <c r="M219" s="4">
        <f t="shared" si="43"/>
        <v>97.347152777777751</v>
      </c>
      <c r="N219" s="4">
        <f t="shared" si="44"/>
        <v>97.347152575076905</v>
      </c>
      <c r="O219" s="5">
        <f t="shared" si="45"/>
        <v>5.4706714178033504</v>
      </c>
      <c r="P219" s="2">
        <f t="shared" si="46"/>
        <v>2.0777772041689446E-10</v>
      </c>
      <c r="Q219" s="2">
        <f t="shared" si="47"/>
        <v>3.5457835437012412E-13</v>
      </c>
      <c r="R219" s="6">
        <f t="shared" si="48"/>
        <v>127.44382942961519</v>
      </c>
      <c r="S219" s="2">
        <f t="shared" si="49"/>
        <v>7.3784055352582296E-12</v>
      </c>
      <c r="T219" s="2">
        <f t="shared" si="50"/>
        <v>1.1139530194617166E-13</v>
      </c>
      <c r="U219" s="6">
        <f t="shared" si="51"/>
        <v>97.347152575078255</v>
      </c>
      <c r="V219" s="2">
        <f t="shared" si="52"/>
        <v>2.0822334348251339E-9</v>
      </c>
      <c r="W219" s="2">
        <f t="shared" si="53"/>
        <v>1.3868214552069283E-14</v>
      </c>
    </row>
    <row r="220" spans="1:23" x14ac:dyDescent="0.45">
      <c r="A220">
        <v>-21.29729</v>
      </c>
      <c r="B220">
        <v>-2.90787</v>
      </c>
      <c r="C220">
        <v>283.41816</v>
      </c>
      <c r="D220">
        <v>261627.51920000001</v>
      </c>
      <c r="E220" s="10" t="s">
        <v>670</v>
      </c>
      <c r="F220" s="10" t="s">
        <v>671</v>
      </c>
      <c r="G220" s="10" t="s">
        <v>672</v>
      </c>
      <c r="H220" s="10">
        <v>-20.731282237147699</v>
      </c>
      <c r="I220" s="10">
        <v>-5.3512540467624303</v>
      </c>
      <c r="J220" s="10">
        <v>-75.705513588228996</v>
      </c>
      <c r="K220" s="4">
        <f t="shared" si="41"/>
        <v>-20.73128223611111</v>
      </c>
      <c r="L220" s="4">
        <f t="shared" si="42"/>
        <v>-5.3512540472222554</v>
      </c>
      <c r="M220" s="4">
        <f t="shared" si="43"/>
        <v>284.2944861111111</v>
      </c>
      <c r="N220" s="4">
        <f t="shared" si="44"/>
        <v>284.294486411771</v>
      </c>
      <c r="O220" s="5">
        <f t="shared" si="45"/>
        <v>-20.731282237143009</v>
      </c>
      <c r="P220" s="2">
        <f t="shared" si="46"/>
        <v>4.977501570379905E-11</v>
      </c>
      <c r="Q220" s="2">
        <f t="shared" si="47"/>
        <v>2.2620800789704914E-13</v>
      </c>
      <c r="R220" s="6">
        <f t="shared" si="48"/>
        <v>-5.3512540467695473</v>
      </c>
      <c r="S220" s="2">
        <f t="shared" si="49"/>
        <v>8.4598505180262502E-11</v>
      </c>
      <c r="T220" s="2">
        <f t="shared" si="50"/>
        <v>1.3299637084811836E-12</v>
      </c>
      <c r="U220" s="6">
        <f t="shared" si="51"/>
        <v>284.29448641177777</v>
      </c>
      <c r="V220" s="2">
        <f t="shared" si="52"/>
        <v>1.0575888204534023E-9</v>
      </c>
      <c r="W220" s="2">
        <f t="shared" si="53"/>
        <v>2.3793521041553623E-14</v>
      </c>
    </row>
    <row r="221" spans="1:23" x14ac:dyDescent="0.45">
      <c r="A221">
        <v>42.500529999999998</v>
      </c>
      <c r="B221">
        <v>89.240600000000001</v>
      </c>
      <c r="C221">
        <v>117.77651</v>
      </c>
      <c r="D221">
        <v>288789.2316</v>
      </c>
      <c r="E221" s="10" t="s">
        <v>673</v>
      </c>
      <c r="F221" s="10" t="s">
        <v>674</v>
      </c>
      <c r="G221" s="10" t="s">
        <v>675</v>
      </c>
      <c r="H221" s="10">
        <v>41.247816070951401</v>
      </c>
      <c r="I221" s="10">
        <v>92.289375349090804</v>
      </c>
      <c r="J221" s="10">
        <v>119.811947483126</v>
      </c>
      <c r="K221" s="4">
        <f t="shared" si="41"/>
        <v>41.247816072222221</v>
      </c>
      <c r="L221" s="4">
        <f t="shared" si="42"/>
        <v>92.28937535</v>
      </c>
      <c r="M221" s="4">
        <f t="shared" si="43"/>
        <v>119.81194722222222</v>
      </c>
      <c r="N221" s="4">
        <f t="shared" si="44"/>
        <v>119.811947483126</v>
      </c>
      <c r="O221" s="5">
        <f t="shared" si="45"/>
        <v>41.247816070946293</v>
      </c>
      <c r="P221" s="2">
        <f t="shared" si="46"/>
        <v>3.093324247270939E-11</v>
      </c>
      <c r="Q221" s="2">
        <f t="shared" si="47"/>
        <v>1.2385630941835421E-13</v>
      </c>
      <c r="R221" s="6">
        <f t="shared" si="48"/>
        <v>92.289375349089866</v>
      </c>
      <c r="S221" s="2">
        <f t="shared" si="49"/>
        <v>9.8617439633056564E-12</v>
      </c>
      <c r="T221" s="2">
        <f t="shared" si="50"/>
        <v>1.0162777759147247E-14</v>
      </c>
      <c r="U221" s="6">
        <f t="shared" si="51"/>
        <v>119.81194748313347</v>
      </c>
      <c r="V221" s="2">
        <f t="shared" si="52"/>
        <v>2.1776730617241144E-9</v>
      </c>
      <c r="W221" s="2">
        <f t="shared" si="53"/>
        <v>6.2270073078745309E-14</v>
      </c>
    </row>
    <row r="222" spans="1:23" x14ac:dyDescent="0.45">
      <c r="A222">
        <v>-43.726329999999997</v>
      </c>
      <c r="B222">
        <v>-162.36582999999999</v>
      </c>
      <c r="C222">
        <v>248.34501</v>
      </c>
      <c r="D222">
        <v>223681.27929999999</v>
      </c>
      <c r="E222" s="10" t="s">
        <v>676</v>
      </c>
      <c r="F222" s="10" t="s">
        <v>677</v>
      </c>
      <c r="G222" s="10" t="s">
        <v>678</v>
      </c>
      <c r="H222" s="10">
        <v>-44.439582203817302</v>
      </c>
      <c r="I222" s="10">
        <v>-164.97755805528701</v>
      </c>
      <c r="J222" s="10">
        <v>-109.83781483816099</v>
      </c>
      <c r="K222" s="4">
        <f t="shared" si="41"/>
        <v>-44.439582202777778</v>
      </c>
      <c r="L222" s="4">
        <f t="shared" si="42"/>
        <v>-164.97755805555556</v>
      </c>
      <c r="M222" s="4">
        <f t="shared" si="43"/>
        <v>250.16218611111111</v>
      </c>
      <c r="N222" s="4">
        <f t="shared" si="44"/>
        <v>250.16218516183901</v>
      </c>
      <c r="O222" s="5">
        <f t="shared" si="45"/>
        <v>-44.439582203819661</v>
      </c>
      <c r="P222" s="2">
        <f t="shared" si="46"/>
        <v>2.344493293266437E-11</v>
      </c>
      <c r="Q222" s="2">
        <f t="shared" si="47"/>
        <v>5.3083349701719236E-14</v>
      </c>
      <c r="R222" s="6">
        <f t="shared" si="48"/>
        <v>-164.97755805528436</v>
      </c>
      <c r="S222" s="2">
        <f t="shared" si="49"/>
        <v>1.6438596532844152E-12</v>
      </c>
      <c r="T222" s="2">
        <f t="shared" si="50"/>
        <v>1.6021688090096359E-14</v>
      </c>
      <c r="U222" s="6">
        <f t="shared" si="51"/>
        <v>250.16218516184475</v>
      </c>
      <c r="V222" s="2">
        <f t="shared" si="52"/>
        <v>3.7946037321857933E-9</v>
      </c>
      <c r="W222" s="2">
        <f t="shared" si="53"/>
        <v>2.2949852717457789E-14</v>
      </c>
    </row>
    <row r="223" spans="1:23" x14ac:dyDescent="0.45">
      <c r="A223">
        <v>85.670190000000005</v>
      </c>
      <c r="B223">
        <v>-30.801480000000002</v>
      </c>
      <c r="C223">
        <v>310.89265999999998</v>
      </c>
      <c r="D223">
        <v>250297.2035</v>
      </c>
      <c r="E223" s="10" t="s">
        <v>679</v>
      </c>
      <c r="F223" s="10" t="s">
        <v>680</v>
      </c>
      <c r="G223" s="10" t="s">
        <v>681</v>
      </c>
      <c r="H223" s="10">
        <v>86.674404425722599</v>
      </c>
      <c r="I223" s="10">
        <v>-61.434860609499601</v>
      </c>
      <c r="J223" s="10">
        <v>-79.6767052285701</v>
      </c>
      <c r="K223" s="4">
        <f t="shared" si="41"/>
        <v>86.674404425000006</v>
      </c>
      <c r="L223" s="4">
        <f t="shared" si="42"/>
        <v>-61.434860608333338</v>
      </c>
      <c r="M223" s="4">
        <f t="shared" si="43"/>
        <v>280.32329444444446</v>
      </c>
      <c r="N223" s="4">
        <f t="shared" si="44"/>
        <v>280.32329477142991</v>
      </c>
      <c r="O223" s="5">
        <f t="shared" si="45"/>
        <v>86.674404425719203</v>
      </c>
      <c r="P223" s="2">
        <f t="shared" si="46"/>
        <v>8.2976877782181335E-12</v>
      </c>
      <c r="Q223" s="2">
        <f t="shared" si="47"/>
        <v>3.918566616565434E-14</v>
      </c>
      <c r="R223" s="6">
        <f t="shared" si="48"/>
        <v>-61.434860609181065</v>
      </c>
      <c r="S223" s="2">
        <f t="shared" si="49"/>
        <v>1.3798797838214882E-11</v>
      </c>
      <c r="T223" s="2">
        <f t="shared" si="50"/>
        <v>5.1849439435693616E-12</v>
      </c>
      <c r="U223" s="6">
        <f t="shared" si="51"/>
        <v>280.32329477174687</v>
      </c>
      <c r="V223" s="2">
        <f t="shared" si="52"/>
        <v>1.1675890757831347E-9</v>
      </c>
      <c r="W223" s="2">
        <f t="shared" si="53"/>
        <v>1.1306905615043785E-12</v>
      </c>
    </row>
    <row r="224" spans="1:23" x14ac:dyDescent="0.45">
      <c r="A224">
        <v>-42.551229999999997</v>
      </c>
      <c r="B224">
        <v>7.8101500000000001</v>
      </c>
      <c r="C224">
        <v>321.21706</v>
      </c>
      <c r="D224">
        <v>117917.5376</v>
      </c>
      <c r="E224" s="10" t="s">
        <v>682</v>
      </c>
      <c r="F224" s="10" t="s">
        <v>683</v>
      </c>
      <c r="G224" s="10" t="s">
        <v>684</v>
      </c>
      <c r="H224" s="10">
        <v>-41.720226661543002</v>
      </c>
      <c r="I224" s="10">
        <v>6.9225573788814003</v>
      </c>
      <c r="J224" s="10">
        <v>-38.187441455459897</v>
      </c>
      <c r="K224" s="4">
        <f t="shared" si="41"/>
        <v>-41.720226661111113</v>
      </c>
      <c r="L224" s="4">
        <f t="shared" si="42"/>
        <v>6.9225573777778209</v>
      </c>
      <c r="M224" s="4">
        <f t="shared" si="43"/>
        <v>321.8125583333333</v>
      </c>
      <c r="N224" s="4">
        <f t="shared" si="44"/>
        <v>321.81255854454008</v>
      </c>
      <c r="O224" s="5">
        <f t="shared" si="45"/>
        <v>-41.720226661535641</v>
      </c>
      <c r="P224" s="2">
        <f t="shared" si="46"/>
        <v>1.0175591129525298E-11</v>
      </c>
      <c r="Q224" s="2">
        <f t="shared" si="47"/>
        <v>1.7644253954305786E-13</v>
      </c>
      <c r="R224" s="6">
        <f t="shared" si="48"/>
        <v>6.9225573788759354</v>
      </c>
      <c r="S224" s="2">
        <f t="shared" si="49"/>
        <v>1.5862844152862559E-10</v>
      </c>
      <c r="T224" s="2">
        <f t="shared" si="50"/>
        <v>7.8944261741864262E-13</v>
      </c>
      <c r="U224" s="6">
        <f t="shared" si="51"/>
        <v>321.81255854454486</v>
      </c>
      <c r="V224" s="2">
        <f t="shared" si="52"/>
        <v>6.5631856563541025E-10</v>
      </c>
      <c r="W224" s="2">
        <f t="shared" si="53"/>
        <v>1.4837355030217121E-14</v>
      </c>
    </row>
    <row r="225" spans="1:23" x14ac:dyDescent="0.45">
      <c r="A225">
        <v>81.664879999999997</v>
      </c>
      <c r="B225">
        <v>172.62612999999999</v>
      </c>
      <c r="C225">
        <v>326.02055000000001</v>
      </c>
      <c r="D225">
        <v>236250.2966</v>
      </c>
      <c r="E225" s="10" t="s">
        <v>685</v>
      </c>
      <c r="F225" s="10" t="s">
        <v>686</v>
      </c>
      <c r="G225" s="10" t="s">
        <v>687</v>
      </c>
      <c r="H225" s="10">
        <v>83.314532636096203</v>
      </c>
      <c r="I225" s="10">
        <v>162.41978013055299</v>
      </c>
      <c r="J225" s="10">
        <v>-44.099743400445398</v>
      </c>
      <c r="K225" s="4">
        <f t="shared" si="41"/>
        <v>83.31453263611111</v>
      </c>
      <c r="L225" s="4">
        <f t="shared" si="42"/>
        <v>162.41978013055552</v>
      </c>
      <c r="M225" s="4">
        <f t="shared" si="43"/>
        <v>315.90025555555553</v>
      </c>
      <c r="N225" s="4">
        <f t="shared" si="44"/>
        <v>315.90025659955461</v>
      </c>
      <c r="O225" s="5">
        <f t="shared" si="45"/>
        <v>83.314532636084749</v>
      </c>
      <c r="P225" s="2">
        <f t="shared" si="46"/>
        <v>3.1640500957781259E-13</v>
      </c>
      <c r="Q225" s="2">
        <f t="shared" si="47"/>
        <v>1.3747840308342996E-13</v>
      </c>
      <c r="R225" s="6">
        <f t="shared" si="48"/>
        <v>162.41978013064875</v>
      </c>
      <c r="S225" s="2">
        <f t="shared" si="49"/>
        <v>5.7396461722082673E-13</v>
      </c>
      <c r="T225" s="2">
        <f t="shared" si="50"/>
        <v>5.8953865713932787E-13</v>
      </c>
      <c r="U225" s="6">
        <f t="shared" si="51"/>
        <v>315.90025659964829</v>
      </c>
      <c r="V225" s="2">
        <f t="shared" si="52"/>
        <v>3.3051342536217944E-9</v>
      </c>
      <c r="W225" s="2">
        <f t="shared" si="53"/>
        <v>2.9654282427937633E-13</v>
      </c>
    </row>
    <row r="226" spans="1:23" x14ac:dyDescent="0.45">
      <c r="A226">
        <v>-67.322550000000007</v>
      </c>
      <c r="B226">
        <v>144.511</v>
      </c>
      <c r="C226">
        <v>168.7217</v>
      </c>
      <c r="D226">
        <v>152724.31289999999</v>
      </c>
      <c r="E226" s="10" t="s">
        <v>688</v>
      </c>
      <c r="F226" s="10" t="s">
        <v>689</v>
      </c>
      <c r="G226" s="10" t="s">
        <v>690</v>
      </c>
      <c r="H226" s="10">
        <v>-68.663804540891604</v>
      </c>
      <c r="I226" s="10">
        <v>145.24626739109399</v>
      </c>
      <c r="J226" s="10">
        <v>168.03995670804599</v>
      </c>
      <c r="K226" s="4">
        <f t="shared" si="41"/>
        <v>-68.663804541666664</v>
      </c>
      <c r="L226" s="4">
        <f t="shared" si="42"/>
        <v>145.24626739166661</v>
      </c>
      <c r="M226" s="4">
        <f t="shared" si="43"/>
        <v>168.03995555555548</v>
      </c>
      <c r="N226" s="4">
        <f t="shared" si="44"/>
        <v>168.03995670804602</v>
      </c>
      <c r="O226" s="5">
        <f t="shared" si="45"/>
        <v>-68.663804540890993</v>
      </c>
      <c r="P226" s="2">
        <f t="shared" si="46"/>
        <v>1.1296651679840681E-11</v>
      </c>
      <c r="Q226" s="2">
        <f t="shared" si="47"/>
        <v>8.8994013197997989E-15</v>
      </c>
      <c r="R226" s="6">
        <f t="shared" si="48"/>
        <v>145.24626739109368</v>
      </c>
      <c r="S226" s="2">
        <f t="shared" si="49"/>
        <v>3.9445063132201023E-12</v>
      </c>
      <c r="T226" s="2">
        <f t="shared" si="50"/>
        <v>2.1524739282464621E-15</v>
      </c>
      <c r="U226" s="6">
        <f t="shared" si="51"/>
        <v>168.03995670804642</v>
      </c>
      <c r="V226" s="2">
        <f t="shared" si="52"/>
        <v>6.8584339624973709E-9</v>
      </c>
      <c r="W226" s="2">
        <f t="shared" si="53"/>
        <v>2.3679126073388461E-15</v>
      </c>
    </row>
    <row r="227" spans="1:23" x14ac:dyDescent="0.45">
      <c r="A227">
        <v>-36.309139999999999</v>
      </c>
      <c r="B227">
        <v>-105.28355000000001</v>
      </c>
      <c r="C227">
        <v>238.57171</v>
      </c>
      <c r="D227">
        <v>140330.49110000001</v>
      </c>
      <c r="E227" s="10" t="s">
        <v>691</v>
      </c>
      <c r="F227" s="10" t="s">
        <v>692</v>
      </c>
      <c r="G227" s="10" t="s">
        <v>693</v>
      </c>
      <c r="H227" s="10">
        <v>-36.9609903091281</v>
      </c>
      <c r="I227" s="10">
        <v>-106.628130029757</v>
      </c>
      <c r="J227" s="10">
        <v>-120.625920629939</v>
      </c>
      <c r="K227" s="4">
        <f t="shared" si="41"/>
        <v>-36.960990308333336</v>
      </c>
      <c r="L227" s="4">
        <f t="shared" si="42"/>
        <v>-106.62813003055555</v>
      </c>
      <c r="M227" s="4">
        <f t="shared" si="43"/>
        <v>239.37408055555557</v>
      </c>
      <c r="N227" s="4">
        <f t="shared" si="44"/>
        <v>239.374079370061</v>
      </c>
      <c r="O227" s="5">
        <f t="shared" si="45"/>
        <v>-36.960990309152223</v>
      </c>
      <c r="P227" s="2">
        <f t="shared" si="46"/>
        <v>2.2155420763284355E-11</v>
      </c>
      <c r="Q227" s="2">
        <f t="shared" si="47"/>
        <v>6.5265907859340732E-13</v>
      </c>
      <c r="R227" s="6">
        <f t="shared" si="48"/>
        <v>-106.62813002980124</v>
      </c>
      <c r="S227" s="2">
        <f t="shared" si="49"/>
        <v>7.0742323631368689E-12</v>
      </c>
      <c r="T227" s="2">
        <f t="shared" si="50"/>
        <v>4.1488480306348904E-13</v>
      </c>
      <c r="U227" s="6">
        <f t="shared" si="51"/>
        <v>239.37407937009101</v>
      </c>
      <c r="V227" s="2">
        <f t="shared" si="52"/>
        <v>4.9523513665865741E-9</v>
      </c>
      <c r="W227" s="2">
        <f t="shared" si="53"/>
        <v>1.253825194335576E-13</v>
      </c>
    </row>
    <row r="228" spans="1:23" x14ac:dyDescent="0.45">
      <c r="A228">
        <v>41.576300000000003</v>
      </c>
      <c r="B228">
        <v>54.880719999999997</v>
      </c>
      <c r="C228">
        <v>302.06475</v>
      </c>
      <c r="D228">
        <v>108131.13069999999</v>
      </c>
      <c r="E228" s="10" t="s">
        <v>694</v>
      </c>
      <c r="F228" s="10" t="s">
        <v>695</v>
      </c>
      <c r="G228" s="10" t="s">
        <v>696</v>
      </c>
      <c r="H228" s="10">
        <v>42.087820656755902</v>
      </c>
      <c r="I228" s="10">
        <v>53.773147891286897</v>
      </c>
      <c r="J228" s="10">
        <v>-58.673964864169299</v>
      </c>
      <c r="K228" s="4">
        <f t="shared" si="41"/>
        <v>42.087820655555554</v>
      </c>
      <c r="L228" s="4">
        <f t="shared" si="42"/>
        <v>53.773147891666667</v>
      </c>
      <c r="M228" s="4">
        <f t="shared" si="43"/>
        <v>301.32603611111108</v>
      </c>
      <c r="N228" s="4">
        <f t="shared" si="44"/>
        <v>301.32603513583069</v>
      </c>
      <c r="O228" s="5">
        <f t="shared" si="45"/>
        <v>42.087820656757913</v>
      </c>
      <c r="P228" s="2">
        <f t="shared" si="46"/>
        <v>2.856786315953992E-11</v>
      </c>
      <c r="Q228" s="2">
        <f t="shared" si="47"/>
        <v>4.7777145759109429E-14</v>
      </c>
      <c r="R228" s="6">
        <f t="shared" si="48"/>
        <v>53.773147891286783</v>
      </c>
      <c r="S228" s="2">
        <f t="shared" si="49"/>
        <v>7.0645774543850245E-12</v>
      </c>
      <c r="T228" s="2">
        <f t="shared" si="50"/>
        <v>2.1141934623477233E-15</v>
      </c>
      <c r="U228" s="6">
        <f t="shared" si="51"/>
        <v>301.32603513582745</v>
      </c>
      <c r="V228" s="2">
        <f t="shared" si="52"/>
        <v>3.2366390866524857E-9</v>
      </c>
      <c r="W228" s="2">
        <f t="shared" si="53"/>
        <v>1.0752721296072234E-14</v>
      </c>
    </row>
    <row r="229" spans="1:23" x14ac:dyDescent="0.4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10" t="s">
        <v>697</v>
      </c>
      <c r="F229" s="10" t="s">
        <v>698</v>
      </c>
      <c r="G229" s="10" t="s">
        <v>699</v>
      </c>
      <c r="H229" s="10">
        <v>57.552421213111103</v>
      </c>
      <c r="I229" s="10">
        <v>-39.4577071041072</v>
      </c>
      <c r="J229" s="10">
        <v>-56.943133502113398</v>
      </c>
      <c r="K229" s="4">
        <f t="shared" si="41"/>
        <v>57.552421213888891</v>
      </c>
      <c r="L229" s="4">
        <f t="shared" si="42"/>
        <v>-39.457707102777761</v>
      </c>
      <c r="M229" s="4">
        <f t="shared" si="43"/>
        <v>303.05686666666668</v>
      </c>
      <c r="N229" s="4">
        <f t="shared" si="44"/>
        <v>303.05686649788663</v>
      </c>
      <c r="O229" s="5">
        <f t="shared" si="45"/>
        <v>57.552421213112503</v>
      </c>
      <c r="P229" s="2">
        <f t="shared" si="46"/>
        <v>1.3490114137815385E-11</v>
      </c>
      <c r="Q229" s="2">
        <f t="shared" si="47"/>
        <v>2.4321638602556549E-14</v>
      </c>
      <c r="R229" s="6">
        <f t="shared" si="48"/>
        <v>-39.457707104106447</v>
      </c>
      <c r="S229" s="2">
        <f t="shared" si="49"/>
        <v>3.3673687391440426E-11</v>
      </c>
      <c r="T229" s="2">
        <f t="shared" si="50"/>
        <v>1.9088166930695962E-14</v>
      </c>
      <c r="U229" s="6">
        <f t="shared" si="51"/>
        <v>303.05686649788282</v>
      </c>
      <c r="V229" s="2">
        <f t="shared" si="52"/>
        <v>5.5693790436502268E-10</v>
      </c>
      <c r="W229" s="2">
        <f t="shared" si="53"/>
        <v>1.2566978295806723E-14</v>
      </c>
    </row>
    <row r="230" spans="1:23" x14ac:dyDescent="0.45">
      <c r="A230">
        <v>74.583179999999999</v>
      </c>
      <c r="B230">
        <v>-170.44665000000001</v>
      </c>
      <c r="C230">
        <v>223.96682000000001</v>
      </c>
      <c r="D230">
        <v>221205.2267</v>
      </c>
      <c r="E230" s="10" t="s">
        <v>700</v>
      </c>
      <c r="F230" s="10" t="s">
        <v>701</v>
      </c>
      <c r="G230" s="10" t="s">
        <v>702</v>
      </c>
      <c r="H230" s="10">
        <v>73.101921577581805</v>
      </c>
      <c r="I230" s="10">
        <v>-175.182605921283</v>
      </c>
      <c r="J230" s="10">
        <v>-140.582649002723</v>
      </c>
      <c r="K230" s="4">
        <f t="shared" si="41"/>
        <v>73.101921577777773</v>
      </c>
      <c r="L230" s="4">
        <f t="shared" si="42"/>
        <v>-175.18260592222225</v>
      </c>
      <c r="M230" s="4">
        <f t="shared" si="43"/>
        <v>219.41735</v>
      </c>
      <c r="N230" s="4">
        <f t="shared" si="44"/>
        <v>219.417350997277</v>
      </c>
      <c r="O230" s="5">
        <f t="shared" si="45"/>
        <v>73.101921577587447</v>
      </c>
      <c r="P230" s="2">
        <f t="shared" si="46"/>
        <v>2.6035700990185401E-12</v>
      </c>
      <c r="Q230" s="2">
        <f t="shared" si="47"/>
        <v>7.7175937378715105E-14</v>
      </c>
      <c r="R230" s="6">
        <f t="shared" si="48"/>
        <v>-175.18260592126464</v>
      </c>
      <c r="S230" s="2">
        <f t="shared" si="49"/>
        <v>5.4663683691505541E-12</v>
      </c>
      <c r="T230" s="2">
        <f t="shared" si="50"/>
        <v>1.0480734771288372E-13</v>
      </c>
      <c r="U230" s="6">
        <f t="shared" si="51"/>
        <v>219.41735099729286</v>
      </c>
      <c r="V230" s="2">
        <f t="shared" si="52"/>
        <v>4.5451868691044992E-9</v>
      </c>
      <c r="W230" s="2">
        <f t="shared" si="53"/>
        <v>7.2279214884707327E-14</v>
      </c>
    </row>
    <row r="231" spans="1:23" x14ac:dyDescent="0.4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10" t="s">
        <v>703</v>
      </c>
      <c r="F231" s="10" t="s">
        <v>704</v>
      </c>
      <c r="G231" s="10" t="s">
        <v>705</v>
      </c>
      <c r="H231" s="10">
        <v>-0.220141910005592</v>
      </c>
      <c r="I231" s="10">
        <v>-32.6878852591217</v>
      </c>
      <c r="J231" s="10">
        <v>-141.084054148218</v>
      </c>
      <c r="K231" s="4">
        <f t="shared" si="41"/>
        <v>-0.22014191111111112</v>
      </c>
      <c r="L231" s="4">
        <f t="shared" si="42"/>
        <v>-32.687885258333324</v>
      </c>
      <c r="M231" s="4">
        <f t="shared" si="43"/>
        <v>218.91594722222223</v>
      </c>
      <c r="N231" s="4">
        <f t="shared" si="44"/>
        <v>218.915945851782</v>
      </c>
      <c r="O231" s="5">
        <f t="shared" si="45"/>
        <v>-0.22014191000877834</v>
      </c>
      <c r="P231" s="2">
        <f t="shared" si="46"/>
        <v>5.0073735394032859E-9</v>
      </c>
      <c r="Q231" s="2">
        <f t="shared" si="47"/>
        <v>1.4474027596986238E-11</v>
      </c>
      <c r="R231" s="6">
        <f t="shared" si="48"/>
        <v>-32.687885259124542</v>
      </c>
      <c r="S231" s="2">
        <f t="shared" si="49"/>
        <v>2.4205229299028818E-11</v>
      </c>
      <c r="T231" s="2">
        <f t="shared" si="50"/>
        <v>8.6948755494890275E-14</v>
      </c>
      <c r="U231" s="6">
        <f t="shared" si="51"/>
        <v>218.91594585178223</v>
      </c>
      <c r="V231" s="2">
        <f t="shared" si="52"/>
        <v>6.2601195602504564E-9</v>
      </c>
      <c r="W231" s="2">
        <f t="shared" si="53"/>
        <v>1.0386345981264262E-15</v>
      </c>
    </row>
    <row r="232" spans="1:23" x14ac:dyDescent="0.45">
      <c r="A232">
        <v>-84.848879999999994</v>
      </c>
      <c r="B232">
        <v>79.329400000000007</v>
      </c>
      <c r="C232">
        <v>356.97872999999998</v>
      </c>
      <c r="D232">
        <v>206909.5417</v>
      </c>
      <c r="E232" s="10" t="s">
        <v>706</v>
      </c>
      <c r="F232" s="10" t="s">
        <v>707</v>
      </c>
      <c r="G232" s="10" t="s">
        <v>708</v>
      </c>
      <c r="H232" s="10">
        <v>-82.998096488660096</v>
      </c>
      <c r="I232" s="10">
        <v>78.528525211014895</v>
      </c>
      <c r="J232" s="10">
        <v>-2.2247909582816399</v>
      </c>
      <c r="K232" s="4">
        <f t="shared" si="41"/>
        <v>-82.998096488888891</v>
      </c>
      <c r="L232" s="4">
        <f t="shared" si="42"/>
        <v>78.528525211111173</v>
      </c>
      <c r="M232" s="4">
        <f t="shared" si="43"/>
        <v>357.77520833333335</v>
      </c>
      <c r="N232" s="4">
        <f t="shared" si="44"/>
        <v>357.77520904171837</v>
      </c>
      <c r="O232" s="5">
        <f t="shared" si="45"/>
        <v>-82.998096488673582</v>
      </c>
      <c r="P232" s="2">
        <f t="shared" si="46"/>
        <v>2.5941397320943298E-12</v>
      </c>
      <c r="Q232" s="2">
        <f t="shared" si="47"/>
        <v>1.6248687253411031E-13</v>
      </c>
      <c r="R232" s="6">
        <f t="shared" si="48"/>
        <v>78.528525211019158</v>
      </c>
      <c r="S232" s="2">
        <f t="shared" si="49"/>
        <v>1.1717434401520319E-12</v>
      </c>
      <c r="T232" s="2">
        <f t="shared" si="50"/>
        <v>5.428927135846186E-14</v>
      </c>
      <c r="U232" s="6">
        <f t="shared" si="51"/>
        <v>357.77520904171377</v>
      </c>
      <c r="V232" s="2">
        <f t="shared" si="52"/>
        <v>1.9799594706591535E-9</v>
      </c>
      <c r="W232" s="2">
        <f t="shared" si="53"/>
        <v>1.2869301201885576E-14</v>
      </c>
    </row>
    <row r="233" spans="1:23" x14ac:dyDescent="0.45">
      <c r="A233">
        <v>-22.447389999999999</v>
      </c>
      <c r="B233">
        <v>61.43526</v>
      </c>
      <c r="C233">
        <v>180.12512000000001</v>
      </c>
      <c r="D233">
        <v>55374.978499999997</v>
      </c>
      <c r="E233" s="10" t="s">
        <v>709</v>
      </c>
      <c r="F233" s="10" t="s">
        <v>710</v>
      </c>
      <c r="G233" s="10" t="s">
        <v>711</v>
      </c>
      <c r="H233" s="10">
        <v>-22.947434631910902</v>
      </c>
      <c r="I233" s="10">
        <v>61.4340809708157</v>
      </c>
      <c r="J233" s="10">
        <v>-179.87442505029099</v>
      </c>
      <c r="K233" s="4">
        <f t="shared" si="41"/>
        <v>-22.947434630555556</v>
      </c>
      <c r="L233" s="4">
        <f t="shared" si="42"/>
        <v>61.434080969444494</v>
      </c>
      <c r="M233" s="4">
        <f t="shared" si="43"/>
        <v>180.125575</v>
      </c>
      <c r="N233" s="4">
        <f t="shared" si="44"/>
        <v>180.12557494970901</v>
      </c>
      <c r="O233" s="5">
        <f t="shared" si="45"/>
        <v>-22.94743463191314</v>
      </c>
      <c r="P233" s="2">
        <f t="shared" si="46"/>
        <v>5.9160611592619374E-11</v>
      </c>
      <c r="Q233" s="2">
        <f t="shared" si="47"/>
        <v>9.7536376224462232E-14</v>
      </c>
      <c r="R233" s="6">
        <f t="shared" si="48"/>
        <v>61.43408097081565</v>
      </c>
      <c r="S233" s="2">
        <f t="shared" si="49"/>
        <v>2.2319136411600438E-11</v>
      </c>
      <c r="T233" s="2">
        <f t="shared" si="50"/>
        <v>8.0961561916804908E-16</v>
      </c>
      <c r="U233" s="6">
        <f t="shared" si="51"/>
        <v>180.12557494970929</v>
      </c>
      <c r="V233" s="2">
        <f t="shared" si="52"/>
        <v>2.7919804551075038E-10</v>
      </c>
      <c r="W233" s="2">
        <f t="shared" si="53"/>
        <v>1.5778830650971878E-15</v>
      </c>
    </row>
    <row r="234" spans="1:23" x14ac:dyDescent="0.45">
      <c r="A234">
        <v>7.9348999999999998</v>
      </c>
      <c r="B234">
        <v>135.13274000000001</v>
      </c>
      <c r="C234">
        <v>104.66131</v>
      </c>
      <c r="D234">
        <v>19205.576300000001</v>
      </c>
      <c r="E234" s="10" t="s">
        <v>712</v>
      </c>
      <c r="F234" s="10" t="s">
        <v>713</v>
      </c>
      <c r="G234" s="10" t="s">
        <v>714</v>
      </c>
      <c r="H234" s="10">
        <v>7.8909127274287698</v>
      </c>
      <c r="I234" s="10">
        <v>135.301233852558</v>
      </c>
      <c r="J234" s="10">
        <v>104.68450617318101</v>
      </c>
      <c r="K234" s="4">
        <f t="shared" ref="K234:K297" si="54">ConvertDecimal(E234)</f>
        <v>7.8909127277777777</v>
      </c>
      <c r="L234" s="4">
        <f t="shared" ref="L234:L297" si="55">MOD(ConvertDecimal(F234)+3*180, 360) - 180</f>
        <v>135.30123385277784</v>
      </c>
      <c r="M234" s="4">
        <f t="shared" ref="M234:M297" si="56">MOD(ConvertDecimal(G234)+180, 360)</f>
        <v>104.68450555555557</v>
      </c>
      <c r="N234" s="4">
        <f t="shared" ref="N234:N297" si="57">MOD(J234+360, 360)</f>
        <v>104.68450617318103</v>
      </c>
      <c r="O234" s="5">
        <f t="shared" si="45"/>
        <v>7.8909127274284776</v>
      </c>
      <c r="P234" s="2">
        <f t="shared" si="46"/>
        <v>4.4266126925316447E-11</v>
      </c>
      <c r="Q234" s="2">
        <f t="shared" si="47"/>
        <v>3.703129285229811E-14</v>
      </c>
      <c r="R234" s="6">
        <f t="shared" si="48"/>
        <v>135.30123385255877</v>
      </c>
      <c r="S234" s="2">
        <f t="shared" si="49"/>
        <v>1.6191614078547911E-12</v>
      </c>
      <c r="T234" s="2">
        <f t="shared" si="50"/>
        <v>5.6716863015244409E-15</v>
      </c>
      <c r="U234" s="6">
        <f t="shared" si="51"/>
        <v>104.68450617318126</v>
      </c>
      <c r="V234" s="2">
        <f t="shared" si="52"/>
        <v>5.899876817535221E-9</v>
      </c>
      <c r="W234" s="2">
        <f t="shared" si="53"/>
        <v>2.1719897600422798E-15</v>
      </c>
    </row>
    <row r="235" spans="1:23" x14ac:dyDescent="0.45">
      <c r="A235">
        <v>52.739800000000002</v>
      </c>
      <c r="B235">
        <v>-104.9357</v>
      </c>
      <c r="C235">
        <v>311.80421000000001</v>
      </c>
      <c r="D235">
        <v>287624.93400000001</v>
      </c>
      <c r="E235" s="10" t="s">
        <v>715</v>
      </c>
      <c r="F235" s="10" t="s">
        <v>716</v>
      </c>
      <c r="G235" s="10" t="s">
        <v>717</v>
      </c>
      <c r="H235" s="10">
        <v>54.417920185581302</v>
      </c>
      <c r="I235" s="10">
        <v>-108.239135265535</v>
      </c>
      <c r="J235" s="10">
        <v>-50.854526712537897</v>
      </c>
      <c r="K235" s="4">
        <f t="shared" si="54"/>
        <v>54.417920186111111</v>
      </c>
      <c r="L235" s="4">
        <f t="shared" si="55"/>
        <v>-108.23913526666666</v>
      </c>
      <c r="M235" s="4">
        <f t="shared" si="56"/>
        <v>309.14547222222222</v>
      </c>
      <c r="N235" s="4">
        <f t="shared" si="57"/>
        <v>309.1454732874621</v>
      </c>
      <c r="O235" s="5">
        <f t="shared" si="45"/>
        <v>54.417920185585011</v>
      </c>
      <c r="P235" s="2">
        <f t="shared" si="46"/>
        <v>9.6677721348448013E-12</v>
      </c>
      <c r="Q235" s="2">
        <f t="shared" si="47"/>
        <v>6.8158302780018355E-14</v>
      </c>
      <c r="R235" s="6">
        <f t="shared" si="48"/>
        <v>-108.23913526553793</v>
      </c>
      <c r="S235" s="2">
        <f t="shared" si="49"/>
        <v>1.0428203861183946E-11</v>
      </c>
      <c r="T235" s="2">
        <f t="shared" si="50"/>
        <v>2.7046003870503512E-14</v>
      </c>
      <c r="U235" s="6">
        <f t="shared" si="51"/>
        <v>309.14547328745533</v>
      </c>
      <c r="V235" s="2">
        <f t="shared" si="52"/>
        <v>3.4457341373910054E-9</v>
      </c>
      <c r="W235" s="2">
        <f t="shared" si="53"/>
        <v>2.1880853607538473E-14</v>
      </c>
    </row>
    <row r="236" spans="1:23" x14ac:dyDescent="0.45">
      <c r="A236">
        <v>-50.593969999999999</v>
      </c>
      <c r="B236">
        <v>99.317189999999997</v>
      </c>
      <c r="C236">
        <v>5.0808499999999999</v>
      </c>
      <c r="D236">
        <v>28140.0406</v>
      </c>
      <c r="E236" s="10" t="s">
        <v>718</v>
      </c>
      <c r="F236" s="10" t="s">
        <v>719</v>
      </c>
      <c r="G236" s="10" t="s">
        <v>720</v>
      </c>
      <c r="H236" s="10">
        <v>-50.341987400936802</v>
      </c>
      <c r="I236" s="10">
        <v>99.352198526659507</v>
      </c>
      <c r="J236" s="10">
        <v>5.0538489438443603</v>
      </c>
      <c r="K236" s="4">
        <f t="shared" si="54"/>
        <v>-50.341987400000001</v>
      </c>
      <c r="L236" s="4">
        <f t="shared" si="55"/>
        <v>99.352198527777773</v>
      </c>
      <c r="M236" s="4">
        <f t="shared" si="56"/>
        <v>5.0538500000000113</v>
      </c>
      <c r="N236" s="4">
        <f t="shared" si="57"/>
        <v>5.0538489438443435</v>
      </c>
      <c r="O236" s="5">
        <f t="shared" si="45"/>
        <v>-50.341987400928105</v>
      </c>
      <c r="P236" s="2">
        <f t="shared" si="46"/>
        <v>1.8435978870839837E-11</v>
      </c>
      <c r="Q236" s="2">
        <f t="shared" si="47"/>
        <v>1.7275923209860771E-13</v>
      </c>
      <c r="R236" s="6">
        <f t="shared" si="48"/>
        <v>99.352198526660558</v>
      </c>
      <c r="S236" s="2">
        <f t="shared" si="49"/>
        <v>1.1244992880884011E-11</v>
      </c>
      <c r="T236" s="2">
        <f t="shared" si="50"/>
        <v>1.0584599681936258E-14</v>
      </c>
      <c r="U236" s="6">
        <f t="shared" si="51"/>
        <v>5.0538489438434393</v>
      </c>
      <c r="V236" s="2">
        <f t="shared" si="52"/>
        <v>2.0898059340441103E-7</v>
      </c>
      <c r="W236" s="2">
        <f t="shared" si="53"/>
        <v>1.7890634273032902E-13</v>
      </c>
    </row>
    <row r="237" spans="1:23" x14ac:dyDescent="0.45">
      <c r="A237">
        <v>-25.973269999999999</v>
      </c>
      <c r="B237">
        <v>-17.925370000000001</v>
      </c>
      <c r="C237">
        <v>2.7909299999999999</v>
      </c>
      <c r="D237">
        <v>174600.7726</v>
      </c>
      <c r="E237" s="10" t="s">
        <v>721</v>
      </c>
      <c r="F237" s="10" t="s">
        <v>722</v>
      </c>
      <c r="G237" s="10" t="s">
        <v>723</v>
      </c>
      <c r="H237" s="10">
        <v>-24.398950655421501</v>
      </c>
      <c r="I237" s="10">
        <v>-17.8415677207106</v>
      </c>
      <c r="J237" s="10">
        <v>2.7552637244073699</v>
      </c>
      <c r="K237" s="4">
        <f t="shared" si="54"/>
        <v>-24.398950655555556</v>
      </c>
      <c r="L237" s="4">
        <f t="shared" si="55"/>
        <v>-17.84156771944447</v>
      </c>
      <c r="M237" s="4">
        <f t="shared" si="56"/>
        <v>2.7552638888888623</v>
      </c>
      <c r="N237" s="4">
        <f t="shared" si="57"/>
        <v>2.7552637244073708</v>
      </c>
      <c r="O237" s="5">
        <f t="shared" si="45"/>
        <v>-24.39895065541382</v>
      </c>
      <c r="P237" s="2">
        <f t="shared" si="46"/>
        <v>5.8090822927859525E-12</v>
      </c>
      <c r="Q237" s="2">
        <f t="shared" si="47"/>
        <v>3.1480726700268787E-13</v>
      </c>
      <c r="R237" s="6">
        <f t="shared" si="48"/>
        <v>-17.841567720710447</v>
      </c>
      <c r="S237" s="2">
        <f t="shared" si="49"/>
        <v>7.0956631442075311E-11</v>
      </c>
      <c r="T237" s="2">
        <f t="shared" si="50"/>
        <v>8.5624027316326596E-15</v>
      </c>
      <c r="U237" s="6">
        <f t="shared" si="51"/>
        <v>2.7552637244072113</v>
      </c>
      <c r="V237" s="2">
        <f t="shared" si="52"/>
        <v>5.9697240481885308E-8</v>
      </c>
      <c r="W237" s="2">
        <f t="shared" si="53"/>
        <v>5.7863073114884428E-14</v>
      </c>
    </row>
    <row r="238" spans="1:23" x14ac:dyDescent="0.45">
      <c r="A238">
        <v>82.774640000000005</v>
      </c>
      <c r="B238">
        <v>152.99755999999999</v>
      </c>
      <c r="C238">
        <v>335.66955000000002</v>
      </c>
      <c r="D238">
        <v>118249.6508</v>
      </c>
      <c r="E238" s="10" t="s">
        <v>724</v>
      </c>
      <c r="F238" s="10" t="s">
        <v>725</v>
      </c>
      <c r="G238" s="10" t="s">
        <v>726</v>
      </c>
      <c r="H238" s="10">
        <v>83.724341190427396</v>
      </c>
      <c r="I238" s="10">
        <v>149.00416390986399</v>
      </c>
      <c r="J238" s="10">
        <v>-28.296319797580999</v>
      </c>
      <c r="K238" s="4">
        <f t="shared" si="54"/>
        <v>83.724341191666667</v>
      </c>
      <c r="L238" s="4">
        <f t="shared" si="55"/>
        <v>149.00416391111116</v>
      </c>
      <c r="M238" s="4">
        <f t="shared" si="56"/>
        <v>331.70368055555559</v>
      </c>
      <c r="N238" s="4">
        <f t="shared" si="57"/>
        <v>331.70368020241898</v>
      </c>
      <c r="O238" s="5">
        <f t="shared" si="45"/>
        <v>83.724341190420276</v>
      </c>
      <c r="P238" s="2">
        <f t="shared" si="46"/>
        <v>1.4886846725409397E-11</v>
      </c>
      <c r="Q238" s="2">
        <f t="shared" si="47"/>
        <v>8.5036658528287431E-14</v>
      </c>
      <c r="R238" s="6">
        <f t="shared" si="48"/>
        <v>149.00416390989915</v>
      </c>
      <c r="S238" s="2">
        <f t="shared" si="49"/>
        <v>8.1341040755960323E-12</v>
      </c>
      <c r="T238" s="2">
        <f t="shared" si="50"/>
        <v>2.3595081937896326E-13</v>
      </c>
      <c r="U238" s="6">
        <f t="shared" si="51"/>
        <v>331.70368020245292</v>
      </c>
      <c r="V238" s="2">
        <f t="shared" si="52"/>
        <v>1.0645123900110989E-9</v>
      </c>
      <c r="W238" s="2">
        <f t="shared" si="53"/>
        <v>1.0230673666084609E-13</v>
      </c>
    </row>
    <row r="239" spans="1:23" x14ac:dyDescent="0.45">
      <c r="A239">
        <v>-39.776350000000001</v>
      </c>
      <c r="B239">
        <v>1.72333</v>
      </c>
      <c r="C239">
        <v>5.2405499999999998</v>
      </c>
      <c r="D239">
        <v>199578.12959999999</v>
      </c>
      <c r="E239" s="10" t="s">
        <v>727</v>
      </c>
      <c r="F239" s="10" t="s">
        <v>728</v>
      </c>
      <c r="G239" s="10" t="s">
        <v>729</v>
      </c>
      <c r="H239" s="10">
        <v>-37.9858900806028</v>
      </c>
      <c r="I239" s="10">
        <v>1.93079899906264</v>
      </c>
      <c r="J239" s="10">
        <v>5.1103043165013702</v>
      </c>
      <c r="K239" s="4">
        <f t="shared" si="54"/>
        <v>-37.985890080555556</v>
      </c>
      <c r="L239" s="4">
        <f t="shared" si="55"/>
        <v>1.9307989999999791</v>
      </c>
      <c r="M239" s="4">
        <f t="shared" si="56"/>
        <v>5.1103055555555557</v>
      </c>
      <c r="N239" s="4">
        <f t="shared" si="57"/>
        <v>5.110304316501356</v>
      </c>
      <c r="O239" s="5">
        <f t="shared" si="45"/>
        <v>-37.985890080595091</v>
      </c>
      <c r="P239" s="2">
        <f t="shared" si="46"/>
        <v>1.0407706054498689E-12</v>
      </c>
      <c r="Q239" s="2">
        <f t="shared" si="47"/>
        <v>2.029540091501983E-13</v>
      </c>
      <c r="R239" s="6">
        <f t="shared" si="48"/>
        <v>1.93079899906292</v>
      </c>
      <c r="S239" s="2">
        <f t="shared" si="49"/>
        <v>4.8532192992834925E-10</v>
      </c>
      <c r="T239" s="2">
        <f t="shared" si="50"/>
        <v>1.450167764466407E-13</v>
      </c>
      <c r="U239" s="6">
        <f t="shared" si="51"/>
        <v>5.1103043165008373</v>
      </c>
      <c r="V239" s="2">
        <f t="shared" si="52"/>
        <v>2.424619633625807E-7</v>
      </c>
      <c r="W239" s="2">
        <f t="shared" si="53"/>
        <v>1.0150006046214988E-13</v>
      </c>
    </row>
    <row r="240" spans="1:23" x14ac:dyDescent="0.45">
      <c r="A240">
        <v>-88.795199999999994</v>
      </c>
      <c r="B240">
        <v>-50.071170000000002</v>
      </c>
      <c r="C240">
        <v>190.27211</v>
      </c>
      <c r="D240">
        <v>12571.034600000001</v>
      </c>
      <c r="E240" s="10" t="s">
        <v>730</v>
      </c>
      <c r="F240" s="10" t="s">
        <v>731</v>
      </c>
      <c r="G240" s="10" t="s">
        <v>732</v>
      </c>
      <c r="H240" s="10">
        <v>-88.905761364834703</v>
      </c>
      <c r="I240" s="10">
        <v>-51.122189723029599</v>
      </c>
      <c r="J240" s="10">
        <v>-168.677081297087</v>
      </c>
      <c r="K240" s="4">
        <f t="shared" si="54"/>
        <v>-88.905761363888885</v>
      </c>
      <c r="L240" s="4">
        <f t="shared" si="55"/>
        <v>-51.122189722222231</v>
      </c>
      <c r="M240" s="4">
        <f t="shared" si="56"/>
        <v>191.32291944444444</v>
      </c>
      <c r="N240" s="4">
        <f t="shared" si="57"/>
        <v>191.322918702913</v>
      </c>
      <c r="O240" s="5">
        <f t="shared" si="45"/>
        <v>-88.90576136483368</v>
      </c>
      <c r="P240" s="2">
        <f t="shared" si="46"/>
        <v>1.0626920577379364E-11</v>
      </c>
      <c r="Q240" s="2">
        <f t="shared" si="47"/>
        <v>1.1508607808843847E-14</v>
      </c>
      <c r="R240" s="6">
        <f t="shared" si="48"/>
        <v>-51.122189723019751</v>
      </c>
      <c r="S240" s="2">
        <f t="shared" si="49"/>
        <v>1.5600276051904347E-11</v>
      </c>
      <c r="T240" s="2">
        <f t="shared" si="50"/>
        <v>1.9263889850943909E-13</v>
      </c>
      <c r="U240" s="6">
        <f t="shared" si="51"/>
        <v>191.32291870290294</v>
      </c>
      <c r="V240" s="2">
        <f t="shared" si="52"/>
        <v>3.875863386264621E-9</v>
      </c>
      <c r="W240" s="2">
        <f t="shared" si="53"/>
        <v>5.258797642527199E-14</v>
      </c>
    </row>
    <row r="241" spans="1:23" x14ac:dyDescent="0.45">
      <c r="A241">
        <v>60.718339999999998</v>
      </c>
      <c r="B241">
        <v>-70.369810000000001</v>
      </c>
      <c r="C241">
        <v>35.957909999999998</v>
      </c>
      <c r="D241">
        <v>207268.5889</v>
      </c>
      <c r="E241" s="10" t="s">
        <v>733</v>
      </c>
      <c r="F241" s="10" t="s">
        <v>734</v>
      </c>
      <c r="G241" s="10" t="s">
        <v>735</v>
      </c>
      <c r="H241" s="10">
        <v>62.204349268835898</v>
      </c>
      <c r="I241" s="10">
        <v>-68.031178120440401</v>
      </c>
      <c r="J241" s="10">
        <v>38.012624497496901</v>
      </c>
      <c r="K241" s="4">
        <f t="shared" si="54"/>
        <v>62.204349269444442</v>
      </c>
      <c r="L241" s="4">
        <f t="shared" si="55"/>
        <v>-68.031178119444462</v>
      </c>
      <c r="M241" s="4">
        <f t="shared" si="56"/>
        <v>38.012625000000014</v>
      </c>
      <c r="N241" s="4">
        <f t="shared" si="57"/>
        <v>38.012624497496915</v>
      </c>
      <c r="O241" s="5">
        <f t="shared" si="45"/>
        <v>62.204349268837227</v>
      </c>
      <c r="P241" s="2">
        <f t="shared" si="46"/>
        <v>9.7616262891144556E-12</v>
      </c>
      <c r="Q241" s="2">
        <f t="shared" si="47"/>
        <v>2.1360482530392253E-14</v>
      </c>
      <c r="R241" s="6">
        <f t="shared" si="48"/>
        <v>-68.031178120439577</v>
      </c>
      <c r="S241" s="2">
        <f t="shared" si="49"/>
        <v>1.4627338948692989E-11</v>
      </c>
      <c r="T241" s="2">
        <f t="shared" si="50"/>
        <v>1.2115468175819686E-14</v>
      </c>
      <c r="U241" s="6">
        <f t="shared" si="51"/>
        <v>38.012624497499118</v>
      </c>
      <c r="V241" s="2">
        <f t="shared" si="52"/>
        <v>1.3219315845845321E-8</v>
      </c>
      <c r="W241" s="2">
        <f t="shared" si="53"/>
        <v>5.7946077388088643E-14</v>
      </c>
    </row>
    <row r="242" spans="1:23" x14ac:dyDescent="0.45">
      <c r="A242">
        <v>-12.41427</v>
      </c>
      <c r="B242">
        <v>-79.374200000000002</v>
      </c>
      <c r="C242">
        <v>103.33063</v>
      </c>
      <c r="D242">
        <v>45876.0173</v>
      </c>
      <c r="E242" s="10" t="s">
        <v>736</v>
      </c>
      <c r="F242" s="10" t="s">
        <v>737</v>
      </c>
      <c r="G242" s="10" t="s">
        <v>738</v>
      </c>
      <c r="H242" s="10">
        <v>-12.5095744543565</v>
      </c>
      <c r="I242" s="10">
        <v>-78.963505804569493</v>
      </c>
      <c r="J242" s="10">
        <v>103.24200560201599</v>
      </c>
      <c r="K242" s="4">
        <f t="shared" si="54"/>
        <v>-12.509574455555555</v>
      </c>
      <c r="L242" s="4">
        <f t="shared" si="55"/>
        <v>-78.963505805555542</v>
      </c>
      <c r="M242" s="4">
        <f t="shared" si="56"/>
        <v>103.24200555555558</v>
      </c>
      <c r="N242" s="4">
        <f t="shared" si="57"/>
        <v>103.24200560201598</v>
      </c>
      <c r="O242" s="5">
        <f t="shared" si="45"/>
        <v>-12.509574454353373</v>
      </c>
      <c r="P242" s="2">
        <f t="shared" si="46"/>
        <v>9.6100908129079871E-11</v>
      </c>
      <c r="Q242" s="2">
        <f t="shared" si="47"/>
        <v>2.4991961547146524E-13</v>
      </c>
      <c r="R242" s="6">
        <f t="shared" si="48"/>
        <v>-78.963505804584074</v>
      </c>
      <c r="S242" s="2">
        <f t="shared" si="49"/>
        <v>1.2302749596479742E-11</v>
      </c>
      <c r="T242" s="2">
        <f t="shared" si="50"/>
        <v>1.8464652486279953E-13</v>
      </c>
      <c r="U242" s="6">
        <f t="shared" si="51"/>
        <v>103.24200560201916</v>
      </c>
      <c r="V242" s="2">
        <f t="shared" si="52"/>
        <v>4.5004533719704332E-10</v>
      </c>
      <c r="W242" s="2">
        <f t="shared" si="53"/>
        <v>3.0832716176361174E-14</v>
      </c>
    </row>
    <row r="243" spans="1:23" x14ac:dyDescent="0.45">
      <c r="A243">
        <v>-7.6498100000000004</v>
      </c>
      <c r="B243">
        <v>-170.84107</v>
      </c>
      <c r="C243">
        <v>244.39635999999999</v>
      </c>
      <c r="D243">
        <v>97962.3079</v>
      </c>
      <c r="E243" s="10" t="s">
        <v>739</v>
      </c>
      <c r="F243" s="10" t="s">
        <v>740</v>
      </c>
      <c r="G243" s="10" t="s">
        <v>741</v>
      </c>
      <c r="H243" s="10">
        <v>-8.0318357974830992</v>
      </c>
      <c r="I243" s="10">
        <v>-171.64247189364499</v>
      </c>
      <c r="J243" s="10">
        <v>-115.494309228736</v>
      </c>
      <c r="K243" s="4">
        <f t="shared" si="54"/>
        <v>-8.0318357972222216</v>
      </c>
      <c r="L243" s="4">
        <f t="shared" si="55"/>
        <v>-171.64247189444444</v>
      </c>
      <c r="M243" s="4">
        <f t="shared" si="56"/>
        <v>244.50569166666668</v>
      </c>
      <c r="N243" s="4">
        <f t="shared" si="57"/>
        <v>244.505690771264</v>
      </c>
      <c r="O243" s="5">
        <f t="shared" si="45"/>
        <v>-8.031835797477898</v>
      </c>
      <c r="P243" s="2">
        <f t="shared" si="46"/>
        <v>3.1832868029227001E-11</v>
      </c>
      <c r="Q243" s="2">
        <f t="shared" si="47"/>
        <v>6.4756961632529908E-13</v>
      </c>
      <c r="R243" s="6">
        <f t="shared" si="48"/>
        <v>-171.64247189363309</v>
      </c>
      <c r="S243" s="2">
        <f t="shared" si="49"/>
        <v>4.7270033468680453E-12</v>
      </c>
      <c r="T243" s="2">
        <f t="shared" si="50"/>
        <v>6.9380824687250351E-14</v>
      </c>
      <c r="U243" s="6">
        <f t="shared" si="51"/>
        <v>244.50569077126187</v>
      </c>
      <c r="V243" s="2">
        <f t="shared" si="52"/>
        <v>3.6621021120185731E-9</v>
      </c>
      <c r="W243" s="2">
        <f t="shared" si="53"/>
        <v>8.7181128609167907E-15</v>
      </c>
    </row>
    <row r="244" spans="1:23" x14ac:dyDescent="0.45">
      <c r="A244">
        <v>-19.262889999999999</v>
      </c>
      <c r="B244">
        <v>-114.08077</v>
      </c>
      <c r="C244">
        <v>207.94067000000001</v>
      </c>
      <c r="D244">
        <v>183912.6581</v>
      </c>
      <c r="E244" s="10" t="s">
        <v>742</v>
      </c>
      <c r="F244" s="10" t="s">
        <v>743</v>
      </c>
      <c r="G244" s="10" t="s">
        <v>744</v>
      </c>
      <c r="H244" s="10">
        <v>-20.7286355979106</v>
      </c>
      <c r="I244" s="10">
        <v>-114.90802541036901</v>
      </c>
      <c r="J244" s="10">
        <v>-151.77642187559599</v>
      </c>
      <c r="K244" s="4">
        <f t="shared" si="54"/>
        <v>-20.728635597222222</v>
      </c>
      <c r="L244" s="4">
        <f t="shared" si="55"/>
        <v>-114.90802541111111</v>
      </c>
      <c r="M244" s="4">
        <f t="shared" si="56"/>
        <v>208.22357777777779</v>
      </c>
      <c r="N244" s="4">
        <f t="shared" si="57"/>
        <v>208.22357812440401</v>
      </c>
      <c r="O244" s="5">
        <f t="shared" si="45"/>
        <v>-20.728635597918895</v>
      </c>
      <c r="P244" s="2">
        <f t="shared" si="46"/>
        <v>3.3609203957998179E-11</v>
      </c>
      <c r="Q244" s="2">
        <f t="shared" si="47"/>
        <v>4.0019934745899757E-13</v>
      </c>
      <c r="R244" s="6">
        <f t="shared" si="48"/>
        <v>-114.90802541037152</v>
      </c>
      <c r="S244" s="2">
        <f t="shared" si="49"/>
        <v>6.4363626487524515E-12</v>
      </c>
      <c r="T244" s="2">
        <f t="shared" si="50"/>
        <v>2.1889866052504446E-14</v>
      </c>
      <c r="U244" s="6">
        <f t="shared" si="51"/>
        <v>208.22357812440586</v>
      </c>
      <c r="V244" s="2">
        <f t="shared" si="52"/>
        <v>1.6646917411860573E-9</v>
      </c>
      <c r="W244" s="2">
        <f t="shared" si="53"/>
        <v>8.8722474640816959E-15</v>
      </c>
    </row>
    <row r="245" spans="1:23" x14ac:dyDescent="0.4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10" t="s">
        <v>745</v>
      </c>
      <c r="F245" s="10" t="s">
        <v>746</v>
      </c>
      <c r="G245" s="10" t="s">
        <v>747</v>
      </c>
      <c r="H245" s="10">
        <v>86.260013083084004</v>
      </c>
      <c r="I245" s="10">
        <v>31.899458430858999</v>
      </c>
      <c r="J245" s="10">
        <v>-69.6183483223423</v>
      </c>
      <c r="K245" s="4">
        <f t="shared" si="54"/>
        <v>86.260013083333334</v>
      </c>
      <c r="L245" s="4">
        <f t="shared" si="55"/>
        <v>31.899458430555569</v>
      </c>
      <c r="M245" s="4">
        <f t="shared" si="56"/>
        <v>290.38165277777779</v>
      </c>
      <c r="N245" s="4">
        <f t="shared" si="57"/>
        <v>290.38165167765771</v>
      </c>
      <c r="O245" s="5">
        <f t="shared" si="45"/>
        <v>86.260013083079158</v>
      </c>
      <c r="P245" s="2">
        <f t="shared" si="46"/>
        <v>2.9466184660852243E-12</v>
      </c>
      <c r="Q245" s="2">
        <f t="shared" si="47"/>
        <v>5.6177842834505524E-14</v>
      </c>
      <c r="R245" s="6">
        <f t="shared" si="48"/>
        <v>31.899458431054878</v>
      </c>
      <c r="S245" s="2">
        <f t="shared" si="49"/>
        <v>1.565258669349023E-11</v>
      </c>
      <c r="T245" s="2">
        <f t="shared" si="50"/>
        <v>6.1405076548627451E-12</v>
      </c>
      <c r="U245" s="6">
        <f t="shared" si="51"/>
        <v>290.38165167785223</v>
      </c>
      <c r="V245" s="2">
        <f t="shared" si="52"/>
        <v>3.7878617487006791E-9</v>
      </c>
      <c r="W245" s="2">
        <f t="shared" si="53"/>
        <v>6.6987076565571957E-13</v>
      </c>
    </row>
    <row r="246" spans="1:23" x14ac:dyDescent="0.45">
      <c r="A246">
        <v>-73.406419999999997</v>
      </c>
      <c r="B246">
        <v>-147.40089</v>
      </c>
      <c r="C246">
        <v>134.14331000000001</v>
      </c>
      <c r="D246">
        <v>25367.8884</v>
      </c>
      <c r="E246" s="10" t="s">
        <v>748</v>
      </c>
      <c r="F246" s="10" t="s">
        <v>749</v>
      </c>
      <c r="G246" s="10" t="s">
        <v>750</v>
      </c>
      <c r="H246" s="10">
        <v>-73.563941665948605</v>
      </c>
      <c r="I246" s="10">
        <v>-146.82471010594799</v>
      </c>
      <c r="J246" s="10">
        <v>133.590898792139</v>
      </c>
      <c r="K246" s="4">
        <f t="shared" si="54"/>
        <v>-73.563941666666665</v>
      </c>
      <c r="L246" s="4">
        <f t="shared" si="55"/>
        <v>-146.8247101055556</v>
      </c>
      <c r="M246" s="4">
        <f t="shared" si="56"/>
        <v>133.59089999999998</v>
      </c>
      <c r="N246" s="4">
        <f t="shared" si="57"/>
        <v>133.590898792139</v>
      </c>
      <c r="O246" s="5">
        <f t="shared" si="45"/>
        <v>-73.563941665947894</v>
      </c>
      <c r="P246" s="2">
        <f t="shared" si="46"/>
        <v>9.7706947773013637E-12</v>
      </c>
      <c r="Q246" s="2">
        <f t="shared" si="47"/>
        <v>9.6588453482638398E-15</v>
      </c>
      <c r="R246" s="6">
        <f t="shared" si="48"/>
        <v>-146.82471010595023</v>
      </c>
      <c r="S246" s="2">
        <f t="shared" si="49"/>
        <v>2.6877998611912624E-12</v>
      </c>
      <c r="T246" s="2">
        <f t="shared" si="50"/>
        <v>1.5292487506916979E-14</v>
      </c>
      <c r="U246" s="6">
        <f t="shared" si="51"/>
        <v>133.59089879214091</v>
      </c>
      <c r="V246" s="2">
        <f t="shared" si="52"/>
        <v>9.0414771622032239E-9</v>
      </c>
      <c r="W246" s="2">
        <f t="shared" si="53"/>
        <v>1.4254373232416056E-14</v>
      </c>
    </row>
    <row r="247" spans="1:23" x14ac:dyDescent="0.45">
      <c r="A247">
        <v>-17.195329999999998</v>
      </c>
      <c r="B247">
        <v>-155.57432</v>
      </c>
      <c r="C247">
        <v>134.59263999999999</v>
      </c>
      <c r="D247">
        <v>159167.3683</v>
      </c>
      <c r="E247" s="10" t="s">
        <v>751</v>
      </c>
      <c r="F247" s="10" t="s">
        <v>752</v>
      </c>
      <c r="G247" s="10" t="s">
        <v>753</v>
      </c>
      <c r="H247" s="10">
        <v>-18.202097895072399</v>
      </c>
      <c r="I247" s="10">
        <v>-154.502883710438</v>
      </c>
      <c r="J247" s="10">
        <v>134.26688956552599</v>
      </c>
      <c r="K247" s="4">
        <f t="shared" si="54"/>
        <v>-18.202097894444446</v>
      </c>
      <c r="L247" s="4">
        <f t="shared" si="55"/>
        <v>-154.50288371111111</v>
      </c>
      <c r="M247" s="4">
        <f t="shared" si="56"/>
        <v>134.2668888888889</v>
      </c>
      <c r="N247" s="4">
        <f t="shared" si="57"/>
        <v>134.26688956552596</v>
      </c>
      <c r="O247" s="5">
        <f t="shared" si="45"/>
        <v>-18.202097895078833</v>
      </c>
      <c r="P247" s="2">
        <f t="shared" si="46"/>
        <v>3.4852398279593751E-11</v>
      </c>
      <c r="Q247" s="2">
        <f t="shared" si="47"/>
        <v>3.5347378688966867E-13</v>
      </c>
      <c r="R247" s="6">
        <f t="shared" si="48"/>
        <v>-154.50288371043328</v>
      </c>
      <c r="S247" s="2">
        <f t="shared" si="49"/>
        <v>4.3871630866975135E-12</v>
      </c>
      <c r="T247" s="2">
        <f t="shared" si="50"/>
        <v>3.053667123967294E-14</v>
      </c>
      <c r="U247" s="6">
        <f t="shared" si="51"/>
        <v>134.2668895655238</v>
      </c>
      <c r="V247" s="2">
        <f t="shared" si="52"/>
        <v>5.039476992761222E-9</v>
      </c>
      <c r="W247" s="2">
        <f t="shared" si="53"/>
        <v>1.608773334736812E-14</v>
      </c>
    </row>
    <row r="248" spans="1:23" x14ac:dyDescent="0.4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10" t="s">
        <v>754</v>
      </c>
      <c r="F248" s="10" t="s">
        <v>755</v>
      </c>
      <c r="G248" s="10" t="s">
        <v>756</v>
      </c>
      <c r="H248" s="10">
        <v>-86.145114254314095</v>
      </c>
      <c r="I248" s="10">
        <v>136.35825572458799</v>
      </c>
      <c r="J248" s="10">
        <v>-78.711274299533699</v>
      </c>
      <c r="K248" s="4">
        <f t="shared" si="54"/>
        <v>-86.145114255555555</v>
      </c>
      <c r="L248" s="4">
        <f t="shared" si="55"/>
        <v>136.35825572499994</v>
      </c>
      <c r="M248" s="4">
        <f t="shared" si="56"/>
        <v>281.288725</v>
      </c>
      <c r="N248" s="4">
        <f t="shared" si="57"/>
        <v>281.28872570046633</v>
      </c>
      <c r="O248" s="5">
        <f t="shared" si="45"/>
        <v>-86.145114254318329</v>
      </c>
      <c r="P248" s="2">
        <f t="shared" si="46"/>
        <v>1.4362107983798134E-11</v>
      </c>
      <c r="Q248" s="2">
        <f t="shared" si="47"/>
        <v>4.9159313813529702E-14</v>
      </c>
      <c r="R248" s="6">
        <f t="shared" si="48"/>
        <v>136.35825572490731</v>
      </c>
      <c r="S248" s="2">
        <f t="shared" si="49"/>
        <v>6.7928671088672876E-13</v>
      </c>
      <c r="T248" s="2">
        <f t="shared" si="50"/>
        <v>2.3417570410664173E-12</v>
      </c>
      <c r="U248" s="6">
        <f t="shared" si="51"/>
        <v>281.28872570014818</v>
      </c>
      <c r="V248" s="2">
        <f t="shared" si="52"/>
        <v>2.4890730250811023E-9</v>
      </c>
      <c r="W248" s="2">
        <f t="shared" si="53"/>
        <v>1.131053562746525E-12</v>
      </c>
    </row>
    <row r="249" spans="1:23" x14ac:dyDescent="0.45">
      <c r="A249">
        <v>64.4529</v>
      </c>
      <c r="B249">
        <v>130.70177000000001</v>
      </c>
      <c r="C249">
        <v>324.40525000000002</v>
      </c>
      <c r="D249">
        <v>136302.18700000001</v>
      </c>
      <c r="E249" s="10" t="s">
        <v>757</v>
      </c>
      <c r="F249" s="10" t="s">
        <v>758</v>
      </c>
      <c r="G249" s="10" t="s">
        <v>759</v>
      </c>
      <c r="H249" s="10">
        <v>65.437400175787801</v>
      </c>
      <c r="I249" s="10">
        <v>128.99195211725799</v>
      </c>
      <c r="J249" s="10">
        <v>-37.143756643631903</v>
      </c>
      <c r="K249" s="4">
        <f t="shared" si="54"/>
        <v>65.437400174999993</v>
      </c>
      <c r="L249" s="4">
        <f t="shared" si="55"/>
        <v>128.99195211666665</v>
      </c>
      <c r="M249" s="4">
        <f t="shared" si="56"/>
        <v>322.85624444444443</v>
      </c>
      <c r="N249" s="4">
        <f t="shared" si="57"/>
        <v>322.85624335636811</v>
      </c>
      <c r="O249" s="5">
        <f t="shared" si="45"/>
        <v>65.437400175787687</v>
      </c>
      <c r="P249" s="2">
        <f t="shared" si="46"/>
        <v>1.20373588177769E-11</v>
      </c>
      <c r="Q249" s="2">
        <f t="shared" si="47"/>
        <v>1.7373373241634497E-15</v>
      </c>
      <c r="R249" s="6">
        <f t="shared" si="48"/>
        <v>128.99195211725896</v>
      </c>
      <c r="S249" s="2">
        <f t="shared" si="49"/>
        <v>4.5918246434002849E-12</v>
      </c>
      <c r="T249" s="2">
        <f t="shared" si="50"/>
        <v>7.4914605506187134E-15</v>
      </c>
      <c r="U249" s="6">
        <f t="shared" si="51"/>
        <v>322.85624335636777</v>
      </c>
      <c r="V249" s="2">
        <f t="shared" si="52"/>
        <v>3.370158319158545E-9</v>
      </c>
      <c r="W249" s="2">
        <f t="shared" si="53"/>
        <v>1.0563850635788577E-15</v>
      </c>
    </row>
    <row r="250" spans="1:23" x14ac:dyDescent="0.45">
      <c r="A250">
        <v>-36.730919999999998</v>
      </c>
      <c r="B250">
        <v>62.2044</v>
      </c>
      <c r="C250">
        <v>191.80562</v>
      </c>
      <c r="D250">
        <v>90021.128100000002</v>
      </c>
      <c r="E250" s="10" t="s">
        <v>760</v>
      </c>
      <c r="F250" s="10" t="s">
        <v>761</v>
      </c>
      <c r="G250" s="10" t="s">
        <v>762</v>
      </c>
      <c r="H250" s="10">
        <v>-37.5247274837009</v>
      </c>
      <c r="I250" s="10">
        <v>61.996053705956001</v>
      </c>
      <c r="J250" s="10">
        <v>-168.068620055005</v>
      </c>
      <c r="K250" s="4">
        <f t="shared" si="54"/>
        <v>-37.524727483333336</v>
      </c>
      <c r="L250" s="4">
        <f t="shared" si="55"/>
        <v>61.996053705555596</v>
      </c>
      <c r="M250" s="4">
        <f t="shared" si="56"/>
        <v>191.93138055555556</v>
      </c>
      <c r="N250" s="4">
        <f t="shared" si="57"/>
        <v>191.931379944995</v>
      </c>
      <c r="O250" s="5">
        <f t="shared" si="45"/>
        <v>-37.524727483653812</v>
      </c>
      <c r="P250" s="2">
        <f t="shared" si="46"/>
        <v>8.5403975352577291E-12</v>
      </c>
      <c r="Q250" s="2">
        <f t="shared" si="47"/>
        <v>1.2548436792585546E-12</v>
      </c>
      <c r="R250" s="6">
        <f t="shared" si="48"/>
        <v>61.996053705969189</v>
      </c>
      <c r="S250" s="2">
        <f t="shared" si="49"/>
        <v>6.6712748781649664E-12</v>
      </c>
      <c r="T250" s="2">
        <f t="shared" si="50"/>
        <v>2.1271794553659648E-13</v>
      </c>
      <c r="U250" s="6">
        <f t="shared" si="51"/>
        <v>191.93137994498716</v>
      </c>
      <c r="V250" s="2">
        <f t="shared" si="52"/>
        <v>3.1811807153848987E-9</v>
      </c>
      <c r="W250" s="2">
        <f t="shared" si="53"/>
        <v>4.0870814376677774E-14</v>
      </c>
    </row>
    <row r="251" spans="1:23" x14ac:dyDescent="0.45">
      <c r="A251">
        <v>-36.426609999999997</v>
      </c>
      <c r="B251">
        <v>97.364329999999995</v>
      </c>
      <c r="C251">
        <v>155.47677999999999</v>
      </c>
      <c r="D251">
        <v>34078.6319</v>
      </c>
      <c r="E251" s="10" t="s">
        <v>763</v>
      </c>
      <c r="F251" s="10" t="s">
        <v>764</v>
      </c>
      <c r="G251" s="10" t="s">
        <v>765</v>
      </c>
      <c r="H251" s="10">
        <v>-36.705901770095203</v>
      </c>
      <c r="I251" s="10">
        <v>97.522630730778602</v>
      </c>
      <c r="J251" s="10">
        <v>155.38247171029099</v>
      </c>
      <c r="K251" s="4">
        <f t="shared" si="54"/>
        <v>-36.705901769444445</v>
      </c>
      <c r="L251" s="4">
        <f t="shared" si="55"/>
        <v>97.522630730555534</v>
      </c>
      <c r="M251" s="4">
        <f t="shared" si="56"/>
        <v>155.3824722222223</v>
      </c>
      <c r="N251" s="4">
        <f t="shared" si="57"/>
        <v>155.38247171029093</v>
      </c>
      <c r="O251" s="5">
        <f t="shared" si="45"/>
        <v>-36.705901770089028</v>
      </c>
      <c r="P251" s="2">
        <f t="shared" si="46"/>
        <v>1.7560746978734314E-11</v>
      </c>
      <c r="Q251" s="2">
        <f t="shared" si="47"/>
        <v>1.6821862632416824E-13</v>
      </c>
      <c r="R251" s="6">
        <f t="shared" si="48"/>
        <v>97.522630730774551</v>
      </c>
      <c r="S251" s="2">
        <f t="shared" si="49"/>
        <v>2.2458140354705507E-12</v>
      </c>
      <c r="T251" s="2">
        <f t="shared" si="50"/>
        <v>4.1529781995045615E-14</v>
      </c>
      <c r="U251" s="6">
        <f t="shared" si="51"/>
        <v>155.382471710293</v>
      </c>
      <c r="V251" s="2">
        <f t="shared" si="52"/>
        <v>3.2946399513849618E-9</v>
      </c>
      <c r="W251" s="2">
        <f t="shared" si="53"/>
        <v>1.3352759584671224E-14</v>
      </c>
    </row>
    <row r="252" spans="1:23" x14ac:dyDescent="0.45">
      <c r="A252">
        <v>-30.062360000000002</v>
      </c>
      <c r="B252">
        <v>120.28981</v>
      </c>
      <c r="C252">
        <v>351.96325000000002</v>
      </c>
      <c r="D252">
        <v>72338.909400000004</v>
      </c>
      <c r="E252" s="10" t="s">
        <v>766</v>
      </c>
      <c r="F252" s="10" t="s">
        <v>767</v>
      </c>
      <c r="G252" s="10" t="s">
        <v>768</v>
      </c>
      <c r="H252" s="10">
        <v>-29.4161329604439</v>
      </c>
      <c r="I252" s="10">
        <v>120.185598022782</v>
      </c>
      <c r="J252" s="10">
        <v>-7.9850544433977504</v>
      </c>
      <c r="K252" s="4">
        <f t="shared" si="54"/>
        <v>-29.41613296111111</v>
      </c>
      <c r="L252" s="4">
        <f t="shared" si="55"/>
        <v>120.18559802222217</v>
      </c>
      <c r="M252" s="4">
        <f t="shared" si="56"/>
        <v>352.01494444444444</v>
      </c>
      <c r="N252" s="4">
        <f t="shared" si="57"/>
        <v>352.01494555660224</v>
      </c>
      <c r="O252" s="5">
        <f t="shared" si="45"/>
        <v>-29.416132960440464</v>
      </c>
      <c r="P252" s="2">
        <f t="shared" si="46"/>
        <v>2.2798569819961774E-11</v>
      </c>
      <c r="Q252" s="2">
        <f t="shared" si="47"/>
        <v>1.1678877478626416E-13</v>
      </c>
      <c r="R252" s="6">
        <f t="shared" si="48"/>
        <v>120.18559802278223</v>
      </c>
      <c r="S252" s="2">
        <f t="shared" si="49"/>
        <v>4.6599925814511571E-12</v>
      </c>
      <c r="T252" s="2">
        <f t="shared" si="50"/>
        <v>1.8918545914305958E-15</v>
      </c>
      <c r="U252" s="6">
        <f t="shared" si="51"/>
        <v>352.01494555660213</v>
      </c>
      <c r="V252" s="2">
        <f t="shared" si="52"/>
        <v>3.1594047580602269E-9</v>
      </c>
      <c r="W252" s="2">
        <f t="shared" si="53"/>
        <v>3.2296025824089834E-16</v>
      </c>
    </row>
    <row r="253" spans="1:23" x14ac:dyDescent="0.45">
      <c r="A253">
        <v>-41.601529999999997</v>
      </c>
      <c r="B253">
        <v>-126.05842</v>
      </c>
      <c r="C253">
        <v>84.820650000000001</v>
      </c>
      <c r="D253">
        <v>114948.1189</v>
      </c>
      <c r="E253" s="10" t="s">
        <v>769</v>
      </c>
      <c r="F253" s="10" t="s">
        <v>770</v>
      </c>
      <c r="G253" s="10" t="s">
        <v>771</v>
      </c>
      <c r="H253" s="10">
        <v>-41.499916325803099</v>
      </c>
      <c r="I253" s="10">
        <v>-124.68729857368901</v>
      </c>
      <c r="J253" s="10">
        <v>83.9111839442877</v>
      </c>
      <c r="K253" s="4">
        <f t="shared" si="54"/>
        <v>-41.499916325000001</v>
      </c>
      <c r="L253" s="4">
        <f t="shared" si="55"/>
        <v>-124.687298575</v>
      </c>
      <c r="M253" s="4">
        <f t="shared" si="56"/>
        <v>83.911183333333327</v>
      </c>
      <c r="N253" s="4">
        <f t="shared" si="57"/>
        <v>83.9111839442877</v>
      </c>
      <c r="O253" s="5">
        <f t="shared" si="45"/>
        <v>-41.499916325802737</v>
      </c>
      <c r="P253" s="2">
        <f t="shared" si="46"/>
        <v>1.9343066849544381E-11</v>
      </c>
      <c r="Q253" s="2">
        <f t="shared" si="47"/>
        <v>8.7319885754164464E-15</v>
      </c>
      <c r="R253" s="6">
        <f t="shared" si="48"/>
        <v>-124.68729857369225</v>
      </c>
      <c r="S253" s="2">
        <f t="shared" si="49"/>
        <v>1.048826881416349E-11</v>
      </c>
      <c r="T253" s="2">
        <f t="shared" si="50"/>
        <v>2.5985604886220254E-14</v>
      </c>
      <c r="U253" s="6">
        <f t="shared" si="51"/>
        <v>83.911183944284275</v>
      </c>
      <c r="V253" s="2">
        <f t="shared" si="52"/>
        <v>7.280923998790928E-9</v>
      </c>
      <c r="W253" s="2">
        <f t="shared" si="53"/>
        <v>4.0814773733112475E-14</v>
      </c>
    </row>
    <row r="254" spans="1:23" x14ac:dyDescent="0.45">
      <c r="A254">
        <v>-58.229199999999999</v>
      </c>
      <c r="B254">
        <v>-22.044229999999999</v>
      </c>
      <c r="C254">
        <v>61.329009999999997</v>
      </c>
      <c r="D254">
        <v>12919.8554</v>
      </c>
      <c r="E254" s="10" t="s">
        <v>772</v>
      </c>
      <c r="F254" s="10" t="s">
        <v>773</v>
      </c>
      <c r="G254" s="10" t="s">
        <v>774</v>
      </c>
      <c r="H254" s="10">
        <v>-58.173401740507799</v>
      </c>
      <c r="I254" s="10">
        <v>-21.8515981404048</v>
      </c>
      <c r="J254" s="10">
        <v>61.1652912231066</v>
      </c>
      <c r="K254" s="4">
        <f t="shared" si="54"/>
        <v>-58.173401741666666</v>
      </c>
      <c r="L254" s="4">
        <f t="shared" si="55"/>
        <v>-21.851598141666614</v>
      </c>
      <c r="M254" s="4">
        <f t="shared" si="56"/>
        <v>61.16529166666669</v>
      </c>
      <c r="N254" s="4">
        <f t="shared" si="57"/>
        <v>61.165291223106578</v>
      </c>
      <c r="O254" s="5">
        <f t="shared" si="45"/>
        <v>-58.173401740507686</v>
      </c>
      <c r="P254" s="2">
        <f t="shared" si="46"/>
        <v>1.9922858771432229E-11</v>
      </c>
      <c r="Q254" s="2">
        <f t="shared" si="47"/>
        <v>1.954275224074659E-15</v>
      </c>
      <c r="R254" s="6">
        <f t="shared" si="48"/>
        <v>-21.85159814040502</v>
      </c>
      <c r="S254" s="2">
        <f t="shared" si="49"/>
        <v>5.773460998864901E-11</v>
      </c>
      <c r="T254" s="2">
        <f t="shared" si="50"/>
        <v>1.00801894062999E-14</v>
      </c>
      <c r="U254" s="6">
        <f t="shared" si="51"/>
        <v>61.165291223106451</v>
      </c>
      <c r="V254" s="2">
        <f t="shared" si="52"/>
        <v>7.251829054004595E-9</v>
      </c>
      <c r="W254" s="2">
        <f t="shared" si="53"/>
        <v>2.0910174688827732E-15</v>
      </c>
    </row>
    <row r="255" spans="1:23" x14ac:dyDescent="0.4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10" t="s">
        <v>775</v>
      </c>
      <c r="F255" s="10" t="s">
        <v>776</v>
      </c>
      <c r="G255" s="10" t="s">
        <v>777</v>
      </c>
      <c r="H255" s="10">
        <v>77.911219995586293</v>
      </c>
      <c r="I255" s="10">
        <v>-58.236448874000502</v>
      </c>
      <c r="J255" s="10">
        <v>-135.20166390521999</v>
      </c>
      <c r="K255" s="4">
        <f t="shared" si="54"/>
        <v>77.911219994444451</v>
      </c>
      <c r="L255" s="4">
        <f t="shared" si="55"/>
        <v>-58.236448875000008</v>
      </c>
      <c r="M255" s="4">
        <f t="shared" si="56"/>
        <v>224.7983361111111</v>
      </c>
      <c r="N255" s="4">
        <f t="shared" si="57"/>
        <v>224.79833609478001</v>
      </c>
      <c r="O255" s="5">
        <f t="shared" si="45"/>
        <v>77.911219995596468</v>
      </c>
      <c r="P255" s="2">
        <f t="shared" si="46"/>
        <v>1.4786280441054722E-11</v>
      </c>
      <c r="Q255" s="2">
        <f t="shared" si="47"/>
        <v>1.3059700485579678E-13</v>
      </c>
      <c r="R255" s="6">
        <f t="shared" si="48"/>
        <v>-58.236448873950039</v>
      </c>
      <c r="S255" s="2">
        <f t="shared" si="49"/>
        <v>1.8029413209695812E-11</v>
      </c>
      <c r="T255" s="2">
        <f t="shared" si="50"/>
        <v>8.6651480420557148E-13</v>
      </c>
      <c r="U255" s="6">
        <f t="shared" si="51"/>
        <v>224.79833609482722</v>
      </c>
      <c r="V255" s="2">
        <f t="shared" si="52"/>
        <v>7.2437713015759059E-11</v>
      </c>
      <c r="W255" s="2">
        <f t="shared" si="53"/>
        <v>2.1000359782021212E-13</v>
      </c>
    </row>
    <row r="256" spans="1:23" x14ac:dyDescent="0.45">
      <c r="A256">
        <v>-66.508170000000007</v>
      </c>
      <c r="B256">
        <v>162.89202</v>
      </c>
      <c r="C256">
        <v>271.56639000000001</v>
      </c>
      <c r="D256">
        <v>36730.163999999997</v>
      </c>
      <c r="E256" s="10" t="s">
        <v>778</v>
      </c>
      <c r="F256" s="10" t="s">
        <v>779</v>
      </c>
      <c r="G256" s="10" t="s">
        <v>780</v>
      </c>
      <c r="H256" s="10">
        <v>-66.496993149519497</v>
      </c>
      <c r="I256" s="10">
        <v>162.06726695894801</v>
      </c>
      <c r="J256" s="10">
        <v>-87.6772450157507</v>
      </c>
      <c r="K256" s="4">
        <f t="shared" si="54"/>
        <v>-66.496993149999994</v>
      </c>
      <c r="L256" s="4">
        <f t="shared" si="55"/>
        <v>162.06726695833333</v>
      </c>
      <c r="M256" s="4">
        <f t="shared" si="56"/>
        <v>272.32275555555555</v>
      </c>
      <c r="N256" s="4">
        <f t="shared" si="57"/>
        <v>272.32275498424929</v>
      </c>
      <c r="O256" s="5">
        <f t="shared" si="45"/>
        <v>-66.496993149519469</v>
      </c>
      <c r="P256" s="2">
        <f t="shared" si="46"/>
        <v>7.2262792432719283E-12</v>
      </c>
      <c r="Q256" s="2">
        <f t="shared" si="47"/>
        <v>4.274134526127725E-16</v>
      </c>
      <c r="R256" s="6">
        <f t="shared" si="48"/>
        <v>162.06726695895125</v>
      </c>
      <c r="S256" s="2">
        <f t="shared" si="49"/>
        <v>3.8127155243833205E-12</v>
      </c>
      <c r="T256" s="2">
        <f t="shared" si="50"/>
        <v>1.9992160883954283E-14</v>
      </c>
      <c r="U256" s="6">
        <f t="shared" si="51"/>
        <v>272.32275498424661</v>
      </c>
      <c r="V256" s="2">
        <f t="shared" si="52"/>
        <v>2.097911096943117E-9</v>
      </c>
      <c r="W256" s="2">
        <f t="shared" si="53"/>
        <v>9.8105671948438538E-15</v>
      </c>
    </row>
    <row r="257" spans="1:23" x14ac:dyDescent="0.45">
      <c r="A257">
        <v>-89.068039999999996</v>
      </c>
      <c r="B257">
        <v>137.26307</v>
      </c>
      <c r="C257">
        <v>188.14599999999999</v>
      </c>
      <c r="D257">
        <v>195008.64120000001</v>
      </c>
      <c r="E257" s="10" t="s">
        <v>781</v>
      </c>
      <c r="F257" s="10" t="s">
        <v>782</v>
      </c>
      <c r="G257" s="10" t="s">
        <v>783</v>
      </c>
      <c r="H257" s="10">
        <v>-89.166116982116094</v>
      </c>
      <c r="I257" s="10">
        <v>-25.481215246219101</v>
      </c>
      <c r="J257" s="10">
        <v>-9.1117266991282797</v>
      </c>
      <c r="K257" s="4">
        <f t="shared" si="54"/>
        <v>-89.166116983333339</v>
      </c>
      <c r="L257" s="4">
        <f t="shared" si="55"/>
        <v>-25.481215244444456</v>
      </c>
      <c r="M257" s="4">
        <f t="shared" si="56"/>
        <v>350.88827222222221</v>
      </c>
      <c r="N257" s="4">
        <f t="shared" si="57"/>
        <v>350.88827330087173</v>
      </c>
      <c r="O257" s="5">
        <f t="shared" si="45"/>
        <v>-89.166116982130873</v>
      </c>
      <c r="P257" s="2">
        <f t="shared" si="46"/>
        <v>1.3485679574970098E-11</v>
      </c>
      <c r="Q257" s="2">
        <f t="shared" si="47"/>
        <v>1.6575005623239533E-13</v>
      </c>
      <c r="R257" s="6">
        <f t="shared" si="48"/>
        <v>-25.481215246055637</v>
      </c>
      <c r="S257" s="2">
        <f t="shared" si="49"/>
        <v>6.3230128817465112E-11</v>
      </c>
      <c r="T257" s="2">
        <f t="shared" si="50"/>
        <v>6.4150750855395171E-12</v>
      </c>
      <c r="U257" s="6">
        <f t="shared" si="51"/>
        <v>350.88827330070819</v>
      </c>
      <c r="V257" s="2">
        <f t="shared" si="52"/>
        <v>3.0735879908522428E-9</v>
      </c>
      <c r="W257" s="2">
        <f t="shared" si="53"/>
        <v>4.6607005279517383E-13</v>
      </c>
    </row>
    <row r="258" spans="1:23" x14ac:dyDescent="0.45">
      <c r="A258">
        <v>27.484500000000001</v>
      </c>
      <c r="B258">
        <v>-151.23648</v>
      </c>
      <c r="C258">
        <v>176.18144000000001</v>
      </c>
      <c r="D258">
        <v>253855.41510000001</v>
      </c>
      <c r="E258" s="10" t="s">
        <v>784</v>
      </c>
      <c r="F258" s="10" t="s">
        <v>785</v>
      </c>
      <c r="G258" s="10" t="s">
        <v>786</v>
      </c>
      <c r="H258" s="10">
        <v>25.198234640194201</v>
      </c>
      <c r="I258" s="10">
        <v>-151.06878480807899</v>
      </c>
      <c r="J258" s="10">
        <v>176.25586433951</v>
      </c>
      <c r="K258" s="4">
        <f t="shared" si="54"/>
        <v>25.198234638888888</v>
      </c>
      <c r="L258" s="4">
        <f t="shared" si="55"/>
        <v>-151.06878480833336</v>
      </c>
      <c r="M258" s="4">
        <f t="shared" si="56"/>
        <v>176.25586388888883</v>
      </c>
      <c r="N258" s="4">
        <f t="shared" si="57"/>
        <v>176.25586433951003</v>
      </c>
      <c r="O258" s="5">
        <f t="shared" si="45"/>
        <v>25.198234640182857</v>
      </c>
      <c r="P258" s="2">
        <f t="shared" si="46"/>
        <v>5.1351588499605136E-11</v>
      </c>
      <c r="Q258" s="2">
        <f t="shared" si="47"/>
        <v>4.5018291711258444E-13</v>
      </c>
      <c r="R258" s="6">
        <f t="shared" si="48"/>
        <v>-151.0687848080785</v>
      </c>
      <c r="S258" s="2">
        <f t="shared" si="49"/>
        <v>1.687029314399927E-12</v>
      </c>
      <c r="T258" s="2">
        <f t="shared" si="50"/>
        <v>3.1983381671514499E-15</v>
      </c>
      <c r="U258" s="6">
        <f t="shared" si="51"/>
        <v>176.2558643395102</v>
      </c>
      <c r="V258" s="2">
        <f t="shared" si="52"/>
        <v>2.5566319405550258E-9</v>
      </c>
      <c r="W258" s="2">
        <f t="shared" si="53"/>
        <v>9.6751536308569494E-16</v>
      </c>
    </row>
    <row r="259" spans="1:23" x14ac:dyDescent="0.45">
      <c r="A259">
        <v>-67.861440000000002</v>
      </c>
      <c r="B259">
        <v>45.040439999999997</v>
      </c>
      <c r="C259">
        <v>47.127630000000003</v>
      </c>
      <c r="D259">
        <v>132081.4932</v>
      </c>
      <c r="E259" s="10" t="s">
        <v>787</v>
      </c>
      <c r="F259" s="10" t="s">
        <v>788</v>
      </c>
      <c r="G259" s="10" t="s">
        <v>789</v>
      </c>
      <c r="H259" s="10">
        <v>-67.040119427220404</v>
      </c>
      <c r="I259" s="10">
        <v>47.263645332654001</v>
      </c>
      <c r="J259" s="10">
        <v>45.074297041460298</v>
      </c>
      <c r="K259" s="4">
        <f t="shared" si="54"/>
        <v>-67.040119427777782</v>
      </c>
      <c r="L259" s="4">
        <f t="shared" si="55"/>
        <v>47.263645333333329</v>
      </c>
      <c r="M259" s="4">
        <f t="shared" si="56"/>
        <v>45.074297222222185</v>
      </c>
      <c r="N259" s="4">
        <f t="shared" si="57"/>
        <v>45.074297041460284</v>
      </c>
      <c r="O259" s="5">
        <f t="shared" si="45"/>
        <v>-67.040119427221427</v>
      </c>
      <c r="P259" s="2">
        <f t="shared" si="46"/>
        <v>8.298836082765616E-12</v>
      </c>
      <c r="Q259" s="2">
        <f t="shared" si="47"/>
        <v>1.5262227278776299E-14</v>
      </c>
      <c r="R259" s="6">
        <f t="shared" si="48"/>
        <v>47.263645332649702</v>
      </c>
      <c r="S259" s="2">
        <f t="shared" si="49"/>
        <v>1.4464127176567358E-11</v>
      </c>
      <c r="T259" s="2">
        <f t="shared" si="50"/>
        <v>9.0953279652735916E-14</v>
      </c>
      <c r="U259" s="6">
        <f t="shared" si="51"/>
        <v>45.074297041462891</v>
      </c>
      <c r="V259" s="2">
        <f t="shared" si="52"/>
        <v>4.0102520703563202E-9</v>
      </c>
      <c r="W259" s="2">
        <f t="shared" si="53"/>
        <v>5.7853189320755414E-14</v>
      </c>
    </row>
    <row r="260" spans="1:23" x14ac:dyDescent="0.4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10" t="s">
        <v>790</v>
      </c>
      <c r="F260" s="10" t="s">
        <v>791</v>
      </c>
      <c r="G260" s="10" t="s">
        <v>792</v>
      </c>
      <c r="H260" s="10">
        <v>-14.522789656073099</v>
      </c>
      <c r="I260" s="10">
        <v>-15.0928422809917</v>
      </c>
      <c r="J260" s="10">
        <v>-18.278624301905701</v>
      </c>
      <c r="K260" s="4">
        <f t="shared" si="54"/>
        <v>-14.522789655555556</v>
      </c>
      <c r="L260" s="4">
        <f t="shared" si="55"/>
        <v>-15.092842280555601</v>
      </c>
      <c r="M260" s="4">
        <f t="shared" si="56"/>
        <v>341.72137499999997</v>
      </c>
      <c r="N260" s="4">
        <f t="shared" si="57"/>
        <v>341.72137569809428</v>
      </c>
      <c r="O260" s="5">
        <f t="shared" si="45"/>
        <v>-14.522789656067861</v>
      </c>
      <c r="P260" s="2">
        <f t="shared" si="46"/>
        <v>3.5275926825858397E-11</v>
      </c>
      <c r="Q260" s="2">
        <f t="shared" si="47"/>
        <v>3.6070730510103663E-13</v>
      </c>
      <c r="R260" s="6">
        <f t="shared" si="48"/>
        <v>-15.092842280992906</v>
      </c>
      <c r="S260" s="2">
        <f t="shared" si="49"/>
        <v>2.8974350553161342E-11</v>
      </c>
      <c r="T260" s="2">
        <f t="shared" si="50"/>
        <v>7.9915119465060644E-14</v>
      </c>
      <c r="U260" s="6">
        <f t="shared" si="51"/>
        <v>341.72137569809439</v>
      </c>
      <c r="V260" s="2">
        <f t="shared" si="52"/>
        <v>2.0428760856224324E-9</v>
      </c>
      <c r="W260" s="2">
        <f t="shared" si="53"/>
        <v>3.3268869262090484E-16</v>
      </c>
    </row>
    <row r="261" spans="1:23" x14ac:dyDescent="0.45">
      <c r="A261">
        <v>75.715829999999997</v>
      </c>
      <c r="B261">
        <v>67.995959999999997</v>
      </c>
      <c r="C261">
        <v>45.207999999999998</v>
      </c>
      <c r="D261">
        <v>169355.3083</v>
      </c>
      <c r="E261" s="10" t="s">
        <v>793</v>
      </c>
      <c r="F261" s="10" t="s">
        <v>794</v>
      </c>
      <c r="G261" s="10" t="s">
        <v>795</v>
      </c>
      <c r="H261" s="10">
        <v>76.741830004062706</v>
      </c>
      <c r="I261" s="10">
        <v>72.693381843949993</v>
      </c>
      <c r="J261" s="10">
        <v>49.770718174960003</v>
      </c>
      <c r="K261" s="4">
        <f t="shared" si="54"/>
        <v>76.741830002777775</v>
      </c>
      <c r="L261" s="4">
        <f t="shared" si="55"/>
        <v>72.693381844444502</v>
      </c>
      <c r="M261" s="4">
        <f t="shared" si="56"/>
        <v>49.770719444444467</v>
      </c>
      <c r="N261" s="4">
        <f t="shared" si="57"/>
        <v>49.770718174959995</v>
      </c>
      <c r="O261" s="5">
        <f t="shared" ref="O261:O324" si="58">vincentyDirLat(A261, $B261, $C261, $D261)</f>
        <v>76.741830004057334</v>
      </c>
      <c r="P261" s="2">
        <f t="shared" ref="P261:P324" si="59">ABS((K261-O261)/K261)</f>
        <v>1.6673560812469395E-11</v>
      </c>
      <c r="Q261" s="2">
        <f t="shared" ref="Q261:Q324" si="60">ABS((H261-O261)/H261)</f>
        <v>6.9997067858063592E-14</v>
      </c>
      <c r="R261" s="6">
        <f t="shared" ref="R261:R324" si="61">VincentyDirLon($A261, $B261, $C261, $D261)</f>
        <v>72.693381843921273</v>
      </c>
      <c r="S261" s="2">
        <f t="shared" ref="S261:S324" si="62">ABS((L261-R261)/L261)</f>
        <v>7.1977592248861607E-12</v>
      </c>
      <c r="T261" s="2">
        <f t="shared" ref="T261:T324" si="63">ABS((I261-R261)/I261)</f>
        <v>3.9508599890257442E-13</v>
      </c>
      <c r="U261" s="6">
        <f t="shared" ref="U261:U324" si="64">VincentyDirRevAzimuth($A261, $B261, $C261, $D261)</f>
        <v>49.770718174933201</v>
      </c>
      <c r="V261" s="2">
        <f t="shared" ref="V261:V324" si="65">ABS((M261-U261)/M261)</f>
        <v>2.5507191377974526E-8</v>
      </c>
      <c r="W261" s="2">
        <f t="shared" ref="W261:W324" si="66">ABS((N261-U261)/N261)</f>
        <v>5.3836005482826078E-13</v>
      </c>
    </row>
    <row r="262" spans="1:23" x14ac:dyDescent="0.45">
      <c r="A262">
        <v>30.255659999999999</v>
      </c>
      <c r="B262">
        <v>54.106180000000002</v>
      </c>
      <c r="C262">
        <v>40.88852</v>
      </c>
      <c r="D262">
        <v>34280.7667</v>
      </c>
      <c r="E262" s="10" t="s">
        <v>796</v>
      </c>
      <c r="F262" s="10" t="s">
        <v>797</v>
      </c>
      <c r="G262" s="10" t="s">
        <v>798</v>
      </c>
      <c r="H262" s="10">
        <v>30.489224059326101</v>
      </c>
      <c r="I262" s="10">
        <v>54.339904550007198</v>
      </c>
      <c r="J262" s="10">
        <v>41.006695908497797</v>
      </c>
      <c r="K262" s="4">
        <f t="shared" si="54"/>
        <v>30.489224058333335</v>
      </c>
      <c r="L262" s="4">
        <f t="shared" si="55"/>
        <v>54.339904550000028</v>
      </c>
      <c r="M262" s="4">
        <f t="shared" si="56"/>
        <v>41.006697222222215</v>
      </c>
      <c r="N262" s="4">
        <f t="shared" si="57"/>
        <v>41.006695908497818</v>
      </c>
      <c r="O262" s="5">
        <f t="shared" si="58"/>
        <v>30.489224059322002</v>
      </c>
      <c r="P262" s="2">
        <f t="shared" si="59"/>
        <v>3.2426765739050494E-11</v>
      </c>
      <c r="Q262" s="2">
        <f t="shared" si="60"/>
        <v>1.3446821661837976E-13</v>
      </c>
      <c r="R262" s="6">
        <f t="shared" si="61"/>
        <v>54.339904550002259</v>
      </c>
      <c r="S262" s="2">
        <f t="shared" si="62"/>
        <v>4.1058301606580823E-14</v>
      </c>
      <c r="T262" s="2">
        <f t="shared" si="63"/>
        <v>9.0877451008184411E-14</v>
      </c>
      <c r="U262" s="6">
        <f t="shared" si="64"/>
        <v>41.006695908495743</v>
      </c>
      <c r="V262" s="2">
        <f t="shared" si="65"/>
        <v>3.203687593976597E-8</v>
      </c>
      <c r="W262" s="2">
        <f t="shared" si="66"/>
        <v>5.05962439170705E-14</v>
      </c>
    </row>
    <row r="263" spans="1:23" x14ac:dyDescent="0.45">
      <c r="A263">
        <v>55.852899999999998</v>
      </c>
      <c r="B263">
        <v>-102.58091</v>
      </c>
      <c r="C263">
        <v>2.56027</v>
      </c>
      <c r="D263">
        <v>95631.720499999996</v>
      </c>
      <c r="E263" s="10" t="s">
        <v>799</v>
      </c>
      <c r="F263" s="10" t="s">
        <v>800</v>
      </c>
      <c r="G263" s="10" t="s">
        <v>801</v>
      </c>
      <c r="H263" s="10">
        <v>56.710885905649199</v>
      </c>
      <c r="I263" s="10">
        <v>-102.51115901476901</v>
      </c>
      <c r="J263" s="10">
        <v>2.6182890169533501</v>
      </c>
      <c r="K263" s="4">
        <f t="shared" si="54"/>
        <v>56.710885905555557</v>
      </c>
      <c r="L263" s="4">
        <f t="shared" si="55"/>
        <v>-102.51115901388891</v>
      </c>
      <c r="M263" s="4">
        <f t="shared" si="56"/>
        <v>2.6182888888888556</v>
      </c>
      <c r="N263" s="4">
        <f t="shared" si="57"/>
        <v>2.6182890169533266</v>
      </c>
      <c r="O263" s="5">
        <f t="shared" si="58"/>
        <v>56.710885905651381</v>
      </c>
      <c r="P263" s="2">
        <f t="shared" si="59"/>
        <v>1.6896895863025117E-12</v>
      </c>
      <c r="Q263" s="2">
        <f t="shared" si="60"/>
        <v>3.8464682114341877E-14</v>
      </c>
      <c r="R263" s="6">
        <f t="shared" si="61"/>
        <v>-102.51115901476835</v>
      </c>
      <c r="S263" s="2">
        <f t="shared" si="62"/>
        <v>8.5789562083784812E-12</v>
      </c>
      <c r="T263" s="2">
        <f t="shared" si="63"/>
        <v>6.3768600724250153E-15</v>
      </c>
      <c r="U263" s="6">
        <f t="shared" si="64"/>
        <v>2.6182890169534967</v>
      </c>
      <c r="V263" s="2">
        <f t="shared" si="65"/>
        <v>4.8911577961235153E-8</v>
      </c>
      <c r="W263" s="2">
        <f t="shared" si="66"/>
        <v>6.4960806951131905E-14</v>
      </c>
    </row>
    <row r="264" spans="1:23" x14ac:dyDescent="0.45">
      <c r="A264">
        <v>-18.257709999999999</v>
      </c>
      <c r="B264">
        <v>-67.428340000000006</v>
      </c>
      <c r="C264">
        <v>219.79338999999999</v>
      </c>
      <c r="D264">
        <v>103399.0039</v>
      </c>
      <c r="E264" s="10" t="s">
        <v>802</v>
      </c>
      <c r="F264" s="10" t="s">
        <v>803</v>
      </c>
      <c r="G264" s="10" t="s">
        <v>804</v>
      </c>
      <c r="H264" s="10">
        <v>-18.974432561089099</v>
      </c>
      <c r="I264" s="10">
        <v>-68.056743442519107</v>
      </c>
      <c r="J264" s="10">
        <v>-140.00600206487701</v>
      </c>
      <c r="K264" s="4">
        <f t="shared" si="54"/>
        <v>-18.974432561111112</v>
      </c>
      <c r="L264" s="4">
        <f t="shared" si="55"/>
        <v>-68.05674344166664</v>
      </c>
      <c r="M264" s="4">
        <f t="shared" si="56"/>
        <v>219.99399722222222</v>
      </c>
      <c r="N264" s="4">
        <f t="shared" si="57"/>
        <v>219.99399793512299</v>
      </c>
      <c r="O264" s="5">
        <f t="shared" si="58"/>
        <v>-18.974432561093511</v>
      </c>
      <c r="P264" s="2">
        <f t="shared" si="59"/>
        <v>9.2757153649221142E-13</v>
      </c>
      <c r="Q264" s="2">
        <f t="shared" si="60"/>
        <v>2.3254821322661751E-13</v>
      </c>
      <c r="R264" s="6">
        <f t="shared" si="61"/>
        <v>-68.056743442521565</v>
      </c>
      <c r="S264" s="2">
        <f t="shared" si="62"/>
        <v>1.2561944289904688E-11</v>
      </c>
      <c r="T264" s="2">
        <f t="shared" si="63"/>
        <v>3.6123942189599227E-14</v>
      </c>
      <c r="U264" s="6">
        <f t="shared" si="64"/>
        <v>219.99399793512399</v>
      </c>
      <c r="V264" s="2">
        <f t="shared" si="65"/>
        <v>3.2405509926000876E-9</v>
      </c>
      <c r="W264" s="2">
        <f t="shared" si="66"/>
        <v>4.5217589543397381E-15</v>
      </c>
    </row>
    <row r="265" spans="1:23" x14ac:dyDescent="0.45">
      <c r="A265">
        <v>57.290219999999998</v>
      </c>
      <c r="B265">
        <v>-50.804630000000003</v>
      </c>
      <c r="C265">
        <v>139.18638999999999</v>
      </c>
      <c r="D265">
        <v>198631.8469</v>
      </c>
      <c r="E265" s="10" t="s">
        <v>805</v>
      </c>
      <c r="F265" s="10" t="s">
        <v>806</v>
      </c>
      <c r="G265" s="10" t="s">
        <v>807</v>
      </c>
      <c r="H265" s="10">
        <v>55.922474074270802</v>
      </c>
      <c r="I265" s="10">
        <v>-48.727881291595899</v>
      </c>
      <c r="J265" s="10">
        <v>140.92046714299099</v>
      </c>
      <c r="K265" s="4">
        <f t="shared" si="54"/>
        <v>55.922474074999997</v>
      </c>
      <c r="L265" s="4">
        <f t="shared" si="55"/>
        <v>-48.727881291666677</v>
      </c>
      <c r="M265" s="4">
        <f t="shared" si="56"/>
        <v>140.92046666666664</v>
      </c>
      <c r="N265" s="4">
        <f t="shared" si="57"/>
        <v>140.92046714299101</v>
      </c>
      <c r="O265" s="5">
        <f t="shared" si="58"/>
        <v>55.922474074267662</v>
      </c>
      <c r="P265" s="2">
        <f t="shared" si="59"/>
        <v>1.3095541525643105E-11</v>
      </c>
      <c r="Q265" s="2">
        <f t="shared" si="60"/>
        <v>5.6159870321341722E-14</v>
      </c>
      <c r="R265" s="6">
        <f t="shared" si="61"/>
        <v>-48.727881291593597</v>
      </c>
      <c r="S265" s="2">
        <f t="shared" si="62"/>
        <v>1.4997434412446771E-12</v>
      </c>
      <c r="T265" s="2">
        <f t="shared" si="63"/>
        <v>4.7245199315895109E-14</v>
      </c>
      <c r="U265" s="6">
        <f t="shared" si="64"/>
        <v>140.92046714299408</v>
      </c>
      <c r="V265" s="2">
        <f t="shared" si="65"/>
        <v>3.3801154263340991E-9</v>
      </c>
      <c r="W265" s="2">
        <f t="shared" si="66"/>
        <v>2.178210646554973E-14</v>
      </c>
    </row>
    <row r="266" spans="1:23" x14ac:dyDescent="0.45">
      <c r="A266">
        <v>-3.7221899999999999</v>
      </c>
      <c r="B266">
        <v>-31.04684</v>
      </c>
      <c r="C266">
        <v>4.0206900000000001</v>
      </c>
      <c r="D266">
        <v>165946.44219999999</v>
      </c>
      <c r="E266" s="10" t="s">
        <v>808</v>
      </c>
      <c r="F266" s="10" t="s">
        <v>809</v>
      </c>
      <c r="G266" s="10" t="s">
        <v>810</v>
      </c>
      <c r="H266" s="10">
        <v>-2.2251506351870902</v>
      </c>
      <c r="I266" s="10">
        <v>-30.942248953145501</v>
      </c>
      <c r="J266" s="10">
        <v>4.0152636593600599</v>
      </c>
      <c r="K266" s="4">
        <f t="shared" si="54"/>
        <v>-2.2251506361111111</v>
      </c>
      <c r="L266" s="4">
        <f t="shared" si="55"/>
        <v>-30.942248952777788</v>
      </c>
      <c r="M266" s="4">
        <f t="shared" si="56"/>
        <v>4.0152638888888532</v>
      </c>
      <c r="N266" s="4">
        <f t="shared" si="57"/>
        <v>4.0152636593600732</v>
      </c>
      <c r="O266" s="5">
        <f t="shared" si="58"/>
        <v>-2.2251506351900465</v>
      </c>
      <c r="P266" s="2">
        <f t="shared" si="59"/>
        <v>4.1393357510702899E-10</v>
      </c>
      <c r="Q266" s="2">
        <f t="shared" si="60"/>
        <v>1.3285850509277102E-12</v>
      </c>
      <c r="R266" s="6">
        <f t="shared" si="61"/>
        <v>-30.942248953145519</v>
      </c>
      <c r="S266" s="2">
        <f t="shared" si="62"/>
        <v>1.1884421695165472E-11</v>
      </c>
      <c r="T266" s="2">
        <f t="shared" si="63"/>
        <v>5.7408782473766216E-16</v>
      </c>
      <c r="U266" s="6">
        <f t="shared" si="64"/>
        <v>4.0152636593600581</v>
      </c>
      <c r="V266" s="2">
        <f t="shared" si="65"/>
        <v>5.7164062296551239E-8</v>
      </c>
      <c r="W266" s="2">
        <f t="shared" si="66"/>
        <v>3.7604088836618301E-15</v>
      </c>
    </row>
    <row r="267" spans="1:23" x14ac:dyDescent="0.45">
      <c r="A267">
        <v>24.50461</v>
      </c>
      <c r="B267">
        <v>-130.68146999999999</v>
      </c>
      <c r="C267">
        <v>53.574210000000001</v>
      </c>
      <c r="D267">
        <v>177415.48389999999</v>
      </c>
      <c r="E267" s="10" t="s">
        <v>811</v>
      </c>
      <c r="F267" s="10" t="s">
        <v>812</v>
      </c>
      <c r="G267" s="10" t="s">
        <v>813</v>
      </c>
      <c r="H267" s="10">
        <v>25.4489211471716</v>
      </c>
      <c r="I267" s="10">
        <v>-129.26221061478401</v>
      </c>
      <c r="J267" s="10">
        <v>54.173539017922799</v>
      </c>
      <c r="K267" s="4">
        <f t="shared" si="54"/>
        <v>25.448921147222222</v>
      </c>
      <c r="L267" s="4">
        <f t="shared" si="55"/>
        <v>-129.2622106138889</v>
      </c>
      <c r="M267" s="4">
        <f t="shared" si="56"/>
        <v>54.173538888888856</v>
      </c>
      <c r="N267" s="4">
        <f t="shared" si="57"/>
        <v>54.173539017922792</v>
      </c>
      <c r="O267" s="5">
        <f t="shared" si="58"/>
        <v>25.44892114717258</v>
      </c>
      <c r="P267" s="2">
        <f t="shared" si="59"/>
        <v>1.9506551160538249E-12</v>
      </c>
      <c r="Q267" s="2">
        <f t="shared" si="60"/>
        <v>3.8530080300001902E-14</v>
      </c>
      <c r="R267" s="6">
        <f t="shared" si="61"/>
        <v>-129.26221061478833</v>
      </c>
      <c r="S267" s="2">
        <f t="shared" si="62"/>
        <v>6.958208531039337E-12</v>
      </c>
      <c r="T267" s="2">
        <f t="shared" si="63"/>
        <v>3.3421212687564154E-14</v>
      </c>
      <c r="U267" s="6">
        <f t="shared" si="64"/>
        <v>54.173539017923382</v>
      </c>
      <c r="V267" s="2">
        <f t="shared" si="65"/>
        <v>2.3818736588641573E-9</v>
      </c>
      <c r="W267" s="2">
        <f t="shared" si="66"/>
        <v>1.0886319804319409E-14</v>
      </c>
    </row>
    <row r="268" spans="1:23" x14ac:dyDescent="0.45">
      <c r="A268">
        <v>-49.103529999999999</v>
      </c>
      <c r="B268">
        <v>-34.437240000000003</v>
      </c>
      <c r="C268">
        <v>123.05946</v>
      </c>
      <c r="D268">
        <v>100912.3855</v>
      </c>
      <c r="E268" s="10" t="s">
        <v>814</v>
      </c>
      <c r="F268" s="10" t="s">
        <v>815</v>
      </c>
      <c r="G268" s="10" t="s">
        <v>816</v>
      </c>
      <c r="H268" s="10">
        <v>-49.5926154454705</v>
      </c>
      <c r="I268" s="10">
        <v>-33.267422427876298</v>
      </c>
      <c r="J268" s="10">
        <v>122.17192018215501</v>
      </c>
      <c r="K268" s="4">
        <f t="shared" si="54"/>
        <v>-49.592615444444448</v>
      </c>
      <c r="L268" s="4">
        <f t="shared" si="55"/>
        <v>-33.267422427777774</v>
      </c>
      <c r="M268" s="4">
        <f t="shared" si="56"/>
        <v>122.17191944444443</v>
      </c>
      <c r="N268" s="4">
        <f t="shared" si="57"/>
        <v>122.17192018215502</v>
      </c>
      <c r="O268" s="5">
        <f t="shared" si="58"/>
        <v>-49.592615445471822</v>
      </c>
      <c r="P268" s="2">
        <f t="shared" si="59"/>
        <v>2.0716264557299511E-11</v>
      </c>
      <c r="Q268" s="2">
        <f t="shared" si="60"/>
        <v>2.6649320199031659E-14</v>
      </c>
      <c r="R268" s="6">
        <f t="shared" si="61"/>
        <v>-33.267422427875957</v>
      </c>
      <c r="S268" s="2">
        <f t="shared" si="62"/>
        <v>2.9513195812053524E-12</v>
      </c>
      <c r="T268" s="2">
        <f t="shared" si="63"/>
        <v>1.0252087125303037E-14</v>
      </c>
      <c r="U268" s="6">
        <f t="shared" si="64"/>
        <v>122.17192018215236</v>
      </c>
      <c r="V268" s="2">
        <f t="shared" si="65"/>
        <v>6.0382773634239311E-9</v>
      </c>
      <c r="W268" s="2">
        <f t="shared" si="66"/>
        <v>2.1751559832902838E-14</v>
      </c>
    </row>
    <row r="269" spans="1:23" x14ac:dyDescent="0.45">
      <c r="A269">
        <v>78.33399</v>
      </c>
      <c r="B269">
        <v>15.32395</v>
      </c>
      <c r="C269">
        <v>106.19398</v>
      </c>
      <c r="D269">
        <v>165257.90979999999</v>
      </c>
      <c r="E269" s="10" t="s">
        <v>817</v>
      </c>
      <c r="F269" s="10" t="s">
        <v>818</v>
      </c>
      <c r="G269" s="10" t="s">
        <v>819</v>
      </c>
      <c r="H269" s="10">
        <v>77.838998863814894</v>
      </c>
      <c r="I269" s="10">
        <v>22.0846827890892</v>
      </c>
      <c r="J269" s="10">
        <v>112.809477562314</v>
      </c>
      <c r="K269" s="4">
        <f t="shared" si="54"/>
        <v>77.838998863888889</v>
      </c>
      <c r="L269" s="4">
        <f t="shared" si="55"/>
        <v>22.084682788888927</v>
      </c>
      <c r="M269" s="4">
        <f t="shared" si="56"/>
        <v>112.80947777777777</v>
      </c>
      <c r="N269" s="4">
        <f t="shared" si="57"/>
        <v>112.80947756231399</v>
      </c>
      <c r="O269" s="5">
        <f t="shared" si="58"/>
        <v>77.83899886381856</v>
      </c>
      <c r="P269" s="2">
        <f t="shared" si="59"/>
        <v>9.0352549508652567E-13</v>
      </c>
      <c r="Q269" s="2">
        <f t="shared" si="60"/>
        <v>4.7102359614577734E-14</v>
      </c>
      <c r="R269" s="6">
        <f t="shared" si="61"/>
        <v>22.084682789044866</v>
      </c>
      <c r="S269" s="2">
        <f t="shared" si="62"/>
        <v>7.0609690433065819E-12</v>
      </c>
      <c r="T269" s="2">
        <f t="shared" si="63"/>
        <v>2.0074689059901075E-12</v>
      </c>
      <c r="U269" s="6">
        <f t="shared" si="64"/>
        <v>112.80947756227266</v>
      </c>
      <c r="V269" s="2">
        <f t="shared" si="65"/>
        <v>1.9103457873471393E-9</v>
      </c>
      <c r="W269" s="2">
        <f t="shared" si="66"/>
        <v>3.6632707113620063E-13</v>
      </c>
    </row>
    <row r="270" spans="1:23" x14ac:dyDescent="0.45">
      <c r="A270">
        <v>-17.395489999999999</v>
      </c>
      <c r="B270">
        <v>-64.608440000000002</v>
      </c>
      <c r="C270">
        <v>52.176949999999998</v>
      </c>
      <c r="D270">
        <v>104705.3213</v>
      </c>
      <c r="E270" s="10" t="s">
        <v>820</v>
      </c>
      <c r="F270" s="10" t="s">
        <v>821</v>
      </c>
      <c r="G270" s="10" t="s">
        <v>822</v>
      </c>
      <c r="H270" s="10">
        <v>-16.813821089399202</v>
      </c>
      <c r="I270" s="10">
        <v>-63.832512634598402</v>
      </c>
      <c r="J270" s="10">
        <v>51.948729647425402</v>
      </c>
      <c r="K270" s="4">
        <f t="shared" si="54"/>
        <v>-16.81382108888889</v>
      </c>
      <c r="L270" s="4">
        <f t="shared" si="55"/>
        <v>-63.832512633333351</v>
      </c>
      <c r="M270" s="4">
        <f t="shared" si="56"/>
        <v>51.948730555555585</v>
      </c>
      <c r="N270" s="4">
        <f t="shared" si="57"/>
        <v>51.948729647425409</v>
      </c>
      <c r="O270" s="5">
        <f t="shared" si="58"/>
        <v>-16.813821089395375</v>
      </c>
      <c r="P270" s="2">
        <f t="shared" si="59"/>
        <v>3.012316578802766E-11</v>
      </c>
      <c r="Q270" s="2">
        <f t="shared" si="60"/>
        <v>2.2756710754347996E-13</v>
      </c>
      <c r="R270" s="6">
        <f t="shared" si="61"/>
        <v>-63.83251263459541</v>
      </c>
      <c r="S270" s="2">
        <f t="shared" si="62"/>
        <v>1.9771411930456972E-11</v>
      </c>
      <c r="T270" s="2">
        <f t="shared" si="63"/>
        <v>4.6863029420036271E-14</v>
      </c>
      <c r="U270" s="6">
        <f t="shared" si="64"/>
        <v>51.948729647423853</v>
      </c>
      <c r="V270" s="2">
        <f t="shared" si="65"/>
        <v>1.7481307471422842E-8</v>
      </c>
      <c r="W270" s="2">
        <f t="shared" si="66"/>
        <v>2.995431460741677E-14</v>
      </c>
    </row>
    <row r="271" spans="1:23" x14ac:dyDescent="0.45">
      <c r="A271">
        <v>25.40428</v>
      </c>
      <c r="B271">
        <v>92.048240000000007</v>
      </c>
      <c r="C271">
        <v>193.15189000000001</v>
      </c>
      <c r="D271">
        <v>186534.3131</v>
      </c>
      <c r="E271" s="10" t="s">
        <v>823</v>
      </c>
      <c r="F271" s="10" t="s">
        <v>824</v>
      </c>
      <c r="G271" s="10" t="s">
        <v>825</v>
      </c>
      <c r="H271" s="10">
        <v>23.763838771826499</v>
      </c>
      <c r="I271" s="10">
        <v>91.631931558171402</v>
      </c>
      <c r="J271" s="10">
        <v>-167.02132433782199</v>
      </c>
      <c r="K271" s="4">
        <f t="shared" si="54"/>
        <v>23.763838772222222</v>
      </c>
      <c r="L271" s="4">
        <f t="shared" si="55"/>
        <v>91.631931558333349</v>
      </c>
      <c r="M271" s="4">
        <f t="shared" si="56"/>
        <v>192.97867500000001</v>
      </c>
      <c r="N271" s="4">
        <f t="shared" si="57"/>
        <v>192.97867566217801</v>
      </c>
      <c r="O271" s="5">
        <f t="shared" si="58"/>
        <v>23.763838771818214</v>
      </c>
      <c r="P271" s="2">
        <f t="shared" si="59"/>
        <v>1.7000935665246291E-11</v>
      </c>
      <c r="Q271" s="2">
        <f t="shared" si="60"/>
        <v>3.4863594129350274E-13</v>
      </c>
      <c r="R271" s="6">
        <f t="shared" si="61"/>
        <v>91.631931558170749</v>
      </c>
      <c r="S271" s="2">
        <f t="shared" si="62"/>
        <v>1.7744971309245944E-12</v>
      </c>
      <c r="T271" s="2">
        <f t="shared" si="63"/>
        <v>7.1339685389508486E-15</v>
      </c>
      <c r="U271" s="6">
        <f t="shared" si="64"/>
        <v>192.97867566217727</v>
      </c>
      <c r="V271" s="2">
        <f t="shared" si="65"/>
        <v>3.4313493811012891E-9</v>
      </c>
      <c r="W271" s="2">
        <f t="shared" si="66"/>
        <v>3.8292544119439943E-15</v>
      </c>
    </row>
    <row r="272" spans="1:23" x14ac:dyDescent="0.4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10" t="s">
        <v>826</v>
      </c>
      <c r="F272" s="10" t="s">
        <v>827</v>
      </c>
      <c r="G272" s="10" t="s">
        <v>828</v>
      </c>
      <c r="H272" s="10">
        <v>-84.227729871270299</v>
      </c>
      <c r="I272" s="10">
        <v>-128.63344767775601</v>
      </c>
      <c r="J272" s="10">
        <v>59.743555469277098</v>
      </c>
      <c r="K272" s="4">
        <f t="shared" si="54"/>
        <v>-84.227729872222227</v>
      </c>
      <c r="L272" s="4">
        <f t="shared" si="55"/>
        <v>-128.63344767777778</v>
      </c>
      <c r="M272" s="4">
        <f t="shared" si="56"/>
        <v>59.743555555555531</v>
      </c>
      <c r="N272" s="4">
        <f t="shared" si="57"/>
        <v>59.743555469277112</v>
      </c>
      <c r="O272" s="5">
        <f t="shared" si="58"/>
        <v>-84.227729871275443</v>
      </c>
      <c r="P272" s="2">
        <f t="shared" si="59"/>
        <v>1.1240763415824433E-11</v>
      </c>
      <c r="Q272" s="2">
        <f t="shared" si="60"/>
        <v>6.107643426654709E-14</v>
      </c>
      <c r="R272" s="6">
        <f t="shared" si="61"/>
        <v>-128.63344767784619</v>
      </c>
      <c r="S272" s="2">
        <f t="shared" si="62"/>
        <v>5.3182944120684467E-13</v>
      </c>
      <c r="T272" s="2">
        <f t="shared" si="63"/>
        <v>7.0107802947636215E-13</v>
      </c>
      <c r="U272" s="6">
        <f t="shared" si="64"/>
        <v>59.743555469366306</v>
      </c>
      <c r="V272" s="2">
        <f t="shared" si="65"/>
        <v>1.4426530835791564E-9</v>
      </c>
      <c r="W272" s="2">
        <f t="shared" si="66"/>
        <v>1.4929548286732494E-12</v>
      </c>
    </row>
    <row r="273" spans="1:23" x14ac:dyDescent="0.4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10" t="s">
        <v>829</v>
      </c>
      <c r="F273" s="10" t="s">
        <v>830</v>
      </c>
      <c r="G273" s="10" t="s">
        <v>831</v>
      </c>
      <c r="H273" s="10">
        <v>54.197352703369198</v>
      </c>
      <c r="I273" s="10">
        <v>43.491056342475503</v>
      </c>
      <c r="J273" s="10">
        <v>-44.108451664800299</v>
      </c>
      <c r="K273" s="4">
        <f t="shared" si="54"/>
        <v>54.197352702777778</v>
      </c>
      <c r="L273" s="4">
        <f t="shared" si="55"/>
        <v>43.491056341666649</v>
      </c>
      <c r="M273" s="4">
        <f t="shared" si="56"/>
        <v>315.89154722222224</v>
      </c>
      <c r="N273" s="4">
        <f t="shared" si="57"/>
        <v>315.89154833519967</v>
      </c>
      <c r="O273" s="5">
        <f t="shared" si="58"/>
        <v>54.197352703371173</v>
      </c>
      <c r="P273" s="2">
        <f t="shared" si="59"/>
        <v>1.09487922439599E-11</v>
      </c>
      <c r="Q273" s="2">
        <f t="shared" si="60"/>
        <v>3.644659207294239E-14</v>
      </c>
      <c r="R273" s="6">
        <f t="shared" si="61"/>
        <v>43.491056342473847</v>
      </c>
      <c r="S273" s="2">
        <f t="shared" si="62"/>
        <v>1.8560088717187813E-11</v>
      </c>
      <c r="T273" s="2">
        <f t="shared" si="63"/>
        <v>3.8066782312301015E-14</v>
      </c>
      <c r="U273" s="6">
        <f t="shared" si="64"/>
        <v>315.89154833519649</v>
      </c>
      <c r="V273" s="2">
        <f t="shared" si="65"/>
        <v>3.5232796061968336E-9</v>
      </c>
      <c r="W273" s="2">
        <f t="shared" si="66"/>
        <v>1.0076975699354418E-14</v>
      </c>
    </row>
    <row r="274" spans="1:23" x14ac:dyDescent="0.45">
      <c r="A274">
        <v>13.801080000000001</v>
      </c>
      <c r="B274">
        <v>78.251080000000002</v>
      </c>
      <c r="C274">
        <v>213.95029</v>
      </c>
      <c r="D274">
        <v>204439.66</v>
      </c>
      <c r="E274" s="10" t="s">
        <v>832</v>
      </c>
      <c r="F274" s="10" t="s">
        <v>833</v>
      </c>
      <c r="G274" s="10" t="s">
        <v>834</v>
      </c>
      <c r="H274" s="10">
        <v>12.2659959377331</v>
      </c>
      <c r="I274" s="10">
        <v>77.201756279571001</v>
      </c>
      <c r="J274" s="10">
        <v>-146.28638255803199</v>
      </c>
      <c r="K274" s="4">
        <f t="shared" si="54"/>
        <v>12.265995938888889</v>
      </c>
      <c r="L274" s="4">
        <f t="shared" si="55"/>
        <v>77.201756280555514</v>
      </c>
      <c r="M274" s="4">
        <f t="shared" si="56"/>
        <v>213.71361666666667</v>
      </c>
      <c r="N274" s="4">
        <f t="shared" si="57"/>
        <v>213.71361744196801</v>
      </c>
      <c r="O274" s="5">
        <f t="shared" si="58"/>
        <v>12.26599593772451</v>
      </c>
      <c r="P274" s="2">
        <f t="shared" si="59"/>
        <v>9.4927376577415274E-11</v>
      </c>
      <c r="Q274" s="2">
        <f t="shared" si="60"/>
        <v>7.0034767000968279E-13</v>
      </c>
      <c r="R274" s="6">
        <f t="shared" si="61"/>
        <v>77.201756279566183</v>
      </c>
      <c r="S274" s="2">
        <f t="shared" si="62"/>
        <v>1.2814880531572982E-11</v>
      </c>
      <c r="T274" s="2">
        <f t="shared" si="63"/>
        <v>6.2401167805145811E-14</v>
      </c>
      <c r="U274" s="6">
        <f t="shared" si="64"/>
        <v>213.71361744196702</v>
      </c>
      <c r="V274" s="2">
        <f t="shared" si="65"/>
        <v>3.6277536370146784E-9</v>
      </c>
      <c r="W274" s="2">
        <f t="shared" si="66"/>
        <v>4.6546394280853829E-15</v>
      </c>
    </row>
    <row r="275" spans="1:23" x14ac:dyDescent="0.4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10" t="s">
        <v>835</v>
      </c>
      <c r="F275" s="10" t="s">
        <v>836</v>
      </c>
      <c r="G275" s="10" t="s">
        <v>837</v>
      </c>
      <c r="H275" s="10">
        <v>-50.320444522130899</v>
      </c>
      <c r="I275" s="10">
        <v>35.448827552265897</v>
      </c>
      <c r="J275" s="10">
        <v>0.48826629307613201</v>
      </c>
      <c r="K275" s="4">
        <f t="shared" si="54"/>
        <v>-50.320444522222225</v>
      </c>
      <c r="L275" s="4">
        <f t="shared" si="55"/>
        <v>35.448827552777743</v>
      </c>
      <c r="M275" s="4">
        <f t="shared" si="56"/>
        <v>0.48826666666667506</v>
      </c>
      <c r="N275" s="4">
        <f t="shared" si="57"/>
        <v>0.48826629307615121</v>
      </c>
      <c r="O275" s="5">
        <f t="shared" si="58"/>
        <v>-50.320444522073267</v>
      </c>
      <c r="P275" s="2">
        <f t="shared" si="59"/>
        <v>2.9601920360414416E-12</v>
      </c>
      <c r="Q275" s="2">
        <f t="shared" si="60"/>
        <v>1.1453023089284347E-12</v>
      </c>
      <c r="R275" s="6">
        <f t="shared" si="61"/>
        <v>35.448827552266643</v>
      </c>
      <c r="S275" s="2">
        <f t="shared" si="62"/>
        <v>1.4417980242044654E-11</v>
      </c>
      <c r="T275" s="2">
        <f t="shared" si="63"/>
        <v>2.1046390644319527E-14</v>
      </c>
      <c r="U275" s="6">
        <f t="shared" si="64"/>
        <v>0.4882662930755281</v>
      </c>
      <c r="V275" s="2">
        <f t="shared" si="65"/>
        <v>7.6513752108683288E-7</v>
      </c>
      <c r="W275" s="2">
        <f t="shared" si="66"/>
        <v>1.2761738449016527E-12</v>
      </c>
    </row>
    <row r="276" spans="1:23" x14ac:dyDescent="0.45">
      <c r="A276">
        <v>-17.479710000000001</v>
      </c>
      <c r="B276">
        <v>-68.211600000000004</v>
      </c>
      <c r="C276">
        <v>357.62948</v>
      </c>
      <c r="D276">
        <v>83198.181500000006</v>
      </c>
      <c r="E276" s="10" t="s">
        <v>838</v>
      </c>
      <c r="F276" s="10" t="s">
        <v>839</v>
      </c>
      <c r="G276" s="10" t="s">
        <v>840</v>
      </c>
      <c r="H276" s="10">
        <v>-16.728585321512298</v>
      </c>
      <c r="I276" s="10">
        <v>-68.243869103857307</v>
      </c>
      <c r="J276" s="10">
        <v>-2.3610291445759799</v>
      </c>
      <c r="K276" s="4">
        <f t="shared" si="54"/>
        <v>-16.728585322222223</v>
      </c>
      <c r="L276" s="4">
        <f t="shared" si="55"/>
        <v>-68.243869102777808</v>
      </c>
      <c r="M276" s="4">
        <f t="shared" si="56"/>
        <v>357.63897222222226</v>
      </c>
      <c r="N276" s="4">
        <f t="shared" si="57"/>
        <v>357.63897085542402</v>
      </c>
      <c r="O276" s="5">
        <f t="shared" si="58"/>
        <v>-16.728585321510295</v>
      </c>
      <c r="P276" s="2">
        <f t="shared" si="59"/>
        <v>4.2557591116154219E-11</v>
      </c>
      <c r="Q276" s="2">
        <f t="shared" si="60"/>
        <v>1.1977883821812263E-13</v>
      </c>
      <c r="R276" s="6">
        <f t="shared" si="61"/>
        <v>-68.24386910385735</v>
      </c>
      <c r="S276" s="2">
        <f t="shared" si="62"/>
        <v>1.581888312441965E-11</v>
      </c>
      <c r="T276" s="2">
        <f t="shared" si="63"/>
        <v>6.2470907211789838E-16</v>
      </c>
      <c r="U276" s="6">
        <f t="shared" si="64"/>
        <v>357.63897085542374</v>
      </c>
      <c r="V276" s="2">
        <f t="shared" si="65"/>
        <v>3.8217270340715703E-9</v>
      </c>
      <c r="W276" s="2">
        <f t="shared" si="66"/>
        <v>7.947039262086882E-16</v>
      </c>
    </row>
    <row r="277" spans="1:23" x14ac:dyDescent="0.45">
      <c r="A277">
        <v>7.2005299999999997</v>
      </c>
      <c r="B277">
        <v>115.12662</v>
      </c>
      <c r="C277">
        <v>69.900729999999996</v>
      </c>
      <c r="D277">
        <v>274779.46269999997</v>
      </c>
      <c r="E277" s="10" t="s">
        <v>841</v>
      </c>
      <c r="F277" s="10" t="s">
        <v>842</v>
      </c>
      <c r="G277" s="10" t="s">
        <v>843</v>
      </c>
      <c r="H277" s="10">
        <v>8.0481425016800703</v>
      </c>
      <c r="I277" s="10">
        <v>117.467509036263</v>
      </c>
      <c r="J277" s="10">
        <v>70.211364324341702</v>
      </c>
      <c r="K277" s="4">
        <f t="shared" si="54"/>
        <v>8.0481425027777771</v>
      </c>
      <c r="L277" s="4">
        <f t="shared" si="55"/>
        <v>117.4675090361111</v>
      </c>
      <c r="M277" s="4">
        <f t="shared" si="56"/>
        <v>70.211363888888854</v>
      </c>
      <c r="N277" s="4">
        <f t="shared" si="57"/>
        <v>70.21136432434173</v>
      </c>
      <c r="O277" s="5">
        <f t="shared" si="58"/>
        <v>8.0481425016825856</v>
      </c>
      <c r="P277" s="2">
        <f t="shared" si="59"/>
        <v>1.3608003246365875E-10</v>
      </c>
      <c r="Q277" s="2">
        <f t="shared" si="60"/>
        <v>3.1253438716643931E-13</v>
      </c>
      <c r="R277" s="6">
        <f t="shared" si="61"/>
        <v>117.4675090362681</v>
      </c>
      <c r="S277" s="2">
        <f t="shared" si="62"/>
        <v>1.3365527555818634E-12</v>
      </c>
      <c r="T277" s="2">
        <f t="shared" si="63"/>
        <v>4.3430705942547838E-14</v>
      </c>
      <c r="U277" s="6">
        <f t="shared" si="64"/>
        <v>70.211364324342568</v>
      </c>
      <c r="V277" s="2">
        <f t="shared" si="65"/>
        <v>6.2020403800337273E-9</v>
      </c>
      <c r="W277" s="2">
        <f t="shared" si="66"/>
        <v>1.1941662667652187E-14</v>
      </c>
    </row>
    <row r="278" spans="1:23" x14ac:dyDescent="0.45">
      <c r="A278">
        <v>49.770699999999998</v>
      </c>
      <c r="B278">
        <v>90.89958</v>
      </c>
      <c r="C278">
        <v>61.03425</v>
      </c>
      <c r="D278">
        <v>110341.4342</v>
      </c>
      <c r="E278" s="10" t="s">
        <v>844</v>
      </c>
      <c r="F278" s="10" t="s">
        <v>845</v>
      </c>
      <c r="G278" s="10" t="s">
        <v>846</v>
      </c>
      <c r="H278" s="10">
        <v>50.243276714060997</v>
      </c>
      <c r="I278" s="10">
        <v>92.252985875757005</v>
      </c>
      <c r="J278" s="10">
        <v>62.071153953892697</v>
      </c>
      <c r="K278" s="4">
        <f t="shared" si="54"/>
        <v>50.243276713888889</v>
      </c>
      <c r="L278" s="4">
        <f t="shared" si="55"/>
        <v>92.252985875000036</v>
      </c>
      <c r="M278" s="4">
        <f t="shared" si="56"/>
        <v>62.071152777777797</v>
      </c>
      <c r="N278" s="4">
        <f t="shared" si="57"/>
        <v>62.07115395389269</v>
      </c>
      <c r="O278" s="5">
        <f t="shared" si="58"/>
        <v>50.243276714062091</v>
      </c>
      <c r="P278" s="2">
        <f t="shared" si="59"/>
        <v>3.4472651585839611E-12</v>
      </c>
      <c r="Q278" s="2">
        <f t="shared" si="60"/>
        <v>2.1778751001809629E-14</v>
      </c>
      <c r="R278" s="6">
        <f t="shared" si="61"/>
        <v>92.252985875756721</v>
      </c>
      <c r="S278" s="2">
        <f t="shared" si="62"/>
        <v>8.202286070671432E-12</v>
      </c>
      <c r="T278" s="2">
        <f t="shared" si="63"/>
        <v>3.0808443933382647E-15</v>
      </c>
      <c r="U278" s="6">
        <f t="shared" si="64"/>
        <v>62.07115395389539</v>
      </c>
      <c r="V278" s="2">
        <f t="shared" si="65"/>
        <v>1.8947893506345921E-8</v>
      </c>
      <c r="W278" s="2">
        <f t="shared" si="66"/>
        <v>4.3499471556369395E-14</v>
      </c>
    </row>
    <row r="279" spans="1:23" x14ac:dyDescent="0.45">
      <c r="A279">
        <v>-27.150790000000001</v>
      </c>
      <c r="B279">
        <v>96.234210000000004</v>
      </c>
      <c r="C279">
        <v>316.70879000000002</v>
      </c>
      <c r="D279">
        <v>193300.0251</v>
      </c>
      <c r="E279" s="10" t="s">
        <v>847</v>
      </c>
      <c r="F279" s="10" t="s">
        <v>848</v>
      </c>
      <c r="G279" s="10" t="s">
        <v>849</v>
      </c>
      <c r="H279" s="10">
        <v>-25.874689150071902</v>
      </c>
      <c r="I279" s="10">
        <v>94.911782519557306</v>
      </c>
      <c r="J279" s="10">
        <v>-42.700824783814397</v>
      </c>
      <c r="K279" s="4">
        <f t="shared" si="54"/>
        <v>-25.874689150000002</v>
      </c>
      <c r="L279" s="4">
        <f t="shared" si="55"/>
        <v>94.911782519444387</v>
      </c>
      <c r="M279" s="4">
        <f t="shared" si="56"/>
        <v>317.29917499999999</v>
      </c>
      <c r="N279" s="4">
        <f t="shared" si="57"/>
        <v>317.29917521618563</v>
      </c>
      <c r="O279" s="5">
        <f t="shared" si="58"/>
        <v>-25.874689150064636</v>
      </c>
      <c r="P279" s="2">
        <f t="shared" si="59"/>
        <v>2.4979824717398591E-12</v>
      </c>
      <c r="Q279" s="2">
        <f t="shared" si="60"/>
        <v>2.8078789395337859E-13</v>
      </c>
      <c r="R279" s="6">
        <f t="shared" si="61"/>
        <v>94.911782519554379</v>
      </c>
      <c r="S279" s="2">
        <f t="shared" si="62"/>
        <v>1.1588868376076455E-12</v>
      </c>
      <c r="T279" s="2">
        <f t="shared" si="63"/>
        <v>3.0843758210192628E-14</v>
      </c>
      <c r="U279" s="6">
        <f t="shared" si="64"/>
        <v>317.29917521618847</v>
      </c>
      <c r="V279" s="2">
        <f t="shared" si="65"/>
        <v>6.8133956612762437E-10</v>
      </c>
      <c r="W279" s="2">
        <f t="shared" si="66"/>
        <v>8.9573852220193856E-15</v>
      </c>
    </row>
    <row r="280" spans="1:23" x14ac:dyDescent="0.4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10" t="s">
        <v>850</v>
      </c>
      <c r="F280" s="10" t="s">
        <v>851</v>
      </c>
      <c r="G280" s="10" t="s">
        <v>852</v>
      </c>
      <c r="H280" s="10">
        <v>-81.641334828514502</v>
      </c>
      <c r="I280" s="10">
        <v>51.686611400745903</v>
      </c>
      <c r="J280" s="10">
        <v>20.367850986406999</v>
      </c>
      <c r="K280" s="4">
        <f t="shared" si="54"/>
        <v>-81.641334827777783</v>
      </c>
      <c r="L280" s="4">
        <f t="shared" si="55"/>
        <v>51.686611399999947</v>
      </c>
      <c r="M280" s="4">
        <f t="shared" si="56"/>
        <v>20.367849999999976</v>
      </c>
      <c r="N280" s="4">
        <f t="shared" si="57"/>
        <v>20.367850986407007</v>
      </c>
      <c r="O280" s="5">
        <f t="shared" si="58"/>
        <v>-81.641334828518893</v>
      </c>
      <c r="P280" s="2">
        <f t="shared" si="59"/>
        <v>9.0776355606614012E-12</v>
      </c>
      <c r="Q280" s="2">
        <f t="shared" si="60"/>
        <v>5.3785917589673464E-14</v>
      </c>
      <c r="R280" s="6">
        <f t="shared" si="61"/>
        <v>51.686611400734442</v>
      </c>
      <c r="S280" s="2">
        <f t="shared" si="62"/>
        <v>1.4210549143923448E-11</v>
      </c>
      <c r="T280" s="2">
        <f t="shared" si="63"/>
        <v>2.2174125981965647E-13</v>
      </c>
      <c r="U280" s="6">
        <f t="shared" si="64"/>
        <v>20.367850986418322</v>
      </c>
      <c r="V280" s="2">
        <f t="shared" si="65"/>
        <v>4.8430165487085079E-8</v>
      </c>
      <c r="W280" s="2">
        <f t="shared" si="66"/>
        <v>5.5555164236674776E-13</v>
      </c>
    </row>
    <row r="281" spans="1:23" x14ac:dyDescent="0.4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10" t="s">
        <v>853</v>
      </c>
      <c r="F281" s="10" t="s">
        <v>854</v>
      </c>
      <c r="G281" s="10" t="s">
        <v>855</v>
      </c>
      <c r="H281" s="10">
        <v>-37.067546203585302</v>
      </c>
      <c r="I281" s="10">
        <v>-79.320534283065101</v>
      </c>
      <c r="J281" s="10">
        <v>-62.113835410045503</v>
      </c>
      <c r="K281" s="4">
        <f t="shared" si="54"/>
        <v>-37.067546202777777</v>
      </c>
      <c r="L281" s="4">
        <f t="shared" si="55"/>
        <v>-79.320534283333359</v>
      </c>
      <c r="M281" s="4">
        <f t="shared" si="56"/>
        <v>297.88616388888886</v>
      </c>
      <c r="N281" s="4">
        <f t="shared" si="57"/>
        <v>297.88616458995449</v>
      </c>
      <c r="O281" s="5">
        <f t="shared" si="58"/>
        <v>-37.067546203579894</v>
      </c>
      <c r="P281" s="2">
        <f t="shared" si="59"/>
        <v>2.1639346698507727E-11</v>
      </c>
      <c r="Q281" s="2">
        <f t="shared" si="60"/>
        <v>1.4587505170793735E-13</v>
      </c>
      <c r="R281" s="6">
        <f t="shared" si="61"/>
        <v>-79.320534283063395</v>
      </c>
      <c r="S281" s="2">
        <f t="shared" si="62"/>
        <v>3.4034516971403782E-12</v>
      </c>
      <c r="T281" s="2">
        <f t="shared" si="63"/>
        <v>2.1498878962900805E-14</v>
      </c>
      <c r="U281" s="6">
        <f t="shared" si="64"/>
        <v>297.88616458996199</v>
      </c>
      <c r="V281" s="2">
        <f t="shared" si="65"/>
        <v>2.3534934439927821E-9</v>
      </c>
      <c r="W281" s="2">
        <f t="shared" si="66"/>
        <v>2.5188586049154463E-14</v>
      </c>
    </row>
    <row r="282" spans="1:23" x14ac:dyDescent="0.45">
      <c r="A282">
        <v>-9.3842300000000005</v>
      </c>
      <c r="B282">
        <v>168.07739000000001</v>
      </c>
      <c r="C282">
        <v>253.15599</v>
      </c>
      <c r="D282">
        <v>292025.33350000001</v>
      </c>
      <c r="E282" s="10" t="s">
        <v>856</v>
      </c>
      <c r="F282" s="10" t="s">
        <v>857</v>
      </c>
      <c r="G282" s="10" t="s">
        <v>858</v>
      </c>
      <c r="H282" s="10">
        <v>-10.139864839584201</v>
      </c>
      <c r="I282" s="10">
        <v>165.52710490925699</v>
      </c>
      <c r="J282" s="10">
        <v>-106.411512747743</v>
      </c>
      <c r="K282" s="4">
        <f t="shared" si="54"/>
        <v>-10.139864838888888</v>
      </c>
      <c r="L282" s="4">
        <f t="shared" si="55"/>
        <v>165.52710490833329</v>
      </c>
      <c r="M282" s="4">
        <f t="shared" si="56"/>
        <v>253.58848611111111</v>
      </c>
      <c r="N282" s="4">
        <f t="shared" si="57"/>
        <v>253.58848725225698</v>
      </c>
      <c r="O282" s="5">
        <f t="shared" si="58"/>
        <v>-10.139864839588949</v>
      </c>
      <c r="P282" s="2">
        <f t="shared" si="59"/>
        <v>6.904041278399436E-11</v>
      </c>
      <c r="Q282" s="2">
        <f t="shared" si="60"/>
        <v>4.6827072222706036E-13</v>
      </c>
      <c r="R282" s="6">
        <f t="shared" si="61"/>
        <v>165.52710490924412</v>
      </c>
      <c r="S282" s="2">
        <f t="shared" si="62"/>
        <v>5.5026064922754677E-12</v>
      </c>
      <c r="T282" s="2">
        <f t="shared" si="63"/>
        <v>7.778203079810518E-14</v>
      </c>
      <c r="U282" s="6">
        <f t="shared" si="64"/>
        <v>253.58848725225945</v>
      </c>
      <c r="V282" s="2">
        <f t="shared" si="65"/>
        <v>4.5000006234347166E-9</v>
      </c>
      <c r="W282" s="2">
        <f t="shared" si="66"/>
        <v>9.7507925033893318E-15</v>
      </c>
    </row>
    <row r="283" spans="1:23" x14ac:dyDescent="0.45">
      <c r="A283">
        <v>71.533760000000001</v>
      </c>
      <c r="B283">
        <v>55.158099999999997</v>
      </c>
      <c r="C283">
        <v>141.4316</v>
      </c>
      <c r="D283">
        <v>222200.34969999999</v>
      </c>
      <c r="E283" s="10" t="s">
        <v>859</v>
      </c>
      <c r="F283" s="10" t="s">
        <v>860</v>
      </c>
      <c r="G283" s="10" t="s">
        <v>861</v>
      </c>
      <c r="H283" s="10">
        <v>69.939541616614306</v>
      </c>
      <c r="I283" s="10">
        <v>58.777031780417502</v>
      </c>
      <c r="J283" s="10">
        <v>144.84836999130999</v>
      </c>
      <c r="K283" s="4">
        <f t="shared" si="54"/>
        <v>69.939541616666673</v>
      </c>
      <c r="L283" s="4">
        <f t="shared" si="55"/>
        <v>58.777031780555603</v>
      </c>
      <c r="M283" s="4">
        <f t="shared" si="56"/>
        <v>144.84836944444447</v>
      </c>
      <c r="N283" s="4">
        <f t="shared" si="57"/>
        <v>144.84836999130999</v>
      </c>
      <c r="O283" s="5">
        <f t="shared" si="58"/>
        <v>69.939541616617689</v>
      </c>
      <c r="P283" s="2">
        <f t="shared" si="59"/>
        <v>7.00388007570644E-13</v>
      </c>
      <c r="Q283" s="2">
        <f t="shared" si="60"/>
        <v>4.835867299156892E-14</v>
      </c>
      <c r="R283" s="6">
        <f t="shared" si="61"/>
        <v>58.777031780408969</v>
      </c>
      <c r="S283" s="2">
        <f t="shared" si="62"/>
        <v>2.4947619833249392E-12</v>
      </c>
      <c r="T283" s="2">
        <f t="shared" si="63"/>
        <v>1.4518627426371525E-13</v>
      </c>
      <c r="U283" s="6">
        <f t="shared" si="64"/>
        <v>144.8483699913028</v>
      </c>
      <c r="V283" s="2">
        <f t="shared" si="65"/>
        <v>3.7753847914235086E-9</v>
      </c>
      <c r="W283" s="2">
        <f t="shared" si="66"/>
        <v>4.9642895438337422E-14</v>
      </c>
    </row>
    <row r="284" spans="1:23" x14ac:dyDescent="0.45">
      <c r="A284">
        <v>15.882110000000001</v>
      </c>
      <c r="B284">
        <v>19.712569999999999</v>
      </c>
      <c r="C284">
        <v>115.18104</v>
      </c>
      <c r="D284">
        <v>177401.35699999999</v>
      </c>
      <c r="E284" s="10" t="s">
        <v>862</v>
      </c>
      <c r="F284" s="10" t="s">
        <v>863</v>
      </c>
      <c r="G284" s="10" t="s">
        <v>864</v>
      </c>
      <c r="H284" s="10">
        <v>15.1948733126034</v>
      </c>
      <c r="I284" s="10">
        <v>21.206626100571</v>
      </c>
      <c r="J284" s="10">
        <v>115.581304659707</v>
      </c>
      <c r="K284" s="4">
        <f t="shared" si="54"/>
        <v>15.194873313888889</v>
      </c>
      <c r="L284" s="4">
        <f t="shared" si="55"/>
        <v>21.206626099999994</v>
      </c>
      <c r="M284" s="4">
        <f t="shared" si="56"/>
        <v>115.58130555555556</v>
      </c>
      <c r="N284" s="4">
        <f t="shared" si="57"/>
        <v>115.58130465970703</v>
      </c>
      <c r="O284" s="5">
        <f t="shared" si="58"/>
        <v>15.194873312602502</v>
      </c>
      <c r="P284" s="2">
        <f t="shared" si="59"/>
        <v>8.4659335983165724E-11</v>
      </c>
      <c r="Q284" s="2">
        <f t="shared" si="60"/>
        <v>5.915393582064195E-14</v>
      </c>
      <c r="R284" s="6">
        <f t="shared" si="61"/>
        <v>21.206626100568773</v>
      </c>
      <c r="S284" s="2">
        <f t="shared" si="62"/>
        <v>2.6820805872317613E-11</v>
      </c>
      <c r="T284" s="2">
        <f t="shared" si="63"/>
        <v>1.0504035229573534E-13</v>
      </c>
      <c r="U284" s="6">
        <f t="shared" si="64"/>
        <v>115.58130465970726</v>
      </c>
      <c r="V284" s="2">
        <f t="shared" si="65"/>
        <v>7.7508062216550562E-9</v>
      </c>
      <c r="W284" s="2">
        <f t="shared" si="66"/>
        <v>1.967218453820561E-15</v>
      </c>
    </row>
    <row r="285" spans="1:23" x14ac:dyDescent="0.4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10" t="s">
        <v>865</v>
      </c>
      <c r="F285" s="10" t="s">
        <v>866</v>
      </c>
      <c r="G285" s="10" t="s">
        <v>867</v>
      </c>
      <c r="H285" s="10">
        <v>-7.25681869153106</v>
      </c>
      <c r="I285" s="10">
        <v>65.112676767602807</v>
      </c>
      <c r="J285" s="10">
        <v>166.526202254623</v>
      </c>
      <c r="K285" s="4">
        <f t="shared" si="54"/>
        <v>-7.256818691666667</v>
      </c>
      <c r="L285" s="4">
        <f t="shared" si="55"/>
        <v>65.112676766666709</v>
      </c>
      <c r="M285" s="4">
        <f t="shared" si="56"/>
        <v>166.52620277777783</v>
      </c>
      <c r="N285" s="4">
        <f t="shared" si="57"/>
        <v>166.52620225462306</v>
      </c>
      <c r="O285" s="5">
        <f t="shared" si="58"/>
        <v>-7.2568186915318931</v>
      </c>
      <c r="P285" s="2">
        <f t="shared" si="59"/>
        <v>1.8572045890701865E-11</v>
      </c>
      <c r="Q285" s="2">
        <f t="shared" si="60"/>
        <v>1.1480393724745874E-13</v>
      </c>
      <c r="R285" s="6">
        <f t="shared" si="61"/>
        <v>65.112676767603475</v>
      </c>
      <c r="S285" s="2">
        <f t="shared" si="62"/>
        <v>1.4386834921997269E-11</v>
      </c>
      <c r="T285" s="2">
        <f t="shared" si="63"/>
        <v>1.0257759391437225E-14</v>
      </c>
      <c r="U285" s="6">
        <f t="shared" si="64"/>
        <v>166.52620225462297</v>
      </c>
      <c r="V285" s="2">
        <f t="shared" si="65"/>
        <v>3.1415767851855468E-9</v>
      </c>
      <c r="W285" s="2">
        <f t="shared" si="66"/>
        <v>5.1202229521117251E-16</v>
      </c>
    </row>
    <row r="286" spans="1:23" x14ac:dyDescent="0.45">
      <c r="A286">
        <v>-1.2930000000000001E-2</v>
      </c>
      <c r="B286">
        <v>-152.20808</v>
      </c>
      <c r="C286">
        <v>52.045490000000001</v>
      </c>
      <c r="D286">
        <v>262201.39919999999</v>
      </c>
      <c r="E286" s="10" t="s">
        <v>868</v>
      </c>
      <c r="F286" s="10" t="s">
        <v>869</v>
      </c>
      <c r="G286" s="10" t="s">
        <v>870</v>
      </c>
      <c r="H286" s="10">
        <v>1.44523180040636</v>
      </c>
      <c r="I286" s="10">
        <v>-150.35046458604799</v>
      </c>
      <c r="J286" s="10">
        <v>52.068712021429</v>
      </c>
      <c r="K286" s="4">
        <f t="shared" si="54"/>
        <v>1.4452318</v>
      </c>
      <c r="L286" s="4">
        <f t="shared" si="55"/>
        <v>-150.35046458611112</v>
      </c>
      <c r="M286" s="4">
        <f t="shared" si="56"/>
        <v>52.068711111111099</v>
      </c>
      <c r="N286" s="4">
        <f t="shared" si="57"/>
        <v>52.068712021429008</v>
      </c>
      <c r="O286" s="5">
        <f t="shared" si="58"/>
        <v>1.4452318004164444</v>
      </c>
      <c r="P286" s="2">
        <f t="shared" si="59"/>
        <v>2.8815061673310213E-10</v>
      </c>
      <c r="Q286" s="2">
        <f t="shared" si="60"/>
        <v>6.9776888208796462E-12</v>
      </c>
      <c r="R286" s="6">
        <f t="shared" si="61"/>
        <v>-150.35046458603506</v>
      </c>
      <c r="S286" s="2">
        <f t="shared" si="62"/>
        <v>5.058613862293777E-13</v>
      </c>
      <c r="T286" s="2">
        <f t="shared" si="63"/>
        <v>8.6011558570427303E-14</v>
      </c>
      <c r="U286" s="6">
        <f t="shared" si="64"/>
        <v>52.06871202142927</v>
      </c>
      <c r="V286" s="2">
        <f t="shared" si="65"/>
        <v>1.7483017183258586E-8</v>
      </c>
      <c r="W286" s="2">
        <f t="shared" si="66"/>
        <v>5.0491130282431334E-15</v>
      </c>
    </row>
    <row r="287" spans="1:23" x14ac:dyDescent="0.45">
      <c r="A287">
        <v>-44.229190000000003</v>
      </c>
      <c r="B287">
        <v>5.6013099999999998</v>
      </c>
      <c r="C287">
        <v>179.15088</v>
      </c>
      <c r="D287">
        <v>286129.73320000002</v>
      </c>
      <c r="E287" s="10" t="s">
        <v>871</v>
      </c>
      <c r="F287" s="10" t="s">
        <v>872</v>
      </c>
      <c r="G287" s="10" t="s">
        <v>873</v>
      </c>
      <c r="H287" s="10">
        <v>-46.803349227755497</v>
      </c>
      <c r="I287" s="10">
        <v>5.6568398482172801</v>
      </c>
      <c r="J287" s="10">
        <v>179.11125223879</v>
      </c>
      <c r="K287" s="4">
        <f t="shared" si="54"/>
        <v>-46.80334922777778</v>
      </c>
      <c r="L287" s="4">
        <f t="shared" si="55"/>
        <v>5.6568398472222725</v>
      </c>
      <c r="M287" s="4">
        <f t="shared" si="56"/>
        <v>179.11125277777774</v>
      </c>
      <c r="N287" s="4">
        <f t="shared" si="57"/>
        <v>179.11125223879003</v>
      </c>
      <c r="O287" s="5">
        <f t="shared" si="58"/>
        <v>-46.803349227764976</v>
      </c>
      <c r="P287" s="2">
        <f t="shared" si="59"/>
        <v>2.7356974040648024E-13</v>
      </c>
      <c r="Q287" s="2">
        <f t="shared" si="60"/>
        <v>2.0252055144418335E-13</v>
      </c>
      <c r="R287" s="6">
        <f t="shared" si="61"/>
        <v>5.6568398482174249</v>
      </c>
      <c r="S287" s="2">
        <f t="shared" si="62"/>
        <v>1.7592020134957615E-10</v>
      </c>
      <c r="T287" s="2">
        <f t="shared" si="63"/>
        <v>2.5592572230367244E-14</v>
      </c>
      <c r="U287" s="6">
        <f t="shared" si="64"/>
        <v>179.11125223878932</v>
      </c>
      <c r="V287" s="2">
        <f t="shared" si="65"/>
        <v>3.009238159000032E-9</v>
      </c>
      <c r="W287" s="2">
        <f t="shared" si="66"/>
        <v>3.9670468877790491E-15</v>
      </c>
    </row>
    <row r="288" spans="1:23" x14ac:dyDescent="0.45">
      <c r="A288">
        <v>-39.063740000000003</v>
      </c>
      <c r="B288">
        <v>127.23394999999999</v>
      </c>
      <c r="C288">
        <v>46.69359</v>
      </c>
      <c r="D288">
        <v>88781.474700000006</v>
      </c>
      <c r="E288" s="10" t="s">
        <v>874</v>
      </c>
      <c r="F288" s="10" t="s">
        <v>875</v>
      </c>
      <c r="G288" s="10" t="s">
        <v>876</v>
      </c>
      <c r="H288" s="10">
        <v>-38.512829793992303</v>
      </c>
      <c r="I288" s="10">
        <v>127.974693504133</v>
      </c>
      <c r="J288" s="10">
        <v>46.229546023218099</v>
      </c>
      <c r="K288" s="4">
        <f t="shared" si="54"/>
        <v>-38.512829794444443</v>
      </c>
      <c r="L288" s="4">
        <f t="shared" si="55"/>
        <v>127.97469350277777</v>
      </c>
      <c r="M288" s="4">
        <f t="shared" si="56"/>
        <v>46.229547222222209</v>
      </c>
      <c r="N288" s="4">
        <f t="shared" si="57"/>
        <v>46.22954602321812</v>
      </c>
      <c r="O288" s="5">
        <f t="shared" si="58"/>
        <v>-38.512829793987613</v>
      </c>
      <c r="P288" s="2">
        <f t="shared" si="59"/>
        <v>1.1861741750489074E-11</v>
      </c>
      <c r="Q288" s="2">
        <f t="shared" si="60"/>
        <v>1.2176674840829792E-13</v>
      </c>
      <c r="R288" s="6">
        <f t="shared" si="61"/>
        <v>127.97469350413662</v>
      </c>
      <c r="S288" s="2">
        <f t="shared" si="62"/>
        <v>1.061816286899594E-11</v>
      </c>
      <c r="T288" s="2">
        <f t="shared" si="63"/>
        <v>2.831628545576067E-14</v>
      </c>
      <c r="U288" s="6">
        <f t="shared" si="64"/>
        <v>46.229546023214134</v>
      </c>
      <c r="V288" s="2">
        <f t="shared" si="65"/>
        <v>2.5935968381528062E-8</v>
      </c>
      <c r="W288" s="2">
        <f t="shared" si="66"/>
        <v>8.6225046328860307E-14</v>
      </c>
    </row>
    <row r="289" spans="1:23" x14ac:dyDescent="0.4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10" t="s">
        <v>877</v>
      </c>
      <c r="F289" s="10" t="s">
        <v>878</v>
      </c>
      <c r="G289" s="10" t="s">
        <v>879</v>
      </c>
      <c r="H289" s="10">
        <v>-30.544146861125601</v>
      </c>
      <c r="I289" s="10">
        <v>169.613514812331</v>
      </c>
      <c r="J289" s="10">
        <v>-124.64693832906801</v>
      </c>
      <c r="K289" s="4">
        <f t="shared" si="54"/>
        <v>-30.544146861111113</v>
      </c>
      <c r="L289" s="4">
        <f t="shared" si="55"/>
        <v>169.61351481111114</v>
      </c>
      <c r="M289" s="4">
        <f t="shared" si="56"/>
        <v>235.35306111111112</v>
      </c>
      <c r="N289" s="4">
        <f t="shared" si="57"/>
        <v>235.35306167093199</v>
      </c>
      <c r="O289" s="5">
        <f t="shared" si="58"/>
        <v>-30.544146861126269</v>
      </c>
      <c r="P289" s="2">
        <f t="shared" si="59"/>
        <v>4.9619577271806005E-13</v>
      </c>
      <c r="Q289" s="2">
        <f t="shared" si="60"/>
        <v>2.1867042960841782E-14</v>
      </c>
      <c r="R289" s="6">
        <f t="shared" si="61"/>
        <v>169.61351481233075</v>
      </c>
      <c r="S289" s="2">
        <f t="shared" si="62"/>
        <v>7.1904881797082585E-12</v>
      </c>
      <c r="T289" s="2">
        <f t="shared" si="63"/>
        <v>1.5081073295171146E-15</v>
      </c>
      <c r="U289" s="6">
        <f t="shared" si="64"/>
        <v>235.35306167093262</v>
      </c>
      <c r="V289" s="2">
        <f t="shared" si="65"/>
        <v>2.3786455060878599E-9</v>
      </c>
      <c r="W289" s="2">
        <f t="shared" si="66"/>
        <v>2.6567642801398704E-15</v>
      </c>
    </row>
    <row r="290" spans="1:23" x14ac:dyDescent="0.45">
      <c r="A290">
        <v>13.316839999999999</v>
      </c>
      <c r="B290">
        <v>3.9E-2</v>
      </c>
      <c r="C290">
        <v>45.356749999999998</v>
      </c>
      <c r="D290">
        <v>165847.5191</v>
      </c>
      <c r="E290" s="10" t="s">
        <v>880</v>
      </c>
      <c r="F290" s="10" t="s">
        <v>881</v>
      </c>
      <c r="G290" s="10" t="s">
        <v>882</v>
      </c>
      <c r="H290" s="10">
        <v>14.367775313923399</v>
      </c>
      <c r="I290" s="10">
        <v>1.1329522027655099</v>
      </c>
      <c r="J290" s="10">
        <v>45.618497193583103</v>
      </c>
      <c r="K290" s="4">
        <f t="shared" si="54"/>
        <v>14.367775313888888</v>
      </c>
      <c r="L290" s="4">
        <f t="shared" si="55"/>
        <v>1.1329522027778012</v>
      </c>
      <c r="M290" s="4">
        <f t="shared" si="56"/>
        <v>45.618497222222231</v>
      </c>
      <c r="N290" s="4">
        <f t="shared" si="57"/>
        <v>45.618497193583096</v>
      </c>
      <c r="O290" s="5">
        <f t="shared" si="58"/>
        <v>14.367775313930217</v>
      </c>
      <c r="P290" s="2">
        <f t="shared" si="59"/>
        <v>2.876486952404874E-12</v>
      </c>
      <c r="Q290" s="2">
        <f t="shared" si="60"/>
        <v>4.7451031218530851E-13</v>
      </c>
      <c r="R290" s="6">
        <f t="shared" si="61"/>
        <v>1.1329522027709718</v>
      </c>
      <c r="S290" s="2">
        <f t="shared" si="62"/>
        <v>6.0279912046903891E-12</v>
      </c>
      <c r="T290" s="2">
        <f t="shared" si="63"/>
        <v>4.8209034578984566E-12</v>
      </c>
      <c r="U290" s="6">
        <f t="shared" si="64"/>
        <v>45.618497193584787</v>
      </c>
      <c r="V290" s="2">
        <f t="shared" si="65"/>
        <v>6.2775948704170095E-10</v>
      </c>
      <c r="W290" s="2">
        <f t="shared" si="66"/>
        <v>3.7070307334607137E-14</v>
      </c>
    </row>
    <row r="291" spans="1:23" x14ac:dyDescent="0.45">
      <c r="A291">
        <v>-54.13944</v>
      </c>
      <c r="B291">
        <v>-135.55312000000001</v>
      </c>
      <c r="C291">
        <v>349.81680999999998</v>
      </c>
      <c r="D291">
        <v>135935.63690000001</v>
      </c>
      <c r="E291" s="10" t="s">
        <v>883</v>
      </c>
      <c r="F291" s="10" t="s">
        <v>884</v>
      </c>
      <c r="G291" s="10" t="s">
        <v>885</v>
      </c>
      <c r="H291" s="10">
        <v>-52.936752376098703</v>
      </c>
      <c r="I291" s="10">
        <v>-135.910539631033</v>
      </c>
      <c r="J291" s="10">
        <v>-9.8957182935922194</v>
      </c>
      <c r="K291" s="4">
        <f t="shared" si="54"/>
        <v>-52.936752374999998</v>
      </c>
      <c r="L291" s="4">
        <f t="shared" si="55"/>
        <v>-135.91053963055555</v>
      </c>
      <c r="M291" s="4">
        <f t="shared" si="56"/>
        <v>350.10428055555553</v>
      </c>
      <c r="N291" s="4">
        <f t="shared" si="57"/>
        <v>350.10428170640779</v>
      </c>
      <c r="O291" s="5">
        <f t="shared" si="58"/>
        <v>-52.936752376095164</v>
      </c>
      <c r="P291" s="2">
        <f t="shared" si="59"/>
        <v>2.0688209512671301E-11</v>
      </c>
      <c r="Q291" s="2">
        <f t="shared" si="60"/>
        <v>6.6843972575902792E-14</v>
      </c>
      <c r="R291" s="6">
        <f t="shared" si="61"/>
        <v>-135.91053963103357</v>
      </c>
      <c r="S291" s="2">
        <f t="shared" si="62"/>
        <v>3.517201331179874E-12</v>
      </c>
      <c r="T291" s="2">
        <f t="shared" si="63"/>
        <v>4.1824143304209741E-15</v>
      </c>
      <c r="U291" s="6">
        <f t="shared" si="64"/>
        <v>350.10428170640824</v>
      </c>
      <c r="V291" s="2">
        <f t="shared" si="65"/>
        <v>3.2871712081925874E-9</v>
      </c>
      <c r="W291" s="2">
        <f t="shared" si="66"/>
        <v>1.2988911437187405E-15</v>
      </c>
    </row>
    <row r="292" spans="1:23" x14ac:dyDescent="0.45">
      <c r="A292">
        <v>-11.50356</v>
      </c>
      <c r="B292">
        <v>-79.062759999999997</v>
      </c>
      <c r="C292">
        <v>9.8500399999999999</v>
      </c>
      <c r="D292">
        <v>8165.8377</v>
      </c>
      <c r="E292" s="10" t="s">
        <v>886</v>
      </c>
      <c r="F292" s="10" t="s">
        <v>887</v>
      </c>
      <c r="G292" s="10" t="s">
        <v>888</v>
      </c>
      <c r="H292" s="10">
        <v>-11.430827874247001</v>
      </c>
      <c r="I292" s="10">
        <v>-79.049958901114707</v>
      </c>
      <c r="J292" s="10">
        <v>9.8474950536804808</v>
      </c>
      <c r="K292" s="4">
        <f t="shared" si="54"/>
        <v>-11.430827875</v>
      </c>
      <c r="L292" s="4">
        <f t="shared" si="55"/>
        <v>-79.049958899999979</v>
      </c>
      <c r="M292" s="4">
        <f t="shared" si="56"/>
        <v>9.8474944444444645</v>
      </c>
      <c r="N292" s="4">
        <f t="shared" si="57"/>
        <v>9.8474950536804613</v>
      </c>
      <c r="O292" s="5">
        <f t="shared" si="58"/>
        <v>-11.430827874246885</v>
      </c>
      <c r="P292" s="2">
        <f t="shared" si="59"/>
        <v>6.5884545897176897E-11</v>
      </c>
      <c r="Q292" s="2">
        <f t="shared" si="60"/>
        <v>1.0101035185837084E-14</v>
      </c>
      <c r="R292" s="6">
        <f t="shared" si="61"/>
        <v>-79.049958901114607</v>
      </c>
      <c r="S292" s="2">
        <f t="shared" si="62"/>
        <v>1.4100303214539299E-11</v>
      </c>
      <c r="T292" s="2">
        <f t="shared" si="63"/>
        <v>1.2583938611638075E-15</v>
      </c>
      <c r="U292" s="6">
        <f t="shared" si="64"/>
        <v>9.8474950536804862</v>
      </c>
      <c r="V292" s="2">
        <f t="shared" si="65"/>
        <v>6.1867109960659763E-8</v>
      </c>
      <c r="W292" s="2">
        <f t="shared" si="66"/>
        <v>2.5254133783300374E-15</v>
      </c>
    </row>
    <row r="293" spans="1:23" x14ac:dyDescent="0.4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10" t="s">
        <v>889</v>
      </c>
      <c r="F293" s="10" t="s">
        <v>890</v>
      </c>
      <c r="G293" s="10" t="s">
        <v>891</v>
      </c>
      <c r="H293" s="10">
        <v>61.710171566999598</v>
      </c>
      <c r="I293" s="10">
        <v>-82.492273326420303</v>
      </c>
      <c r="J293" s="10">
        <v>145.251761467264</v>
      </c>
      <c r="K293" s="4">
        <f t="shared" si="54"/>
        <v>61.710171566666666</v>
      </c>
      <c r="L293" s="4">
        <f t="shared" si="55"/>
        <v>-82.492273327777752</v>
      </c>
      <c r="M293" s="4">
        <f t="shared" si="56"/>
        <v>145.25176111111114</v>
      </c>
      <c r="N293" s="4">
        <f t="shared" si="57"/>
        <v>145.25176146726403</v>
      </c>
      <c r="O293" s="5">
        <f t="shared" si="58"/>
        <v>61.710171566997374</v>
      </c>
      <c r="P293" s="2">
        <f t="shared" si="59"/>
        <v>5.3590501712923196E-12</v>
      </c>
      <c r="Q293" s="2">
        <f t="shared" si="60"/>
        <v>3.6039419539038016E-14</v>
      </c>
      <c r="R293" s="6">
        <f t="shared" si="61"/>
        <v>-82.492273326419379</v>
      </c>
      <c r="S293" s="2">
        <f t="shared" si="62"/>
        <v>1.6466669117780353E-11</v>
      </c>
      <c r="T293" s="2">
        <f t="shared" si="63"/>
        <v>1.1197479706166486E-14</v>
      </c>
      <c r="U293" s="6">
        <f t="shared" si="64"/>
        <v>145.25176146726622</v>
      </c>
      <c r="V293" s="2">
        <f t="shared" si="65"/>
        <v>2.4519846187539636E-9</v>
      </c>
      <c r="W293" s="2">
        <f t="shared" si="66"/>
        <v>1.5066747583879272E-14</v>
      </c>
    </row>
    <row r="294" spans="1:23" x14ac:dyDescent="0.45">
      <c r="A294">
        <v>79.603430000000003</v>
      </c>
      <c r="B294">
        <v>-25.198319999999999</v>
      </c>
      <c r="C294">
        <v>142.81933000000001</v>
      </c>
      <c r="D294">
        <v>20162.4198</v>
      </c>
      <c r="E294" s="10" t="s">
        <v>892</v>
      </c>
      <c r="F294" s="10" t="s">
        <v>893</v>
      </c>
      <c r="G294" s="10" t="s">
        <v>894</v>
      </c>
      <c r="H294" s="10">
        <v>79.459001166920004</v>
      </c>
      <c r="I294" s="10">
        <v>-24.601920946304499</v>
      </c>
      <c r="J294" s="10">
        <v>143.40580206336301</v>
      </c>
      <c r="K294" s="4">
        <f t="shared" si="54"/>
        <v>79.459001166666667</v>
      </c>
      <c r="L294" s="4">
        <f t="shared" si="55"/>
        <v>-24.601920947222197</v>
      </c>
      <c r="M294" s="4">
        <f t="shared" si="56"/>
        <v>143.40580277777775</v>
      </c>
      <c r="N294" s="4">
        <f t="shared" si="57"/>
        <v>143.40580206336301</v>
      </c>
      <c r="O294" s="5">
        <f t="shared" si="58"/>
        <v>79.459001166920856</v>
      </c>
      <c r="P294" s="2">
        <f t="shared" si="59"/>
        <v>3.1990026876583953E-12</v>
      </c>
      <c r="Q294" s="2">
        <f t="shared" si="60"/>
        <v>1.0730707287912549E-14</v>
      </c>
      <c r="R294" s="6">
        <f t="shared" si="61"/>
        <v>-24.601920946308201</v>
      </c>
      <c r="S294" s="2">
        <f t="shared" si="62"/>
        <v>3.7151407484185409E-11</v>
      </c>
      <c r="T294" s="2">
        <f t="shared" si="63"/>
        <v>1.5047311392430906E-13</v>
      </c>
      <c r="U294" s="6">
        <f t="shared" si="64"/>
        <v>143.40580206335972</v>
      </c>
      <c r="V294" s="2">
        <f t="shared" si="65"/>
        <v>4.9817930795171591E-9</v>
      </c>
      <c r="W294" s="2">
        <f t="shared" si="66"/>
        <v>2.2990131825141502E-14</v>
      </c>
    </row>
    <row r="295" spans="1:23" x14ac:dyDescent="0.45">
      <c r="A295">
        <v>-64.213909999999998</v>
      </c>
      <c r="B295">
        <v>107.39639</v>
      </c>
      <c r="C295">
        <v>84.293390000000002</v>
      </c>
      <c r="D295">
        <v>164584.4406</v>
      </c>
      <c r="E295" s="10" t="s">
        <v>895</v>
      </c>
      <c r="F295" s="10" t="s">
        <v>896</v>
      </c>
      <c r="G295" s="10" t="s">
        <v>897</v>
      </c>
      <c r="H295" s="10">
        <v>-64.028425753129795</v>
      </c>
      <c r="I295" s="10">
        <v>110.74821787616899</v>
      </c>
      <c r="J295" s="10">
        <v>81.2775184656969</v>
      </c>
      <c r="K295" s="4">
        <f t="shared" si="54"/>
        <v>-64.028425752777778</v>
      </c>
      <c r="L295" s="4">
        <f t="shared" si="55"/>
        <v>110.74821787500002</v>
      </c>
      <c r="M295" s="4">
        <f t="shared" si="56"/>
        <v>81.277519444444465</v>
      </c>
      <c r="N295" s="4">
        <f t="shared" si="57"/>
        <v>81.277518465696915</v>
      </c>
      <c r="O295" s="5">
        <f t="shared" si="58"/>
        <v>-64.028425753130179</v>
      </c>
      <c r="P295" s="2">
        <f t="shared" si="59"/>
        <v>5.503817579214665E-12</v>
      </c>
      <c r="Q295" s="2">
        <f t="shared" si="60"/>
        <v>5.9925427307838923E-15</v>
      </c>
      <c r="R295" s="6">
        <f t="shared" si="61"/>
        <v>110.74821787615728</v>
      </c>
      <c r="S295" s="2">
        <f t="shared" si="62"/>
        <v>1.044947698425865E-11</v>
      </c>
      <c r="T295" s="2">
        <f t="shared" si="63"/>
        <v>1.0573302676905807E-13</v>
      </c>
      <c r="U295" s="6">
        <f t="shared" si="64"/>
        <v>81.277518465703395</v>
      </c>
      <c r="V295" s="2">
        <f t="shared" si="65"/>
        <v>1.2041965319587147E-8</v>
      </c>
      <c r="W295" s="2">
        <f t="shared" si="66"/>
        <v>7.9728686018718118E-14</v>
      </c>
    </row>
    <row r="296" spans="1:23" x14ac:dyDescent="0.45">
      <c r="A296">
        <v>78.640919999999994</v>
      </c>
      <c r="B296">
        <v>-43.137920000000001</v>
      </c>
      <c r="C296">
        <v>339.28708</v>
      </c>
      <c r="D296">
        <v>38397.614699999998</v>
      </c>
      <c r="E296" s="10" t="s">
        <v>898</v>
      </c>
      <c r="F296" s="10" t="s">
        <v>899</v>
      </c>
      <c r="G296" s="10" t="s">
        <v>900</v>
      </c>
      <c r="H296" s="10">
        <v>78.961936396534995</v>
      </c>
      <c r="I296" s="10">
        <v>-43.773062963374798</v>
      </c>
      <c r="J296" s="10">
        <v>-21.335972525117</v>
      </c>
      <c r="K296" s="4">
        <f t="shared" si="54"/>
        <v>78.961936397222217</v>
      </c>
      <c r="L296" s="4">
        <f t="shared" si="55"/>
        <v>-43.77306296388889</v>
      </c>
      <c r="M296" s="4">
        <f t="shared" si="56"/>
        <v>338.66402777777779</v>
      </c>
      <c r="N296" s="4">
        <f t="shared" si="57"/>
        <v>338.66402747488303</v>
      </c>
      <c r="O296" s="5">
        <f t="shared" si="58"/>
        <v>78.961936396533119</v>
      </c>
      <c r="P296" s="2">
        <f t="shared" si="59"/>
        <v>8.7269713413348096E-12</v>
      </c>
      <c r="Q296" s="2">
        <f t="shared" si="60"/>
        <v>2.3756165413503964E-14</v>
      </c>
      <c r="R296" s="6">
        <f t="shared" si="61"/>
        <v>-43.773062963371018</v>
      </c>
      <c r="S296" s="2">
        <f t="shared" si="62"/>
        <v>1.1830836876976511E-11</v>
      </c>
      <c r="T296" s="2">
        <f t="shared" si="63"/>
        <v>8.6356473555587284E-14</v>
      </c>
      <c r="U296" s="6">
        <f t="shared" si="64"/>
        <v>338.66402747488627</v>
      </c>
      <c r="V296" s="2">
        <f t="shared" si="65"/>
        <v>8.9437169819706215E-10</v>
      </c>
      <c r="W296" s="2">
        <f t="shared" si="66"/>
        <v>9.5672247779736704E-15</v>
      </c>
    </row>
    <row r="297" spans="1:23" x14ac:dyDescent="0.45">
      <c r="A297">
        <v>-18.062360000000002</v>
      </c>
      <c r="B297">
        <v>-64.4589</v>
      </c>
      <c r="C297">
        <v>156.02377999999999</v>
      </c>
      <c r="D297">
        <v>215099.4129</v>
      </c>
      <c r="E297" s="10" t="s">
        <v>901</v>
      </c>
      <c r="F297" s="10" t="s">
        <v>902</v>
      </c>
      <c r="G297" s="10" t="s">
        <v>903</v>
      </c>
      <c r="H297" s="10">
        <v>-19.836080422785699</v>
      </c>
      <c r="I297" s="10">
        <v>-63.624632309453297</v>
      </c>
      <c r="J297" s="10">
        <v>155.75283132691001</v>
      </c>
      <c r="K297" s="4">
        <f t="shared" si="54"/>
        <v>-19.836080422222221</v>
      </c>
      <c r="L297" s="4">
        <f t="shared" si="55"/>
        <v>-63.624632308333332</v>
      </c>
      <c r="M297" s="4">
        <f t="shared" si="56"/>
        <v>155.75283055555553</v>
      </c>
      <c r="N297" s="4">
        <f t="shared" si="57"/>
        <v>155.75283132691004</v>
      </c>
      <c r="O297" s="5">
        <f t="shared" si="58"/>
        <v>-19.836080422795057</v>
      </c>
      <c r="P297" s="2">
        <f t="shared" si="59"/>
        <v>2.8878487516836735E-11</v>
      </c>
      <c r="Q297" s="2">
        <f t="shared" si="60"/>
        <v>4.7175891761414529E-13</v>
      </c>
      <c r="R297" s="6">
        <f t="shared" si="61"/>
        <v>-63.624632309450611</v>
      </c>
      <c r="S297" s="2">
        <f t="shared" si="62"/>
        <v>1.7560474197741132E-11</v>
      </c>
      <c r="T297" s="2">
        <f t="shared" si="63"/>
        <v>4.2214020634491226E-14</v>
      </c>
      <c r="U297" s="6">
        <f t="shared" si="64"/>
        <v>155.75283132690868</v>
      </c>
      <c r="V297" s="2">
        <f t="shared" si="65"/>
        <v>4.9524181383094163E-9</v>
      </c>
      <c r="W297" s="2">
        <f t="shared" si="66"/>
        <v>8.7590192809784686E-15</v>
      </c>
    </row>
    <row r="298" spans="1:23" x14ac:dyDescent="0.4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10" t="s">
        <v>904</v>
      </c>
      <c r="F298" s="10" t="s">
        <v>905</v>
      </c>
      <c r="G298" s="10" t="s">
        <v>906</v>
      </c>
      <c r="H298" s="10">
        <v>77.129192877648904</v>
      </c>
      <c r="I298" s="10">
        <v>66.039568479482398</v>
      </c>
      <c r="J298" s="10">
        <v>-62.510599054735401</v>
      </c>
      <c r="K298" s="4">
        <f t="shared" ref="K298:K361" si="67">ConvertDecimal(E298)</f>
        <v>77.129192877777783</v>
      </c>
      <c r="L298" s="4">
        <f t="shared" ref="L298:L361" si="68">MOD(ConvertDecimal(F298)+3*180, 360) - 180</f>
        <v>66.039568480555545</v>
      </c>
      <c r="M298" s="4">
        <f t="shared" ref="M298:M361" si="69">MOD(ConvertDecimal(G298)+180, 360)</f>
        <v>297.48939999999999</v>
      </c>
      <c r="N298" s="4">
        <f t="shared" ref="N298:N361" si="70">MOD(J298+360, 360)</f>
        <v>297.48940094526461</v>
      </c>
      <c r="O298" s="5">
        <f t="shared" si="58"/>
        <v>77.129192877648677</v>
      </c>
      <c r="P298" s="2">
        <f t="shared" si="59"/>
        <v>1.6738878013697937E-12</v>
      </c>
      <c r="Q298" s="2">
        <f t="shared" si="60"/>
        <v>2.9479587035730821E-15</v>
      </c>
      <c r="R298" s="6">
        <f t="shared" si="61"/>
        <v>66.039568479483805</v>
      </c>
      <c r="S298" s="2">
        <f t="shared" si="62"/>
        <v>1.6228755800727997E-11</v>
      </c>
      <c r="T298" s="2">
        <f t="shared" si="63"/>
        <v>2.1303510140925517E-14</v>
      </c>
      <c r="U298" s="6">
        <f t="shared" si="64"/>
        <v>297.48940094526569</v>
      </c>
      <c r="V298" s="2">
        <f t="shared" si="65"/>
        <v>3.1774769011193209E-9</v>
      </c>
      <c r="W298" s="2">
        <f t="shared" si="66"/>
        <v>3.6304653373316891E-15</v>
      </c>
    </row>
    <row r="299" spans="1:23" x14ac:dyDescent="0.45">
      <c r="A299">
        <v>54.81241</v>
      </c>
      <c r="B299">
        <v>-36.177729999999997</v>
      </c>
      <c r="C299">
        <v>341.52323000000001</v>
      </c>
      <c r="D299">
        <v>187751.1091</v>
      </c>
      <c r="E299" s="10" t="s">
        <v>907</v>
      </c>
      <c r="F299" s="10" t="s">
        <v>908</v>
      </c>
      <c r="G299" s="10" t="s">
        <v>909</v>
      </c>
      <c r="H299" s="10">
        <v>56.408150401356799</v>
      </c>
      <c r="I299" s="10">
        <v>-37.1414891375927</v>
      </c>
      <c r="J299" s="10">
        <v>-19.272161577489001</v>
      </c>
      <c r="K299" s="4">
        <f t="shared" si="67"/>
        <v>56.408150399999997</v>
      </c>
      <c r="L299" s="4">
        <f t="shared" si="68"/>
        <v>-37.141489138888915</v>
      </c>
      <c r="M299" s="4">
        <f t="shared" si="69"/>
        <v>340.72783888888887</v>
      </c>
      <c r="N299" s="4">
        <f t="shared" si="70"/>
        <v>340.72783842251101</v>
      </c>
      <c r="O299" s="5">
        <f t="shared" si="58"/>
        <v>56.408150401360821</v>
      </c>
      <c r="P299" s="2">
        <f t="shared" si="59"/>
        <v>2.4124604909938448E-11</v>
      </c>
      <c r="Q299" s="2">
        <f t="shared" si="60"/>
        <v>7.1295936062201262E-14</v>
      </c>
      <c r="R299" s="6">
        <f t="shared" si="61"/>
        <v>-37.141489137594661</v>
      </c>
      <c r="S299" s="2">
        <f t="shared" si="62"/>
        <v>3.48465724771352E-11</v>
      </c>
      <c r="T299" s="2">
        <f t="shared" si="63"/>
        <v>5.2800735679522184E-14</v>
      </c>
      <c r="U299" s="6">
        <f t="shared" si="64"/>
        <v>340.7278384225084</v>
      </c>
      <c r="V299" s="2">
        <f t="shared" si="65"/>
        <v>1.3687771206603773E-9</v>
      </c>
      <c r="W299" s="2">
        <f t="shared" si="66"/>
        <v>7.6741521318101256E-15</v>
      </c>
    </row>
    <row r="300" spans="1:23" x14ac:dyDescent="0.45">
      <c r="A300">
        <v>37.155099999999997</v>
      </c>
      <c r="B300">
        <v>175.12719999999999</v>
      </c>
      <c r="C300">
        <v>202.77239</v>
      </c>
      <c r="D300">
        <v>152425.64629999999</v>
      </c>
      <c r="E300" s="10" t="s">
        <v>910</v>
      </c>
      <c r="F300" s="10" t="s">
        <v>911</v>
      </c>
      <c r="G300" s="10" t="s">
        <v>912</v>
      </c>
      <c r="H300" s="10">
        <v>35.886767235900898</v>
      </c>
      <c r="I300" s="10">
        <v>174.47382001709599</v>
      </c>
      <c r="J300" s="10">
        <v>-157.616473793361</v>
      </c>
      <c r="K300" s="4">
        <f t="shared" si="67"/>
        <v>35.886767236111112</v>
      </c>
      <c r="L300" s="4">
        <f t="shared" si="68"/>
        <v>174.47382001666665</v>
      </c>
      <c r="M300" s="4">
        <f t="shared" si="69"/>
        <v>202.38352499999999</v>
      </c>
      <c r="N300" s="4">
        <f t="shared" si="70"/>
        <v>202.383526206639</v>
      </c>
      <c r="O300" s="5">
        <f t="shared" si="58"/>
        <v>35.886767235895007</v>
      </c>
      <c r="P300" s="2">
        <f t="shared" si="59"/>
        <v>6.0218427096609983E-12</v>
      </c>
      <c r="Q300" s="2">
        <f t="shared" si="60"/>
        <v>1.6413847591037711E-13</v>
      </c>
      <c r="R300" s="6">
        <f t="shared" si="61"/>
        <v>174.47382001709471</v>
      </c>
      <c r="S300" s="2">
        <f t="shared" si="62"/>
        <v>2.4534303524186282E-12</v>
      </c>
      <c r="T300" s="2">
        <f t="shared" si="63"/>
        <v>7.3304804367948067E-15</v>
      </c>
      <c r="U300" s="6">
        <f t="shared" si="64"/>
        <v>202.38352620663684</v>
      </c>
      <c r="V300" s="2">
        <f t="shared" si="65"/>
        <v>5.9621298357044569E-9</v>
      </c>
      <c r="W300" s="2">
        <f t="shared" si="66"/>
        <v>1.0673052086785145E-14</v>
      </c>
    </row>
    <row r="301" spans="1:23" x14ac:dyDescent="0.45">
      <c r="A301">
        <v>-77.082490000000007</v>
      </c>
      <c r="B301">
        <v>32.140450000000001</v>
      </c>
      <c r="C301">
        <v>201.11084</v>
      </c>
      <c r="D301">
        <v>110725.2023</v>
      </c>
      <c r="E301" s="10" t="s">
        <v>913</v>
      </c>
      <c r="F301" s="10" t="s">
        <v>914</v>
      </c>
      <c r="G301" s="10" t="s">
        <v>915</v>
      </c>
      <c r="H301" s="10">
        <v>-78.002492218585601</v>
      </c>
      <c r="I301" s="10">
        <v>30.4223641925614</v>
      </c>
      <c r="J301" s="10">
        <v>-157.21146444688699</v>
      </c>
      <c r="K301" s="4">
        <f t="shared" si="67"/>
        <v>-78.002492219444449</v>
      </c>
      <c r="L301" s="4">
        <f t="shared" si="68"/>
        <v>30.422364191666702</v>
      </c>
      <c r="M301" s="4">
        <f t="shared" si="69"/>
        <v>202.78853611111111</v>
      </c>
      <c r="N301" s="4">
        <f t="shared" si="70"/>
        <v>202.78853555311301</v>
      </c>
      <c r="O301" s="5">
        <f t="shared" si="58"/>
        <v>-78.002492218580826</v>
      </c>
      <c r="P301" s="2">
        <f t="shared" si="59"/>
        <v>1.1071723969057654E-11</v>
      </c>
      <c r="Q301" s="2">
        <f t="shared" si="60"/>
        <v>6.1214033660967744E-14</v>
      </c>
      <c r="R301" s="6">
        <f t="shared" si="61"/>
        <v>30.422364192571319</v>
      </c>
      <c r="S301" s="2">
        <f t="shared" si="62"/>
        <v>2.9735257266420071E-11</v>
      </c>
      <c r="T301" s="2">
        <f t="shared" si="63"/>
        <v>3.2604884118888913E-13</v>
      </c>
      <c r="U301" s="6">
        <f t="shared" si="64"/>
        <v>202.78853555310383</v>
      </c>
      <c r="V301" s="2">
        <f t="shared" si="65"/>
        <v>2.7516707665065605E-9</v>
      </c>
      <c r="W301" s="2">
        <f t="shared" si="66"/>
        <v>4.5269877416793488E-14</v>
      </c>
    </row>
    <row r="302" spans="1:23" x14ac:dyDescent="0.45">
      <c r="A302">
        <v>-70.880790000000005</v>
      </c>
      <c r="B302">
        <v>-124.19826</v>
      </c>
      <c r="C302">
        <v>343.82002999999997</v>
      </c>
      <c r="D302">
        <v>71301.474900000001</v>
      </c>
      <c r="E302" s="10" t="s">
        <v>916</v>
      </c>
      <c r="F302" s="10" t="s">
        <v>917</v>
      </c>
      <c r="G302" s="10" t="s">
        <v>918</v>
      </c>
      <c r="H302" s="10">
        <v>-70.266251668402106</v>
      </c>
      <c r="I302" s="10">
        <v>-124.725287969863</v>
      </c>
      <c r="J302" s="10">
        <v>-15.682938694680001</v>
      </c>
      <c r="K302" s="4">
        <f t="shared" si="67"/>
        <v>-70.266251669444443</v>
      </c>
      <c r="L302" s="4">
        <f t="shared" si="68"/>
        <v>-124.72528796944442</v>
      </c>
      <c r="M302" s="4">
        <f t="shared" si="69"/>
        <v>344.31706111111112</v>
      </c>
      <c r="N302" s="4">
        <f t="shared" si="70"/>
        <v>344.31706130532001</v>
      </c>
      <c r="O302" s="5">
        <f t="shared" si="58"/>
        <v>-70.266251668402887</v>
      </c>
      <c r="P302" s="2">
        <f t="shared" si="59"/>
        <v>1.4822993256294975E-11</v>
      </c>
      <c r="Q302" s="2">
        <f t="shared" si="60"/>
        <v>1.1123362791921703E-14</v>
      </c>
      <c r="R302" s="6">
        <f t="shared" si="61"/>
        <v>-124.72528796986241</v>
      </c>
      <c r="S302" s="2">
        <f t="shared" si="62"/>
        <v>3.35123595658192E-12</v>
      </c>
      <c r="T302" s="2">
        <f t="shared" si="63"/>
        <v>4.7853639606965723E-15</v>
      </c>
      <c r="U302" s="6">
        <f t="shared" si="64"/>
        <v>344.31706130531899</v>
      </c>
      <c r="V302" s="2">
        <f t="shared" si="65"/>
        <v>5.6403789719688912E-10</v>
      </c>
      <c r="W302" s="2">
        <f t="shared" si="66"/>
        <v>2.9716260228744443E-15</v>
      </c>
    </row>
    <row r="303" spans="1:23" x14ac:dyDescent="0.45">
      <c r="A303">
        <v>56.882150000000003</v>
      </c>
      <c r="B303">
        <v>-12.01582</v>
      </c>
      <c r="C303">
        <v>74.446529999999996</v>
      </c>
      <c r="D303">
        <v>147375.0055</v>
      </c>
      <c r="E303" s="10" t="s">
        <v>919</v>
      </c>
      <c r="F303" s="10" t="s">
        <v>920</v>
      </c>
      <c r="G303" s="10" t="s">
        <v>921</v>
      </c>
      <c r="H303" s="10">
        <v>57.215072005118898</v>
      </c>
      <c r="I303" s="10">
        <v>-9.6655600736259792</v>
      </c>
      <c r="J303" s="10">
        <v>76.418799445159607</v>
      </c>
      <c r="K303" s="4">
        <f t="shared" si="67"/>
        <v>57.215072005555555</v>
      </c>
      <c r="L303" s="4">
        <f t="shared" si="68"/>
        <v>-9.6655600750000303</v>
      </c>
      <c r="M303" s="4">
        <f t="shared" si="69"/>
        <v>76.418799999999976</v>
      </c>
      <c r="N303" s="4">
        <f t="shared" si="70"/>
        <v>76.418799445159607</v>
      </c>
      <c r="O303" s="5">
        <f t="shared" si="58"/>
        <v>57.215072005118842</v>
      </c>
      <c r="P303" s="2">
        <f t="shared" si="59"/>
        <v>7.6328449994866404E-12</v>
      </c>
      <c r="Q303" s="2">
        <f t="shared" si="60"/>
        <v>9.9350427900750283E-16</v>
      </c>
      <c r="R303" s="6">
        <f t="shared" si="61"/>
        <v>-9.6655600736307008</v>
      </c>
      <c r="S303" s="2">
        <f t="shared" si="62"/>
        <v>1.416709976475347E-10</v>
      </c>
      <c r="T303" s="2">
        <f t="shared" si="63"/>
        <v>4.8849279743337223E-13</v>
      </c>
      <c r="U303" s="6">
        <f t="shared" si="64"/>
        <v>76.418799445159962</v>
      </c>
      <c r="V303" s="2">
        <f t="shared" si="65"/>
        <v>7.2605172278712109E-9</v>
      </c>
      <c r="W303" s="2">
        <f t="shared" si="66"/>
        <v>4.6490048320505654E-15</v>
      </c>
    </row>
    <row r="304" spans="1:23" x14ac:dyDescent="0.45">
      <c r="A304">
        <v>62.916879999999999</v>
      </c>
      <c r="B304">
        <v>114.59908</v>
      </c>
      <c r="C304">
        <v>54.045189999999998</v>
      </c>
      <c r="D304">
        <v>7257.9587000000001</v>
      </c>
      <c r="E304" s="10" t="s">
        <v>922</v>
      </c>
      <c r="F304" s="10" t="s">
        <v>923</v>
      </c>
      <c r="G304" s="10" t="s">
        <v>924</v>
      </c>
      <c r="H304" s="10">
        <v>62.955065707780598</v>
      </c>
      <c r="I304" s="10">
        <v>114.714845461705</v>
      </c>
      <c r="J304" s="10">
        <v>54.148278999276997</v>
      </c>
      <c r="K304" s="4">
        <f t="shared" si="67"/>
        <v>62.955065708333336</v>
      </c>
      <c r="L304" s="4">
        <f t="shared" si="68"/>
        <v>114.71484546111105</v>
      </c>
      <c r="M304" s="4">
        <f t="shared" si="69"/>
        <v>54.148277777777764</v>
      </c>
      <c r="N304" s="4">
        <f t="shared" si="70"/>
        <v>54.148278999277011</v>
      </c>
      <c r="O304" s="5">
        <f t="shared" si="58"/>
        <v>62.955065707780527</v>
      </c>
      <c r="P304" s="2">
        <f t="shared" si="59"/>
        <v>8.7810146432035321E-12</v>
      </c>
      <c r="Q304" s="2">
        <f t="shared" si="60"/>
        <v>1.1286506141669936E-15</v>
      </c>
      <c r="R304" s="6">
        <f t="shared" si="61"/>
        <v>114.71484546170466</v>
      </c>
      <c r="S304" s="2">
        <f t="shared" si="62"/>
        <v>5.1745840734269835E-12</v>
      </c>
      <c r="T304" s="2">
        <f t="shared" si="63"/>
        <v>2.9731157444543962E-15</v>
      </c>
      <c r="U304" s="6">
        <f t="shared" si="64"/>
        <v>54.148278999276904</v>
      </c>
      <c r="V304" s="2">
        <f t="shared" si="65"/>
        <v>2.2558411646466277E-8</v>
      </c>
      <c r="W304" s="2">
        <f t="shared" si="66"/>
        <v>1.9683249834300018E-15</v>
      </c>
    </row>
    <row r="305" spans="1:23" x14ac:dyDescent="0.45">
      <c r="A305">
        <v>31.286470000000001</v>
      </c>
      <c r="B305">
        <v>127.72828</v>
      </c>
      <c r="C305">
        <v>23.56521</v>
      </c>
      <c r="D305">
        <v>12132.3408</v>
      </c>
      <c r="E305" s="10" t="s">
        <v>925</v>
      </c>
      <c r="F305" s="10" t="s">
        <v>926</v>
      </c>
      <c r="G305" s="10" t="s">
        <v>927</v>
      </c>
      <c r="H305" s="10">
        <v>31.386757921263701</v>
      </c>
      <c r="I305" s="10">
        <v>127.779274412337</v>
      </c>
      <c r="J305" s="10">
        <v>23.591730422266401</v>
      </c>
      <c r="K305" s="4">
        <f t="shared" si="67"/>
        <v>31.386757922222223</v>
      </c>
      <c r="L305" s="4">
        <f t="shared" si="68"/>
        <v>127.77927441111115</v>
      </c>
      <c r="M305" s="4">
        <f t="shared" si="69"/>
        <v>23.591730555555557</v>
      </c>
      <c r="N305" s="4">
        <f t="shared" si="70"/>
        <v>23.59173042226638</v>
      </c>
      <c r="O305" s="5">
        <f t="shared" si="58"/>
        <v>31.386757921244985</v>
      </c>
      <c r="P305" s="2">
        <f t="shared" si="59"/>
        <v>3.1135354872329754E-11</v>
      </c>
      <c r="Q305" s="2">
        <f t="shared" si="60"/>
        <v>5.9629273296945549E-13</v>
      </c>
      <c r="R305" s="6">
        <f t="shared" si="61"/>
        <v>127.77927441232697</v>
      </c>
      <c r="S305" s="2">
        <f t="shared" si="62"/>
        <v>9.5150320082589215E-12</v>
      </c>
      <c r="T305" s="2">
        <f t="shared" si="63"/>
        <v>7.8517141962765348E-14</v>
      </c>
      <c r="U305" s="6">
        <f t="shared" si="64"/>
        <v>23.591730422261435</v>
      </c>
      <c r="V305" s="2">
        <f t="shared" si="65"/>
        <v>5.650035807779254E-9</v>
      </c>
      <c r="W305" s="2">
        <f t="shared" si="66"/>
        <v>2.0962334480656595E-13</v>
      </c>
    </row>
    <row r="306" spans="1:23" x14ac:dyDescent="0.45">
      <c r="A306">
        <v>13.955679999999999</v>
      </c>
      <c r="B306">
        <v>106.92726999999999</v>
      </c>
      <c r="C306">
        <v>143.01515000000001</v>
      </c>
      <c r="D306">
        <v>1942.0318</v>
      </c>
      <c r="E306" s="10" t="s">
        <v>928</v>
      </c>
      <c r="F306" s="10" t="s">
        <v>929</v>
      </c>
      <c r="G306" s="10" t="s">
        <v>930</v>
      </c>
      <c r="H306" s="10">
        <v>13.941658600945701</v>
      </c>
      <c r="I306" s="10">
        <v>106.938081779399</v>
      </c>
      <c r="J306" s="10">
        <v>143.01775620670401</v>
      </c>
      <c r="K306" s="4">
        <f t="shared" si="67"/>
        <v>13.9416586</v>
      </c>
      <c r="L306" s="4">
        <f t="shared" si="68"/>
        <v>106.93808178055554</v>
      </c>
      <c r="M306" s="4">
        <f t="shared" si="69"/>
        <v>143.01775555555554</v>
      </c>
      <c r="N306" s="4">
        <f t="shared" si="70"/>
        <v>143.01775620670401</v>
      </c>
      <c r="O306" s="5">
        <f t="shared" si="58"/>
        <v>13.941658600956302</v>
      </c>
      <c r="P306" s="2">
        <f t="shared" si="59"/>
        <v>6.8593108748992376E-11</v>
      </c>
      <c r="Q306" s="2">
        <f t="shared" si="60"/>
        <v>7.604043335863625E-13</v>
      </c>
      <c r="R306" s="6">
        <f t="shared" si="61"/>
        <v>106.93808177939052</v>
      </c>
      <c r="S306" s="2">
        <f t="shared" si="62"/>
        <v>1.0894342417677536E-11</v>
      </c>
      <c r="T306" s="2">
        <f t="shared" si="63"/>
        <v>7.9334509501272603E-14</v>
      </c>
      <c r="U306" s="6">
        <f t="shared" si="64"/>
        <v>143.01775620670179</v>
      </c>
      <c r="V306" s="2">
        <f t="shared" si="65"/>
        <v>4.5529049806101782E-9</v>
      </c>
      <c r="W306" s="2">
        <f t="shared" si="66"/>
        <v>1.5500825872050667E-14</v>
      </c>
    </row>
    <row r="307" spans="1:23" x14ac:dyDescent="0.45">
      <c r="A307">
        <v>48.459600000000002</v>
      </c>
      <c r="B307">
        <v>62.42924</v>
      </c>
      <c r="C307">
        <v>46.348959999999998</v>
      </c>
      <c r="D307">
        <v>17871.3066</v>
      </c>
      <c r="E307" s="10" t="s">
        <v>931</v>
      </c>
      <c r="F307" s="10" t="s">
        <v>932</v>
      </c>
      <c r="G307" s="10" t="s">
        <v>933</v>
      </c>
      <c r="H307" s="10">
        <v>48.570401095591698</v>
      </c>
      <c r="I307" s="10">
        <v>62.604457998062898</v>
      </c>
      <c r="J307" s="10">
        <v>46.480221020832602</v>
      </c>
      <c r="K307" s="4">
        <f t="shared" si="67"/>
        <v>48.570401094444442</v>
      </c>
      <c r="L307" s="4">
        <f t="shared" si="68"/>
        <v>62.604457997222198</v>
      </c>
      <c r="M307" s="4">
        <f t="shared" si="69"/>
        <v>46.48022222222221</v>
      </c>
      <c r="N307" s="4">
        <f t="shared" si="70"/>
        <v>46.480221020832573</v>
      </c>
      <c r="O307" s="5">
        <f t="shared" si="58"/>
        <v>48.570401095614763</v>
      </c>
      <c r="P307" s="2">
        <f t="shared" si="59"/>
        <v>2.4095348254177974E-11</v>
      </c>
      <c r="Q307" s="2">
        <f t="shared" si="60"/>
        <v>4.7486157582639741E-13</v>
      </c>
      <c r="R307" s="6">
        <f t="shared" si="61"/>
        <v>62.604457998099434</v>
      </c>
      <c r="S307" s="2">
        <f t="shared" si="62"/>
        <v>1.4012357739896786E-11</v>
      </c>
      <c r="T307" s="2">
        <f t="shared" si="63"/>
        <v>5.8360232866986644E-13</v>
      </c>
      <c r="U307" s="6">
        <f t="shared" si="64"/>
        <v>46.4802210208601</v>
      </c>
      <c r="V307" s="2">
        <f t="shared" si="65"/>
        <v>2.5846737661734817E-8</v>
      </c>
      <c r="W307" s="2">
        <f t="shared" si="66"/>
        <v>5.9221804412265714E-13</v>
      </c>
    </row>
    <row r="308" spans="1:23" x14ac:dyDescent="0.45">
      <c r="A308">
        <v>-29.79008</v>
      </c>
      <c r="B308">
        <v>6.68893</v>
      </c>
      <c r="C308">
        <v>136.10297</v>
      </c>
      <c r="D308">
        <v>9537.8850000000002</v>
      </c>
      <c r="E308" s="10" t="s">
        <v>934</v>
      </c>
      <c r="F308" s="10" t="s">
        <v>935</v>
      </c>
      <c r="G308" s="10" t="s">
        <v>936</v>
      </c>
      <c r="H308" s="10">
        <v>-29.852064195514</v>
      </c>
      <c r="I308" s="10">
        <v>6.7573693417154903</v>
      </c>
      <c r="J308" s="10">
        <v>136.06893558145501</v>
      </c>
      <c r="K308" s="4">
        <f t="shared" si="67"/>
        <v>-29.852064194444445</v>
      </c>
      <c r="L308" s="4">
        <f t="shared" si="68"/>
        <v>6.7573693416666174</v>
      </c>
      <c r="M308" s="4">
        <f t="shared" si="69"/>
        <v>136.0689361111111</v>
      </c>
      <c r="N308" s="4">
        <f t="shared" si="70"/>
        <v>136.06893558145498</v>
      </c>
      <c r="O308" s="5">
        <f t="shared" si="58"/>
        <v>-29.852064195513471</v>
      </c>
      <c r="P308" s="2">
        <f t="shared" si="59"/>
        <v>3.58107817885751E-11</v>
      </c>
      <c r="Q308" s="2">
        <f t="shared" si="60"/>
        <v>1.773258742424998E-14</v>
      </c>
      <c r="R308" s="6">
        <f t="shared" si="61"/>
        <v>6.7573693417145941</v>
      </c>
      <c r="S308" s="2">
        <f t="shared" si="62"/>
        <v>7.0999128908216264E-12</v>
      </c>
      <c r="T308" s="2">
        <f t="shared" si="63"/>
        <v>1.3262143596992073E-13</v>
      </c>
      <c r="U308" s="6">
        <f t="shared" si="64"/>
        <v>136.06893558145507</v>
      </c>
      <c r="V308" s="2">
        <f t="shared" si="65"/>
        <v>3.8925565946541399E-9</v>
      </c>
      <c r="W308" s="2">
        <f t="shared" si="66"/>
        <v>6.2663184603343752E-16</v>
      </c>
    </row>
    <row r="309" spans="1:23" x14ac:dyDescent="0.45">
      <c r="A309">
        <v>50.317419999999998</v>
      </c>
      <c r="B309">
        <v>-59.62623</v>
      </c>
      <c r="C309">
        <v>355.24381</v>
      </c>
      <c r="D309">
        <v>22982.406299999999</v>
      </c>
      <c r="E309" s="10" t="s">
        <v>937</v>
      </c>
      <c r="F309" s="10" t="s">
        <v>938</v>
      </c>
      <c r="G309" s="10" t="s">
        <v>939</v>
      </c>
      <c r="H309" s="10">
        <v>50.523312745260398</v>
      </c>
      <c r="I309" s="10">
        <v>-59.653101823066599</v>
      </c>
      <c r="J309" s="10">
        <v>-4.7769012164567499</v>
      </c>
      <c r="K309" s="4">
        <f t="shared" si="67"/>
        <v>50.523312744444446</v>
      </c>
      <c r="L309" s="4">
        <f t="shared" si="68"/>
        <v>-59.653101822222197</v>
      </c>
      <c r="M309" s="4">
        <f t="shared" si="69"/>
        <v>355.22309999999999</v>
      </c>
      <c r="N309" s="4">
        <f t="shared" si="70"/>
        <v>355.22309878354326</v>
      </c>
      <c r="O309" s="5">
        <f t="shared" si="58"/>
        <v>50.523312745267624</v>
      </c>
      <c r="P309" s="2">
        <f t="shared" si="59"/>
        <v>1.6293032374907129E-11</v>
      </c>
      <c r="Q309" s="2">
        <f t="shared" si="60"/>
        <v>1.4302743090333307E-13</v>
      </c>
      <c r="R309" s="6">
        <f t="shared" si="61"/>
        <v>-59.653101823067566</v>
      </c>
      <c r="S309" s="2">
        <f t="shared" si="62"/>
        <v>1.417140423627828E-11</v>
      </c>
      <c r="T309" s="2">
        <f t="shared" si="63"/>
        <v>1.6199293768493925E-14</v>
      </c>
      <c r="U309" s="6">
        <f t="shared" si="64"/>
        <v>355.22309878354213</v>
      </c>
      <c r="V309" s="2">
        <f t="shared" si="65"/>
        <v>3.4244897380389319E-9</v>
      </c>
      <c r="W309" s="2">
        <f t="shared" si="66"/>
        <v>3.2004348284482366E-15</v>
      </c>
    </row>
    <row r="310" spans="1:23" x14ac:dyDescent="0.45">
      <c r="A310">
        <v>-78.428160000000005</v>
      </c>
      <c r="B310">
        <v>39.337110000000003</v>
      </c>
      <c r="C310">
        <v>195.47834</v>
      </c>
      <c r="D310">
        <v>20848.2294</v>
      </c>
      <c r="E310" s="10" t="s">
        <v>940</v>
      </c>
      <c r="F310" s="10" t="s">
        <v>941</v>
      </c>
      <c r="G310" s="10" t="s">
        <v>942</v>
      </c>
      <c r="H310" s="10">
        <v>-78.608009778682003</v>
      </c>
      <c r="I310" s="10">
        <v>39.084882883593203</v>
      </c>
      <c r="J310" s="10">
        <v>-164.274480237142</v>
      </c>
      <c r="K310" s="4">
        <f t="shared" si="67"/>
        <v>-78.608009777777781</v>
      </c>
      <c r="L310" s="4">
        <f t="shared" si="68"/>
        <v>39.084882883333307</v>
      </c>
      <c r="M310" s="4">
        <f t="shared" si="69"/>
        <v>195.72551944444444</v>
      </c>
      <c r="N310" s="4">
        <f t="shared" si="70"/>
        <v>195.725519762858</v>
      </c>
      <c r="O310" s="5">
        <f t="shared" si="58"/>
        <v>-78.608009778680952</v>
      </c>
      <c r="P310" s="2">
        <f t="shared" si="59"/>
        <v>1.1489552705607193E-11</v>
      </c>
      <c r="Q310" s="2">
        <f t="shared" si="60"/>
        <v>1.3377812921173033E-14</v>
      </c>
      <c r="R310" s="6">
        <f t="shared" si="61"/>
        <v>39.084882883594616</v>
      </c>
      <c r="S310" s="2">
        <f t="shared" si="62"/>
        <v>6.6856845211262664E-12</v>
      </c>
      <c r="T310" s="2">
        <f t="shared" si="63"/>
        <v>3.6177159552297155E-14</v>
      </c>
      <c r="U310" s="6">
        <f t="shared" si="64"/>
        <v>195.72551976285607</v>
      </c>
      <c r="V310" s="2">
        <f t="shared" si="65"/>
        <v>1.6268273207590645E-9</v>
      </c>
      <c r="W310" s="2">
        <f t="shared" si="66"/>
        <v>9.8744212998341378E-15</v>
      </c>
    </row>
    <row r="311" spans="1:23" x14ac:dyDescent="0.45">
      <c r="A311">
        <v>-59.35342</v>
      </c>
      <c r="B311">
        <v>-29.843499999999999</v>
      </c>
      <c r="C311">
        <v>69.971779999999995</v>
      </c>
      <c r="D311">
        <v>13206.8264</v>
      </c>
      <c r="E311" s="10" t="s">
        <v>943</v>
      </c>
      <c r="F311" s="10" t="s">
        <v>944</v>
      </c>
      <c r="G311" s="10" t="s">
        <v>945</v>
      </c>
      <c r="H311" s="10">
        <v>-59.312635711654501</v>
      </c>
      <c r="I311" s="10">
        <v>-29.625635095717598</v>
      </c>
      <c r="J311" s="10">
        <v>69.784384209951</v>
      </c>
      <c r="K311" s="4">
        <f t="shared" si="67"/>
        <v>-59.312635711111113</v>
      </c>
      <c r="L311" s="4">
        <f t="shared" si="68"/>
        <v>-29.625635094444419</v>
      </c>
      <c r="M311" s="4">
        <f t="shared" si="69"/>
        <v>69.784383333333324</v>
      </c>
      <c r="N311" s="4">
        <f t="shared" si="70"/>
        <v>69.784384209950986</v>
      </c>
      <c r="O311" s="5">
        <f t="shared" si="58"/>
        <v>-59.312635711654423</v>
      </c>
      <c r="P311" s="2">
        <f t="shared" si="59"/>
        <v>9.1600953314206565E-12</v>
      </c>
      <c r="Q311" s="2">
        <f t="shared" si="60"/>
        <v>1.3177580121979508E-15</v>
      </c>
      <c r="R311" s="6">
        <f t="shared" si="61"/>
        <v>-29.625635095718014</v>
      </c>
      <c r="S311" s="2">
        <f t="shared" si="62"/>
        <v>4.2989612174883967E-11</v>
      </c>
      <c r="T311" s="2">
        <f t="shared" si="63"/>
        <v>1.4030669691187265E-14</v>
      </c>
      <c r="U311" s="6">
        <f t="shared" si="64"/>
        <v>69.784384209950943</v>
      </c>
      <c r="V311" s="2">
        <f t="shared" si="65"/>
        <v>1.2561802189979977E-8</v>
      </c>
      <c r="W311" s="2">
        <f t="shared" si="66"/>
        <v>6.1091839712080991E-16</v>
      </c>
    </row>
    <row r="312" spans="1:23" x14ac:dyDescent="0.4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10" t="s">
        <v>946</v>
      </c>
      <c r="F312" s="10" t="s">
        <v>947</v>
      </c>
      <c r="G312" s="10" t="s">
        <v>948</v>
      </c>
      <c r="H312" s="10">
        <v>57.975299848942399</v>
      </c>
      <c r="I312" s="10">
        <v>-42.107693476542202</v>
      </c>
      <c r="J312" s="10">
        <v>-41.629674255515702</v>
      </c>
      <c r="K312" s="4">
        <f t="shared" si="67"/>
        <v>57.975299849999999</v>
      </c>
      <c r="L312" s="4">
        <f t="shared" si="68"/>
        <v>-42.107693477777786</v>
      </c>
      <c r="M312" s="4">
        <f t="shared" si="69"/>
        <v>318.37032499999998</v>
      </c>
      <c r="N312" s="4">
        <f t="shared" si="70"/>
        <v>318.37032574448432</v>
      </c>
      <c r="O312" s="5">
        <f t="shared" si="58"/>
        <v>57.975299848982651</v>
      </c>
      <c r="P312" s="2">
        <f t="shared" si="59"/>
        <v>1.7547955530478448E-11</v>
      </c>
      <c r="Q312" s="2">
        <f t="shared" si="60"/>
        <v>6.9429991885663303E-13</v>
      </c>
      <c r="R312" s="6">
        <f t="shared" si="61"/>
        <v>-42.107693476609739</v>
      </c>
      <c r="S312" s="2">
        <f t="shared" si="62"/>
        <v>2.7739514943456755E-11</v>
      </c>
      <c r="T312" s="2">
        <f t="shared" si="63"/>
        <v>1.6039132390764124E-12</v>
      </c>
      <c r="U312" s="6">
        <f t="shared" si="64"/>
        <v>318.37032574442674</v>
      </c>
      <c r="V312" s="2">
        <f t="shared" si="65"/>
        <v>2.338241658303156E-9</v>
      </c>
      <c r="W312" s="2">
        <f t="shared" si="66"/>
        <v>1.8086605016138542E-13</v>
      </c>
    </row>
    <row r="313" spans="1:23" x14ac:dyDescent="0.45">
      <c r="A313">
        <v>12.99788</v>
      </c>
      <c r="B313">
        <v>-120.31726999999999</v>
      </c>
      <c r="C313">
        <v>88.075620000000001</v>
      </c>
      <c r="D313">
        <v>26715.8367</v>
      </c>
      <c r="E313" s="10" t="s">
        <v>949</v>
      </c>
      <c r="F313" s="10" t="s">
        <v>950</v>
      </c>
      <c r="G313" s="10" t="s">
        <v>951</v>
      </c>
      <c r="H313" s="10">
        <v>13.005872626713201</v>
      </c>
      <c r="I313" s="10">
        <v>-120.071139552959</v>
      </c>
      <c r="J313" s="10">
        <v>88.130995238695803</v>
      </c>
      <c r="K313" s="4">
        <f t="shared" si="67"/>
        <v>13.005872627777778</v>
      </c>
      <c r="L313" s="4">
        <f t="shared" si="68"/>
        <v>-120.07113955277777</v>
      </c>
      <c r="M313" s="4">
        <f t="shared" si="69"/>
        <v>88.130994444444468</v>
      </c>
      <c r="N313" s="4">
        <f t="shared" si="70"/>
        <v>88.130995238695789</v>
      </c>
      <c r="O313" s="5">
        <f t="shared" si="58"/>
        <v>13.005872626713217</v>
      </c>
      <c r="P313" s="2">
        <f t="shared" si="59"/>
        <v>8.1852391034085293E-11</v>
      </c>
      <c r="Q313" s="2">
        <f t="shared" si="60"/>
        <v>1.2292302111098321E-15</v>
      </c>
      <c r="R313" s="6">
        <f t="shared" si="61"/>
        <v>-120.07113955295816</v>
      </c>
      <c r="S313" s="2">
        <f t="shared" si="62"/>
        <v>1.502380925396997E-12</v>
      </c>
      <c r="T313" s="2">
        <f t="shared" si="63"/>
        <v>6.9828639198274013E-15</v>
      </c>
      <c r="U313" s="6">
        <f t="shared" si="64"/>
        <v>88.130995238696087</v>
      </c>
      <c r="V313" s="2">
        <f t="shared" si="65"/>
        <v>9.012171304174625E-9</v>
      </c>
      <c r="W313" s="2">
        <f t="shared" si="66"/>
        <v>3.3861860768844572E-15</v>
      </c>
    </row>
    <row r="314" spans="1:23" x14ac:dyDescent="0.4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10" t="s">
        <v>952</v>
      </c>
      <c r="F314" s="10" t="s">
        <v>953</v>
      </c>
      <c r="G314" s="10" t="s">
        <v>954</v>
      </c>
      <c r="H314" s="10">
        <v>-18.410114831867801</v>
      </c>
      <c r="I314" s="10">
        <v>-87.407320710900507</v>
      </c>
      <c r="J314" s="10">
        <v>19.702532556153301</v>
      </c>
      <c r="K314" s="4">
        <f t="shared" si="67"/>
        <v>-18.410114830555557</v>
      </c>
      <c r="L314" s="4">
        <f t="shared" si="68"/>
        <v>-87.407320711111083</v>
      </c>
      <c r="M314" s="4">
        <f t="shared" si="69"/>
        <v>19.702533333333349</v>
      </c>
      <c r="N314" s="4">
        <f t="shared" si="70"/>
        <v>19.702532556153301</v>
      </c>
      <c r="O314" s="5">
        <f t="shared" si="58"/>
        <v>-18.410114831898966</v>
      </c>
      <c r="P314" s="2">
        <f t="shared" si="59"/>
        <v>7.2971241733768508E-11</v>
      </c>
      <c r="Q314" s="2">
        <f t="shared" si="60"/>
        <v>1.6927870724897702E-12</v>
      </c>
      <c r="R314" s="6">
        <f t="shared" si="61"/>
        <v>-87.407320710912302</v>
      </c>
      <c r="S314" s="2">
        <f t="shared" si="62"/>
        <v>2.2741966478212485E-12</v>
      </c>
      <c r="T314" s="2">
        <f t="shared" si="63"/>
        <v>1.349430381538593E-13</v>
      </c>
      <c r="U314" s="6">
        <f t="shared" si="64"/>
        <v>19.702532556156985</v>
      </c>
      <c r="V314" s="2">
        <f t="shared" si="65"/>
        <v>3.9445504342226605E-8</v>
      </c>
      <c r="W314" s="2">
        <f t="shared" si="66"/>
        <v>1.8698936669263454E-13</v>
      </c>
    </row>
    <row r="315" spans="1:23" x14ac:dyDescent="0.4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10" t="s">
        <v>955</v>
      </c>
      <c r="F315" s="10" t="s">
        <v>956</v>
      </c>
      <c r="G315" s="10" t="s">
        <v>957</v>
      </c>
      <c r="H315" s="10">
        <v>6.6152140244840396</v>
      </c>
      <c r="I315" s="10">
        <v>95.042914199951099</v>
      </c>
      <c r="J315" s="10">
        <v>-7.7060768186408399</v>
      </c>
      <c r="K315" s="4">
        <f t="shared" si="67"/>
        <v>6.6152140250000002</v>
      </c>
      <c r="L315" s="4">
        <f t="shared" si="68"/>
        <v>95.042914200000041</v>
      </c>
      <c r="M315" s="4">
        <f t="shared" si="69"/>
        <v>352.29392222222225</v>
      </c>
      <c r="N315" s="4">
        <f t="shared" si="70"/>
        <v>352.29392318135916</v>
      </c>
      <c r="O315" s="5">
        <f t="shared" si="58"/>
        <v>6.6152140244840121</v>
      </c>
      <c r="P315" s="2">
        <f t="shared" si="59"/>
        <v>7.800021876135858E-11</v>
      </c>
      <c r="Q315" s="2">
        <f t="shared" si="60"/>
        <v>4.1621527147568576E-15</v>
      </c>
      <c r="R315" s="6">
        <f t="shared" si="61"/>
        <v>95.042914199951127</v>
      </c>
      <c r="S315" s="2">
        <f t="shared" si="62"/>
        <v>5.146492228425933E-13</v>
      </c>
      <c r="T315" s="2">
        <f t="shared" si="63"/>
        <v>2.9904080351124832E-16</v>
      </c>
      <c r="U315" s="6">
        <f t="shared" si="64"/>
        <v>352.29392318135882</v>
      </c>
      <c r="V315" s="2">
        <f t="shared" si="65"/>
        <v>2.7225464606506361E-9</v>
      </c>
      <c r="W315" s="2">
        <f t="shared" si="66"/>
        <v>9.6811352885378E-16</v>
      </c>
    </row>
    <row r="316" spans="1:23" x14ac:dyDescent="0.45">
      <c r="A316">
        <v>76.157539999999997</v>
      </c>
      <c r="B316">
        <v>76.154849999999996</v>
      </c>
      <c r="C316">
        <v>122.24347</v>
      </c>
      <c r="D316">
        <v>28650.026600000001</v>
      </c>
      <c r="E316" s="10" t="s">
        <v>958</v>
      </c>
      <c r="F316" s="10" t="s">
        <v>959</v>
      </c>
      <c r="G316" s="10" t="s">
        <v>960</v>
      </c>
      <c r="H316" s="10">
        <v>76.018958395373403</v>
      </c>
      <c r="I316" s="10">
        <v>77.053023917154107</v>
      </c>
      <c r="J316" s="10">
        <v>123.115299624866</v>
      </c>
      <c r="K316" s="4">
        <f t="shared" si="67"/>
        <v>76.018958394444439</v>
      </c>
      <c r="L316" s="4">
        <f t="shared" si="68"/>
        <v>77.053023916666689</v>
      </c>
      <c r="M316" s="4">
        <f t="shared" si="69"/>
        <v>123.11529999999999</v>
      </c>
      <c r="N316" s="4">
        <f t="shared" si="70"/>
        <v>123.115299624866</v>
      </c>
      <c r="O316" s="5">
        <f t="shared" si="58"/>
        <v>76.018958395374128</v>
      </c>
      <c r="P316" s="2">
        <f t="shared" si="59"/>
        <v>1.2229690408270223E-11</v>
      </c>
      <c r="Q316" s="2">
        <f t="shared" si="60"/>
        <v>9.5338532094306021E-15</v>
      </c>
      <c r="R316" s="6">
        <f t="shared" si="61"/>
        <v>77.053023917148934</v>
      </c>
      <c r="S316" s="2">
        <f t="shared" si="62"/>
        <v>6.2586168620965641E-12</v>
      </c>
      <c r="T316" s="2">
        <f t="shared" si="63"/>
        <v>6.713235708821979E-14</v>
      </c>
      <c r="U316" s="6">
        <f t="shared" si="64"/>
        <v>123.11529962486094</v>
      </c>
      <c r="V316" s="2">
        <f t="shared" si="65"/>
        <v>3.0470546899256573E-9</v>
      </c>
      <c r="W316" s="2">
        <f t="shared" si="66"/>
        <v>4.1092084363413415E-14</v>
      </c>
    </row>
    <row r="317" spans="1:23" x14ac:dyDescent="0.4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10" t="s">
        <v>961</v>
      </c>
      <c r="F317" s="10" t="s">
        <v>962</v>
      </c>
      <c r="G317" s="10" t="s">
        <v>963</v>
      </c>
      <c r="H317" s="10">
        <v>-38.760318181065699</v>
      </c>
      <c r="I317" s="10">
        <v>11.928005042885699</v>
      </c>
      <c r="J317" s="10">
        <v>114.96990495787399</v>
      </c>
      <c r="K317" s="4">
        <f t="shared" si="67"/>
        <v>-38.760318180555558</v>
      </c>
      <c r="L317" s="4">
        <f t="shared" si="68"/>
        <v>11.928005041666665</v>
      </c>
      <c r="M317" s="4">
        <f t="shared" si="69"/>
        <v>114.96990555555556</v>
      </c>
      <c r="N317" s="4">
        <f t="shared" si="70"/>
        <v>114.96990495787401</v>
      </c>
      <c r="O317" s="5">
        <f t="shared" si="58"/>
        <v>-38.760318181073202</v>
      </c>
      <c r="P317" s="2">
        <f t="shared" si="59"/>
        <v>1.3355014049281696E-11</v>
      </c>
      <c r="Q317" s="2">
        <f t="shared" si="60"/>
        <v>1.9358280947476879E-13</v>
      </c>
      <c r="R317" s="6">
        <f t="shared" si="61"/>
        <v>11.92800504290541</v>
      </c>
      <c r="S317" s="2">
        <f t="shared" si="62"/>
        <v>1.0385175173765E-10</v>
      </c>
      <c r="T317" s="2">
        <f t="shared" si="63"/>
        <v>1.6524519749210887E-12</v>
      </c>
      <c r="U317" s="6">
        <f t="shared" si="64"/>
        <v>114.96990495786065</v>
      </c>
      <c r="V317" s="2">
        <f t="shared" si="65"/>
        <v>5.1987074705567412E-9</v>
      </c>
      <c r="W317" s="2">
        <f t="shared" si="66"/>
        <v>1.1618869683491909E-13</v>
      </c>
    </row>
    <row r="318" spans="1:23" x14ac:dyDescent="0.45">
      <c r="A318">
        <v>7.6002900000000002</v>
      </c>
      <c r="B318">
        <v>-18.95205</v>
      </c>
      <c r="C318">
        <v>121.41288</v>
      </c>
      <c r="D318">
        <v>8602.7864000000009</v>
      </c>
      <c r="E318" s="10" t="s">
        <v>964</v>
      </c>
      <c r="F318" s="10" t="s">
        <v>965</v>
      </c>
      <c r="G318" s="10" t="s">
        <v>966</v>
      </c>
      <c r="H318" s="10">
        <v>7.5597420122514603</v>
      </c>
      <c r="I318" s="10">
        <v>-18.885522104037001</v>
      </c>
      <c r="J318" s="10">
        <v>121.421655740167</v>
      </c>
      <c r="K318" s="4">
        <f t="shared" si="67"/>
        <v>7.5597420111111111</v>
      </c>
      <c r="L318" s="4">
        <f t="shared" si="68"/>
        <v>-18.885522102777827</v>
      </c>
      <c r="M318" s="4">
        <f t="shared" si="69"/>
        <v>121.42165555555556</v>
      </c>
      <c r="N318" s="4">
        <f t="shared" si="70"/>
        <v>121.42165574016701</v>
      </c>
      <c r="O318" s="5">
        <f t="shared" si="58"/>
        <v>7.5597420122541976</v>
      </c>
      <c r="P318" s="2">
        <f t="shared" si="59"/>
        <v>1.5120707990463195E-10</v>
      </c>
      <c r="Q318" s="2">
        <f t="shared" si="60"/>
        <v>3.6209779183992776E-13</v>
      </c>
      <c r="R318" s="6">
        <f t="shared" si="61"/>
        <v>-18.885522104041534</v>
      </c>
      <c r="S318" s="2">
        <f t="shared" si="62"/>
        <v>6.6914081278738917E-11</v>
      </c>
      <c r="T318" s="2">
        <f t="shared" si="63"/>
        <v>2.4003904309218973E-13</v>
      </c>
      <c r="U318" s="6">
        <f t="shared" si="64"/>
        <v>121.42165574016657</v>
      </c>
      <c r="V318" s="2">
        <f t="shared" si="65"/>
        <v>1.5204125662595747E-9</v>
      </c>
      <c r="W318" s="2">
        <f t="shared" si="66"/>
        <v>3.6281542488102475E-15</v>
      </c>
    </row>
    <row r="319" spans="1:23" x14ac:dyDescent="0.4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10" t="s">
        <v>967</v>
      </c>
      <c r="F319" s="10" t="s">
        <v>968</v>
      </c>
      <c r="G319" s="10" t="s">
        <v>969</v>
      </c>
      <c r="H319" s="10">
        <v>8.7836809233830699</v>
      </c>
      <c r="I319" s="10">
        <v>-6.5521976465391401</v>
      </c>
      <c r="J319" s="10">
        <v>-96.538816217685806</v>
      </c>
      <c r="K319" s="4">
        <f t="shared" si="67"/>
        <v>8.7836809222222225</v>
      </c>
      <c r="L319" s="4">
        <f t="shared" si="68"/>
        <v>-6.552197647222215</v>
      </c>
      <c r="M319" s="4">
        <f t="shared" si="69"/>
        <v>263.46118333333334</v>
      </c>
      <c r="N319" s="4">
        <f t="shared" si="70"/>
        <v>263.46118378231421</v>
      </c>
      <c r="O319" s="5">
        <f t="shared" si="58"/>
        <v>8.7836809233845763</v>
      </c>
      <c r="P319" s="2">
        <f t="shared" si="59"/>
        <v>1.3233105563413004E-10</v>
      </c>
      <c r="Q319" s="2">
        <f t="shared" si="60"/>
        <v>1.714942303745746E-13</v>
      </c>
      <c r="R319" s="6">
        <f t="shared" si="61"/>
        <v>-6.5521976465258955</v>
      </c>
      <c r="S319" s="2">
        <f t="shared" si="62"/>
        <v>1.0627265599080713E-10</v>
      </c>
      <c r="T319" s="2">
        <f t="shared" si="63"/>
        <v>2.0213853899178391E-12</v>
      </c>
      <c r="U319" s="6">
        <f t="shared" si="64"/>
        <v>263.46118378231586</v>
      </c>
      <c r="V319" s="2">
        <f t="shared" si="65"/>
        <v>1.7041695214403554E-9</v>
      </c>
      <c r="W319" s="2">
        <f t="shared" si="66"/>
        <v>6.2569336526077326E-15</v>
      </c>
    </row>
    <row r="320" spans="1:23" x14ac:dyDescent="0.45">
      <c r="A320">
        <v>-18.837409999999998</v>
      </c>
      <c r="B320">
        <v>-21.42191</v>
      </c>
      <c r="C320">
        <v>76.472800000000007</v>
      </c>
      <c r="D320">
        <v>15629.453799999999</v>
      </c>
      <c r="E320" s="10" t="s">
        <v>970</v>
      </c>
      <c r="F320" s="10" t="s">
        <v>971</v>
      </c>
      <c r="G320" s="10" t="s">
        <v>972</v>
      </c>
      <c r="H320" s="10">
        <v>-18.804326535220401</v>
      </c>
      <c r="I320" s="10">
        <v>-21.277756379121701</v>
      </c>
      <c r="J320" s="10">
        <v>76.426294509651598</v>
      </c>
      <c r="K320" s="4">
        <f t="shared" si="67"/>
        <v>-18.804326536111112</v>
      </c>
      <c r="L320" s="4">
        <f t="shared" si="68"/>
        <v>-21.277756377777791</v>
      </c>
      <c r="M320" s="4">
        <f t="shared" si="69"/>
        <v>76.426294444444466</v>
      </c>
      <c r="N320" s="4">
        <f t="shared" si="70"/>
        <v>76.426294509651598</v>
      </c>
      <c r="O320" s="5">
        <f t="shared" si="58"/>
        <v>-18.804326535220213</v>
      </c>
      <c r="P320" s="2">
        <f t="shared" si="59"/>
        <v>4.7377383958273453E-11</v>
      </c>
      <c r="Q320" s="2">
        <f t="shared" si="60"/>
        <v>1.0013324573137637E-14</v>
      </c>
      <c r="R320" s="6">
        <f t="shared" si="61"/>
        <v>-21.277756379121282</v>
      </c>
      <c r="S320" s="2">
        <f t="shared" si="62"/>
        <v>6.3140616341704273E-11</v>
      </c>
      <c r="T320" s="2">
        <f t="shared" si="63"/>
        <v>1.9702275307081205E-14</v>
      </c>
      <c r="U320" s="6">
        <f t="shared" si="64"/>
        <v>76.426294509651115</v>
      </c>
      <c r="V320" s="2">
        <f t="shared" si="65"/>
        <v>8.531965267091594E-10</v>
      </c>
      <c r="W320" s="2">
        <f t="shared" si="66"/>
        <v>6.3220265147860922E-15</v>
      </c>
    </row>
    <row r="321" spans="1:23" x14ac:dyDescent="0.4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10" t="s">
        <v>973</v>
      </c>
      <c r="F321" s="10" t="s">
        <v>974</v>
      </c>
      <c r="G321" s="10" t="s">
        <v>975</v>
      </c>
      <c r="H321" s="10">
        <v>82.139025890988293</v>
      </c>
      <c r="I321" s="10">
        <v>-144.15270974549401</v>
      </c>
      <c r="J321" s="10">
        <v>56.553606173322798</v>
      </c>
      <c r="K321" s="4">
        <f t="shared" si="67"/>
        <v>82.139025891666662</v>
      </c>
      <c r="L321" s="4">
        <f t="shared" si="68"/>
        <v>-144.15270974444445</v>
      </c>
      <c r="M321" s="4">
        <f t="shared" si="69"/>
        <v>56.553605555555578</v>
      </c>
      <c r="N321" s="4">
        <f t="shared" si="70"/>
        <v>56.553606173322805</v>
      </c>
      <c r="O321" s="5">
        <f t="shared" si="58"/>
        <v>82.139025890987909</v>
      </c>
      <c r="P321" s="2">
        <f t="shared" si="59"/>
        <v>8.2634660734521277E-12</v>
      </c>
      <c r="Q321" s="2">
        <f t="shared" si="60"/>
        <v>4.6712640325157565E-15</v>
      </c>
      <c r="R321" s="6">
        <f t="shared" si="61"/>
        <v>-144.15270974549776</v>
      </c>
      <c r="S321" s="2">
        <f t="shared" si="62"/>
        <v>7.3068938721865838E-12</v>
      </c>
      <c r="T321" s="2">
        <f t="shared" si="63"/>
        <v>2.6025633867285665E-14</v>
      </c>
      <c r="U321" s="6">
        <f t="shared" si="64"/>
        <v>56.553606173319224</v>
      </c>
      <c r="V321" s="2">
        <f t="shared" si="65"/>
        <v>1.0923505944339355E-8</v>
      </c>
      <c r="W321" s="2">
        <f t="shared" si="66"/>
        <v>6.332284765812478E-14</v>
      </c>
    </row>
    <row r="322" spans="1:23" x14ac:dyDescent="0.4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10" t="s">
        <v>976</v>
      </c>
      <c r="F322" s="10" t="s">
        <v>977</v>
      </c>
      <c r="G322" s="10" t="s">
        <v>978</v>
      </c>
      <c r="H322" s="10">
        <v>-73.628196250429696</v>
      </c>
      <c r="I322" s="10">
        <v>64.761452423738106</v>
      </c>
      <c r="J322" s="10">
        <v>-139.90917138532799</v>
      </c>
      <c r="K322" s="4">
        <f t="shared" si="67"/>
        <v>-73.628196250000002</v>
      </c>
      <c r="L322" s="4">
        <f t="shared" si="68"/>
        <v>64.761452425000016</v>
      </c>
      <c r="M322" s="4">
        <f t="shared" si="69"/>
        <v>220.09082777777778</v>
      </c>
      <c r="N322" s="4">
        <f t="shared" si="70"/>
        <v>220.09082861467201</v>
      </c>
      <c r="O322" s="5">
        <f t="shared" si="58"/>
        <v>-73.62819625042944</v>
      </c>
      <c r="P322" s="2">
        <f t="shared" si="59"/>
        <v>5.8325185256550316E-12</v>
      </c>
      <c r="Q322" s="2">
        <f t="shared" si="60"/>
        <v>3.4741498216743729E-15</v>
      </c>
      <c r="R322" s="6">
        <f t="shared" si="61"/>
        <v>64.761452423738604</v>
      </c>
      <c r="S322" s="2">
        <f t="shared" si="62"/>
        <v>1.9477826094172722E-11</v>
      </c>
      <c r="T322" s="2">
        <f t="shared" si="63"/>
        <v>7.6801846842112677E-15</v>
      </c>
      <c r="U322" s="6">
        <f t="shared" si="64"/>
        <v>220.09082861467158</v>
      </c>
      <c r="V322" s="2">
        <f t="shared" si="65"/>
        <v>3.802492872987158E-9</v>
      </c>
      <c r="W322" s="2">
        <f t="shared" si="66"/>
        <v>1.9370441019260162E-15</v>
      </c>
    </row>
    <row r="323" spans="1:23" x14ac:dyDescent="0.45">
      <c r="A323">
        <v>74.276669999999996</v>
      </c>
      <c r="B323">
        <v>11.632849999999999</v>
      </c>
      <c r="C323">
        <v>110.60079</v>
      </c>
      <c r="D323">
        <v>14930.198</v>
      </c>
      <c r="E323" s="10" t="s">
        <v>979</v>
      </c>
      <c r="F323" s="10" t="s">
        <v>980</v>
      </c>
      <c r="G323" s="10" t="s">
        <v>981</v>
      </c>
      <c r="H323" s="10">
        <v>74.229118062114196</v>
      </c>
      <c r="I323" s="10">
        <v>12.0933334036741</v>
      </c>
      <c r="J323" s="10">
        <v>111.04399119005301</v>
      </c>
      <c r="K323" s="4">
        <f t="shared" si="67"/>
        <v>74.229118061111109</v>
      </c>
      <c r="L323" s="4">
        <f t="shared" si="68"/>
        <v>12.09333340277783</v>
      </c>
      <c r="M323" s="4">
        <f t="shared" si="69"/>
        <v>111.04399166666667</v>
      </c>
      <c r="N323" s="4">
        <f t="shared" si="70"/>
        <v>111.04399119005302</v>
      </c>
      <c r="O323" s="5">
        <f t="shared" si="58"/>
        <v>74.229118062114409</v>
      </c>
      <c r="P323" s="2">
        <f t="shared" si="59"/>
        <v>1.3516266661311841E-11</v>
      </c>
      <c r="Q323" s="2">
        <f t="shared" si="60"/>
        <v>2.8716873686907812E-15</v>
      </c>
      <c r="R323" s="6">
        <f t="shared" si="61"/>
        <v>12.093333403671492</v>
      </c>
      <c r="S323" s="2">
        <f t="shared" si="62"/>
        <v>7.3897080606252063E-11</v>
      </c>
      <c r="T323" s="2">
        <f t="shared" si="63"/>
        <v>2.1563052577772475E-13</v>
      </c>
      <c r="U323" s="6">
        <f t="shared" si="64"/>
        <v>111.04399119005082</v>
      </c>
      <c r="V323" s="2">
        <f t="shared" si="65"/>
        <v>4.2921354447826135E-9</v>
      </c>
      <c r="W323" s="2">
        <f t="shared" si="66"/>
        <v>1.9836124919955326E-14</v>
      </c>
    </row>
    <row r="324" spans="1:23" x14ac:dyDescent="0.45">
      <c r="A324">
        <v>87.329520000000002</v>
      </c>
      <c r="B324">
        <v>-60.50273</v>
      </c>
      <c r="C324">
        <v>262.91134</v>
      </c>
      <c r="D324">
        <v>4443.6885000000002</v>
      </c>
      <c r="E324" s="10" t="s">
        <v>982</v>
      </c>
      <c r="F324" s="10" t="s">
        <v>983</v>
      </c>
      <c r="G324" s="10" t="s">
        <v>984</v>
      </c>
      <c r="H324" s="10">
        <v>87.324319198258806</v>
      </c>
      <c r="I324" s="10">
        <v>-61.348489007068501</v>
      </c>
      <c r="J324" s="10">
        <v>-97.933498768392099</v>
      </c>
      <c r="K324" s="4">
        <f t="shared" si="67"/>
        <v>87.324319197222223</v>
      </c>
      <c r="L324" s="4">
        <f t="shared" si="68"/>
        <v>-61.348489008333331</v>
      </c>
      <c r="M324" s="4">
        <f t="shared" si="69"/>
        <v>262.06650000000002</v>
      </c>
      <c r="N324" s="4">
        <f t="shared" si="70"/>
        <v>262.0665012316079</v>
      </c>
      <c r="O324" s="5">
        <f t="shared" si="58"/>
        <v>87.324319198258735</v>
      </c>
      <c r="P324" s="2">
        <f t="shared" si="59"/>
        <v>1.1869675375040027E-11</v>
      </c>
      <c r="Q324" s="2">
        <f t="shared" si="60"/>
        <v>8.136825368737235E-16</v>
      </c>
      <c r="R324" s="6">
        <f t="shared" si="61"/>
        <v>-61.348489007061382</v>
      </c>
      <c r="S324" s="2">
        <f t="shared" si="62"/>
        <v>2.0733186379516804E-11</v>
      </c>
      <c r="T324" s="2">
        <f t="shared" si="63"/>
        <v>1.1605238087438286E-13</v>
      </c>
      <c r="U324" s="6">
        <f t="shared" si="64"/>
        <v>262.06650123161478</v>
      </c>
      <c r="V324" s="2">
        <f t="shared" si="65"/>
        <v>4.6996268519619244E-9</v>
      </c>
      <c r="W324" s="2">
        <f t="shared" si="66"/>
        <v>2.6245451630916825E-14</v>
      </c>
    </row>
    <row r="325" spans="1:23" x14ac:dyDescent="0.4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10" t="s">
        <v>985</v>
      </c>
      <c r="F325" s="10" t="s">
        <v>986</v>
      </c>
      <c r="G325" s="10" t="s">
        <v>987</v>
      </c>
      <c r="H325" s="10">
        <v>7.2074681217868797</v>
      </c>
      <c r="I325" s="10">
        <v>-156.585740167219</v>
      </c>
      <c r="J325" s="10">
        <v>159.33096424611401</v>
      </c>
      <c r="K325" s="4">
        <f t="shared" si="67"/>
        <v>7.2074681222222221</v>
      </c>
      <c r="L325" s="4">
        <f t="shared" si="68"/>
        <v>-156.58574016666665</v>
      </c>
      <c r="M325" s="4">
        <f t="shared" si="69"/>
        <v>159.33096388888885</v>
      </c>
      <c r="N325" s="4">
        <f t="shared" si="70"/>
        <v>159.33096424611404</v>
      </c>
      <c r="O325" s="5">
        <f t="shared" ref="O325:O388" si="71">vincentyDirLat(A325, $B325, $C325, $D325)</f>
        <v>7.2074681218391037</v>
      </c>
      <c r="P325" s="2">
        <f t="shared" ref="P325:P388" si="72">ABS((K325-O325)/K325)</f>
        <v>5.3155757247356957E-11</v>
      </c>
      <c r="Q325" s="2">
        <f t="shared" ref="Q325:Q388" si="73">ABS((H325-O325)/H325)</f>
        <v>7.2458180900008279E-12</v>
      </c>
      <c r="R325" s="6">
        <f t="shared" ref="R325:R388" si="74">VincentyDirLon($A325, $B325, $C325, $D325)</f>
        <v>-156.58574016723873</v>
      </c>
      <c r="S325" s="2">
        <f t="shared" ref="S325:S388" si="75">ABS((L325-R325)/L325)</f>
        <v>3.6534116504240424E-12</v>
      </c>
      <c r="T325" s="2">
        <f t="shared" ref="T325:T388" si="76">ABS((I325-R325)/I325)</f>
        <v>1.2596719422621929E-13</v>
      </c>
      <c r="U325" s="6">
        <f t="shared" ref="U325:U388" si="77">VincentyDirRevAzimuth($A325, $B325, $C325, $D325)</f>
        <v>159.33096424611171</v>
      </c>
      <c r="V325" s="2">
        <f t="shared" ref="V325:V388" si="78">ABS((M325-U325)/M325)</f>
        <v>2.2420178135749791E-9</v>
      </c>
      <c r="W325" s="2">
        <f t="shared" ref="W325:W388" si="79">ABS((N325-U325)/N325)</f>
        <v>1.4627289706808951E-14</v>
      </c>
    </row>
    <row r="326" spans="1:23" x14ac:dyDescent="0.45">
      <c r="A326">
        <v>-75.23912</v>
      </c>
      <c r="B326">
        <v>149.93953999999999</v>
      </c>
      <c r="C326">
        <v>246.50832</v>
      </c>
      <c r="D326">
        <v>15120.408799999999</v>
      </c>
      <c r="E326" s="10" t="s">
        <v>988</v>
      </c>
      <c r="F326" s="10" t="s">
        <v>989</v>
      </c>
      <c r="G326" s="10" t="s">
        <v>990</v>
      </c>
      <c r="H326" s="10">
        <v>-75.292604497627295</v>
      </c>
      <c r="I326" s="10">
        <v>149.450409344619</v>
      </c>
      <c r="J326" s="10">
        <v>-113.018633489842</v>
      </c>
      <c r="K326" s="4">
        <f t="shared" si="67"/>
        <v>-75.292604497222229</v>
      </c>
      <c r="L326" s="4">
        <f t="shared" si="68"/>
        <v>149.45040934444444</v>
      </c>
      <c r="M326" s="4">
        <f t="shared" si="69"/>
        <v>246.98136666666667</v>
      </c>
      <c r="N326" s="4">
        <f t="shared" si="70"/>
        <v>246.98136651015801</v>
      </c>
      <c r="O326" s="5">
        <f t="shared" si="71"/>
        <v>-75.292604497626883</v>
      </c>
      <c r="P326" s="2">
        <f t="shared" si="72"/>
        <v>5.3744201136023386E-12</v>
      </c>
      <c r="Q326" s="2">
        <f t="shared" si="73"/>
        <v>5.4735095098728476E-15</v>
      </c>
      <c r="R326" s="6">
        <f t="shared" si="74"/>
        <v>149.45040934462227</v>
      </c>
      <c r="S326" s="2">
        <f t="shared" si="75"/>
        <v>1.1899240469537636E-12</v>
      </c>
      <c r="T326" s="2">
        <f t="shared" si="76"/>
        <v>2.1870107943027483E-14</v>
      </c>
      <c r="U326" s="6">
        <f t="shared" si="77"/>
        <v>246.98136651015466</v>
      </c>
      <c r="V326" s="2">
        <f t="shared" si="78"/>
        <v>6.3369969121300201E-10</v>
      </c>
      <c r="W326" s="2">
        <f t="shared" si="79"/>
        <v>1.3579007032701542E-14</v>
      </c>
    </row>
    <row r="327" spans="1:23" x14ac:dyDescent="0.45">
      <c r="A327">
        <v>71.338549999999998</v>
      </c>
      <c r="B327">
        <v>72.222679999999997</v>
      </c>
      <c r="C327">
        <v>98.245189999999994</v>
      </c>
      <c r="D327">
        <v>25341.7575</v>
      </c>
      <c r="E327" s="10" t="s">
        <v>991</v>
      </c>
      <c r="F327" s="10" t="s">
        <v>992</v>
      </c>
      <c r="G327" s="10" t="s">
        <v>993</v>
      </c>
      <c r="H327" s="10">
        <v>71.304676453523598</v>
      </c>
      <c r="I327" s="10">
        <v>72.923454211740705</v>
      </c>
      <c r="J327" s="10">
        <v>98.909056120126294</v>
      </c>
      <c r="K327" s="4">
        <f t="shared" si="67"/>
        <v>71.304676452777784</v>
      </c>
      <c r="L327" s="4">
        <f t="shared" si="68"/>
        <v>72.923454211111107</v>
      </c>
      <c r="M327" s="4">
        <f t="shared" si="69"/>
        <v>98.90905555555554</v>
      </c>
      <c r="N327" s="4">
        <f t="shared" si="70"/>
        <v>98.909056120126309</v>
      </c>
      <c r="O327" s="5">
        <f t="shared" si="71"/>
        <v>71.304676453523641</v>
      </c>
      <c r="P327" s="2">
        <f t="shared" si="72"/>
        <v>1.0460137354684276E-11</v>
      </c>
      <c r="Q327" s="2">
        <f t="shared" si="73"/>
        <v>5.9789296110745165E-16</v>
      </c>
      <c r="R327" s="6">
        <f t="shared" si="74"/>
        <v>72.92345421173691</v>
      </c>
      <c r="S327" s="2">
        <f t="shared" si="75"/>
        <v>8.5816479192232096E-12</v>
      </c>
      <c r="T327" s="2">
        <f t="shared" si="76"/>
        <v>5.2031246324972515E-14</v>
      </c>
      <c r="U327" s="6">
        <f t="shared" si="77"/>
        <v>98.909056120123068</v>
      </c>
      <c r="V327" s="2">
        <f t="shared" si="78"/>
        <v>5.7079458049197872E-9</v>
      </c>
      <c r="W327" s="2">
        <f t="shared" si="79"/>
        <v>3.2758121472021172E-14</v>
      </c>
    </row>
    <row r="328" spans="1:23" x14ac:dyDescent="0.4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10" t="s">
        <v>994</v>
      </c>
      <c r="F328" s="10" t="s">
        <v>995</v>
      </c>
      <c r="G328" s="10" t="s">
        <v>996</v>
      </c>
      <c r="H328" s="10">
        <v>-83.399939396546699</v>
      </c>
      <c r="I328" s="10">
        <v>39.493235755062699</v>
      </c>
      <c r="J328" s="10">
        <v>-179.01758868752199</v>
      </c>
      <c r="K328" s="4">
        <f t="shared" si="67"/>
        <v>-83.399939397222226</v>
      </c>
      <c r="L328" s="4">
        <f t="shared" si="68"/>
        <v>39.493235755555588</v>
      </c>
      <c r="M328" s="4">
        <f t="shared" si="69"/>
        <v>180.98241111111111</v>
      </c>
      <c r="N328" s="4">
        <f t="shared" si="70"/>
        <v>180.98241131247801</v>
      </c>
      <c r="O328" s="5">
        <f t="shared" si="71"/>
        <v>-83.39993939654633</v>
      </c>
      <c r="P328" s="2">
        <f t="shared" si="72"/>
        <v>8.1042825312526495E-12</v>
      </c>
      <c r="Q328" s="2">
        <f t="shared" si="73"/>
        <v>4.430245696444128E-15</v>
      </c>
      <c r="R328" s="6">
        <f t="shared" si="74"/>
        <v>39.493235755062756</v>
      </c>
      <c r="S328" s="2">
        <f t="shared" si="75"/>
        <v>1.2478907643162103E-11</v>
      </c>
      <c r="T328" s="2">
        <f t="shared" si="76"/>
        <v>1.4393203740851032E-15</v>
      </c>
      <c r="U328" s="6">
        <f t="shared" si="77"/>
        <v>180.98241131247792</v>
      </c>
      <c r="V328" s="2">
        <f t="shared" si="78"/>
        <v>1.1126319696943177E-9</v>
      </c>
      <c r="W328" s="2">
        <f t="shared" si="79"/>
        <v>4.7112383834911001E-16</v>
      </c>
    </row>
    <row r="329" spans="1:23" x14ac:dyDescent="0.4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10" t="s">
        <v>997</v>
      </c>
      <c r="F329" s="10" t="s">
        <v>998</v>
      </c>
      <c r="G329" s="10" t="s">
        <v>999</v>
      </c>
      <c r="H329" s="10">
        <v>-8.4196369576675405</v>
      </c>
      <c r="I329" s="10">
        <v>172.948281908551</v>
      </c>
      <c r="J329" s="10">
        <v>43.140464581795499</v>
      </c>
      <c r="K329" s="4">
        <f t="shared" si="67"/>
        <v>-8.4196369583333333</v>
      </c>
      <c r="L329" s="4">
        <f t="shared" si="68"/>
        <v>172.94828190833334</v>
      </c>
      <c r="M329" s="4">
        <f t="shared" si="69"/>
        <v>43.140463888888917</v>
      </c>
      <c r="N329" s="4">
        <f t="shared" si="70"/>
        <v>43.140464581795527</v>
      </c>
      <c r="O329" s="5">
        <f t="shared" si="71"/>
        <v>-8.4196369576942374</v>
      </c>
      <c r="P329" s="2">
        <f t="shared" si="72"/>
        <v>7.5905397166802752E-11</v>
      </c>
      <c r="Q329" s="2">
        <f t="shared" si="73"/>
        <v>3.1707859939298492E-12</v>
      </c>
      <c r="R329" s="6">
        <f t="shared" si="74"/>
        <v>172.94828190852618</v>
      </c>
      <c r="S329" s="2">
        <f t="shared" si="75"/>
        <v>1.1150229210574154E-12</v>
      </c>
      <c r="T329" s="2">
        <f t="shared" si="76"/>
        <v>1.4346573472098725E-13</v>
      </c>
      <c r="U329" s="6">
        <f t="shared" si="77"/>
        <v>43.140464581799179</v>
      </c>
      <c r="V329" s="2">
        <f t="shared" si="78"/>
        <v>1.6061724887462525E-8</v>
      </c>
      <c r="W329" s="2">
        <f t="shared" si="79"/>
        <v>8.4658097616966118E-14</v>
      </c>
    </row>
    <row r="330" spans="1:23" x14ac:dyDescent="0.45">
      <c r="A330">
        <v>16.637</v>
      </c>
      <c r="B330">
        <v>15.36511</v>
      </c>
      <c r="C330">
        <v>13.22964</v>
      </c>
      <c r="D330">
        <v>19129.257399999999</v>
      </c>
      <c r="E330" s="10" t="s">
        <v>1000</v>
      </c>
      <c r="F330" s="10" t="s">
        <v>1001</v>
      </c>
      <c r="G330" s="10" t="s">
        <v>1002</v>
      </c>
      <c r="H330" s="10">
        <v>16.805263838178799</v>
      </c>
      <c r="I330" s="10">
        <v>15.4061794902314</v>
      </c>
      <c r="J330" s="10">
        <v>13.2414562709554</v>
      </c>
      <c r="K330" s="4">
        <f t="shared" si="67"/>
        <v>16.805263838888887</v>
      </c>
      <c r="L330" s="4">
        <f t="shared" si="68"/>
        <v>15.406179488888938</v>
      </c>
      <c r="M330" s="4">
        <f t="shared" si="69"/>
        <v>13.241455555555547</v>
      </c>
      <c r="N330" s="4">
        <f t="shared" si="70"/>
        <v>13.241456270955382</v>
      </c>
      <c r="O330" s="5">
        <f t="shared" si="71"/>
        <v>16.805263838179428</v>
      </c>
      <c r="P330" s="2">
        <f t="shared" si="72"/>
        <v>4.2216484364042766E-11</v>
      </c>
      <c r="Q330" s="2">
        <f t="shared" si="73"/>
        <v>3.7418652108221558E-14</v>
      </c>
      <c r="R330" s="6">
        <f t="shared" si="74"/>
        <v>15.406179490231493</v>
      </c>
      <c r="S330" s="2">
        <f t="shared" si="75"/>
        <v>8.714389657574845E-11</v>
      </c>
      <c r="T330" s="2">
        <f t="shared" si="76"/>
        <v>5.9956821681444414E-15</v>
      </c>
      <c r="U330" s="6">
        <f t="shared" si="77"/>
        <v>13.241456270955483</v>
      </c>
      <c r="V330" s="2">
        <f t="shared" si="78"/>
        <v>5.4027288285817521E-8</v>
      </c>
      <c r="W330" s="2">
        <f t="shared" si="79"/>
        <v>7.6466166389800591E-15</v>
      </c>
    </row>
    <row r="331" spans="1:23" x14ac:dyDescent="0.45">
      <c r="A331">
        <v>37.150179999999999</v>
      </c>
      <c r="B331">
        <v>-8.9908400000000004</v>
      </c>
      <c r="C331">
        <v>315.87772999999999</v>
      </c>
      <c r="D331">
        <v>8139.16</v>
      </c>
      <c r="E331" s="10" t="s">
        <v>1003</v>
      </c>
      <c r="F331" s="10" t="s">
        <v>1004</v>
      </c>
      <c r="G331" s="10" t="s">
        <v>1005</v>
      </c>
      <c r="H331" s="10">
        <v>37.202809174661397</v>
      </c>
      <c r="I331" s="10">
        <v>-9.0546691808087392</v>
      </c>
      <c r="J331" s="10">
        <v>-44.160840211885798</v>
      </c>
      <c r="K331" s="4">
        <f t="shared" si="67"/>
        <v>37.202809174999999</v>
      </c>
      <c r="L331" s="4">
        <f t="shared" si="68"/>
        <v>-9.0546691805556065</v>
      </c>
      <c r="M331" s="4">
        <f t="shared" si="69"/>
        <v>315.83916111111114</v>
      </c>
      <c r="N331" s="4">
        <f t="shared" si="70"/>
        <v>315.83915978811422</v>
      </c>
      <c r="O331" s="5">
        <f t="shared" si="71"/>
        <v>37.202809174661638</v>
      </c>
      <c r="P331" s="2">
        <f t="shared" si="72"/>
        <v>9.0950242272654867E-12</v>
      </c>
      <c r="Q331" s="2">
        <f t="shared" si="73"/>
        <v>6.4937174239781812E-15</v>
      </c>
      <c r="R331" s="6">
        <f t="shared" si="74"/>
        <v>-9.0546691808088795</v>
      </c>
      <c r="S331" s="2">
        <f t="shared" si="75"/>
        <v>2.7971530832465659E-11</v>
      </c>
      <c r="T331" s="2">
        <f t="shared" si="76"/>
        <v>1.5498323297117486E-14</v>
      </c>
      <c r="U331" s="6">
        <f t="shared" si="77"/>
        <v>315.83915978811365</v>
      </c>
      <c r="V331" s="2">
        <f t="shared" si="78"/>
        <v>4.1888329694812722E-9</v>
      </c>
      <c r="W331" s="2">
        <f t="shared" si="79"/>
        <v>1.7997584244760001E-15</v>
      </c>
    </row>
    <row r="332" spans="1:23" x14ac:dyDescent="0.45">
      <c r="A332">
        <v>-32.96116</v>
      </c>
      <c r="B332">
        <v>166.1567</v>
      </c>
      <c r="C332">
        <v>34.893540000000002</v>
      </c>
      <c r="D332">
        <v>10194.331099999999</v>
      </c>
      <c r="E332" s="10" t="s">
        <v>1006</v>
      </c>
      <c r="F332" s="10" t="s">
        <v>1007</v>
      </c>
      <c r="G332" s="10" t="s">
        <v>1008</v>
      </c>
      <c r="H332" s="10">
        <v>-32.885749284969002</v>
      </c>
      <c r="I332" s="10">
        <v>166.21902215287901</v>
      </c>
      <c r="J332" s="10">
        <v>34.859666771419299</v>
      </c>
      <c r="K332" s="4">
        <f t="shared" si="67"/>
        <v>-32.885749286111114</v>
      </c>
      <c r="L332" s="4">
        <f t="shared" si="68"/>
        <v>166.21902215277782</v>
      </c>
      <c r="M332" s="4">
        <f t="shared" si="69"/>
        <v>34.859666666666669</v>
      </c>
      <c r="N332" s="4">
        <f t="shared" si="70"/>
        <v>34.859666771419313</v>
      </c>
      <c r="O332" s="5">
        <f t="shared" si="71"/>
        <v>-32.885749284970807</v>
      </c>
      <c r="P332" s="2">
        <f t="shared" si="72"/>
        <v>3.4674818996410512E-11</v>
      </c>
      <c r="Q332" s="2">
        <f t="shared" si="73"/>
        <v>5.4880262365059128E-14</v>
      </c>
      <c r="R332" s="6">
        <f t="shared" si="74"/>
        <v>166.21902215287759</v>
      </c>
      <c r="S332" s="2">
        <f t="shared" si="75"/>
        <v>6.0017318600890888E-13</v>
      </c>
      <c r="T332" s="2">
        <f t="shared" si="76"/>
        <v>8.5494755841672858E-15</v>
      </c>
      <c r="U332" s="6">
        <f t="shared" si="77"/>
        <v>34.859666771420137</v>
      </c>
      <c r="V332" s="2">
        <f t="shared" si="78"/>
        <v>3.0050048706336429E-9</v>
      </c>
      <c r="W332" s="2">
        <f t="shared" si="79"/>
        <v>2.3644218370942209E-14</v>
      </c>
    </row>
    <row r="333" spans="1:23" x14ac:dyDescent="0.45">
      <c r="A333">
        <v>-8.6792499999999997</v>
      </c>
      <c r="B333">
        <v>-127.74823000000001</v>
      </c>
      <c r="C333">
        <v>113.39433</v>
      </c>
      <c r="D333">
        <v>10382.603300000001</v>
      </c>
      <c r="E333" s="10" t="s">
        <v>1009</v>
      </c>
      <c r="F333" s="10" t="s">
        <v>1010</v>
      </c>
      <c r="G333" s="10" t="s">
        <v>1011</v>
      </c>
      <c r="H333" s="10">
        <v>-8.7165141050796304</v>
      </c>
      <c r="I333" s="10">
        <v>-127.66163516316399</v>
      </c>
      <c r="J333" s="10">
        <v>113.381234754974</v>
      </c>
      <c r="K333" s="4">
        <f t="shared" si="67"/>
        <v>-8.7165141055555555</v>
      </c>
      <c r="L333" s="4">
        <f t="shared" si="68"/>
        <v>-127.66163516388889</v>
      </c>
      <c r="M333" s="4">
        <f t="shared" si="69"/>
        <v>113.38123611111109</v>
      </c>
      <c r="N333" s="4">
        <f t="shared" si="70"/>
        <v>113.381234754974</v>
      </c>
      <c r="O333" s="5">
        <f t="shared" si="71"/>
        <v>-8.7165141050794936</v>
      </c>
      <c r="P333" s="2">
        <f t="shared" si="72"/>
        <v>5.4616082855760544E-11</v>
      </c>
      <c r="Q333" s="2">
        <f t="shared" si="73"/>
        <v>1.5691992806402936E-14</v>
      </c>
      <c r="R333" s="6">
        <f t="shared" si="74"/>
        <v>-127.66163516316487</v>
      </c>
      <c r="S333" s="2">
        <f t="shared" si="75"/>
        <v>5.6713563562039557E-12</v>
      </c>
      <c r="T333" s="2">
        <f t="shared" si="76"/>
        <v>6.9016270331836752E-15</v>
      </c>
      <c r="U333" s="6">
        <f t="shared" si="77"/>
        <v>113.38123475497358</v>
      </c>
      <c r="V333" s="2">
        <f t="shared" si="78"/>
        <v>1.196086375016409E-8</v>
      </c>
      <c r="W333" s="2">
        <f t="shared" si="79"/>
        <v>3.7601075907965215E-15</v>
      </c>
    </row>
    <row r="334" spans="1:23" x14ac:dyDescent="0.4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10" t="s">
        <v>1012</v>
      </c>
      <c r="F334" s="10" t="s">
        <v>1013</v>
      </c>
      <c r="G334" s="10" t="s">
        <v>1014</v>
      </c>
      <c r="H334" s="10">
        <v>-83.566078328879897</v>
      </c>
      <c r="I334" s="10">
        <v>3.0426162772316498</v>
      </c>
      <c r="J334" s="10">
        <v>61.066316955029301</v>
      </c>
      <c r="K334" s="4">
        <f t="shared" si="67"/>
        <v>-83.566078327777774</v>
      </c>
      <c r="L334" s="4">
        <f t="shared" si="68"/>
        <v>3.0426162777778245</v>
      </c>
      <c r="M334" s="4">
        <f t="shared" si="69"/>
        <v>61.066316666666694</v>
      </c>
      <c r="N334" s="4">
        <f t="shared" si="70"/>
        <v>61.066316955029322</v>
      </c>
      <c r="O334" s="5">
        <f t="shared" si="71"/>
        <v>-83.566078328879883</v>
      </c>
      <c r="P334" s="2">
        <f t="shared" si="72"/>
        <v>1.318846891749412E-11</v>
      </c>
      <c r="Q334" s="2">
        <f t="shared" si="73"/>
        <v>1.7005530233540736E-16</v>
      </c>
      <c r="R334" s="6">
        <f t="shared" si="74"/>
        <v>3.0426162772295684</v>
      </c>
      <c r="S334" s="2">
        <f t="shared" si="75"/>
        <v>1.8019232697346307E-10</v>
      </c>
      <c r="T334" s="2">
        <f t="shared" si="76"/>
        <v>6.8409747957473787E-13</v>
      </c>
      <c r="U334" s="6">
        <f t="shared" si="77"/>
        <v>61.066316955031226</v>
      </c>
      <c r="V334" s="2">
        <f t="shared" si="78"/>
        <v>4.722153684603623E-9</v>
      </c>
      <c r="W334" s="2">
        <f t="shared" si="79"/>
        <v>3.1183385977566104E-14</v>
      </c>
    </row>
    <row r="335" spans="1:23" x14ac:dyDescent="0.45">
      <c r="A335">
        <v>-10.0052</v>
      </c>
      <c r="B335">
        <v>39.578560000000003</v>
      </c>
      <c r="C335">
        <v>129.38193000000001</v>
      </c>
      <c r="D335">
        <v>415.12889999999999</v>
      </c>
      <c r="E335" s="10" t="s">
        <v>1015</v>
      </c>
      <c r="F335" s="10" t="s">
        <v>1016</v>
      </c>
      <c r="G335" s="10" t="s">
        <v>1017</v>
      </c>
      <c r="H335" s="10">
        <v>-10.007581318096401</v>
      </c>
      <c r="I335" s="10">
        <v>39.581486636495796</v>
      </c>
      <c r="J335" s="10">
        <v>129.381421473437</v>
      </c>
      <c r="K335" s="4">
        <f t="shared" si="67"/>
        <v>-10.007581319444444</v>
      </c>
      <c r="L335" s="4">
        <f t="shared" si="68"/>
        <v>39.581486636111094</v>
      </c>
      <c r="M335" s="4">
        <f t="shared" si="69"/>
        <v>129.38142222222223</v>
      </c>
      <c r="N335" s="4">
        <f t="shared" si="70"/>
        <v>129.381421473437</v>
      </c>
      <c r="O335" s="5">
        <f t="shared" si="71"/>
        <v>-10.007581318095903</v>
      </c>
      <c r="P335" s="2">
        <f t="shared" si="72"/>
        <v>1.3475192371764766E-10</v>
      </c>
      <c r="Q335" s="2">
        <f t="shared" si="73"/>
        <v>4.9700312115643102E-14</v>
      </c>
      <c r="R335" s="6">
        <f t="shared" si="74"/>
        <v>39.581486636495114</v>
      </c>
      <c r="S335" s="2">
        <f t="shared" si="75"/>
        <v>9.7020086814665925E-12</v>
      </c>
      <c r="T335" s="2">
        <f t="shared" si="76"/>
        <v>1.7233335185059771E-14</v>
      </c>
      <c r="U335" s="6">
        <f t="shared" si="77"/>
        <v>129.38142147343677</v>
      </c>
      <c r="V335" s="2">
        <f t="shared" si="78"/>
        <v>5.7874263579453297E-9</v>
      </c>
      <c r="W335" s="2">
        <f t="shared" si="79"/>
        <v>1.7573904572528878E-15</v>
      </c>
    </row>
    <row r="336" spans="1:23" x14ac:dyDescent="0.4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10" t="s">
        <v>1018</v>
      </c>
      <c r="F336" s="10" t="s">
        <v>1019</v>
      </c>
      <c r="G336" s="10" t="s">
        <v>1020</v>
      </c>
      <c r="H336" s="10">
        <v>-37.842683522073003</v>
      </c>
      <c r="I336" s="10">
        <v>167.651319030313</v>
      </c>
      <c r="J336" s="10">
        <v>147.43672369854599</v>
      </c>
      <c r="K336" s="4">
        <f t="shared" si="67"/>
        <v>-37.842683522222224</v>
      </c>
      <c r="L336" s="4">
        <f t="shared" si="68"/>
        <v>167.65131903055556</v>
      </c>
      <c r="M336" s="4">
        <f t="shared" si="69"/>
        <v>147.43672500000002</v>
      </c>
      <c r="N336" s="4">
        <f t="shared" si="70"/>
        <v>147.43672369854596</v>
      </c>
      <c r="O336" s="5">
        <f t="shared" si="71"/>
        <v>-37.842683522073486</v>
      </c>
      <c r="P336" s="2">
        <f t="shared" si="72"/>
        <v>3.9304271534897609E-12</v>
      </c>
      <c r="Q336" s="2">
        <f t="shared" si="73"/>
        <v>1.2767832916369256E-14</v>
      </c>
      <c r="R336" s="6">
        <f t="shared" si="74"/>
        <v>167.65131903031332</v>
      </c>
      <c r="S336" s="2">
        <f t="shared" si="75"/>
        <v>1.4448930725751334E-12</v>
      </c>
      <c r="T336" s="2">
        <f t="shared" si="76"/>
        <v>1.8648156515721534E-15</v>
      </c>
      <c r="U336" s="6">
        <f t="shared" si="77"/>
        <v>147.43672369854588</v>
      </c>
      <c r="V336" s="2">
        <f t="shared" si="78"/>
        <v>8.8272046737750503E-9</v>
      </c>
      <c r="W336" s="2">
        <f t="shared" si="79"/>
        <v>5.7831675957170581E-16</v>
      </c>
    </row>
    <row r="337" spans="1:23" x14ac:dyDescent="0.45">
      <c r="A337">
        <v>71.529849999999996</v>
      </c>
      <c r="B337">
        <v>91.221180000000004</v>
      </c>
      <c r="C337">
        <v>169.45003</v>
      </c>
      <c r="D337">
        <v>6650.0622000000003</v>
      </c>
      <c r="E337" s="10" t="s">
        <v>1021</v>
      </c>
      <c r="F337" s="10" t="s">
        <v>1022</v>
      </c>
      <c r="G337" s="10" t="s">
        <v>1023</v>
      </c>
      <c r="H337" s="10">
        <v>71.471255544359494</v>
      </c>
      <c r="I337" s="10">
        <v>91.255495337589906</v>
      </c>
      <c r="J337" s="10">
        <v>169.48257215577399</v>
      </c>
      <c r="K337" s="4">
        <f t="shared" si="67"/>
        <v>71.471255544444446</v>
      </c>
      <c r="L337" s="4">
        <f t="shared" si="68"/>
        <v>91.255495338888863</v>
      </c>
      <c r="M337" s="4">
        <f t="shared" si="69"/>
        <v>169.48257222222219</v>
      </c>
      <c r="N337" s="4">
        <f t="shared" si="70"/>
        <v>169.48257215577405</v>
      </c>
      <c r="O337" s="5">
        <f t="shared" si="71"/>
        <v>71.471255544359465</v>
      </c>
      <c r="P337" s="2">
        <f t="shared" si="72"/>
        <v>1.1890222236835136E-12</v>
      </c>
      <c r="Q337" s="2">
        <f t="shared" si="73"/>
        <v>3.9766629554679828E-16</v>
      </c>
      <c r="R337" s="6">
        <f t="shared" si="74"/>
        <v>91.255495337589835</v>
      </c>
      <c r="S337" s="2">
        <f t="shared" si="75"/>
        <v>1.4235070836525771E-11</v>
      </c>
      <c r="T337" s="2">
        <f t="shared" si="76"/>
        <v>7.7863007935195972E-16</v>
      </c>
      <c r="U337" s="6">
        <f t="shared" si="77"/>
        <v>169.48257215577345</v>
      </c>
      <c r="V337" s="2">
        <f t="shared" si="78"/>
        <v>3.9206824420656537E-10</v>
      </c>
      <c r="W337" s="2">
        <f t="shared" si="79"/>
        <v>3.5216358263072894E-15</v>
      </c>
    </row>
    <row r="338" spans="1:23" x14ac:dyDescent="0.45">
      <c r="A338">
        <v>18.083159999999999</v>
      </c>
      <c r="B338">
        <v>40.104170000000003</v>
      </c>
      <c r="C338">
        <v>188.96442999999999</v>
      </c>
      <c r="D338">
        <v>29162.233</v>
      </c>
      <c r="E338" s="10" t="s">
        <v>1024</v>
      </c>
      <c r="F338" s="10" t="s">
        <v>1025</v>
      </c>
      <c r="G338" s="10" t="s">
        <v>1026</v>
      </c>
      <c r="H338" s="10">
        <v>17.822890872276801</v>
      </c>
      <c r="I338" s="10">
        <v>40.061305441326702</v>
      </c>
      <c r="J338" s="10">
        <v>-171.04878248446499</v>
      </c>
      <c r="K338" s="4">
        <f t="shared" si="67"/>
        <v>17.822890872222221</v>
      </c>
      <c r="L338" s="4">
        <f t="shared" si="68"/>
        <v>40.061305441666718</v>
      </c>
      <c r="M338" s="4">
        <f t="shared" si="69"/>
        <v>188.95121666666665</v>
      </c>
      <c r="N338" s="4">
        <f t="shared" si="70"/>
        <v>188.95121751553501</v>
      </c>
      <c r="O338" s="5">
        <f t="shared" si="71"/>
        <v>17.822890872275924</v>
      </c>
      <c r="P338" s="2">
        <f t="shared" si="72"/>
        <v>3.0131374508075253E-12</v>
      </c>
      <c r="Q338" s="2">
        <f t="shared" si="73"/>
        <v>4.9235574910504073E-14</v>
      </c>
      <c r="R338" s="6">
        <f t="shared" si="74"/>
        <v>40.061305441326603</v>
      </c>
      <c r="S338" s="2">
        <f t="shared" si="75"/>
        <v>8.4898753941388522E-12</v>
      </c>
      <c r="T338" s="2">
        <f t="shared" si="76"/>
        <v>2.4830938959816309E-15</v>
      </c>
      <c r="U338" s="6">
        <f t="shared" si="77"/>
        <v>188.95121751553501</v>
      </c>
      <c r="V338" s="2">
        <f t="shared" si="78"/>
        <v>4.4925265280743989E-9</v>
      </c>
      <c r="W338" s="2">
        <f t="shared" si="79"/>
        <v>0</v>
      </c>
    </row>
    <row r="339" spans="1:23" x14ac:dyDescent="0.4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10" t="s">
        <v>1027</v>
      </c>
      <c r="F339" s="10" t="s">
        <v>1028</v>
      </c>
      <c r="G339" s="10" t="s">
        <v>1029</v>
      </c>
      <c r="H339" s="10">
        <v>46.7768845771214</v>
      </c>
      <c r="I339" s="10">
        <v>63.757926445187699</v>
      </c>
      <c r="J339" s="10">
        <v>-98.649699987392793</v>
      </c>
      <c r="K339" s="4">
        <f t="shared" si="67"/>
        <v>46.776884577777778</v>
      </c>
      <c r="L339" s="4">
        <f t="shared" si="68"/>
        <v>63.757926444444479</v>
      </c>
      <c r="M339" s="4">
        <f t="shared" si="69"/>
        <v>261.3503</v>
      </c>
      <c r="N339" s="4">
        <f t="shared" si="70"/>
        <v>261.35030001260719</v>
      </c>
      <c r="O339" s="5">
        <f t="shared" si="71"/>
        <v>46.77688457712123</v>
      </c>
      <c r="P339" s="2">
        <f t="shared" si="72"/>
        <v>1.403574862233548E-11</v>
      </c>
      <c r="Q339" s="2">
        <f t="shared" si="73"/>
        <v>3.6456095382168846E-15</v>
      </c>
      <c r="R339" s="6">
        <f t="shared" si="74"/>
        <v>63.757926445188275</v>
      </c>
      <c r="S339" s="2">
        <f t="shared" si="75"/>
        <v>1.1665939864618718E-11</v>
      </c>
      <c r="T339" s="2">
        <f t="shared" si="76"/>
        <v>9.0269500288794535E-15</v>
      </c>
      <c r="U339" s="6">
        <f t="shared" si="77"/>
        <v>261.35030001260634</v>
      </c>
      <c r="V339" s="2">
        <f t="shared" si="78"/>
        <v>4.8235397208336764E-11</v>
      </c>
      <c r="W339" s="2">
        <f t="shared" si="79"/>
        <v>3.2624844236681169E-15</v>
      </c>
    </row>
    <row r="340" spans="1:23" x14ac:dyDescent="0.4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10" t="s">
        <v>1030</v>
      </c>
      <c r="F340" s="10" t="s">
        <v>1031</v>
      </c>
      <c r="G340" s="10" t="s">
        <v>1032</v>
      </c>
      <c r="H340" s="10">
        <v>56.073841375791297</v>
      </c>
      <c r="I340" s="10">
        <v>69.207859593555</v>
      </c>
      <c r="J340" s="10">
        <v>64.152200181039504</v>
      </c>
      <c r="K340" s="4">
        <f t="shared" si="67"/>
        <v>56.073841375000001</v>
      </c>
      <c r="L340" s="4">
        <f t="shared" si="68"/>
        <v>69.207859594444471</v>
      </c>
      <c r="M340" s="4">
        <f t="shared" si="69"/>
        <v>64.152199999999993</v>
      </c>
      <c r="N340" s="4">
        <f t="shared" si="70"/>
        <v>64.152200181039518</v>
      </c>
      <c r="O340" s="5">
        <f t="shared" si="71"/>
        <v>56.073841375791318</v>
      </c>
      <c r="P340" s="2">
        <f t="shared" si="72"/>
        <v>1.4112056790782124E-11</v>
      </c>
      <c r="Q340" s="2">
        <f t="shared" si="73"/>
        <v>3.8014663432717599E-16</v>
      </c>
      <c r="R340" s="6">
        <f t="shared" si="74"/>
        <v>69.20785959355473</v>
      </c>
      <c r="S340" s="2">
        <f t="shared" si="75"/>
        <v>1.2856077603507041E-11</v>
      </c>
      <c r="T340" s="2">
        <f t="shared" si="76"/>
        <v>3.9013811606735848E-15</v>
      </c>
      <c r="U340" s="6">
        <f t="shared" si="77"/>
        <v>64.152200181039703</v>
      </c>
      <c r="V340" s="2">
        <f t="shared" si="78"/>
        <v>2.8220343097499449E-9</v>
      </c>
      <c r="W340" s="2">
        <f t="shared" si="79"/>
        <v>2.8797314944192225E-15</v>
      </c>
    </row>
    <row r="341" spans="1:23" x14ac:dyDescent="0.4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10" t="s">
        <v>1033</v>
      </c>
      <c r="F341" s="10" t="s">
        <v>1034</v>
      </c>
      <c r="G341" s="10" t="s">
        <v>1035</v>
      </c>
      <c r="H341" s="10">
        <v>4.7916217767411</v>
      </c>
      <c r="I341" s="10">
        <v>166.09937933342101</v>
      </c>
      <c r="J341" s="10">
        <v>51.122693918532299</v>
      </c>
      <c r="K341" s="4">
        <f t="shared" si="67"/>
        <v>4.7916217777777774</v>
      </c>
      <c r="L341" s="4">
        <f t="shared" si="68"/>
        <v>166.09937933333333</v>
      </c>
      <c r="M341" s="4">
        <f t="shared" si="69"/>
        <v>51.122694444444448</v>
      </c>
      <c r="N341" s="4">
        <f t="shared" si="70"/>
        <v>51.12269391853232</v>
      </c>
      <c r="O341" s="5">
        <f t="shared" si="71"/>
        <v>4.7916217767422191</v>
      </c>
      <c r="P341" s="2">
        <f t="shared" si="72"/>
        <v>2.1611854061096804E-10</v>
      </c>
      <c r="Q341" s="2">
        <f t="shared" si="73"/>
        <v>2.3355449594422882E-13</v>
      </c>
      <c r="R341" s="6">
        <f t="shared" si="74"/>
        <v>166.09937933342212</v>
      </c>
      <c r="S341" s="2">
        <f t="shared" si="75"/>
        <v>5.345560026590875E-13</v>
      </c>
      <c r="T341" s="2">
        <f t="shared" si="76"/>
        <v>6.6733943993896955E-15</v>
      </c>
      <c r="U341" s="6">
        <f t="shared" si="77"/>
        <v>51.122693918532299</v>
      </c>
      <c r="V341" s="2">
        <f t="shared" si="78"/>
        <v>1.0287254126570651E-8</v>
      </c>
      <c r="W341" s="2">
        <f t="shared" si="79"/>
        <v>4.1696320046772243E-16</v>
      </c>
    </row>
    <row r="342" spans="1:23" x14ac:dyDescent="0.45">
      <c r="A342">
        <v>-36.8232</v>
      </c>
      <c r="B342">
        <v>132.84128000000001</v>
      </c>
      <c r="C342">
        <v>250.78496000000001</v>
      </c>
      <c r="D342">
        <v>20321.9139</v>
      </c>
      <c r="E342" s="10" t="s">
        <v>1036</v>
      </c>
      <c r="F342" s="10" t="s">
        <v>1037</v>
      </c>
      <c r="G342" s="10" t="s">
        <v>1038</v>
      </c>
      <c r="H342" s="10">
        <v>-36.883273244506903</v>
      </c>
      <c r="I342" s="10">
        <v>132.626021221119</v>
      </c>
      <c r="J342" s="10">
        <v>-109.08593469872</v>
      </c>
      <c r="K342" s="4">
        <f t="shared" si="67"/>
        <v>-36.883273244444446</v>
      </c>
      <c r="L342" s="4">
        <f t="shared" si="68"/>
        <v>132.62602122222222</v>
      </c>
      <c r="M342" s="4">
        <f t="shared" si="69"/>
        <v>250.91406666666666</v>
      </c>
      <c r="N342" s="4">
        <f t="shared" si="70"/>
        <v>250.91406530128</v>
      </c>
      <c r="O342" s="5">
        <f t="shared" si="71"/>
        <v>-36.88327324451415</v>
      </c>
      <c r="P342" s="2">
        <f t="shared" si="72"/>
        <v>1.8898605315233253E-12</v>
      </c>
      <c r="Q342" s="2">
        <f t="shared" si="73"/>
        <v>1.9649926015805582E-13</v>
      </c>
      <c r="R342" s="6">
        <f t="shared" si="74"/>
        <v>132.62602122109456</v>
      </c>
      <c r="S342" s="2">
        <f t="shared" si="75"/>
        <v>8.5025527642969347E-12</v>
      </c>
      <c r="T342" s="2">
        <f t="shared" si="76"/>
        <v>1.8429769576963878E-13</v>
      </c>
      <c r="U342" s="6">
        <f t="shared" si="77"/>
        <v>250.91406530129504</v>
      </c>
      <c r="V342" s="2">
        <f t="shared" si="78"/>
        <v>5.4415905604493212E-9</v>
      </c>
      <c r="W342" s="2">
        <f t="shared" si="79"/>
        <v>5.9921249415136001E-14</v>
      </c>
    </row>
    <row r="343" spans="1:23" x14ac:dyDescent="0.4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10" t="s">
        <v>1039</v>
      </c>
      <c r="F343" s="10" t="s">
        <v>1040</v>
      </c>
      <c r="G343" s="10" t="s">
        <v>1041</v>
      </c>
      <c r="H343" s="10">
        <v>75.372771579076897</v>
      </c>
      <c r="I343" s="10">
        <v>138.88989453732501</v>
      </c>
      <c r="J343" s="10">
        <v>-163.976514959333</v>
      </c>
      <c r="K343" s="4">
        <f t="shared" si="67"/>
        <v>75.372771577777783</v>
      </c>
      <c r="L343" s="4">
        <f t="shared" si="68"/>
        <v>138.88989453611111</v>
      </c>
      <c r="M343" s="4">
        <f t="shared" si="69"/>
        <v>196.02348611111111</v>
      </c>
      <c r="N343" s="4">
        <f t="shared" si="70"/>
        <v>196.023485040667</v>
      </c>
      <c r="O343" s="5">
        <f t="shared" si="71"/>
        <v>75.372771579077408</v>
      </c>
      <c r="P343" s="2">
        <f t="shared" si="72"/>
        <v>1.7242636419814743E-11</v>
      </c>
      <c r="Q343" s="2">
        <f t="shared" si="73"/>
        <v>6.7874745618255486E-15</v>
      </c>
      <c r="R343" s="6">
        <f t="shared" si="74"/>
        <v>138.88989453732611</v>
      </c>
      <c r="S343" s="2">
        <f t="shared" si="75"/>
        <v>8.7479341855533151E-12</v>
      </c>
      <c r="T343" s="2">
        <f t="shared" si="76"/>
        <v>7.9807582220308659E-15</v>
      </c>
      <c r="U343" s="6">
        <f t="shared" si="77"/>
        <v>196.02348504066788</v>
      </c>
      <c r="V343" s="2">
        <f t="shared" si="78"/>
        <v>5.4607907141976548E-9</v>
      </c>
      <c r="W343" s="2">
        <f t="shared" si="79"/>
        <v>4.4947318029762452E-15</v>
      </c>
    </row>
    <row r="344" spans="1:23" x14ac:dyDescent="0.45">
      <c r="A344">
        <v>-81.00497</v>
      </c>
      <c r="B344">
        <v>-124.15531</v>
      </c>
      <c r="C344">
        <v>29.91328</v>
      </c>
      <c r="D344">
        <v>19978.191999999999</v>
      </c>
      <c r="E344" s="10" t="s">
        <v>1042</v>
      </c>
      <c r="F344" s="10" t="s">
        <v>1043</v>
      </c>
      <c r="G344" s="10" t="s">
        <v>1044</v>
      </c>
      <c r="H344" s="10">
        <v>-80.8494625100099</v>
      </c>
      <c r="I344" s="10">
        <v>-123.594361544492</v>
      </c>
      <c r="J344" s="10">
        <v>29.359349050021201</v>
      </c>
      <c r="K344" s="4">
        <f t="shared" si="67"/>
        <v>-80.849462511111113</v>
      </c>
      <c r="L344" s="4">
        <f t="shared" si="68"/>
        <v>-123.59436154444444</v>
      </c>
      <c r="M344" s="4">
        <f t="shared" si="69"/>
        <v>29.359350000000006</v>
      </c>
      <c r="N344" s="4">
        <f t="shared" si="70"/>
        <v>29.359349050021194</v>
      </c>
      <c r="O344" s="5">
        <f t="shared" si="71"/>
        <v>-80.849462510010824</v>
      </c>
      <c r="P344" s="2">
        <f t="shared" si="72"/>
        <v>1.3609115051668005E-11</v>
      </c>
      <c r="Q344" s="2">
        <f t="shared" si="73"/>
        <v>1.1425005532643672E-14</v>
      </c>
      <c r="R344" s="6">
        <f t="shared" si="74"/>
        <v>-123.59436154449601</v>
      </c>
      <c r="S344" s="2">
        <f t="shared" si="75"/>
        <v>4.1726168667429951E-13</v>
      </c>
      <c r="T344" s="2">
        <f t="shared" si="76"/>
        <v>3.2424303015185229E-14</v>
      </c>
      <c r="U344" s="6">
        <f t="shared" si="77"/>
        <v>29.359349050024811</v>
      </c>
      <c r="V344" s="2">
        <f t="shared" si="78"/>
        <v>3.2356819731933639E-8</v>
      </c>
      <c r="W344" s="2">
        <f t="shared" si="79"/>
        <v>1.2318605970646678E-13</v>
      </c>
    </row>
    <row r="345" spans="1:23" x14ac:dyDescent="0.45">
      <c r="A345">
        <v>59.21228</v>
      </c>
      <c r="B345">
        <v>-73.938140000000004</v>
      </c>
      <c r="C345">
        <v>50.911679999999997</v>
      </c>
      <c r="D345">
        <v>22287.987400000002</v>
      </c>
      <c r="E345" s="10" t="s">
        <v>1045</v>
      </c>
      <c r="F345" s="10" t="s">
        <v>1046</v>
      </c>
      <c r="G345" s="10" t="s">
        <v>1047</v>
      </c>
      <c r="H345" s="10">
        <v>59.338074824953097</v>
      </c>
      <c r="I345" s="10">
        <v>-73.634166085203802</v>
      </c>
      <c r="J345" s="10">
        <v>51.172985719895003</v>
      </c>
      <c r="K345" s="4">
        <f t="shared" si="67"/>
        <v>59.338074825</v>
      </c>
      <c r="L345" s="4">
        <f t="shared" si="68"/>
        <v>-73.634166086111122</v>
      </c>
      <c r="M345" s="4">
        <f t="shared" si="69"/>
        <v>51.172986111111072</v>
      </c>
      <c r="N345" s="4">
        <f t="shared" si="70"/>
        <v>51.172985719894996</v>
      </c>
      <c r="O345" s="5">
        <f t="shared" si="71"/>
        <v>59.338074824953161</v>
      </c>
      <c r="P345" s="2">
        <f t="shared" si="72"/>
        <v>7.893578832721391E-13</v>
      </c>
      <c r="Q345" s="2">
        <f t="shared" si="73"/>
        <v>1.0777034207304108E-15</v>
      </c>
      <c r="R345" s="6">
        <f t="shared" si="74"/>
        <v>-73.634166085203887</v>
      </c>
      <c r="S345" s="2">
        <f t="shared" si="75"/>
        <v>1.2320845391421277E-11</v>
      </c>
      <c r="T345" s="2">
        <f t="shared" si="76"/>
        <v>1.1579560525279769E-15</v>
      </c>
      <c r="U345" s="6">
        <f t="shared" si="77"/>
        <v>51.172985719895138</v>
      </c>
      <c r="V345" s="2">
        <f t="shared" si="78"/>
        <v>7.6449698179625217E-9</v>
      </c>
      <c r="W345" s="2">
        <f t="shared" si="79"/>
        <v>2.7770227817051369E-15</v>
      </c>
    </row>
    <row r="346" spans="1:23" x14ac:dyDescent="0.4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10" t="s">
        <v>1048</v>
      </c>
      <c r="F346" s="10" t="s">
        <v>1049</v>
      </c>
      <c r="G346" s="10" t="s">
        <v>1050</v>
      </c>
      <c r="H346" s="10">
        <v>30.461934481730999</v>
      </c>
      <c r="I346" s="10">
        <v>82.674891492052296</v>
      </c>
      <c r="J346" s="10">
        <v>-37.253941709736999</v>
      </c>
      <c r="K346" s="4">
        <f t="shared" si="67"/>
        <v>30.461934480555556</v>
      </c>
      <c r="L346" s="4">
        <f t="shared" si="68"/>
        <v>82.674891491666699</v>
      </c>
      <c r="M346" s="4">
        <f t="shared" si="69"/>
        <v>322.74605833333334</v>
      </c>
      <c r="N346" s="4">
        <f t="shared" si="70"/>
        <v>322.74605829026302</v>
      </c>
      <c r="O346" s="5">
        <f t="shared" si="71"/>
        <v>30.461934481724516</v>
      </c>
      <c r="P346" s="2">
        <f t="shared" si="72"/>
        <v>3.8374451912203247E-11</v>
      </c>
      <c r="Q346" s="2">
        <f t="shared" si="73"/>
        <v>2.1284605111666166E-13</v>
      </c>
      <c r="R346" s="6">
        <f t="shared" si="74"/>
        <v>82.674891492058507</v>
      </c>
      <c r="S346" s="2">
        <f t="shared" si="75"/>
        <v>4.7391350418927022E-12</v>
      </c>
      <c r="T346" s="2">
        <f t="shared" si="76"/>
        <v>7.511523025270942E-14</v>
      </c>
      <c r="U346" s="6">
        <f t="shared" si="77"/>
        <v>322.74605829026558</v>
      </c>
      <c r="V346" s="2">
        <f t="shared" si="78"/>
        <v>1.3344162151137355E-10</v>
      </c>
      <c r="W346" s="2">
        <f t="shared" si="79"/>
        <v>7.9255928400397512E-15</v>
      </c>
    </row>
    <row r="347" spans="1:23" x14ac:dyDescent="0.4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10" t="s">
        <v>1051</v>
      </c>
      <c r="F347" s="10" t="s">
        <v>1052</v>
      </c>
      <c r="G347" s="10" t="s">
        <v>1053</v>
      </c>
      <c r="H347" s="10">
        <v>-26.989052727451298</v>
      </c>
      <c r="I347" s="10">
        <v>-70.410423866044695</v>
      </c>
      <c r="J347" s="10">
        <v>76.160574458233498</v>
      </c>
      <c r="K347" s="4">
        <f t="shared" si="67"/>
        <v>-26.989052727777779</v>
      </c>
      <c r="L347" s="4">
        <f t="shared" si="68"/>
        <v>-70.410423866666633</v>
      </c>
      <c r="M347" s="4">
        <f t="shared" si="69"/>
        <v>76.160574999999994</v>
      </c>
      <c r="N347" s="4">
        <f t="shared" si="70"/>
        <v>76.160574458233498</v>
      </c>
      <c r="O347" s="5">
        <f t="shared" si="71"/>
        <v>-26.989052727451028</v>
      </c>
      <c r="P347" s="2">
        <f t="shared" si="72"/>
        <v>1.2106767353503317E-11</v>
      </c>
      <c r="Q347" s="2">
        <f t="shared" si="73"/>
        <v>1.0004287379608822E-14</v>
      </c>
      <c r="R347" s="6">
        <f t="shared" si="74"/>
        <v>-70.410423866043729</v>
      </c>
      <c r="S347" s="2">
        <f t="shared" si="75"/>
        <v>8.8467638813113565E-12</v>
      </c>
      <c r="T347" s="2">
        <f t="shared" si="76"/>
        <v>1.3724361643841078E-14</v>
      </c>
      <c r="U347" s="6">
        <f t="shared" si="77"/>
        <v>76.160574458232787</v>
      </c>
      <c r="V347" s="2">
        <f t="shared" si="78"/>
        <v>7.113486303066907E-9</v>
      </c>
      <c r="W347" s="2">
        <f t="shared" si="79"/>
        <v>9.3295348783084912E-15</v>
      </c>
    </row>
    <row r="348" spans="1:23" x14ac:dyDescent="0.45">
      <c r="A348">
        <v>21.06606</v>
      </c>
      <c r="B348">
        <v>179.42932999999999</v>
      </c>
      <c r="C348">
        <v>323.99011000000002</v>
      </c>
      <c r="D348">
        <v>22381.129499999999</v>
      </c>
      <c r="E348" s="10" t="s">
        <v>1054</v>
      </c>
      <c r="F348" s="10" t="s">
        <v>1055</v>
      </c>
      <c r="G348" s="10" t="s">
        <v>1056</v>
      </c>
      <c r="H348" s="10">
        <v>21.229529738168502</v>
      </c>
      <c r="I348" s="10">
        <v>179.30257604438199</v>
      </c>
      <c r="J348" s="10">
        <v>-36.055619712739798</v>
      </c>
      <c r="K348" s="4">
        <f t="shared" si="67"/>
        <v>21.229529738888889</v>
      </c>
      <c r="L348" s="4">
        <f t="shared" si="68"/>
        <v>179.30257604444444</v>
      </c>
      <c r="M348" s="4">
        <f t="shared" si="69"/>
        <v>323.94438055555554</v>
      </c>
      <c r="N348" s="4">
        <f t="shared" si="70"/>
        <v>323.94438028726017</v>
      </c>
      <c r="O348" s="5">
        <f t="shared" si="71"/>
        <v>21.22952973816944</v>
      </c>
      <c r="P348" s="2">
        <f t="shared" si="72"/>
        <v>3.3889087408042963E-11</v>
      </c>
      <c r="Q348" s="2">
        <f t="shared" si="73"/>
        <v>4.4179801567486226E-14</v>
      </c>
      <c r="R348" s="6">
        <f t="shared" si="74"/>
        <v>179.30257604438177</v>
      </c>
      <c r="S348" s="2">
        <f t="shared" si="75"/>
        <v>3.4952018357230186E-13</v>
      </c>
      <c r="T348" s="2">
        <f t="shared" si="76"/>
        <v>1.2681004392650289E-15</v>
      </c>
      <c r="U348" s="6">
        <f t="shared" si="77"/>
        <v>323.94438028725949</v>
      </c>
      <c r="V348" s="2">
        <f t="shared" si="78"/>
        <v>8.2821639945990602E-10</v>
      </c>
      <c r="W348" s="2">
        <f t="shared" si="79"/>
        <v>2.1056732817060142E-15</v>
      </c>
    </row>
    <row r="349" spans="1:23" x14ac:dyDescent="0.4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10" t="s">
        <v>1057</v>
      </c>
      <c r="F349" s="10" t="s">
        <v>1058</v>
      </c>
      <c r="G349" s="10" t="s">
        <v>1059</v>
      </c>
      <c r="H349" s="10">
        <v>2.0496439224619301</v>
      </c>
      <c r="I349" s="10">
        <v>21.958838109837899</v>
      </c>
      <c r="J349" s="10">
        <v>9.7346702610547098</v>
      </c>
      <c r="K349" s="4">
        <f t="shared" si="67"/>
        <v>2.0496439222222222</v>
      </c>
      <c r="L349" s="4">
        <f t="shared" si="68"/>
        <v>21.958838111111163</v>
      </c>
      <c r="M349" s="4">
        <f t="shared" si="69"/>
        <v>9.7346694444444211</v>
      </c>
      <c r="N349" s="4">
        <f t="shared" si="70"/>
        <v>9.7346702610547027</v>
      </c>
      <c r="O349" s="5">
        <f t="shared" si="71"/>
        <v>2.0496439224617071</v>
      </c>
      <c r="P349" s="2">
        <f t="shared" si="72"/>
        <v>1.1684218599034201E-10</v>
      </c>
      <c r="Q349" s="2">
        <f t="shared" si="73"/>
        <v>1.087665915535981E-13</v>
      </c>
      <c r="R349" s="6">
        <f t="shared" si="74"/>
        <v>21.958838109837977</v>
      </c>
      <c r="S349" s="2">
        <f t="shared" si="75"/>
        <v>5.7980572315777669E-11</v>
      </c>
      <c r="T349" s="2">
        <f t="shared" si="76"/>
        <v>3.5593732483775753E-15</v>
      </c>
      <c r="U349" s="6">
        <f t="shared" si="77"/>
        <v>9.7346702610546938</v>
      </c>
      <c r="V349" s="2">
        <f t="shared" si="78"/>
        <v>8.3886800409218734E-8</v>
      </c>
      <c r="W349" s="2">
        <f t="shared" si="79"/>
        <v>9.1238675361552053E-16</v>
      </c>
    </row>
    <row r="350" spans="1:23" x14ac:dyDescent="0.45">
      <c r="A350">
        <v>87.573009999999996</v>
      </c>
      <c r="B350">
        <v>-122.39171</v>
      </c>
      <c r="C350">
        <v>90.482740000000007</v>
      </c>
      <c r="D350">
        <v>13877.534299999999</v>
      </c>
      <c r="E350" s="10" t="s">
        <v>1060</v>
      </c>
      <c r="F350" s="10" t="s">
        <v>1061</v>
      </c>
      <c r="G350" s="10" t="s">
        <v>1062</v>
      </c>
      <c r="H350" s="10">
        <v>87.568788374598796</v>
      </c>
      <c r="I350" s="10">
        <v>-119.46156610093</v>
      </c>
      <c r="J350" s="10">
        <v>93.410252114611794</v>
      </c>
      <c r="K350" s="4">
        <f t="shared" si="67"/>
        <v>87.568788374999997</v>
      </c>
      <c r="L350" s="4">
        <f t="shared" si="68"/>
        <v>-119.46156610000003</v>
      </c>
      <c r="M350" s="4">
        <f t="shared" si="69"/>
        <v>93.410252777777771</v>
      </c>
      <c r="N350" s="4">
        <f t="shared" si="70"/>
        <v>93.410252114611808</v>
      </c>
      <c r="O350" s="5">
        <f t="shared" si="71"/>
        <v>87.568788374598782</v>
      </c>
      <c r="P350" s="2">
        <f t="shared" si="72"/>
        <v>4.5817130580379366E-12</v>
      </c>
      <c r="Q350" s="2">
        <f t="shared" si="73"/>
        <v>1.622821895674894E-16</v>
      </c>
      <c r="R350" s="6">
        <f t="shared" si="74"/>
        <v>-119.4615661009549</v>
      </c>
      <c r="S350" s="2">
        <f t="shared" si="75"/>
        <v>7.9931143718579465E-12</v>
      </c>
      <c r="T350" s="2">
        <f t="shared" si="76"/>
        <v>2.0841362015963129E-13</v>
      </c>
      <c r="U350" s="6">
        <f t="shared" si="77"/>
        <v>93.410252114586896</v>
      </c>
      <c r="V350" s="2">
        <f t="shared" si="78"/>
        <v>7.0997653355996553E-9</v>
      </c>
      <c r="W350" s="2">
        <f t="shared" si="79"/>
        <v>2.6669051578174986E-13</v>
      </c>
    </row>
    <row r="351" spans="1:23" x14ac:dyDescent="0.45">
      <c r="A351">
        <v>-49.391500000000001</v>
      </c>
      <c r="B351">
        <v>34.455530000000003</v>
      </c>
      <c r="C351">
        <v>235.17873</v>
      </c>
      <c r="D351">
        <v>24868.251799999998</v>
      </c>
      <c r="E351" s="10" t="s">
        <v>1063</v>
      </c>
      <c r="F351" s="10" t="s">
        <v>1064</v>
      </c>
      <c r="G351" s="10" t="s">
        <v>1065</v>
      </c>
      <c r="H351" s="10">
        <v>-49.518835510478397</v>
      </c>
      <c r="I351" s="10">
        <v>34.173584709468301</v>
      </c>
      <c r="J351" s="10">
        <v>-124.60702014619901</v>
      </c>
      <c r="K351" s="4">
        <f t="shared" si="67"/>
        <v>-49.518835511111114</v>
      </c>
      <c r="L351" s="4">
        <f t="shared" si="68"/>
        <v>34.173584708333351</v>
      </c>
      <c r="M351" s="4">
        <f t="shared" si="69"/>
        <v>235.39298055555554</v>
      </c>
      <c r="N351" s="4">
        <f t="shared" si="70"/>
        <v>235.39297985380099</v>
      </c>
      <c r="O351" s="5">
        <f t="shared" si="71"/>
        <v>-49.518835510478688</v>
      </c>
      <c r="P351" s="2">
        <f t="shared" si="72"/>
        <v>1.2771416388592784E-11</v>
      </c>
      <c r="Q351" s="2">
        <f t="shared" si="73"/>
        <v>5.8830648713456923E-15</v>
      </c>
      <c r="R351" s="6">
        <f t="shared" si="74"/>
        <v>34.173584709468209</v>
      </c>
      <c r="S351" s="2">
        <f t="shared" si="75"/>
        <v>3.3208618614634833E-11</v>
      </c>
      <c r="T351" s="2">
        <f t="shared" si="76"/>
        <v>2.7029811602767089E-15</v>
      </c>
      <c r="U351" s="6">
        <f t="shared" si="77"/>
        <v>235.39297985380122</v>
      </c>
      <c r="V351" s="2">
        <f t="shared" si="78"/>
        <v>2.9812032424346464E-9</v>
      </c>
      <c r="W351" s="2">
        <f t="shared" si="79"/>
        <v>9.6593227030156287E-16</v>
      </c>
    </row>
    <row r="352" spans="1:23" x14ac:dyDescent="0.45">
      <c r="A352">
        <v>19.561489999999999</v>
      </c>
      <c r="B352">
        <v>-15.093909999999999</v>
      </c>
      <c r="C352">
        <v>177.76183</v>
      </c>
      <c r="D352">
        <v>7600.4764999999998</v>
      </c>
      <c r="E352" s="10" t="s">
        <v>1066</v>
      </c>
      <c r="F352" s="10" t="s">
        <v>1067</v>
      </c>
      <c r="G352" s="10" t="s">
        <v>1068</v>
      </c>
      <c r="H352" s="10">
        <v>19.492883068193301</v>
      </c>
      <c r="I352" s="10">
        <v>-15.0910825045738</v>
      </c>
      <c r="J352" s="10">
        <v>177.762775102109</v>
      </c>
      <c r="K352" s="4">
        <f t="shared" si="67"/>
        <v>19.492883069444446</v>
      </c>
      <c r="L352" s="4">
        <f t="shared" si="68"/>
        <v>-15.091082505555505</v>
      </c>
      <c r="M352" s="4">
        <f t="shared" si="69"/>
        <v>177.76277499999992</v>
      </c>
      <c r="N352" s="4">
        <f t="shared" si="70"/>
        <v>177.762775102109</v>
      </c>
      <c r="O352" s="5">
        <f t="shared" si="71"/>
        <v>19.492883068193038</v>
      </c>
      <c r="P352" s="2">
        <f t="shared" si="72"/>
        <v>6.4198192835943284E-11</v>
      </c>
      <c r="Q352" s="2">
        <f t="shared" si="73"/>
        <v>1.3487015302534416E-14</v>
      </c>
      <c r="R352" s="6">
        <f t="shared" si="74"/>
        <v>-15.091082504573851</v>
      </c>
      <c r="S352" s="2">
        <f t="shared" si="75"/>
        <v>6.504860529002259E-11</v>
      </c>
      <c r="T352" s="2">
        <f t="shared" si="76"/>
        <v>3.4135621700427596E-15</v>
      </c>
      <c r="U352" s="6">
        <f t="shared" si="77"/>
        <v>177.76277510210861</v>
      </c>
      <c r="V352" s="2">
        <f t="shared" si="78"/>
        <v>5.744098332789438E-10</v>
      </c>
      <c r="W352" s="2">
        <f t="shared" si="79"/>
        <v>2.2383985162084439E-15</v>
      </c>
    </row>
    <row r="353" spans="1:23" x14ac:dyDescent="0.45">
      <c r="A353">
        <v>22.08745</v>
      </c>
      <c r="B353">
        <v>-50.177840000000003</v>
      </c>
      <c r="C353">
        <v>4.9460800000000003</v>
      </c>
      <c r="D353">
        <v>16591.260399999999</v>
      </c>
      <c r="E353" s="10" t="s">
        <v>1069</v>
      </c>
      <c r="F353" s="10" t="s">
        <v>1070</v>
      </c>
      <c r="G353" s="10" t="s">
        <v>1071</v>
      </c>
      <c r="H353" s="10">
        <v>22.236723418395801</v>
      </c>
      <c r="I353" s="10">
        <v>-50.163964080154201</v>
      </c>
      <c r="J353" s="10">
        <v>4.9513143905919801</v>
      </c>
      <c r="K353" s="4">
        <f t="shared" si="67"/>
        <v>22.236723419444445</v>
      </c>
      <c r="L353" s="4">
        <f t="shared" si="68"/>
        <v>-50.163964080555559</v>
      </c>
      <c r="M353" s="4">
        <f t="shared" si="69"/>
        <v>4.9513138888888761</v>
      </c>
      <c r="N353" s="4">
        <f t="shared" si="70"/>
        <v>4.9513143905919605</v>
      </c>
      <c r="O353" s="5">
        <f t="shared" si="71"/>
        <v>22.236723418396451</v>
      </c>
      <c r="P353" s="2">
        <f t="shared" si="72"/>
        <v>4.7128961945485655E-11</v>
      </c>
      <c r="Q353" s="2">
        <f t="shared" si="73"/>
        <v>2.9237518090576424E-14</v>
      </c>
      <c r="R353" s="6">
        <f t="shared" si="74"/>
        <v>-50.163964080154209</v>
      </c>
      <c r="S353" s="2">
        <f t="shared" si="75"/>
        <v>8.0007645258972463E-12</v>
      </c>
      <c r="T353" s="2">
        <f t="shared" si="76"/>
        <v>1.416440564036693E-16</v>
      </c>
      <c r="U353" s="6">
        <f t="shared" si="77"/>
        <v>4.9513143905920201</v>
      </c>
      <c r="V353" s="2">
        <f t="shared" si="78"/>
        <v>1.0132727497723867E-7</v>
      </c>
      <c r="W353" s="2">
        <f t="shared" si="79"/>
        <v>1.201861756809061E-14</v>
      </c>
    </row>
    <row r="354" spans="1:23" x14ac:dyDescent="0.45">
      <c r="A354">
        <v>60.219909999999999</v>
      </c>
      <c r="B354">
        <v>140.29279</v>
      </c>
      <c r="C354">
        <v>41.953949999999999</v>
      </c>
      <c r="D354">
        <v>9391.4030000000002</v>
      </c>
      <c r="E354" s="10" t="s">
        <v>1072</v>
      </c>
      <c r="F354" s="10" t="s">
        <v>1073</v>
      </c>
      <c r="G354" s="10" t="s">
        <v>1074</v>
      </c>
      <c r="H354" s="10">
        <v>60.282547223000797</v>
      </c>
      <c r="I354" s="10">
        <v>140.40627639951501</v>
      </c>
      <c r="J354" s="10">
        <v>42.052479987732703</v>
      </c>
      <c r="K354" s="4">
        <f t="shared" si="67"/>
        <v>60.28254722222222</v>
      </c>
      <c r="L354" s="4">
        <f t="shared" si="68"/>
        <v>140.40627640000002</v>
      </c>
      <c r="M354" s="4">
        <f t="shared" si="69"/>
        <v>42.052480555555576</v>
      </c>
      <c r="N354" s="4">
        <f t="shared" si="70"/>
        <v>42.052479987732681</v>
      </c>
      <c r="O354" s="5">
        <f t="shared" si="71"/>
        <v>60.282547223000755</v>
      </c>
      <c r="P354" s="2">
        <f t="shared" si="72"/>
        <v>1.2914759014330262E-11</v>
      </c>
      <c r="Q354" s="2">
        <f t="shared" si="73"/>
        <v>7.0721238749081201E-16</v>
      </c>
      <c r="R354" s="6">
        <f t="shared" si="74"/>
        <v>140.40627639951538</v>
      </c>
      <c r="S354" s="2">
        <f t="shared" si="75"/>
        <v>3.4517473266405138E-12</v>
      </c>
      <c r="T354" s="2">
        <f t="shared" si="76"/>
        <v>2.6315221232982458E-15</v>
      </c>
      <c r="U354" s="6">
        <f t="shared" si="77"/>
        <v>42.052479987732788</v>
      </c>
      <c r="V354" s="2">
        <f t="shared" si="78"/>
        <v>1.3502718041807056E-8</v>
      </c>
      <c r="W354" s="2">
        <f t="shared" si="79"/>
        <v>2.5344857281926387E-15</v>
      </c>
    </row>
    <row r="355" spans="1:23" x14ac:dyDescent="0.45">
      <c r="A355">
        <v>55.900210000000001</v>
      </c>
      <c r="B355">
        <v>151.31617</v>
      </c>
      <c r="C355">
        <v>313.54763000000003</v>
      </c>
      <c r="D355">
        <v>2792.5965999999999</v>
      </c>
      <c r="E355" s="10" t="s">
        <v>1075</v>
      </c>
      <c r="F355" s="10" t="s">
        <v>1076</v>
      </c>
      <c r="G355" s="10" t="s">
        <v>1077</v>
      </c>
      <c r="H355" s="10">
        <v>55.917485942735802</v>
      </c>
      <c r="I355" s="10">
        <v>151.28379801112499</v>
      </c>
      <c r="J355" s="10">
        <v>-46.479178762831999</v>
      </c>
      <c r="K355" s="4">
        <f t="shared" si="67"/>
        <v>55.917485941666669</v>
      </c>
      <c r="L355" s="4">
        <f t="shared" si="68"/>
        <v>151.28379801111112</v>
      </c>
      <c r="M355" s="4">
        <f t="shared" si="69"/>
        <v>313.52082222222225</v>
      </c>
      <c r="N355" s="4">
        <f t="shared" si="70"/>
        <v>313.52082123716798</v>
      </c>
      <c r="O355" s="5">
        <f t="shared" si="71"/>
        <v>55.917485942748343</v>
      </c>
      <c r="P355" s="2">
        <f t="shared" si="72"/>
        <v>1.9344099601164498E-11</v>
      </c>
      <c r="Q355" s="2">
        <f t="shared" si="73"/>
        <v>2.2427831070604436E-13</v>
      </c>
      <c r="R355" s="6">
        <f t="shared" si="74"/>
        <v>151.28379801110114</v>
      </c>
      <c r="S355" s="2">
        <f t="shared" si="75"/>
        <v>6.5942421734673223E-14</v>
      </c>
      <c r="T355" s="2">
        <f t="shared" si="76"/>
        <v>1.576230536620677E-13</v>
      </c>
      <c r="U355" s="6">
        <f t="shared" si="77"/>
        <v>313.5208212371482</v>
      </c>
      <c r="V355" s="2">
        <f t="shared" si="78"/>
        <v>3.1419733004290076E-9</v>
      </c>
      <c r="W355" s="2">
        <f t="shared" si="79"/>
        <v>6.3094724253089216E-14</v>
      </c>
    </row>
    <row r="356" spans="1:23" x14ac:dyDescent="0.45">
      <c r="A356">
        <v>-2.49248</v>
      </c>
      <c r="B356">
        <v>7.2590399999999997</v>
      </c>
      <c r="C356">
        <v>257.20011</v>
      </c>
      <c r="D356">
        <v>28192.577000000001</v>
      </c>
      <c r="E356" s="10" t="s">
        <v>1078</v>
      </c>
      <c r="F356" s="10" t="s">
        <v>1079</v>
      </c>
      <c r="G356" s="10" t="s">
        <v>1080</v>
      </c>
      <c r="H356" s="10">
        <v>-2.5489420504937801</v>
      </c>
      <c r="I356" s="10">
        <v>7.01183237991666</v>
      </c>
      <c r="J356" s="10">
        <v>-102.789017663026</v>
      </c>
      <c r="K356" s="4">
        <f t="shared" si="67"/>
        <v>-2.54894205</v>
      </c>
      <c r="L356" s="4">
        <f t="shared" si="68"/>
        <v>7.0118323805555747</v>
      </c>
      <c r="M356" s="4">
        <f t="shared" si="69"/>
        <v>257.21098333333333</v>
      </c>
      <c r="N356" s="4">
        <f t="shared" si="70"/>
        <v>257.21098233697398</v>
      </c>
      <c r="O356" s="5">
        <f t="shared" si="71"/>
        <v>-2.548942050494154</v>
      </c>
      <c r="P356" s="2">
        <f t="shared" si="72"/>
        <v>1.9386633407837548E-10</v>
      </c>
      <c r="Q356" s="2">
        <f t="shared" si="73"/>
        <v>1.4669737769099791E-13</v>
      </c>
      <c r="R356" s="6">
        <f t="shared" si="74"/>
        <v>7.0118323799150382</v>
      </c>
      <c r="S356" s="2">
        <f t="shared" si="75"/>
        <v>9.1350802180554138E-11</v>
      </c>
      <c r="T356" s="2">
        <f t="shared" si="76"/>
        <v>2.3129671482416482E-13</v>
      </c>
      <c r="U356" s="6">
        <f t="shared" si="77"/>
        <v>257.21098233697393</v>
      </c>
      <c r="V356" s="2">
        <f t="shared" si="78"/>
        <v>3.8737047343722817E-9</v>
      </c>
      <c r="W356" s="2">
        <f t="shared" si="79"/>
        <v>2.2099919040912894E-16</v>
      </c>
    </row>
    <row r="357" spans="1:23" x14ac:dyDescent="0.45">
      <c r="A357">
        <v>-5.765E-2</v>
      </c>
      <c r="B357">
        <v>-157.81970999999999</v>
      </c>
      <c r="C357">
        <v>166.02350999999999</v>
      </c>
      <c r="D357">
        <v>27140.077000000001</v>
      </c>
      <c r="E357" s="10" t="s">
        <v>1081</v>
      </c>
      <c r="F357" s="10" t="s">
        <v>1082</v>
      </c>
      <c r="G357" s="10" t="s">
        <v>1083</v>
      </c>
      <c r="H357" s="10">
        <v>-0.29583000591012099</v>
      </c>
      <c r="I357" s="10">
        <v>-157.76082506615899</v>
      </c>
      <c r="J357" s="10">
        <v>166.023328357819</v>
      </c>
      <c r="K357" s="4">
        <f t="shared" si="67"/>
        <v>-0.29583000555555555</v>
      </c>
      <c r="L357" s="4">
        <f t="shared" si="68"/>
        <v>-157.76082506666665</v>
      </c>
      <c r="M357" s="4">
        <f t="shared" si="69"/>
        <v>166.02332777777769</v>
      </c>
      <c r="N357" s="4">
        <f t="shared" si="70"/>
        <v>166.02332835781897</v>
      </c>
      <c r="O357" s="5">
        <f t="shared" si="71"/>
        <v>-0.29583000591005137</v>
      </c>
      <c r="P357" s="2">
        <f t="shared" si="72"/>
        <v>1.1983092145114585E-9</v>
      </c>
      <c r="Q357" s="2">
        <f t="shared" si="73"/>
        <v>2.3530738009431846E-13</v>
      </c>
      <c r="R357" s="6">
        <f t="shared" si="74"/>
        <v>-157.7608250661585</v>
      </c>
      <c r="S357" s="2">
        <f t="shared" si="75"/>
        <v>3.2210261494985095E-12</v>
      </c>
      <c r="T357" s="2">
        <f t="shared" si="76"/>
        <v>3.0626681884697618E-15</v>
      </c>
      <c r="U357" s="6">
        <f t="shared" si="77"/>
        <v>166.02332835781829</v>
      </c>
      <c r="V357" s="2">
        <f t="shared" si="78"/>
        <v>3.4937294615266493E-9</v>
      </c>
      <c r="W357" s="2">
        <f t="shared" si="79"/>
        <v>4.1085854203547011E-15</v>
      </c>
    </row>
    <row r="358" spans="1:23" x14ac:dyDescent="0.4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10" t="s">
        <v>1084</v>
      </c>
      <c r="F358" s="10" t="s">
        <v>1085</v>
      </c>
      <c r="G358" s="10" t="s">
        <v>1086</v>
      </c>
      <c r="H358" s="10">
        <v>59.491348305144001</v>
      </c>
      <c r="I358" s="10">
        <v>60.2257562231257</v>
      </c>
      <c r="J358" s="10">
        <v>-179.791639769271</v>
      </c>
      <c r="K358" s="4">
        <f t="shared" si="67"/>
        <v>59.491348305555555</v>
      </c>
      <c r="L358" s="4">
        <f t="shared" si="68"/>
        <v>60.22575622222223</v>
      </c>
      <c r="M358" s="4">
        <f t="shared" si="69"/>
        <v>180.20836111111112</v>
      </c>
      <c r="N358" s="4">
        <f t="shared" si="70"/>
        <v>180.208360230729</v>
      </c>
      <c r="O358" s="5">
        <f t="shared" si="71"/>
        <v>59.49134830508762</v>
      </c>
      <c r="P358" s="2">
        <f t="shared" si="72"/>
        <v>7.8655978959964809E-12</v>
      </c>
      <c r="Q358" s="2">
        <f t="shared" si="73"/>
        <v>9.4772715174264823E-13</v>
      </c>
      <c r="R358" s="6">
        <f t="shared" si="74"/>
        <v>60.225756223125288</v>
      </c>
      <c r="S358" s="2">
        <f t="shared" si="75"/>
        <v>1.4994534585083877E-11</v>
      </c>
      <c r="T358" s="2">
        <f t="shared" si="76"/>
        <v>6.8428329104585454E-15</v>
      </c>
      <c r="U358" s="6">
        <f t="shared" si="77"/>
        <v>180.20836023072812</v>
      </c>
      <c r="V358" s="2">
        <f t="shared" si="78"/>
        <v>4.8853615507876702E-9</v>
      </c>
      <c r="W358" s="2">
        <f t="shared" si="79"/>
        <v>4.8891904416334856E-15</v>
      </c>
    </row>
    <row r="359" spans="1:23" x14ac:dyDescent="0.45">
      <c r="A359">
        <v>-36.75421</v>
      </c>
      <c r="B359">
        <v>-142.1782</v>
      </c>
      <c r="C359">
        <v>211.17688000000001</v>
      </c>
      <c r="D359">
        <v>8158.5919000000004</v>
      </c>
      <c r="E359" s="10" t="s">
        <v>1087</v>
      </c>
      <c r="F359" s="10" t="s">
        <v>1088</v>
      </c>
      <c r="G359" s="10" t="s">
        <v>1089</v>
      </c>
      <c r="H359" s="10">
        <v>-36.817100871481301</v>
      </c>
      <c r="I359" s="10">
        <v>-142.225536302233</v>
      </c>
      <c r="J359" s="10">
        <v>-148.79477392302101</v>
      </c>
      <c r="K359" s="4">
        <f t="shared" si="67"/>
        <v>-36.81710087222222</v>
      </c>
      <c r="L359" s="4">
        <f t="shared" si="68"/>
        <v>-142.22553630277775</v>
      </c>
      <c r="M359" s="4">
        <f t="shared" si="69"/>
        <v>211.20522499999998</v>
      </c>
      <c r="N359" s="4">
        <f t="shared" si="70"/>
        <v>211.20522607697899</v>
      </c>
      <c r="O359" s="5">
        <f t="shared" si="71"/>
        <v>-36.817100871481138</v>
      </c>
      <c r="P359" s="2">
        <f t="shared" si="72"/>
        <v>2.0128740313233109E-11</v>
      </c>
      <c r="Q359" s="2">
        <f t="shared" si="73"/>
        <v>4.4388293851624987E-15</v>
      </c>
      <c r="R359" s="6">
        <f t="shared" si="74"/>
        <v>-142.22553630223314</v>
      </c>
      <c r="S359" s="2">
        <f t="shared" si="75"/>
        <v>3.8292476179944974E-12</v>
      </c>
      <c r="T359" s="2">
        <f t="shared" si="76"/>
        <v>9.9917743920497973E-16</v>
      </c>
      <c r="U359" s="6">
        <f t="shared" si="77"/>
        <v>211.20522607697924</v>
      </c>
      <c r="V359" s="2">
        <f t="shared" si="78"/>
        <v>5.0992074630307125E-9</v>
      </c>
      <c r="W359" s="2">
        <f t="shared" si="79"/>
        <v>1.2111224216601775E-15</v>
      </c>
    </row>
    <row r="360" spans="1:23" x14ac:dyDescent="0.45">
      <c r="A360">
        <v>61.48621</v>
      </c>
      <c r="B360">
        <v>27.960650000000001</v>
      </c>
      <c r="C360">
        <v>134.62588</v>
      </c>
      <c r="D360">
        <v>1874.9798000000001</v>
      </c>
      <c r="E360" s="10" t="s">
        <v>1090</v>
      </c>
      <c r="F360" s="10" t="s">
        <v>1091</v>
      </c>
      <c r="G360" s="10" t="s">
        <v>1092</v>
      </c>
      <c r="H360" s="10">
        <v>61.474388243212303</v>
      </c>
      <c r="I360" s="10">
        <v>27.985687007291201</v>
      </c>
      <c r="J360" s="10">
        <v>134.647878841563</v>
      </c>
      <c r="K360" s="4">
        <f t="shared" si="67"/>
        <v>61.474388244444441</v>
      </c>
      <c r="L360" s="4">
        <f t="shared" si="68"/>
        <v>27.985687008333343</v>
      </c>
      <c r="M360" s="4">
        <f t="shared" si="69"/>
        <v>134.64787777777775</v>
      </c>
      <c r="N360" s="4">
        <f t="shared" si="70"/>
        <v>134.647878841563</v>
      </c>
      <c r="O360" s="5">
        <f t="shared" si="71"/>
        <v>61.47438824319628</v>
      </c>
      <c r="P360" s="2">
        <f t="shared" si="72"/>
        <v>2.0303751229782487E-11</v>
      </c>
      <c r="Q360" s="2">
        <f t="shared" si="73"/>
        <v>2.6064088068675351E-13</v>
      </c>
      <c r="R360" s="6">
        <f t="shared" si="74"/>
        <v>27.985687007325005</v>
      </c>
      <c r="S360" s="2">
        <f t="shared" si="75"/>
        <v>3.6030500214065187E-11</v>
      </c>
      <c r="T360" s="2">
        <f t="shared" si="76"/>
        <v>1.2079056928271829E-12</v>
      </c>
      <c r="U360" s="6">
        <f t="shared" si="77"/>
        <v>134.64787884159298</v>
      </c>
      <c r="V360" s="2">
        <f t="shared" si="78"/>
        <v>7.9007203885777931E-9</v>
      </c>
      <c r="W360" s="2">
        <f t="shared" si="79"/>
        <v>2.2269124257322137E-13</v>
      </c>
    </row>
    <row r="361" spans="1:23" x14ac:dyDescent="0.4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10" t="s">
        <v>1093</v>
      </c>
      <c r="F361" s="10" t="s">
        <v>1094</v>
      </c>
      <c r="G361" s="10" t="s">
        <v>1095</v>
      </c>
      <c r="H361" s="10">
        <v>-88.8289112736026</v>
      </c>
      <c r="I361" s="10">
        <v>23.753323254485402</v>
      </c>
      <c r="J361" s="10">
        <v>12.0624745853753</v>
      </c>
      <c r="K361" s="4">
        <f t="shared" si="67"/>
        <v>-88.828911272222228</v>
      </c>
      <c r="L361" s="4">
        <f t="shared" si="68"/>
        <v>23.753323255555529</v>
      </c>
      <c r="M361" s="4">
        <f t="shared" si="69"/>
        <v>12.062475000000006</v>
      </c>
      <c r="N361" s="4">
        <f t="shared" si="70"/>
        <v>12.062474585375298</v>
      </c>
      <c r="O361" s="5">
        <f t="shared" si="71"/>
        <v>-88.828911273603552</v>
      </c>
      <c r="P361" s="2">
        <f t="shared" si="72"/>
        <v>1.5550381967351884E-11</v>
      </c>
      <c r="Q361" s="2">
        <f t="shared" si="73"/>
        <v>1.0718664140618361E-14</v>
      </c>
      <c r="R361" s="6">
        <f t="shared" si="74"/>
        <v>23.753323254474889</v>
      </c>
      <c r="S361" s="2">
        <f t="shared" si="75"/>
        <v>4.54942479498754E-11</v>
      </c>
      <c r="T361" s="2">
        <f t="shared" si="76"/>
        <v>4.4256880028715912E-13</v>
      </c>
      <c r="U361" s="6">
        <f t="shared" si="77"/>
        <v>12.062474585385909</v>
      </c>
      <c r="V361" s="2">
        <f t="shared" si="78"/>
        <v>3.4372224416734966E-8</v>
      </c>
      <c r="W361" s="2">
        <f t="shared" si="79"/>
        <v>8.7960221815527105E-13</v>
      </c>
    </row>
    <row r="362" spans="1:23" x14ac:dyDescent="0.45">
      <c r="A362">
        <v>-19.17191</v>
      </c>
      <c r="B362">
        <v>-166.02682999999999</v>
      </c>
      <c r="C362">
        <v>178.93833000000001</v>
      </c>
      <c r="D362">
        <v>23242.379099999998</v>
      </c>
      <c r="E362" s="10" t="s">
        <v>1096</v>
      </c>
      <c r="F362" s="10" t="s">
        <v>1097</v>
      </c>
      <c r="G362" s="10" t="s">
        <v>1098</v>
      </c>
      <c r="H362" s="10">
        <v>-19.381840889774001</v>
      </c>
      <c r="I362" s="10">
        <v>-166.022730530714</v>
      </c>
      <c r="J362" s="10">
        <v>178.93697662578899</v>
      </c>
      <c r="K362" s="4">
        <f t="shared" ref="K362:K425" si="80">ConvertDecimal(E362)</f>
        <v>-19.381840888888888</v>
      </c>
      <c r="L362" s="4">
        <f t="shared" ref="L362:L425" si="81">MOD(ConvertDecimal(F362)+3*180, 360) - 180</f>
        <v>-166.02273053055558</v>
      </c>
      <c r="M362" s="4">
        <f t="shared" ref="M362:M425" si="82">MOD(ConvertDecimal(G362)+180, 360)</f>
        <v>178.93697777777777</v>
      </c>
      <c r="N362" s="4">
        <f t="shared" ref="N362:N425" si="83">MOD(J362+360, 360)</f>
        <v>178.93697662578893</v>
      </c>
      <c r="O362" s="5">
        <f t="shared" si="71"/>
        <v>-19.381840889774725</v>
      </c>
      <c r="P362" s="2">
        <f t="shared" si="72"/>
        <v>4.5704491460025527E-11</v>
      </c>
      <c r="Q362" s="2">
        <f t="shared" si="73"/>
        <v>3.7393434122023333E-14</v>
      </c>
      <c r="R362" s="6">
        <f t="shared" si="74"/>
        <v>-166.02273053071411</v>
      </c>
      <c r="S362" s="2">
        <f t="shared" si="75"/>
        <v>9.5490716660400793E-13</v>
      </c>
      <c r="T362" s="2">
        <f t="shared" si="76"/>
        <v>6.8476670247622569E-16</v>
      </c>
      <c r="U362" s="6">
        <f t="shared" si="77"/>
        <v>178.93697662578847</v>
      </c>
      <c r="V362" s="2">
        <f t="shared" si="78"/>
        <v>6.4379610596641565E-9</v>
      </c>
      <c r="W362" s="2">
        <f t="shared" si="79"/>
        <v>2.5413827787952274E-15</v>
      </c>
    </row>
    <row r="363" spans="1:23" x14ac:dyDescent="0.4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10" t="s">
        <v>1099</v>
      </c>
      <c r="F363" s="10" t="s">
        <v>1100</v>
      </c>
      <c r="G363" s="10" t="s">
        <v>1101</v>
      </c>
      <c r="H363" s="10">
        <v>60.907222526875898</v>
      </c>
      <c r="I363" s="10">
        <v>93.279482858463197</v>
      </c>
      <c r="J363" s="10">
        <v>0.91823308005006998</v>
      </c>
      <c r="K363" s="4">
        <f t="shared" si="80"/>
        <v>60.907222527777776</v>
      </c>
      <c r="L363" s="4">
        <f t="shared" si="81"/>
        <v>93.279482858333381</v>
      </c>
      <c r="M363" s="4">
        <f t="shared" si="82"/>
        <v>0.91823333333331902</v>
      </c>
      <c r="N363" s="4">
        <f t="shared" si="83"/>
        <v>0.9182330800500722</v>
      </c>
      <c r="O363" s="5">
        <f t="shared" si="71"/>
        <v>60.907222526905578</v>
      </c>
      <c r="P363" s="2">
        <f t="shared" si="72"/>
        <v>1.4320113073209006E-11</v>
      </c>
      <c r="Q363" s="2">
        <f t="shared" si="73"/>
        <v>4.8728818753150466E-13</v>
      </c>
      <c r="R363" s="6">
        <f t="shared" si="74"/>
        <v>93.279482858464235</v>
      </c>
      <c r="S363" s="2">
        <f t="shared" si="75"/>
        <v>1.4028117031513955E-12</v>
      </c>
      <c r="T363" s="2">
        <f t="shared" si="76"/>
        <v>1.1121335179182163E-14</v>
      </c>
      <c r="U363" s="6">
        <f t="shared" si="77"/>
        <v>0.91823308005090243</v>
      </c>
      <c r="V363" s="2">
        <f t="shared" si="78"/>
        <v>2.75836660902161E-7</v>
      </c>
      <c r="W363" s="2">
        <f t="shared" si="79"/>
        <v>9.041547248215225E-13</v>
      </c>
    </row>
    <row r="364" spans="1:23" x14ac:dyDescent="0.45">
      <c r="A364">
        <v>88.060959999999994</v>
      </c>
      <c r="B364">
        <v>-16.23498</v>
      </c>
      <c r="C364">
        <v>131.22766999999999</v>
      </c>
      <c r="D364">
        <v>11868.7088</v>
      </c>
      <c r="E364" s="10" t="s">
        <v>1102</v>
      </c>
      <c r="F364" s="10" t="s">
        <v>1103</v>
      </c>
      <c r="G364" s="10" t="s">
        <v>1104</v>
      </c>
      <c r="H364" s="10">
        <v>87.989339262736806</v>
      </c>
      <c r="I364" s="10">
        <v>-13.9565462709587</v>
      </c>
      <c r="J364" s="10">
        <v>133.50475125352099</v>
      </c>
      <c r="K364" s="4">
        <f t="shared" si="80"/>
        <v>87.989339263888894</v>
      </c>
      <c r="L364" s="4">
        <f t="shared" si="81"/>
        <v>-13.956546272222226</v>
      </c>
      <c r="M364" s="4">
        <f t="shared" si="82"/>
        <v>133.50475</v>
      </c>
      <c r="N364" s="4">
        <f t="shared" si="83"/>
        <v>133.50475125352102</v>
      </c>
      <c r="O364" s="5">
        <f t="shared" si="71"/>
        <v>87.989339262737374</v>
      </c>
      <c r="P364" s="2">
        <f t="shared" si="72"/>
        <v>1.3087037339535074E-11</v>
      </c>
      <c r="Q364" s="2">
        <f t="shared" si="73"/>
        <v>6.4602620427769271E-15</v>
      </c>
      <c r="R364" s="6">
        <f t="shared" si="74"/>
        <v>-13.956546270977322</v>
      </c>
      <c r="S364" s="2">
        <f t="shared" si="75"/>
        <v>8.9198616874819743E-11</v>
      </c>
      <c r="T364" s="2">
        <f t="shared" si="76"/>
        <v>1.334251926365281E-12</v>
      </c>
      <c r="U364" s="6">
        <f t="shared" si="77"/>
        <v>133.50475125350263</v>
      </c>
      <c r="V364" s="2">
        <f t="shared" si="78"/>
        <v>9.3891987473916665E-9</v>
      </c>
      <c r="W364" s="2">
        <f t="shared" si="79"/>
        <v>1.3773926267651398E-13</v>
      </c>
    </row>
    <row r="365" spans="1:23" x14ac:dyDescent="0.4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10" t="s">
        <v>1105</v>
      </c>
      <c r="F365" s="10" t="s">
        <v>1106</v>
      </c>
      <c r="G365" s="10" t="s">
        <v>1107</v>
      </c>
      <c r="H365" s="10">
        <v>27.2945121973281</v>
      </c>
      <c r="I365" s="10">
        <v>82.637812110993394</v>
      </c>
      <c r="J365" s="10">
        <v>88.5736816422055</v>
      </c>
      <c r="K365" s="4">
        <f t="shared" si="80"/>
        <v>27.294512197222222</v>
      </c>
      <c r="L365" s="4">
        <f t="shared" si="81"/>
        <v>82.637812111111089</v>
      </c>
      <c r="M365" s="4">
        <f t="shared" si="82"/>
        <v>88.573680555555541</v>
      </c>
      <c r="N365" s="4">
        <f t="shared" si="83"/>
        <v>88.573681642205486</v>
      </c>
      <c r="O365" s="5">
        <f t="shared" si="71"/>
        <v>27.294512197328398</v>
      </c>
      <c r="P365" s="2">
        <f t="shared" si="72"/>
        <v>3.8900274251993193E-12</v>
      </c>
      <c r="Q365" s="2">
        <f t="shared" si="73"/>
        <v>1.0933624563858504E-14</v>
      </c>
      <c r="R365" s="6">
        <f t="shared" si="74"/>
        <v>82.637812111003953</v>
      </c>
      <c r="S365" s="2">
        <f t="shared" si="75"/>
        <v>1.2964480902986413E-12</v>
      </c>
      <c r="T365" s="2">
        <f t="shared" si="76"/>
        <v>1.2777038481141564E-13</v>
      </c>
      <c r="U365" s="6">
        <f t="shared" si="77"/>
        <v>88.573681642211042</v>
      </c>
      <c r="V365" s="2">
        <f t="shared" si="78"/>
        <v>1.2268379215644753E-8</v>
      </c>
      <c r="W365" s="2">
        <f t="shared" si="79"/>
        <v>6.2732451566022854E-14</v>
      </c>
    </row>
    <row r="366" spans="1:23" x14ac:dyDescent="0.4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10" t="s">
        <v>1108</v>
      </c>
      <c r="F366" s="10" t="s">
        <v>1109</v>
      </c>
      <c r="G366" s="10" t="s">
        <v>1110</v>
      </c>
      <c r="H366" s="10">
        <v>-70.595484007553395</v>
      </c>
      <c r="I366" s="10">
        <v>155.718056089822</v>
      </c>
      <c r="J366" s="10">
        <v>64.641428326908098</v>
      </c>
      <c r="K366" s="4">
        <f t="shared" si="80"/>
        <v>-70.595484008333329</v>
      </c>
      <c r="L366" s="4">
        <f t="shared" si="81"/>
        <v>155.71805608888894</v>
      </c>
      <c r="M366" s="4">
        <f t="shared" si="82"/>
        <v>64.641427777777778</v>
      </c>
      <c r="N366" s="4">
        <f t="shared" si="83"/>
        <v>64.641428326908112</v>
      </c>
      <c r="O366" s="5">
        <f t="shared" si="71"/>
        <v>-70.595484007547284</v>
      </c>
      <c r="P366" s="2">
        <f t="shared" si="72"/>
        <v>1.1134494194687879E-11</v>
      </c>
      <c r="Q366" s="2">
        <f t="shared" si="73"/>
        <v>8.6558901230609136E-14</v>
      </c>
      <c r="R366" s="6">
        <f t="shared" si="74"/>
        <v>155.71805608985989</v>
      </c>
      <c r="S366" s="2">
        <f t="shared" si="75"/>
        <v>6.2352591725600282E-12</v>
      </c>
      <c r="T366" s="2">
        <f t="shared" si="76"/>
        <v>2.4329958658663761E-13</v>
      </c>
      <c r="U366" s="6">
        <f t="shared" si="77"/>
        <v>64.641428326872287</v>
      </c>
      <c r="V366" s="2">
        <f t="shared" si="78"/>
        <v>8.494467517272805E-9</v>
      </c>
      <c r="W366" s="2">
        <f t="shared" si="79"/>
        <v>5.5421988134057433E-13</v>
      </c>
    </row>
    <row r="367" spans="1:23" x14ac:dyDescent="0.45">
      <c r="A367">
        <v>70.229839999999996</v>
      </c>
      <c r="B367">
        <v>165.31209000000001</v>
      </c>
      <c r="C367">
        <v>235.96164999999999</v>
      </c>
      <c r="D367">
        <v>5521.8651</v>
      </c>
      <c r="E367" s="10" t="s">
        <v>1111</v>
      </c>
      <c r="F367" s="10" t="s">
        <v>1112</v>
      </c>
      <c r="G367" s="10" t="s">
        <v>1113</v>
      </c>
      <c r="H367" s="10">
        <v>70.202094695606505</v>
      </c>
      <c r="I367" s="10">
        <v>165.191090825305</v>
      </c>
      <c r="J367" s="10">
        <v>-124.15220722267399</v>
      </c>
      <c r="K367" s="4">
        <f t="shared" si="80"/>
        <v>70.20209469444444</v>
      </c>
      <c r="L367" s="4">
        <f t="shared" si="81"/>
        <v>165.19109082499995</v>
      </c>
      <c r="M367" s="4">
        <f t="shared" si="82"/>
        <v>235.84779166666667</v>
      </c>
      <c r="N367" s="4">
        <f t="shared" si="83"/>
        <v>235.84779277732599</v>
      </c>
      <c r="O367" s="5">
        <f t="shared" si="71"/>
        <v>70.202094695606476</v>
      </c>
      <c r="P367" s="2">
        <f t="shared" si="72"/>
        <v>1.6552722621377034E-11</v>
      </c>
      <c r="Q367" s="2">
        <f t="shared" si="73"/>
        <v>4.0485557523090175E-16</v>
      </c>
      <c r="R367" s="6">
        <f t="shared" si="74"/>
        <v>165.19109082530542</v>
      </c>
      <c r="S367" s="2">
        <f t="shared" si="75"/>
        <v>1.8492312837960364E-12</v>
      </c>
      <c r="T367" s="2">
        <f t="shared" si="76"/>
        <v>2.5808028709424378E-15</v>
      </c>
      <c r="U367" s="6">
        <f t="shared" si="77"/>
        <v>235.84779277732645</v>
      </c>
      <c r="V367" s="2">
        <f t="shared" si="78"/>
        <v>4.709222728715283E-9</v>
      </c>
      <c r="W367" s="2">
        <f t="shared" si="79"/>
        <v>1.9281390999313296E-15</v>
      </c>
    </row>
    <row r="368" spans="1:23" x14ac:dyDescent="0.45">
      <c r="A368">
        <v>-42.106540000000003</v>
      </c>
      <c r="B368">
        <v>-176.0924</v>
      </c>
      <c r="C368">
        <v>162.23258999999999</v>
      </c>
      <c r="D368">
        <v>2561.4078</v>
      </c>
      <c r="E368" s="10" t="s">
        <v>1114</v>
      </c>
      <c r="F368" s="10" t="s">
        <v>1115</v>
      </c>
      <c r="G368" s="10" t="s">
        <v>1116</v>
      </c>
      <c r="H368" s="10">
        <v>-42.128499765606698</v>
      </c>
      <c r="I368" s="10">
        <v>-176.08294684979899</v>
      </c>
      <c r="J368" s="10">
        <v>162.22625021190299</v>
      </c>
      <c r="K368" s="4">
        <f t="shared" si="80"/>
        <v>-42.128499766666664</v>
      </c>
      <c r="L368" s="4">
        <f t="shared" si="81"/>
        <v>-176.08294684999998</v>
      </c>
      <c r="M368" s="4">
        <f t="shared" si="82"/>
        <v>162.22624999999994</v>
      </c>
      <c r="N368" s="4">
        <f t="shared" si="83"/>
        <v>162.22625021190299</v>
      </c>
      <c r="O368" s="5">
        <f t="shared" si="71"/>
        <v>-42.128499765606726</v>
      </c>
      <c r="P368" s="2">
        <f t="shared" si="72"/>
        <v>2.5159640649109205E-11</v>
      </c>
      <c r="Q368" s="2">
        <f t="shared" si="73"/>
        <v>6.7464328396538866E-16</v>
      </c>
      <c r="R368" s="6">
        <f t="shared" si="74"/>
        <v>-176.0829468497993</v>
      </c>
      <c r="S368" s="2">
        <f t="shared" si="75"/>
        <v>1.1397224653392533E-12</v>
      </c>
      <c r="T368" s="2">
        <f t="shared" si="76"/>
        <v>1.7755200564716183E-15</v>
      </c>
      <c r="U368" s="6">
        <f t="shared" si="77"/>
        <v>162.22625021190274</v>
      </c>
      <c r="V368" s="2">
        <f t="shared" si="78"/>
        <v>1.3062177118922003E-9</v>
      </c>
      <c r="W368" s="2">
        <f t="shared" si="79"/>
        <v>1.5767817140537446E-15</v>
      </c>
    </row>
    <row r="369" spans="1:23" x14ac:dyDescent="0.4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10" t="s">
        <v>1117</v>
      </c>
      <c r="F369" s="10" t="s">
        <v>1118</v>
      </c>
      <c r="G369" s="10" t="s">
        <v>1119</v>
      </c>
      <c r="H369" s="10">
        <v>67.971683355565204</v>
      </c>
      <c r="I369" s="10">
        <v>158.41130194523899</v>
      </c>
      <c r="J369" s="10">
        <v>-36.272197923081599</v>
      </c>
      <c r="K369" s="4">
        <f t="shared" si="80"/>
        <v>67.971683355555555</v>
      </c>
      <c r="L369" s="4">
        <f t="shared" si="81"/>
        <v>158.4113019444444</v>
      </c>
      <c r="M369" s="4">
        <f t="shared" si="82"/>
        <v>323.72780277777781</v>
      </c>
      <c r="N369" s="4">
        <f t="shared" si="83"/>
        <v>323.72780207691841</v>
      </c>
      <c r="O369" s="5">
        <f t="shared" si="71"/>
        <v>67.971683355564991</v>
      </c>
      <c r="P369" s="2">
        <f t="shared" si="72"/>
        <v>1.3882262532082626E-13</v>
      </c>
      <c r="Q369" s="2">
        <f t="shared" si="73"/>
        <v>3.1360532828495454E-15</v>
      </c>
      <c r="R369" s="6">
        <f t="shared" si="74"/>
        <v>158.41130194523905</v>
      </c>
      <c r="S369" s="2">
        <f t="shared" si="75"/>
        <v>5.0163249983473439E-12</v>
      </c>
      <c r="T369" s="2">
        <f t="shared" si="76"/>
        <v>3.5883436448529504E-16</v>
      </c>
      <c r="U369" s="6">
        <f t="shared" si="77"/>
        <v>323.72780207691829</v>
      </c>
      <c r="V369" s="2">
        <f t="shared" si="78"/>
        <v>2.1649654746573735E-9</v>
      </c>
      <c r="W369" s="2">
        <f t="shared" si="79"/>
        <v>3.5118033419509579E-16</v>
      </c>
    </row>
    <row r="370" spans="1:23" x14ac:dyDescent="0.4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10" t="s">
        <v>1120</v>
      </c>
      <c r="F370" s="10" t="s">
        <v>1121</v>
      </c>
      <c r="G370" s="10" t="s">
        <v>1122</v>
      </c>
      <c r="H370" s="10">
        <v>87.493199829088098</v>
      </c>
      <c r="I370" s="10">
        <v>13.6121140483049</v>
      </c>
      <c r="J370" s="10">
        <v>-113.25214874720599</v>
      </c>
      <c r="K370" s="4">
        <f t="shared" si="80"/>
        <v>87.493199827777772</v>
      </c>
      <c r="L370" s="4">
        <f t="shared" si="81"/>
        <v>13.612114047222235</v>
      </c>
      <c r="M370" s="4">
        <f t="shared" si="82"/>
        <v>246.74785</v>
      </c>
      <c r="N370" s="4">
        <f t="shared" si="83"/>
        <v>246.74785125279402</v>
      </c>
      <c r="O370" s="5">
        <f t="shared" si="71"/>
        <v>87.493199829088098</v>
      </c>
      <c r="P370" s="2">
        <f t="shared" si="72"/>
        <v>1.4976318987637564E-11</v>
      </c>
      <c r="Q370" s="2">
        <f t="shared" si="73"/>
        <v>0</v>
      </c>
      <c r="R370" s="6">
        <f t="shared" si="74"/>
        <v>13.612114048311474</v>
      </c>
      <c r="S370" s="2">
        <f t="shared" si="75"/>
        <v>8.0019820396935152E-11</v>
      </c>
      <c r="T370" s="2">
        <f t="shared" si="76"/>
        <v>4.8297396269898407E-13</v>
      </c>
      <c r="U370" s="6">
        <f t="shared" si="77"/>
        <v>246.74785125280013</v>
      </c>
      <c r="V370" s="2">
        <f t="shared" si="78"/>
        <v>5.0772484221396309E-9</v>
      </c>
      <c r="W370" s="2">
        <f t="shared" si="79"/>
        <v>2.476482569761656E-14</v>
      </c>
    </row>
    <row r="371" spans="1:23" x14ac:dyDescent="0.45">
      <c r="A371">
        <v>-89.259979999999999</v>
      </c>
      <c r="B371">
        <v>-12.74414</v>
      </c>
      <c r="C371">
        <v>199.65513000000001</v>
      </c>
      <c r="D371">
        <v>11243.4959</v>
      </c>
      <c r="E371" s="10" t="s">
        <v>1123</v>
      </c>
      <c r="F371" s="10" t="s">
        <v>1124</v>
      </c>
      <c r="G371" s="10" t="s">
        <v>1125</v>
      </c>
      <c r="H371" s="10">
        <v>-89.353890573513993</v>
      </c>
      <c r="I371" s="10">
        <v>-15.748125922898</v>
      </c>
      <c r="J371" s="10">
        <v>-157.34110273643901</v>
      </c>
      <c r="K371" s="4">
        <f t="shared" si="80"/>
        <v>-89.353890572222227</v>
      </c>
      <c r="L371" s="4">
        <f t="shared" si="81"/>
        <v>-15.748125922222243</v>
      </c>
      <c r="M371" s="4">
        <f t="shared" si="82"/>
        <v>202.65889722222221</v>
      </c>
      <c r="N371" s="4">
        <f t="shared" si="83"/>
        <v>202.65889726356099</v>
      </c>
      <c r="O371" s="5">
        <f t="shared" si="71"/>
        <v>-89.353890573513112</v>
      </c>
      <c r="P371" s="2">
        <f t="shared" si="72"/>
        <v>1.4446887677220201E-11</v>
      </c>
      <c r="Q371" s="2">
        <f t="shared" si="73"/>
        <v>9.8604882975704383E-15</v>
      </c>
      <c r="R371" s="6">
        <f t="shared" si="74"/>
        <v>-15.74812592286829</v>
      </c>
      <c r="S371" s="2">
        <f t="shared" si="75"/>
        <v>4.1023724018076128E-11</v>
      </c>
      <c r="T371" s="2">
        <f t="shared" si="76"/>
        <v>1.8865462648968949E-12</v>
      </c>
      <c r="U371" s="6">
        <f t="shared" si="77"/>
        <v>202.65889726353106</v>
      </c>
      <c r="V371" s="2">
        <f t="shared" si="78"/>
        <v>2.0383438386767618E-10</v>
      </c>
      <c r="W371" s="2">
        <f t="shared" si="79"/>
        <v>1.4767701016004999E-13</v>
      </c>
    </row>
    <row r="372" spans="1:23" x14ac:dyDescent="0.45">
      <c r="A372">
        <v>81.874219999999994</v>
      </c>
      <c r="B372">
        <v>57.893509999999999</v>
      </c>
      <c r="C372">
        <v>33.985300000000002</v>
      </c>
      <c r="D372">
        <v>9933.9928</v>
      </c>
      <c r="E372" s="10" t="s">
        <v>1126</v>
      </c>
      <c r="F372" s="10" t="s">
        <v>1127</v>
      </c>
      <c r="G372" s="10" t="s">
        <v>1128</v>
      </c>
      <c r="H372" s="10">
        <v>81.947829116369604</v>
      </c>
      <c r="I372" s="10">
        <v>58.248455761110101</v>
      </c>
      <c r="J372" s="10">
        <v>34.3367144120704</v>
      </c>
      <c r="K372" s="4">
        <f t="shared" si="80"/>
        <v>81.947829116666668</v>
      </c>
      <c r="L372" s="4">
        <f t="shared" si="81"/>
        <v>58.248455761111131</v>
      </c>
      <c r="M372" s="4">
        <f t="shared" si="82"/>
        <v>34.33671388888888</v>
      </c>
      <c r="N372" s="4">
        <f t="shared" si="83"/>
        <v>34.336714412070421</v>
      </c>
      <c r="O372" s="5">
        <f t="shared" si="71"/>
        <v>81.947829116368951</v>
      </c>
      <c r="P372" s="2">
        <f t="shared" si="72"/>
        <v>3.6330115085737127E-12</v>
      </c>
      <c r="Q372" s="2">
        <f t="shared" si="73"/>
        <v>7.9770181095463765E-15</v>
      </c>
      <c r="R372" s="6">
        <f t="shared" si="74"/>
        <v>58.248455761107543</v>
      </c>
      <c r="S372" s="2">
        <f t="shared" si="75"/>
        <v>6.1602333807862949E-14</v>
      </c>
      <c r="T372" s="2">
        <f t="shared" si="76"/>
        <v>4.3914534991744662E-14</v>
      </c>
      <c r="U372" s="6">
        <f t="shared" si="77"/>
        <v>34.336714412067849</v>
      </c>
      <c r="V372" s="2">
        <f t="shared" si="78"/>
        <v>1.5236722136113222E-8</v>
      </c>
      <c r="W372" s="2">
        <f t="shared" si="79"/>
        <v>7.4910041554452482E-14</v>
      </c>
    </row>
    <row r="373" spans="1:23" x14ac:dyDescent="0.45">
      <c r="A373">
        <v>-21.817710000000002</v>
      </c>
      <c r="B373">
        <v>17.49494</v>
      </c>
      <c r="C373">
        <v>353.72638000000001</v>
      </c>
      <c r="D373">
        <v>8854.6332000000002</v>
      </c>
      <c r="E373" s="10" t="s">
        <v>1129</v>
      </c>
      <c r="F373" s="10" t="s">
        <v>1130</v>
      </c>
      <c r="G373" s="10" t="s">
        <v>1131</v>
      </c>
      <c r="H373" s="10">
        <v>-21.738220693523999</v>
      </c>
      <c r="I373" s="10">
        <v>17.485586699880098</v>
      </c>
      <c r="J373" s="10">
        <v>-6.2701498244164</v>
      </c>
      <c r="K373" s="4">
        <f t="shared" si="80"/>
        <v>-21.738220694444443</v>
      </c>
      <c r="L373" s="4">
        <f t="shared" si="81"/>
        <v>17.485586699999999</v>
      </c>
      <c r="M373" s="4">
        <f t="shared" si="82"/>
        <v>353.72985</v>
      </c>
      <c r="N373" s="4">
        <f t="shared" si="83"/>
        <v>353.72985017558358</v>
      </c>
      <c r="O373" s="5">
        <f t="shared" si="71"/>
        <v>-21.738220693523619</v>
      </c>
      <c r="P373" s="2">
        <f t="shared" si="72"/>
        <v>4.2359690732643754E-11</v>
      </c>
      <c r="Q373" s="2">
        <f t="shared" si="73"/>
        <v>1.7487188532633706E-14</v>
      </c>
      <c r="R373" s="6">
        <f t="shared" si="74"/>
        <v>17.485586699880116</v>
      </c>
      <c r="S373" s="2">
        <f t="shared" si="75"/>
        <v>6.8560908154968634E-12</v>
      </c>
      <c r="T373" s="2">
        <f t="shared" si="76"/>
        <v>1.0158977619049129E-15</v>
      </c>
      <c r="U373" s="6">
        <f t="shared" si="77"/>
        <v>353.72985017558324</v>
      </c>
      <c r="V373" s="2">
        <f t="shared" si="78"/>
        <v>4.963766518862286E-10</v>
      </c>
      <c r="W373" s="2">
        <f t="shared" si="79"/>
        <v>9.6418357963161238E-16</v>
      </c>
    </row>
    <row r="374" spans="1:23" x14ac:dyDescent="0.4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10" t="s">
        <v>1132</v>
      </c>
      <c r="F374" s="10" t="s">
        <v>1133</v>
      </c>
      <c r="G374" s="10" t="s">
        <v>1134</v>
      </c>
      <c r="H374" s="10">
        <v>-37.442232861221697</v>
      </c>
      <c r="I374" s="10">
        <v>-81.010909562181098</v>
      </c>
      <c r="J374" s="10">
        <v>5.25970428221303</v>
      </c>
      <c r="K374" s="4">
        <f t="shared" si="80"/>
        <v>-37.442232861111108</v>
      </c>
      <c r="L374" s="4">
        <f t="shared" si="81"/>
        <v>-81.010909561111134</v>
      </c>
      <c r="M374" s="4">
        <f t="shared" si="82"/>
        <v>5.2597055555555698</v>
      </c>
      <c r="N374" s="4">
        <f t="shared" si="83"/>
        <v>5.259704282213022</v>
      </c>
      <c r="O374" s="5">
        <f t="shared" si="71"/>
        <v>-37.442232861230664</v>
      </c>
      <c r="P374" s="2">
        <f t="shared" si="72"/>
        <v>3.19307668328642E-12</v>
      </c>
      <c r="Q374" s="2">
        <f t="shared" si="73"/>
        <v>2.394902397655747E-13</v>
      </c>
      <c r="R374" s="6">
        <f t="shared" si="74"/>
        <v>-81.010909562182178</v>
      </c>
      <c r="S374" s="2">
        <f t="shared" si="75"/>
        <v>1.3220981025616006E-11</v>
      </c>
      <c r="T374" s="2">
        <f t="shared" si="76"/>
        <v>1.333184584881575E-14</v>
      </c>
      <c r="U374" s="6">
        <f t="shared" si="77"/>
        <v>5.2597042822136535</v>
      </c>
      <c r="V374" s="2">
        <f t="shared" si="78"/>
        <v>2.4209376416659922E-7</v>
      </c>
      <c r="W374" s="2">
        <f t="shared" si="79"/>
        <v>1.2006280629546865E-13</v>
      </c>
    </row>
    <row r="375" spans="1:23" x14ac:dyDescent="0.4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10" t="s">
        <v>1135</v>
      </c>
      <c r="F375" s="10" t="s">
        <v>1136</v>
      </c>
      <c r="G375" s="10" t="s">
        <v>1137</v>
      </c>
      <c r="H375" s="10">
        <v>85.489490637580502</v>
      </c>
      <c r="I375" s="10">
        <v>-41.859155421018102</v>
      </c>
      <c r="J375" s="10">
        <v>-58.720493894062201</v>
      </c>
      <c r="K375" s="4">
        <f t="shared" si="80"/>
        <v>85.489490638888896</v>
      </c>
      <c r="L375" s="4">
        <f t="shared" si="81"/>
        <v>-41.859155422222216</v>
      </c>
      <c r="M375" s="4">
        <f t="shared" si="82"/>
        <v>301.27950555555555</v>
      </c>
      <c r="N375" s="4">
        <f t="shared" si="83"/>
        <v>301.2795061059378</v>
      </c>
      <c r="O375" s="5">
        <f t="shared" si="71"/>
        <v>85.489490637579706</v>
      </c>
      <c r="P375" s="2">
        <f t="shared" si="72"/>
        <v>1.5314036751286407E-11</v>
      </c>
      <c r="Q375" s="2">
        <f t="shared" si="73"/>
        <v>9.3088385264221161E-15</v>
      </c>
      <c r="R375" s="6">
        <f t="shared" si="74"/>
        <v>-41.859155421002647</v>
      </c>
      <c r="S375" s="2">
        <f t="shared" si="75"/>
        <v>2.913504665657523E-11</v>
      </c>
      <c r="T375" s="2">
        <f t="shared" si="76"/>
        <v>3.6919771427166312E-13</v>
      </c>
      <c r="U375" s="6">
        <f t="shared" si="77"/>
        <v>301.27950610595286</v>
      </c>
      <c r="V375" s="2">
        <f t="shared" si="78"/>
        <v>1.8268661057487774E-9</v>
      </c>
      <c r="W375" s="2">
        <f t="shared" si="79"/>
        <v>4.9998442286404305E-14</v>
      </c>
    </row>
    <row r="376" spans="1:23" x14ac:dyDescent="0.4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10" t="s">
        <v>1138</v>
      </c>
      <c r="F376" s="10" t="s">
        <v>1139</v>
      </c>
      <c r="G376" s="10" t="s">
        <v>1140</v>
      </c>
      <c r="H376" s="10">
        <v>-84.267575095110104</v>
      </c>
      <c r="I376" s="10">
        <v>176.74147666814599</v>
      </c>
      <c r="J376" s="10">
        <v>-38.048953851191101</v>
      </c>
      <c r="K376" s="4">
        <f t="shared" si="80"/>
        <v>-84.267575094444439</v>
      </c>
      <c r="L376" s="4">
        <f t="shared" si="81"/>
        <v>176.74147666944441</v>
      </c>
      <c r="M376" s="4">
        <f t="shared" si="82"/>
        <v>321.9510472222222</v>
      </c>
      <c r="N376" s="4">
        <f t="shared" si="83"/>
        <v>321.95104614880893</v>
      </c>
      <c r="O376" s="5">
        <f t="shared" si="71"/>
        <v>-84.267575095110345</v>
      </c>
      <c r="P376" s="2">
        <f t="shared" si="72"/>
        <v>7.9022855511544478E-12</v>
      </c>
      <c r="Q376" s="2">
        <f t="shared" si="73"/>
        <v>2.8668741195621846E-15</v>
      </c>
      <c r="R376" s="6">
        <f t="shared" si="74"/>
        <v>176.74147666814835</v>
      </c>
      <c r="S376" s="2">
        <f t="shared" si="75"/>
        <v>7.3330742514946956E-12</v>
      </c>
      <c r="T376" s="2">
        <f t="shared" si="76"/>
        <v>1.3347188940561195E-14</v>
      </c>
      <c r="U376" s="6">
        <f t="shared" si="77"/>
        <v>321.9510461488058</v>
      </c>
      <c r="V376" s="2">
        <f t="shared" si="78"/>
        <v>3.3340981760531533E-9</v>
      </c>
      <c r="W376" s="2">
        <f t="shared" si="79"/>
        <v>9.7107559510752253E-15</v>
      </c>
    </row>
    <row r="377" spans="1:23" x14ac:dyDescent="0.4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10" t="s">
        <v>1141</v>
      </c>
      <c r="F377" s="10" t="s">
        <v>1142</v>
      </c>
      <c r="G377" s="10" t="s">
        <v>1143</v>
      </c>
      <c r="H377" s="10">
        <v>-10.067607598539</v>
      </c>
      <c r="I377" s="10">
        <v>92.757546954058398</v>
      </c>
      <c r="J377" s="10">
        <v>37.933533154134899</v>
      </c>
      <c r="K377" s="4">
        <f t="shared" si="80"/>
        <v>-10.067607597222223</v>
      </c>
      <c r="L377" s="4">
        <f t="shared" si="81"/>
        <v>92.75754695277783</v>
      </c>
      <c r="M377" s="4">
        <f t="shared" si="82"/>
        <v>37.933533333333344</v>
      </c>
      <c r="N377" s="4">
        <f t="shared" si="83"/>
        <v>37.933533154134921</v>
      </c>
      <c r="O377" s="5">
        <f t="shared" si="71"/>
        <v>-10.067607598538206</v>
      </c>
      <c r="P377" s="2">
        <f t="shared" si="72"/>
        <v>1.3071464632436628E-10</v>
      </c>
      <c r="Q377" s="2">
        <f t="shared" si="73"/>
        <v>7.886993006433236E-14</v>
      </c>
      <c r="R377" s="6">
        <f t="shared" si="74"/>
        <v>92.757546954058995</v>
      </c>
      <c r="S377" s="2">
        <f t="shared" si="75"/>
        <v>1.3811980136199086E-11</v>
      </c>
      <c r="T377" s="2">
        <f t="shared" si="76"/>
        <v>6.4345804480372806E-15</v>
      </c>
      <c r="U377" s="6">
        <f t="shared" si="77"/>
        <v>37.933533154134786</v>
      </c>
      <c r="V377" s="2">
        <f t="shared" si="78"/>
        <v>4.7240144133106358E-9</v>
      </c>
      <c r="W377" s="2">
        <f t="shared" si="79"/>
        <v>3.5589387164612982E-15</v>
      </c>
    </row>
    <row r="378" spans="1:23" x14ac:dyDescent="0.45">
      <c r="A378">
        <v>-68.737470000000002</v>
      </c>
      <c r="B378">
        <v>128.52743000000001</v>
      </c>
      <c r="C378">
        <v>270.75546000000003</v>
      </c>
      <c r="D378">
        <v>24197.2647</v>
      </c>
      <c r="E378" s="10" t="s">
        <v>1144</v>
      </c>
      <c r="F378" s="10" t="s">
        <v>1145</v>
      </c>
      <c r="G378" s="10" t="s">
        <v>1146</v>
      </c>
      <c r="H378" s="10">
        <v>-68.733555819561204</v>
      </c>
      <c r="I378" s="10">
        <v>127.92992179008201</v>
      </c>
      <c r="J378" s="10">
        <v>-88.687711756082805</v>
      </c>
      <c r="K378" s="4">
        <f t="shared" si="80"/>
        <v>-68.733555819444447</v>
      </c>
      <c r="L378" s="4">
        <f t="shared" si="81"/>
        <v>127.92992178888892</v>
      </c>
      <c r="M378" s="4">
        <f t="shared" si="82"/>
        <v>271.31228888888887</v>
      </c>
      <c r="N378" s="4">
        <f t="shared" si="83"/>
        <v>271.31228824391718</v>
      </c>
      <c r="O378" s="5">
        <f t="shared" si="71"/>
        <v>-68.733555819561161</v>
      </c>
      <c r="P378" s="2">
        <f t="shared" si="72"/>
        <v>1.6980606980751636E-12</v>
      </c>
      <c r="Q378" s="2">
        <f t="shared" si="73"/>
        <v>6.2025838234711278E-16</v>
      </c>
      <c r="R378" s="6">
        <f t="shared" si="74"/>
        <v>127.92992179008453</v>
      </c>
      <c r="S378" s="2">
        <f t="shared" si="75"/>
        <v>9.3458671270183498E-12</v>
      </c>
      <c r="T378" s="2">
        <f t="shared" si="76"/>
        <v>1.9772795167158956E-14</v>
      </c>
      <c r="U378" s="6">
        <f t="shared" si="77"/>
        <v>271.31228824391468</v>
      </c>
      <c r="V378" s="2">
        <f t="shared" si="78"/>
        <v>2.3772391431514149E-9</v>
      </c>
      <c r="W378" s="2">
        <f t="shared" si="79"/>
        <v>9.2185667153674428E-15</v>
      </c>
    </row>
    <row r="379" spans="1:23" x14ac:dyDescent="0.45">
      <c r="A379">
        <v>-47.171120000000002</v>
      </c>
      <c r="B379">
        <v>99.953890000000001</v>
      </c>
      <c r="C379">
        <v>112.09734</v>
      </c>
      <c r="D379">
        <v>11984.5826</v>
      </c>
      <c r="E379" s="10" t="s">
        <v>1147</v>
      </c>
      <c r="F379" s="10" t="s">
        <v>1148</v>
      </c>
      <c r="G379" s="10" t="s">
        <v>1149</v>
      </c>
      <c r="H379" s="10">
        <v>-47.211578494232199</v>
      </c>
      <c r="I379" s="10">
        <v>100.100470938971</v>
      </c>
      <c r="J379" s="10">
        <v>111.989804191834</v>
      </c>
      <c r="K379" s="4">
        <f t="shared" si="80"/>
        <v>-47.211578494444446</v>
      </c>
      <c r="L379" s="4">
        <f t="shared" si="81"/>
        <v>100.10047093888886</v>
      </c>
      <c r="M379" s="4">
        <f t="shared" si="82"/>
        <v>111.98980555555556</v>
      </c>
      <c r="N379" s="4">
        <f t="shared" si="83"/>
        <v>111.98980419183397</v>
      </c>
      <c r="O379" s="5">
        <f t="shared" si="71"/>
        <v>-47.2115784942524</v>
      </c>
      <c r="P379" s="2">
        <f t="shared" si="72"/>
        <v>4.0677625435429695E-12</v>
      </c>
      <c r="Q379" s="2">
        <f t="shared" si="73"/>
        <v>4.2787660616193031E-13</v>
      </c>
      <c r="R379" s="6">
        <f t="shared" si="74"/>
        <v>100.10047093904404</v>
      </c>
      <c r="S379" s="2">
        <f t="shared" si="75"/>
        <v>1.5502677663199459E-12</v>
      </c>
      <c r="T379" s="2">
        <f t="shared" si="76"/>
        <v>7.2970479110604233E-13</v>
      </c>
      <c r="U379" s="6">
        <f t="shared" si="77"/>
        <v>111.98980419177961</v>
      </c>
      <c r="V379" s="2">
        <f t="shared" si="78"/>
        <v>1.2177679424213757E-8</v>
      </c>
      <c r="W379" s="2">
        <f t="shared" si="79"/>
        <v>4.8537025024650601E-13</v>
      </c>
    </row>
    <row r="380" spans="1:23" x14ac:dyDescent="0.4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10" t="s">
        <v>1150</v>
      </c>
      <c r="F380" s="10" t="s">
        <v>1151</v>
      </c>
      <c r="G380" s="10" t="s">
        <v>1152</v>
      </c>
      <c r="H380" s="10">
        <v>61.903669729606001</v>
      </c>
      <c r="I380" s="10">
        <v>77.744029022011205</v>
      </c>
      <c r="J380" s="10">
        <v>51.827494314978999</v>
      </c>
      <c r="K380" s="4">
        <f t="shared" si="80"/>
        <v>61.903669730555556</v>
      </c>
      <c r="L380" s="4">
        <f t="shared" si="81"/>
        <v>77.744029022222207</v>
      </c>
      <c r="M380" s="4">
        <f t="shared" si="82"/>
        <v>51.827494444444483</v>
      </c>
      <c r="N380" s="4">
        <f t="shared" si="83"/>
        <v>51.827494314978992</v>
      </c>
      <c r="O380" s="5">
        <f t="shared" si="71"/>
        <v>61.90366972960588</v>
      </c>
      <c r="P380" s="2">
        <f t="shared" si="72"/>
        <v>1.5341188941039523E-11</v>
      </c>
      <c r="Q380" s="2">
        <f t="shared" si="73"/>
        <v>1.9512940930131484E-15</v>
      </c>
      <c r="R380" s="6">
        <f t="shared" si="74"/>
        <v>77.744029022010949</v>
      </c>
      <c r="S380" s="2">
        <f t="shared" si="75"/>
        <v>2.7173606623321159E-12</v>
      </c>
      <c r="T380" s="2">
        <f t="shared" si="76"/>
        <v>3.2902254757238559E-15</v>
      </c>
      <c r="U380" s="6">
        <f t="shared" si="77"/>
        <v>51.827494314978928</v>
      </c>
      <c r="V380" s="2">
        <f t="shared" si="78"/>
        <v>2.4980091379883779E-9</v>
      </c>
      <c r="W380" s="2">
        <f t="shared" si="79"/>
        <v>1.2338787947139238E-15</v>
      </c>
    </row>
    <row r="381" spans="1:23" x14ac:dyDescent="0.4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10" t="s">
        <v>1153</v>
      </c>
      <c r="F381" s="10" t="s">
        <v>1154</v>
      </c>
      <c r="G381" s="10" t="s">
        <v>1155</v>
      </c>
      <c r="H381" s="10">
        <v>13.708343207580601</v>
      </c>
      <c r="I381" s="10">
        <v>3.59838896069523</v>
      </c>
      <c r="J381" s="10">
        <v>-156.71526210452899</v>
      </c>
      <c r="K381" s="4">
        <f t="shared" si="80"/>
        <v>13.708343208333334</v>
      </c>
      <c r="L381" s="4">
        <f t="shared" si="81"/>
        <v>3.5983889611111408</v>
      </c>
      <c r="M381" s="4">
        <f t="shared" si="82"/>
        <v>203.28473888888888</v>
      </c>
      <c r="N381" s="4">
        <f t="shared" si="83"/>
        <v>203.28473789547101</v>
      </c>
      <c r="O381" s="5">
        <f t="shared" si="71"/>
        <v>13.708343207601088</v>
      </c>
      <c r="P381" s="2">
        <f t="shared" si="72"/>
        <v>5.3416102332392597E-11</v>
      </c>
      <c r="Q381" s="2">
        <f t="shared" si="73"/>
        <v>1.4944711493270828E-12</v>
      </c>
      <c r="R381" s="6">
        <f t="shared" si="74"/>
        <v>3.5983889607042467</v>
      </c>
      <c r="S381" s="2">
        <f t="shared" si="75"/>
        <v>1.1307673472414627E-10</v>
      </c>
      <c r="T381" s="2">
        <f t="shared" si="76"/>
        <v>2.5057845094804802E-12</v>
      </c>
      <c r="U381" s="6">
        <f t="shared" si="77"/>
        <v>203.2847378954726</v>
      </c>
      <c r="V381" s="2">
        <f t="shared" si="78"/>
        <v>4.8868217282111201E-9</v>
      </c>
      <c r="W381" s="2">
        <f t="shared" si="79"/>
        <v>7.8294895356139967E-15</v>
      </c>
    </row>
    <row r="382" spans="1:23" x14ac:dyDescent="0.45">
      <c r="A382">
        <v>-31.255189999999999</v>
      </c>
      <c r="B382">
        <v>36.001280000000001</v>
      </c>
      <c r="C382">
        <v>285.43349000000001</v>
      </c>
      <c r="D382">
        <v>18201.4208</v>
      </c>
      <c r="E382" s="10" t="s">
        <v>1156</v>
      </c>
      <c r="F382" s="10" t="s">
        <v>1157</v>
      </c>
      <c r="G382" s="10" t="s">
        <v>1158</v>
      </c>
      <c r="H382" s="10">
        <v>-31.211370910034599</v>
      </c>
      <c r="I382" s="10">
        <v>35.817162674411001</v>
      </c>
      <c r="J382" s="10">
        <v>-74.471040724083807</v>
      </c>
      <c r="K382" s="4">
        <f t="shared" si="80"/>
        <v>-31.211370911111111</v>
      </c>
      <c r="L382" s="4">
        <f t="shared" si="81"/>
        <v>35.817162674999963</v>
      </c>
      <c r="M382" s="4">
        <f t="shared" si="82"/>
        <v>285.52895833333332</v>
      </c>
      <c r="N382" s="4">
        <f t="shared" si="83"/>
        <v>285.52895927591618</v>
      </c>
      <c r="O382" s="5">
        <f t="shared" si="71"/>
        <v>-31.211370910032279</v>
      </c>
      <c r="P382" s="2">
        <f t="shared" si="72"/>
        <v>3.4565327156943821E-11</v>
      </c>
      <c r="Q382" s="2">
        <f t="shared" si="73"/>
        <v>7.4329385881312299E-14</v>
      </c>
      <c r="R382" s="6">
        <f t="shared" si="74"/>
        <v>35.817162674402567</v>
      </c>
      <c r="S382" s="2">
        <f t="shared" si="75"/>
        <v>1.667904060236012E-11</v>
      </c>
      <c r="T382" s="2">
        <f t="shared" si="76"/>
        <v>2.3547767728396941E-13</v>
      </c>
      <c r="U382" s="6">
        <f t="shared" si="77"/>
        <v>285.52895927592084</v>
      </c>
      <c r="V382" s="2">
        <f t="shared" si="78"/>
        <v>3.3011976251033002E-9</v>
      </c>
      <c r="W382" s="2">
        <f t="shared" si="79"/>
        <v>1.6324650075448291E-14</v>
      </c>
    </row>
    <row r="383" spans="1:23" x14ac:dyDescent="0.45">
      <c r="A383">
        <v>70.234660000000005</v>
      </c>
      <c r="B383">
        <v>32.877980000000001</v>
      </c>
      <c r="C383">
        <v>219.08575999999999</v>
      </c>
      <c r="D383">
        <v>22871.2582</v>
      </c>
      <c r="E383" s="10" t="s">
        <v>1159</v>
      </c>
      <c r="F383" s="10" t="s">
        <v>1160</v>
      </c>
      <c r="G383" s="10" t="s">
        <v>1161</v>
      </c>
      <c r="H383" s="10">
        <v>70.075131729098402</v>
      </c>
      <c r="I383" s="10">
        <v>32.498995087176397</v>
      </c>
      <c r="J383" s="10">
        <v>-141.270718941203</v>
      </c>
      <c r="K383" s="4">
        <f t="shared" si="80"/>
        <v>70.075131727777773</v>
      </c>
      <c r="L383" s="4">
        <f t="shared" si="81"/>
        <v>32.498995086111108</v>
      </c>
      <c r="M383" s="4">
        <f t="shared" si="82"/>
        <v>218.72928055555556</v>
      </c>
      <c r="N383" s="4">
        <f t="shared" si="83"/>
        <v>218.729281058797</v>
      </c>
      <c r="O383" s="5">
        <f t="shared" si="71"/>
        <v>70.0751317290987</v>
      </c>
      <c r="P383" s="2">
        <f t="shared" si="72"/>
        <v>1.8850158892585301E-11</v>
      </c>
      <c r="Q383" s="2">
        <f t="shared" si="73"/>
        <v>4.2586855230315773E-15</v>
      </c>
      <c r="R383" s="6">
        <f t="shared" si="74"/>
        <v>32.49899508717742</v>
      </c>
      <c r="S383" s="2">
        <f t="shared" si="75"/>
        <v>3.2810598627121402E-11</v>
      </c>
      <c r="T383" s="2">
        <f t="shared" si="76"/>
        <v>3.1483482389222424E-14</v>
      </c>
      <c r="U383" s="6">
        <f t="shared" si="77"/>
        <v>218.72928105879799</v>
      </c>
      <c r="V383" s="2">
        <f t="shared" si="78"/>
        <v>2.3007547564568083E-9</v>
      </c>
      <c r="W383" s="2">
        <f t="shared" si="79"/>
        <v>4.5479042643437257E-15</v>
      </c>
    </row>
    <row r="384" spans="1:23" x14ac:dyDescent="0.4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10" t="s">
        <v>1162</v>
      </c>
      <c r="F384" s="10" t="s">
        <v>1163</v>
      </c>
      <c r="G384" s="10" t="s">
        <v>1164</v>
      </c>
      <c r="H384" s="10">
        <v>-65.129681897135598</v>
      </c>
      <c r="I384" s="10">
        <v>-7.29067656139636</v>
      </c>
      <c r="J384" s="10">
        <v>-100.505611343097</v>
      </c>
      <c r="K384" s="4">
        <f t="shared" si="80"/>
        <v>-65.129681897222227</v>
      </c>
      <c r="L384" s="4">
        <f t="shared" si="81"/>
        <v>-7.2906765611111268</v>
      </c>
      <c r="M384" s="4">
        <f t="shared" si="82"/>
        <v>259.49438888888892</v>
      </c>
      <c r="N384" s="4">
        <f t="shared" si="83"/>
        <v>259.49438865690297</v>
      </c>
      <c r="O384" s="5">
        <f t="shared" si="71"/>
        <v>-65.12968189713537</v>
      </c>
      <c r="P384" s="2">
        <f t="shared" si="72"/>
        <v>1.3335969329065475E-12</v>
      </c>
      <c r="Q384" s="2">
        <f t="shared" si="73"/>
        <v>3.4910914474039824E-15</v>
      </c>
      <c r="R384" s="6">
        <f t="shared" si="74"/>
        <v>-7.2906765613945801</v>
      </c>
      <c r="S384" s="2">
        <f t="shared" si="75"/>
        <v>3.8878869263663864E-11</v>
      </c>
      <c r="T384" s="2">
        <f t="shared" si="76"/>
        <v>2.4413503165173338E-13</v>
      </c>
      <c r="U384" s="6">
        <f t="shared" si="77"/>
        <v>259.49438865690206</v>
      </c>
      <c r="V384" s="2">
        <f t="shared" si="78"/>
        <v>8.9399566956969006E-10</v>
      </c>
      <c r="W384" s="2">
        <f t="shared" si="79"/>
        <v>3.5048723268364754E-15</v>
      </c>
    </row>
    <row r="385" spans="1:23" x14ac:dyDescent="0.45">
      <c r="A385">
        <v>-7.7777599999999998</v>
      </c>
      <c r="B385">
        <v>133.24248</v>
      </c>
      <c r="C385">
        <v>34.366959999999999</v>
      </c>
      <c r="D385">
        <v>8216.3669000000009</v>
      </c>
      <c r="E385" s="10" t="s">
        <v>1165</v>
      </c>
      <c r="F385" s="10" t="s">
        <v>1166</v>
      </c>
      <c r="G385" s="10" t="s">
        <v>1167</v>
      </c>
      <c r="H385" s="10">
        <v>-7.7164337733979496</v>
      </c>
      <c r="I385" s="10">
        <v>133.284522641211</v>
      </c>
      <c r="J385" s="10">
        <v>34.361292620458201</v>
      </c>
      <c r="K385" s="4">
        <f t="shared" si="80"/>
        <v>-7.7164337722222225</v>
      </c>
      <c r="L385" s="4">
        <f t="shared" si="81"/>
        <v>133.28452264166663</v>
      </c>
      <c r="M385" s="4">
        <f t="shared" si="82"/>
        <v>34.361291666666659</v>
      </c>
      <c r="N385" s="4">
        <f t="shared" si="83"/>
        <v>34.361292620458187</v>
      </c>
      <c r="O385" s="5">
        <f t="shared" si="71"/>
        <v>-7.7164337733976218</v>
      </c>
      <c r="P385" s="2">
        <f t="shared" si="72"/>
        <v>1.5232416529651534E-10</v>
      </c>
      <c r="Q385" s="2">
        <f t="shared" si="73"/>
        <v>4.2472707794008071E-14</v>
      </c>
      <c r="R385" s="6">
        <f t="shared" si="74"/>
        <v>133.28452264121125</v>
      </c>
      <c r="S385" s="2">
        <f t="shared" si="75"/>
        <v>3.4165454433009843E-12</v>
      </c>
      <c r="T385" s="2">
        <f t="shared" si="76"/>
        <v>1.9191679559239777E-15</v>
      </c>
      <c r="U385" s="6">
        <f t="shared" si="77"/>
        <v>34.36129262045813</v>
      </c>
      <c r="V385" s="2">
        <f t="shared" si="78"/>
        <v>2.7757730412031629E-8</v>
      </c>
      <c r="W385" s="2">
        <f t="shared" si="79"/>
        <v>1.6542863939572609E-15</v>
      </c>
    </row>
    <row r="386" spans="1:23" x14ac:dyDescent="0.4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10" t="s">
        <v>1168</v>
      </c>
      <c r="F386" s="10" t="s">
        <v>1169</v>
      </c>
      <c r="G386" s="10" t="s">
        <v>1170</v>
      </c>
      <c r="H386" s="10">
        <v>-70.383669216330901</v>
      </c>
      <c r="I386" s="10">
        <v>41.997957177253497</v>
      </c>
      <c r="J386" s="10">
        <v>162.286654182766</v>
      </c>
      <c r="K386" s="4">
        <f t="shared" si="80"/>
        <v>-70.383669216666661</v>
      </c>
      <c r="L386" s="4">
        <f t="shared" si="81"/>
        <v>41.997957177777835</v>
      </c>
      <c r="M386" s="4">
        <f t="shared" si="82"/>
        <v>162.28665555555563</v>
      </c>
      <c r="N386" s="4">
        <f t="shared" si="83"/>
        <v>162.28665418276603</v>
      </c>
      <c r="O386" s="5">
        <f t="shared" si="71"/>
        <v>-70.383669216330674</v>
      </c>
      <c r="P386" s="2">
        <f t="shared" si="72"/>
        <v>4.7736533455968238E-12</v>
      </c>
      <c r="Q386" s="2">
        <f t="shared" si="73"/>
        <v>3.2304890889444461E-15</v>
      </c>
      <c r="R386" s="6">
        <f t="shared" si="74"/>
        <v>41.997957177253319</v>
      </c>
      <c r="S386" s="2">
        <f t="shared" si="75"/>
        <v>1.2489072739668457E-11</v>
      </c>
      <c r="T386" s="2">
        <f t="shared" si="76"/>
        <v>4.2296267694714031E-15</v>
      </c>
      <c r="U386" s="6">
        <f t="shared" si="77"/>
        <v>162.28665418276566</v>
      </c>
      <c r="V386" s="2">
        <f t="shared" si="78"/>
        <v>8.4590440436168042E-9</v>
      </c>
      <c r="W386" s="2">
        <f t="shared" si="79"/>
        <v>2.2767258617528953E-15</v>
      </c>
    </row>
    <row r="387" spans="1:23" x14ac:dyDescent="0.45">
      <c r="A387">
        <v>-51.177599999999998</v>
      </c>
      <c r="B387">
        <v>123.76352</v>
      </c>
      <c r="C387">
        <v>73.117620000000002</v>
      </c>
      <c r="D387">
        <v>8746.3081999999995</v>
      </c>
      <c r="E387" s="10" t="s">
        <v>1171</v>
      </c>
      <c r="F387" s="10" t="s">
        <v>1172</v>
      </c>
      <c r="G387" s="10" t="s">
        <v>1173</v>
      </c>
      <c r="H387" s="10">
        <v>-51.154707684549301</v>
      </c>
      <c r="I387" s="10">
        <v>123.883144014481</v>
      </c>
      <c r="J387" s="10">
        <v>73.024436744088106</v>
      </c>
      <c r="K387" s="4">
        <f t="shared" si="80"/>
        <v>-51.154707683333335</v>
      </c>
      <c r="L387" s="4">
        <f t="shared" si="81"/>
        <v>123.88314401388891</v>
      </c>
      <c r="M387" s="4">
        <f t="shared" si="82"/>
        <v>73.024436111111072</v>
      </c>
      <c r="N387" s="4">
        <f t="shared" si="83"/>
        <v>73.024436744088121</v>
      </c>
      <c r="O387" s="5">
        <f t="shared" si="71"/>
        <v>-51.154707684549166</v>
      </c>
      <c r="P387" s="2">
        <f t="shared" si="72"/>
        <v>2.3767724350369203E-11</v>
      </c>
      <c r="Q387" s="2">
        <f t="shared" si="73"/>
        <v>2.6391142849829086E-15</v>
      </c>
      <c r="R387" s="6">
        <f t="shared" si="74"/>
        <v>123.88314401448103</v>
      </c>
      <c r="S387" s="2">
        <f t="shared" si="75"/>
        <v>4.7796953179678513E-12</v>
      </c>
      <c r="T387" s="2">
        <f t="shared" si="76"/>
        <v>2.2942353987304136E-16</v>
      </c>
      <c r="U387" s="6">
        <f t="shared" si="77"/>
        <v>73.024436744087865</v>
      </c>
      <c r="V387" s="2">
        <f t="shared" si="78"/>
        <v>8.6680134276571126E-9</v>
      </c>
      <c r="W387" s="2">
        <f t="shared" si="79"/>
        <v>3.5028737814173505E-15</v>
      </c>
    </row>
    <row r="388" spans="1:23" x14ac:dyDescent="0.45">
      <c r="A388">
        <v>54.591160000000002</v>
      </c>
      <c r="B388">
        <v>49.19435</v>
      </c>
      <c r="C388">
        <v>1.57955</v>
      </c>
      <c r="D388">
        <v>14926.705900000001</v>
      </c>
      <c r="E388" s="10" t="s">
        <v>1174</v>
      </c>
      <c r="F388" s="10" t="s">
        <v>1175</v>
      </c>
      <c r="G388" s="10" t="s">
        <v>1176</v>
      </c>
      <c r="H388" s="10">
        <v>54.725200493337603</v>
      </c>
      <c r="I388" s="10">
        <v>49.200735959108897</v>
      </c>
      <c r="J388" s="10">
        <v>1.58475913002955</v>
      </c>
      <c r="K388" s="4">
        <f t="shared" si="80"/>
        <v>54.725200494444444</v>
      </c>
      <c r="L388" s="4">
        <f t="shared" si="81"/>
        <v>49.200735958333325</v>
      </c>
      <c r="M388" s="4">
        <f t="shared" si="82"/>
        <v>1.5847583333332977</v>
      </c>
      <c r="N388" s="4">
        <f t="shared" si="83"/>
        <v>1.5847591300295676</v>
      </c>
      <c r="O388" s="5">
        <f t="shared" si="71"/>
        <v>54.725200493360674</v>
      </c>
      <c r="P388" s="2">
        <f t="shared" si="72"/>
        <v>1.9803847382575224E-11</v>
      </c>
      <c r="Q388" s="2">
        <f t="shared" si="73"/>
        <v>4.2158498136410155E-13</v>
      </c>
      <c r="R388" s="6">
        <f t="shared" si="74"/>
        <v>49.200735959109998</v>
      </c>
      <c r="S388" s="2">
        <f t="shared" si="75"/>
        <v>1.578579940013569E-11</v>
      </c>
      <c r="T388" s="2">
        <f t="shared" si="76"/>
        <v>2.2384649720351508E-14</v>
      </c>
      <c r="U388" s="6">
        <f t="shared" si="77"/>
        <v>1.5847591300304578</v>
      </c>
      <c r="V388" s="2">
        <f t="shared" si="78"/>
        <v>5.0272470146648656E-7</v>
      </c>
      <c r="W388" s="2">
        <f t="shared" si="79"/>
        <v>5.6171111702498418E-13</v>
      </c>
    </row>
    <row r="389" spans="1:23" x14ac:dyDescent="0.45">
      <c r="A389">
        <v>19.514759999999999</v>
      </c>
      <c r="B389">
        <v>1.95926</v>
      </c>
      <c r="C389">
        <v>327.70679999999999</v>
      </c>
      <c r="D389">
        <v>22339.502799999998</v>
      </c>
      <c r="E389" s="10" t="s">
        <v>1177</v>
      </c>
      <c r="F389" s="10" t="s">
        <v>1178</v>
      </c>
      <c r="G389" s="10" t="s">
        <v>1179</v>
      </c>
      <c r="H389" s="10">
        <v>19.6853136334101</v>
      </c>
      <c r="I389" s="10">
        <v>1.84543536265519</v>
      </c>
      <c r="J389" s="10">
        <v>-32.331382775846798</v>
      </c>
      <c r="K389" s="4">
        <f t="shared" si="80"/>
        <v>19.685313633333333</v>
      </c>
      <c r="L389" s="4">
        <f t="shared" si="81"/>
        <v>1.8454353638888961</v>
      </c>
      <c r="M389" s="4">
        <f t="shared" si="82"/>
        <v>327.66861666666671</v>
      </c>
      <c r="N389" s="4">
        <f t="shared" si="83"/>
        <v>327.66861722415319</v>
      </c>
      <c r="O389" s="5">
        <f t="shared" ref="O389:O452" si="84">vincentyDirLat(A389, $B389, $C389, $D389)</f>
        <v>19.685313633411059</v>
      </c>
      <c r="P389" s="2">
        <f t="shared" ref="P389:P452" si="85">ABS((K389-O389)/K389)</f>
        <v>3.948439497208859E-12</v>
      </c>
      <c r="Q389" s="2">
        <f t="shared" ref="Q389:Q452" si="86">ABS((H389-O389)/H389)</f>
        <v>4.8728341907040612E-14</v>
      </c>
      <c r="R389" s="6">
        <f t="shared" ref="R389:R452" si="87">VincentyDirLon($A389, $B389, $C389, $D389)</f>
        <v>1.8454353626547366</v>
      </c>
      <c r="S389" s="2">
        <f t="shared" ref="S389:S452" si="88">ABS((L389-R389)/L389)</f>
        <v>6.6876329860145357E-10</v>
      </c>
      <c r="T389" s="2">
        <f t="shared" ref="T389:T452" si="89">ABS((I389-R389)/I389)</f>
        <v>2.4569545616842729E-13</v>
      </c>
      <c r="U389" s="6">
        <f t="shared" ref="U389:U452" si="90">VincentyDirRevAzimuth($A389, $B389, $C389, $D389)</f>
        <v>327.66861722415263</v>
      </c>
      <c r="V389" s="2">
        <f t="shared" ref="V389:V452" si="91">ABS((M389-U389)/M389)</f>
        <v>1.7013711121713457E-9</v>
      </c>
      <c r="W389" s="2">
        <f t="shared" ref="W389:W452" si="92">ABS((N389-U389)/N389)</f>
        <v>1.7347837379837412E-15</v>
      </c>
    </row>
    <row r="390" spans="1:23" x14ac:dyDescent="0.45">
      <c r="A390">
        <v>65.420969999999997</v>
      </c>
      <c r="B390">
        <v>-170.35336000000001</v>
      </c>
      <c r="C390">
        <v>213.65719000000001</v>
      </c>
      <c r="D390">
        <v>12379.651</v>
      </c>
      <c r="E390" s="10" t="s">
        <v>1180</v>
      </c>
      <c r="F390" s="10" t="s">
        <v>1181</v>
      </c>
      <c r="G390" s="10" t="s">
        <v>1182</v>
      </c>
      <c r="H390" s="10">
        <v>65.328480213822502</v>
      </c>
      <c r="I390" s="10">
        <v>-170.50060801928001</v>
      </c>
      <c r="J390" s="10">
        <v>-146.476666219789</v>
      </c>
      <c r="K390" s="4">
        <f t="shared" si="80"/>
        <v>65.328480213888895</v>
      </c>
      <c r="L390" s="4">
        <f t="shared" si="81"/>
        <v>-170.50060801944448</v>
      </c>
      <c r="M390" s="4">
        <f t="shared" si="82"/>
        <v>213.52333333333334</v>
      </c>
      <c r="N390" s="4">
        <f t="shared" si="83"/>
        <v>213.523333780211</v>
      </c>
      <c r="O390" s="5">
        <f t="shared" si="84"/>
        <v>65.328480213822417</v>
      </c>
      <c r="P390" s="2">
        <f t="shared" si="85"/>
        <v>1.017601789297122E-12</v>
      </c>
      <c r="Q390" s="2">
        <f t="shared" si="86"/>
        <v>1.3051754458719405E-15</v>
      </c>
      <c r="R390" s="6">
        <f t="shared" si="87"/>
        <v>-170.50060801928015</v>
      </c>
      <c r="S390" s="2">
        <f t="shared" si="88"/>
        <v>9.6383423986297285E-13</v>
      </c>
      <c r="T390" s="2">
        <f t="shared" si="89"/>
        <v>8.3347824270486216E-16</v>
      </c>
      <c r="U390" s="6">
        <f t="shared" si="90"/>
        <v>213.52333378021058</v>
      </c>
      <c r="V390" s="2">
        <f t="shared" si="91"/>
        <v>2.0928730853925634E-9</v>
      </c>
      <c r="W390" s="2">
        <f t="shared" si="92"/>
        <v>1.9966231976075078E-15</v>
      </c>
    </row>
    <row r="391" spans="1:23" x14ac:dyDescent="0.4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10" t="s">
        <v>1183</v>
      </c>
      <c r="F391" s="10" t="s">
        <v>1184</v>
      </c>
      <c r="G391" s="10" t="s">
        <v>1185</v>
      </c>
      <c r="H391" s="10">
        <v>27.296289186195601</v>
      </c>
      <c r="I391" s="10">
        <v>65.774845730066104</v>
      </c>
      <c r="J391" s="10">
        <v>38.043362479101397</v>
      </c>
      <c r="K391" s="4">
        <f t="shared" si="80"/>
        <v>27.29628918611111</v>
      </c>
      <c r="L391" s="4">
        <f t="shared" si="81"/>
        <v>65.774845730555512</v>
      </c>
      <c r="M391" s="4">
        <f t="shared" si="82"/>
        <v>38.043361111111153</v>
      </c>
      <c r="N391" s="4">
        <f t="shared" si="83"/>
        <v>38.043362479101404</v>
      </c>
      <c r="O391" s="5">
        <f t="shared" si="84"/>
        <v>27.296289186188936</v>
      </c>
      <c r="P391" s="2">
        <f t="shared" si="85"/>
        <v>2.8511474697961161E-12</v>
      </c>
      <c r="Q391" s="2">
        <f t="shared" si="86"/>
        <v>2.4416838552547054E-13</v>
      </c>
      <c r="R391" s="6">
        <f t="shared" si="87"/>
        <v>65.774845730060065</v>
      </c>
      <c r="S391" s="2">
        <f t="shared" si="88"/>
        <v>7.5324728365063139E-12</v>
      </c>
      <c r="T391" s="2">
        <f t="shared" si="89"/>
        <v>9.1822537733450064E-14</v>
      </c>
      <c r="U391" s="6">
        <f t="shared" si="90"/>
        <v>38.043362479098683</v>
      </c>
      <c r="V391" s="2">
        <f t="shared" si="91"/>
        <v>3.5958640076032485E-8</v>
      </c>
      <c r="W391" s="2">
        <f t="shared" si="92"/>
        <v>7.1533600097944435E-14</v>
      </c>
    </row>
    <row r="392" spans="1:23" x14ac:dyDescent="0.45">
      <c r="A392">
        <v>-33.65849</v>
      </c>
      <c r="B392">
        <v>65.295010000000005</v>
      </c>
      <c r="C392">
        <v>105.4221</v>
      </c>
      <c r="D392">
        <v>15742.0088</v>
      </c>
      <c r="E392" s="10" t="s">
        <v>1186</v>
      </c>
      <c r="F392" s="10" t="s">
        <v>1187</v>
      </c>
      <c r="G392" s="10" t="s">
        <v>1188</v>
      </c>
      <c r="H392" s="10">
        <v>-33.696123896339103</v>
      </c>
      <c r="I392" s="10">
        <v>65.458690171258894</v>
      </c>
      <c r="J392" s="10">
        <v>105.331336862743</v>
      </c>
      <c r="K392" s="4">
        <f t="shared" si="80"/>
        <v>-33.696123897222222</v>
      </c>
      <c r="L392" s="4">
        <f t="shared" si="81"/>
        <v>65.458690172222191</v>
      </c>
      <c r="M392" s="4">
        <f t="shared" si="82"/>
        <v>105.33133611111111</v>
      </c>
      <c r="N392" s="4">
        <f t="shared" si="83"/>
        <v>105.331336862743</v>
      </c>
      <c r="O392" s="5">
        <f t="shared" si="84"/>
        <v>-33.696123896342343</v>
      </c>
      <c r="P392" s="2">
        <f t="shared" si="85"/>
        <v>2.6112180832139601E-11</v>
      </c>
      <c r="Q392" s="2">
        <f t="shared" si="86"/>
        <v>9.6155714676075044E-14</v>
      </c>
      <c r="R392" s="6">
        <f t="shared" si="87"/>
        <v>65.458690171271954</v>
      </c>
      <c r="S392" s="2">
        <f t="shared" si="88"/>
        <v>1.4516593896720707E-11</v>
      </c>
      <c r="T392" s="2">
        <f t="shared" si="89"/>
        <v>1.9951171416816448E-13</v>
      </c>
      <c r="U392" s="6">
        <f t="shared" si="90"/>
        <v>105.33133686273483</v>
      </c>
      <c r="V392" s="2">
        <f t="shared" si="91"/>
        <v>7.1358034931073997E-9</v>
      </c>
      <c r="W392" s="2">
        <f t="shared" si="92"/>
        <v>7.7576547536741862E-14</v>
      </c>
    </row>
    <row r="393" spans="1:23" x14ac:dyDescent="0.45">
      <c r="A393">
        <v>-6.7320099999999998</v>
      </c>
      <c r="B393">
        <v>35.167299999999997</v>
      </c>
      <c r="C393">
        <v>291.31416999999999</v>
      </c>
      <c r="D393">
        <v>2455.7743</v>
      </c>
      <c r="E393" s="10" t="s">
        <v>1189</v>
      </c>
      <c r="F393" s="10" t="s">
        <v>1190</v>
      </c>
      <c r="G393" s="10" t="s">
        <v>1191</v>
      </c>
      <c r="H393" s="10">
        <v>-6.7239380118202696</v>
      </c>
      <c r="I393" s="10">
        <v>35.146606931269602</v>
      </c>
      <c r="J393" s="10">
        <v>-68.683405690519294</v>
      </c>
      <c r="K393" s="4">
        <f t="shared" si="80"/>
        <v>-6.7239380111111116</v>
      </c>
      <c r="L393" s="4">
        <f t="shared" si="81"/>
        <v>35.146606930555549</v>
      </c>
      <c r="M393" s="4">
        <f t="shared" si="82"/>
        <v>291.31659444444443</v>
      </c>
      <c r="N393" s="4">
        <f t="shared" si="83"/>
        <v>291.31659430948071</v>
      </c>
      <c r="O393" s="5">
        <f t="shared" si="84"/>
        <v>-6.723938011820275</v>
      </c>
      <c r="P393" s="2">
        <f t="shared" si="85"/>
        <v>1.0546846111645201E-10</v>
      </c>
      <c r="Q393" s="2">
        <f t="shared" si="86"/>
        <v>7.9255199985969129E-16</v>
      </c>
      <c r="R393" s="6">
        <f t="shared" si="87"/>
        <v>35.146606931269595</v>
      </c>
      <c r="S393" s="2">
        <f t="shared" si="88"/>
        <v>2.0316206137856927E-11</v>
      </c>
      <c r="T393" s="2">
        <f t="shared" si="89"/>
        <v>2.0216538602135646E-16</v>
      </c>
      <c r="U393" s="6">
        <f t="shared" si="90"/>
        <v>291.31659430948037</v>
      </c>
      <c r="V393" s="2">
        <f t="shared" si="91"/>
        <v>4.6329001141539847E-10</v>
      </c>
      <c r="W393" s="2">
        <f t="shared" si="92"/>
        <v>1.1707555279275365E-15</v>
      </c>
    </row>
    <row r="394" spans="1:23" x14ac:dyDescent="0.45">
      <c r="A394">
        <v>-45.224739999999997</v>
      </c>
      <c r="B394">
        <v>-26.575240000000001</v>
      </c>
      <c r="C394">
        <v>132.31314</v>
      </c>
      <c r="D394">
        <v>8116.2794999999996</v>
      </c>
      <c r="E394" s="10" t="s">
        <v>1192</v>
      </c>
      <c r="F394" s="10" t="s">
        <v>1193</v>
      </c>
      <c r="G394" s="10" t="s">
        <v>1194</v>
      </c>
      <c r="H394" s="10">
        <v>-45.273876713538499</v>
      </c>
      <c r="I394" s="10">
        <v>-26.498755015128399</v>
      </c>
      <c r="J394" s="10">
        <v>132.25882212328301</v>
      </c>
      <c r="K394" s="4">
        <f t="shared" si="80"/>
        <v>-45.273876713888889</v>
      </c>
      <c r="L394" s="4">
        <f t="shared" si="81"/>
        <v>-26.498755013888854</v>
      </c>
      <c r="M394" s="4">
        <f t="shared" si="82"/>
        <v>132.25882222222225</v>
      </c>
      <c r="N394" s="4">
        <f t="shared" si="83"/>
        <v>132.25882212328304</v>
      </c>
      <c r="O394" s="5">
        <f t="shared" si="84"/>
        <v>-45.273876713543601</v>
      </c>
      <c r="P394" s="2">
        <f t="shared" si="85"/>
        <v>7.6266550935032897E-12</v>
      </c>
      <c r="Q394" s="2">
        <f t="shared" si="86"/>
        <v>1.1268522187833609E-13</v>
      </c>
      <c r="R394" s="6">
        <f t="shared" si="87"/>
        <v>-26.49875501512048</v>
      </c>
      <c r="S394" s="2">
        <f t="shared" si="88"/>
        <v>4.6478649876629753E-11</v>
      </c>
      <c r="T394" s="2">
        <f t="shared" si="89"/>
        <v>2.9884418288803689E-13</v>
      </c>
      <c r="U394" s="6">
        <f t="shared" si="90"/>
        <v>132.25882212327744</v>
      </c>
      <c r="V394" s="2">
        <f t="shared" si="91"/>
        <v>7.4811500674504274E-10</v>
      </c>
      <c r="W394" s="2">
        <f t="shared" si="92"/>
        <v>4.2334240301720636E-14</v>
      </c>
    </row>
    <row r="395" spans="1:23" x14ac:dyDescent="0.45">
      <c r="A395">
        <v>-23.66947</v>
      </c>
      <c r="B395">
        <v>-102.49858999999999</v>
      </c>
      <c r="C395">
        <v>8.3412699999999997</v>
      </c>
      <c r="D395">
        <v>21432.472000000002</v>
      </c>
      <c r="E395" s="10" t="s">
        <v>1195</v>
      </c>
      <c r="F395" s="10" t="s">
        <v>1196</v>
      </c>
      <c r="G395" s="10" t="s">
        <v>1197</v>
      </c>
      <c r="H395" s="10">
        <v>-23.477996616418402</v>
      </c>
      <c r="I395" s="10">
        <v>-102.468154986109</v>
      </c>
      <c r="J395" s="10">
        <v>8.3290981412907694</v>
      </c>
      <c r="K395" s="4">
        <f t="shared" si="80"/>
        <v>-23.477996616666665</v>
      </c>
      <c r="L395" s="4">
        <f t="shared" si="81"/>
        <v>-102.46815498611113</v>
      </c>
      <c r="M395" s="4">
        <f t="shared" si="82"/>
        <v>8.3290972222222308</v>
      </c>
      <c r="N395" s="4">
        <f t="shared" si="83"/>
        <v>8.3290981412907854</v>
      </c>
      <c r="O395" s="5">
        <f t="shared" si="84"/>
        <v>-23.477996616417496</v>
      </c>
      <c r="P395" s="2">
        <f t="shared" si="85"/>
        <v>1.0612897596458103E-11</v>
      </c>
      <c r="Q395" s="2">
        <f t="shared" si="86"/>
        <v>3.858685231518405E-14</v>
      </c>
      <c r="R395" s="6">
        <f t="shared" si="87"/>
        <v>-102.46815498610908</v>
      </c>
      <c r="S395" s="2">
        <f t="shared" si="88"/>
        <v>1.9970722408990962E-14</v>
      </c>
      <c r="T395" s="2">
        <f t="shared" si="89"/>
        <v>8.3211343370797403E-16</v>
      </c>
      <c r="U395" s="6">
        <f t="shared" si="90"/>
        <v>8.3290981412907161</v>
      </c>
      <c r="V395" s="2">
        <f t="shared" si="91"/>
        <v>1.1034430992887757E-7</v>
      </c>
      <c r="W395" s="2">
        <f t="shared" si="92"/>
        <v>8.3175771928019995E-15</v>
      </c>
    </row>
    <row r="396" spans="1:23" x14ac:dyDescent="0.4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10" t="s">
        <v>1198</v>
      </c>
      <c r="F396" s="10" t="s">
        <v>1199</v>
      </c>
      <c r="G396" s="10" t="s">
        <v>1200</v>
      </c>
      <c r="H396" s="10">
        <v>-44.451750465300201</v>
      </c>
      <c r="I396" s="10">
        <v>-88.140365607301007</v>
      </c>
      <c r="J396" s="10">
        <v>132.64855850063299</v>
      </c>
      <c r="K396" s="4">
        <f t="shared" si="80"/>
        <v>-44.451750466666667</v>
      </c>
      <c r="L396" s="4">
        <f t="shared" si="81"/>
        <v>-88.140365608333354</v>
      </c>
      <c r="M396" s="4">
        <f t="shared" si="82"/>
        <v>132.64855833333331</v>
      </c>
      <c r="N396" s="4">
        <f t="shared" si="83"/>
        <v>132.64855850063299</v>
      </c>
      <c r="O396" s="5">
        <f t="shared" si="84"/>
        <v>-44.451750465306709</v>
      </c>
      <c r="P396" s="2">
        <f t="shared" si="85"/>
        <v>3.0594014086859404E-11</v>
      </c>
      <c r="Q396" s="2">
        <f t="shared" si="86"/>
        <v>1.4641878871886543E-13</v>
      </c>
      <c r="R396" s="6">
        <f t="shared" si="87"/>
        <v>-88.140365607291415</v>
      </c>
      <c r="S396" s="2">
        <f t="shared" si="88"/>
        <v>1.1821369931101117E-11</v>
      </c>
      <c r="T396" s="2">
        <f t="shared" si="89"/>
        <v>1.088301241623938E-13</v>
      </c>
      <c r="U396" s="6">
        <f t="shared" si="90"/>
        <v>132.64855850062611</v>
      </c>
      <c r="V396" s="2">
        <f t="shared" si="91"/>
        <v>1.2611731224717465E-9</v>
      </c>
      <c r="W396" s="2">
        <f t="shared" si="92"/>
        <v>5.1851703176442345E-14</v>
      </c>
    </row>
    <row r="397" spans="1:23" x14ac:dyDescent="0.45">
      <c r="A397">
        <v>83.380719999999997</v>
      </c>
      <c r="B397">
        <v>95.78349</v>
      </c>
      <c r="C397">
        <v>206.85676000000001</v>
      </c>
      <c r="D397">
        <v>29222.171399999999</v>
      </c>
      <c r="E397" s="10" t="s">
        <v>1201</v>
      </c>
      <c r="F397" s="10" t="s">
        <v>1202</v>
      </c>
      <c r="G397" s="10" t="s">
        <v>1203</v>
      </c>
      <c r="H397" s="10">
        <v>83.146265017034594</v>
      </c>
      <c r="I397" s="10">
        <v>94.792967157405997</v>
      </c>
      <c r="J397" s="10">
        <v>-154.12692677610499</v>
      </c>
      <c r="K397" s="4">
        <f t="shared" si="80"/>
        <v>83.146265016666661</v>
      </c>
      <c r="L397" s="4">
        <f t="shared" si="81"/>
        <v>94.79296715833334</v>
      </c>
      <c r="M397" s="4">
        <f t="shared" si="82"/>
        <v>205.87307222222222</v>
      </c>
      <c r="N397" s="4">
        <f t="shared" si="83"/>
        <v>205.87307322389501</v>
      </c>
      <c r="O397" s="5">
        <f t="shared" si="84"/>
        <v>83.146265017036242</v>
      </c>
      <c r="P397" s="2">
        <f t="shared" si="85"/>
        <v>4.4449585138211064E-12</v>
      </c>
      <c r="Q397" s="2">
        <f t="shared" si="86"/>
        <v>1.9826015595838301E-14</v>
      </c>
      <c r="R397" s="6">
        <f t="shared" si="87"/>
        <v>94.792967157413159</v>
      </c>
      <c r="S397" s="2">
        <f t="shared" si="88"/>
        <v>9.7072735678985027E-12</v>
      </c>
      <c r="T397" s="2">
        <f t="shared" si="89"/>
        <v>7.5556984776820915E-14</v>
      </c>
      <c r="U397" s="6">
        <f t="shared" si="90"/>
        <v>205.87307322390137</v>
      </c>
      <c r="V397" s="2">
        <f t="shared" si="91"/>
        <v>4.8655180653600233E-9</v>
      </c>
      <c r="W397" s="2">
        <f t="shared" si="92"/>
        <v>3.092421370465831E-14</v>
      </c>
    </row>
    <row r="398" spans="1:23" x14ac:dyDescent="0.45">
      <c r="A398">
        <v>-12.13261</v>
      </c>
      <c r="B398">
        <v>-95.774749999999997</v>
      </c>
      <c r="C398">
        <v>213.42152999999999</v>
      </c>
      <c r="D398">
        <v>25749.614000000001</v>
      </c>
      <c r="E398" s="10" t="s">
        <v>1204</v>
      </c>
      <c r="F398" s="10" t="s">
        <v>1205</v>
      </c>
      <c r="G398" s="10" t="s">
        <v>1206</v>
      </c>
      <c r="H398" s="10">
        <v>-12.326855818045701</v>
      </c>
      <c r="I398" s="10">
        <v>-95.905142188698406</v>
      </c>
      <c r="J398" s="10">
        <v>-146.55084871247399</v>
      </c>
      <c r="K398" s="4">
        <f t="shared" si="80"/>
        <v>-12.326855816666667</v>
      </c>
      <c r="L398" s="4">
        <f t="shared" si="81"/>
        <v>-95.905142188888874</v>
      </c>
      <c r="M398" s="4">
        <f t="shared" si="82"/>
        <v>213.44915</v>
      </c>
      <c r="N398" s="4">
        <f t="shared" si="83"/>
        <v>213.44915128752601</v>
      </c>
      <c r="O398" s="5">
        <f t="shared" si="84"/>
        <v>-12.326855818046816</v>
      </c>
      <c r="P398" s="2">
        <f t="shared" si="85"/>
        <v>1.1196280289821958E-10</v>
      </c>
      <c r="Q398" s="2">
        <f t="shared" si="86"/>
        <v>9.0497699625095221E-14</v>
      </c>
      <c r="R398" s="6">
        <f t="shared" si="87"/>
        <v>-95.905142188699031</v>
      </c>
      <c r="S398" s="2">
        <f t="shared" si="88"/>
        <v>1.9794851851267874E-12</v>
      </c>
      <c r="T398" s="2">
        <f t="shared" si="89"/>
        <v>6.5197505910436127E-15</v>
      </c>
      <c r="U398" s="6">
        <f t="shared" si="90"/>
        <v>213.44915128752569</v>
      </c>
      <c r="V398" s="2">
        <f t="shared" si="91"/>
        <v>6.0320019611030804E-9</v>
      </c>
      <c r="W398" s="2">
        <f t="shared" si="92"/>
        <v>1.4646992121945941E-15</v>
      </c>
    </row>
    <row r="399" spans="1:23" x14ac:dyDescent="0.45">
      <c r="A399">
        <v>49.43486</v>
      </c>
      <c r="B399">
        <v>166.94150999999999</v>
      </c>
      <c r="C399">
        <v>267.01952</v>
      </c>
      <c r="D399">
        <v>13669.7415</v>
      </c>
      <c r="E399" s="10" t="s">
        <v>1207</v>
      </c>
      <c r="F399" s="10" t="s">
        <v>1208</v>
      </c>
      <c r="G399" s="10" t="s">
        <v>1209</v>
      </c>
      <c r="H399" s="10">
        <v>49.428316117993397</v>
      </c>
      <c r="I399" s="10">
        <v>166.75332651096099</v>
      </c>
      <c r="J399" s="10">
        <v>-93.123429873613404</v>
      </c>
      <c r="K399" s="4">
        <f t="shared" si="80"/>
        <v>49.428316116666664</v>
      </c>
      <c r="L399" s="4">
        <f t="shared" si="81"/>
        <v>166.75332651111114</v>
      </c>
      <c r="M399" s="4">
        <f t="shared" si="82"/>
        <v>266.87656944444444</v>
      </c>
      <c r="N399" s="4">
        <f t="shared" si="83"/>
        <v>266.87657012638658</v>
      </c>
      <c r="O399" s="5">
        <f t="shared" si="84"/>
        <v>49.428316117993269</v>
      </c>
      <c r="P399" s="2">
        <f t="shared" si="85"/>
        <v>2.6838960097587946E-11</v>
      </c>
      <c r="Q399" s="2">
        <f t="shared" si="86"/>
        <v>2.5875389347981333E-15</v>
      </c>
      <c r="R399" s="6">
        <f t="shared" si="87"/>
        <v>166.75332651096147</v>
      </c>
      <c r="S399" s="2">
        <f t="shared" si="88"/>
        <v>8.9754564416761277E-13</v>
      </c>
      <c r="T399" s="2">
        <f t="shared" si="89"/>
        <v>2.8975077764647088E-15</v>
      </c>
      <c r="U399" s="6">
        <f t="shared" si="90"/>
        <v>266.87657012638607</v>
      </c>
      <c r="V399" s="2">
        <f t="shared" si="91"/>
        <v>2.55526976354412E-9</v>
      </c>
      <c r="W399" s="2">
        <f t="shared" si="92"/>
        <v>1.9169564773145673E-15</v>
      </c>
    </row>
    <row r="400" spans="1:23" x14ac:dyDescent="0.45">
      <c r="A400">
        <v>-23.851330000000001</v>
      </c>
      <c r="B400">
        <v>-71.16771</v>
      </c>
      <c r="C400">
        <v>238.72827000000001</v>
      </c>
      <c r="D400">
        <v>29773.488300000001</v>
      </c>
      <c r="E400" s="10" t="s">
        <v>1210</v>
      </c>
      <c r="F400" s="10" t="s">
        <v>1211</v>
      </c>
      <c r="G400" s="10" t="s">
        <v>1212</v>
      </c>
      <c r="H400" s="10">
        <v>-23.990669570016799</v>
      </c>
      <c r="I400" s="10">
        <v>-71.417789203923107</v>
      </c>
      <c r="J400" s="10">
        <v>-121.170328512217</v>
      </c>
      <c r="K400" s="4">
        <f t="shared" si="80"/>
        <v>-23.990669569444446</v>
      </c>
      <c r="L400" s="4">
        <f t="shared" si="81"/>
        <v>-71.417789202777783</v>
      </c>
      <c r="M400" s="4">
        <f t="shared" si="82"/>
        <v>238.82967222222223</v>
      </c>
      <c r="N400" s="4">
        <f t="shared" si="83"/>
        <v>238.829671487783</v>
      </c>
      <c r="O400" s="5">
        <f t="shared" si="84"/>
        <v>-23.990669570017516</v>
      </c>
      <c r="P400" s="2">
        <f t="shared" si="85"/>
        <v>2.3887223251526173E-11</v>
      </c>
      <c r="Q400" s="2">
        <f t="shared" si="86"/>
        <v>2.9913636258598125E-14</v>
      </c>
      <c r="R400" s="6">
        <f t="shared" si="87"/>
        <v>-71.417789203923192</v>
      </c>
      <c r="S400" s="2">
        <f t="shared" si="88"/>
        <v>1.6038148389721455E-11</v>
      </c>
      <c r="T400" s="2">
        <f t="shared" si="89"/>
        <v>1.1938920154437972E-15</v>
      </c>
      <c r="U400" s="6">
        <f t="shared" si="90"/>
        <v>238.82967148778343</v>
      </c>
      <c r="V400" s="2">
        <f t="shared" si="91"/>
        <v>3.0751572563023651E-9</v>
      </c>
      <c r="W400" s="2">
        <f t="shared" si="92"/>
        <v>1.7850614573988065E-15</v>
      </c>
    </row>
    <row r="401" spans="1:23" x14ac:dyDescent="0.4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10" t="s">
        <v>1213</v>
      </c>
      <c r="F401" s="10" t="s">
        <v>1214</v>
      </c>
      <c r="G401" s="10" t="s">
        <v>1215</v>
      </c>
      <c r="H401" s="10">
        <v>66.931327487959095</v>
      </c>
      <c r="I401" s="10">
        <v>1.9502874310227101</v>
      </c>
      <c r="J401" s="10">
        <v>90.690972097033693</v>
      </c>
      <c r="K401" s="4">
        <f t="shared" si="80"/>
        <v>66.931327488888883</v>
      </c>
      <c r="L401" s="4">
        <f t="shared" si="81"/>
        <v>1.9502874305555906</v>
      </c>
      <c r="M401" s="4">
        <f t="shared" si="82"/>
        <v>90.690972222222229</v>
      </c>
      <c r="N401" s="4">
        <f t="shared" si="83"/>
        <v>90.690972097033693</v>
      </c>
      <c r="O401" s="5">
        <f t="shared" si="84"/>
        <v>66.931327487959067</v>
      </c>
      <c r="P401" s="2">
        <f t="shared" si="85"/>
        <v>1.3892092969021477E-11</v>
      </c>
      <c r="Q401" s="2">
        <f t="shared" si="86"/>
        <v>4.246398584506942E-16</v>
      </c>
      <c r="R401" s="6">
        <f t="shared" si="87"/>
        <v>1.9502874310198117</v>
      </c>
      <c r="S401" s="2">
        <f t="shared" si="88"/>
        <v>2.3802702039050211E-10</v>
      </c>
      <c r="T401" s="2">
        <f t="shared" si="89"/>
        <v>1.4861133707694412E-12</v>
      </c>
      <c r="U401" s="6">
        <f t="shared" si="90"/>
        <v>90.690972097031576</v>
      </c>
      <c r="V401" s="2">
        <f t="shared" si="91"/>
        <v>1.3804092010890221E-9</v>
      </c>
      <c r="W401" s="2">
        <f t="shared" si="92"/>
        <v>2.3347608958249932E-14</v>
      </c>
    </row>
    <row r="402" spans="1:23" x14ac:dyDescent="0.45">
      <c r="A402">
        <v>3.09491</v>
      </c>
      <c r="B402">
        <v>122.9888</v>
      </c>
      <c r="C402">
        <v>295.12929000000003</v>
      </c>
      <c r="D402">
        <v>3862.9740000000002</v>
      </c>
      <c r="E402" s="10" t="s">
        <v>1216</v>
      </c>
      <c r="F402" s="10" t="s">
        <v>1217</v>
      </c>
      <c r="G402" s="10" t="s">
        <v>1218</v>
      </c>
      <c r="H402" s="10">
        <v>3.1097449083889099</v>
      </c>
      <c r="I402" s="10">
        <v>122.95733674416201</v>
      </c>
      <c r="J402" s="10">
        <v>-64.872412771806097</v>
      </c>
      <c r="K402" s="4">
        <f t="shared" si="80"/>
        <v>3.1097449083333335</v>
      </c>
      <c r="L402" s="4">
        <f t="shared" si="81"/>
        <v>122.95733674444443</v>
      </c>
      <c r="M402" s="4">
        <f t="shared" si="82"/>
        <v>295.1275861111111</v>
      </c>
      <c r="N402" s="4">
        <f t="shared" si="83"/>
        <v>295.12758722819387</v>
      </c>
      <c r="O402" s="5">
        <f t="shared" si="84"/>
        <v>3.1097449083886235</v>
      </c>
      <c r="P402" s="2">
        <f t="shared" si="85"/>
        <v>1.7779591713966385E-11</v>
      </c>
      <c r="Q402" s="2">
        <f t="shared" si="86"/>
        <v>9.2109658120378543E-14</v>
      </c>
      <c r="R402" s="6">
        <f t="shared" si="87"/>
        <v>122.95733674416286</v>
      </c>
      <c r="S402" s="2">
        <f t="shared" si="88"/>
        <v>2.2900128026702306E-12</v>
      </c>
      <c r="T402" s="2">
        <f t="shared" si="89"/>
        <v>6.9345295326803991E-15</v>
      </c>
      <c r="U402" s="6">
        <f t="shared" si="90"/>
        <v>295.1275872281937</v>
      </c>
      <c r="V402" s="2">
        <f t="shared" si="91"/>
        <v>3.7850836613274765E-9</v>
      </c>
      <c r="W402" s="2">
        <f t="shared" si="92"/>
        <v>5.7781876029965761E-16</v>
      </c>
    </row>
    <row r="403" spans="1:23" x14ac:dyDescent="0.45">
      <c r="A403">
        <v>49.475580000000001</v>
      </c>
      <c r="B403">
        <v>-101.38177</v>
      </c>
      <c r="C403">
        <v>38.834029999999998</v>
      </c>
      <c r="D403">
        <v>26818.222600000001</v>
      </c>
      <c r="E403" s="10" t="s">
        <v>1219</v>
      </c>
      <c r="F403" s="10" t="s">
        <v>1220</v>
      </c>
      <c r="G403" s="10" t="s">
        <v>1221</v>
      </c>
      <c r="H403" s="10">
        <v>49.663175077147002</v>
      </c>
      <c r="I403" s="10">
        <v>-101.148835394551</v>
      </c>
      <c r="J403" s="10">
        <v>39.011338253307798</v>
      </c>
      <c r="K403" s="4">
        <f t="shared" si="80"/>
        <v>49.66317507777778</v>
      </c>
      <c r="L403" s="4">
        <f t="shared" si="81"/>
        <v>-101.14883539444446</v>
      </c>
      <c r="M403" s="4">
        <f t="shared" si="82"/>
        <v>39.011338888888872</v>
      </c>
      <c r="N403" s="4">
        <f t="shared" si="83"/>
        <v>39.011338253307827</v>
      </c>
      <c r="O403" s="5">
        <f t="shared" si="84"/>
        <v>49.663175077177939</v>
      </c>
      <c r="P403" s="2">
        <f t="shared" si="85"/>
        <v>1.2078168111266818E-11</v>
      </c>
      <c r="Q403" s="2">
        <f t="shared" si="86"/>
        <v>6.2293702863212106E-13</v>
      </c>
      <c r="R403" s="6">
        <f t="shared" si="87"/>
        <v>-101.14883539451279</v>
      </c>
      <c r="S403" s="2">
        <f t="shared" si="88"/>
        <v>6.7549753988016737E-13</v>
      </c>
      <c r="T403" s="2">
        <f t="shared" si="89"/>
        <v>3.7778970148416324E-13</v>
      </c>
      <c r="U403" s="6">
        <f t="shared" si="90"/>
        <v>39.011338253337343</v>
      </c>
      <c r="V403" s="2">
        <f t="shared" si="91"/>
        <v>1.6291456477218505E-8</v>
      </c>
      <c r="W403" s="2">
        <f t="shared" si="92"/>
        <v>7.5659914694087338E-13</v>
      </c>
    </row>
    <row r="404" spans="1:23" x14ac:dyDescent="0.45">
      <c r="A404">
        <v>66.461460000000002</v>
      </c>
      <c r="B404">
        <v>93.656599999999997</v>
      </c>
      <c r="C404">
        <v>337.96960999999999</v>
      </c>
      <c r="D404">
        <v>127.5797</v>
      </c>
      <c r="E404" s="10" t="s">
        <v>1222</v>
      </c>
      <c r="F404" s="10" t="s">
        <v>1223</v>
      </c>
      <c r="G404" s="10" t="s">
        <v>1224</v>
      </c>
      <c r="H404" s="10">
        <v>66.462520529746897</v>
      </c>
      <c r="I404" s="10">
        <v>93.655526560076694</v>
      </c>
      <c r="J404" s="10">
        <v>-22.031374124724302</v>
      </c>
      <c r="K404" s="4">
        <f t="shared" si="80"/>
        <v>66.462520530555551</v>
      </c>
      <c r="L404" s="4">
        <f t="shared" si="81"/>
        <v>93.655526561111174</v>
      </c>
      <c r="M404" s="4">
        <f t="shared" si="82"/>
        <v>337.96862499999997</v>
      </c>
      <c r="N404" s="4">
        <f t="shared" si="83"/>
        <v>337.96862587527568</v>
      </c>
      <c r="O404" s="5">
        <f t="shared" si="84"/>
        <v>66.462520529748517</v>
      </c>
      <c r="P404" s="2">
        <f t="shared" si="85"/>
        <v>1.2142699868045102E-11</v>
      </c>
      <c r="Q404" s="2">
        <f t="shared" si="86"/>
        <v>2.4375203116287799E-14</v>
      </c>
      <c r="R404" s="6">
        <f t="shared" si="87"/>
        <v>93.655526560074875</v>
      </c>
      <c r="S404" s="2">
        <f t="shared" si="88"/>
        <v>1.1064997405363802E-11</v>
      </c>
      <c r="T404" s="2">
        <f t="shared" si="89"/>
        <v>1.9422125638032041E-14</v>
      </c>
      <c r="U404" s="6">
        <f t="shared" si="90"/>
        <v>337.96862587527369</v>
      </c>
      <c r="V404" s="2">
        <f t="shared" si="91"/>
        <v>2.5898075984523916E-9</v>
      </c>
      <c r="W404" s="2">
        <f t="shared" si="92"/>
        <v>5.8866992608435054E-15</v>
      </c>
    </row>
    <row r="405" spans="1:23" x14ac:dyDescent="0.45">
      <c r="A405">
        <v>70.826660000000004</v>
      </c>
      <c r="B405">
        <v>-104.88619</v>
      </c>
      <c r="C405">
        <v>3.5659100000000001</v>
      </c>
      <c r="D405">
        <v>926.50239999999997</v>
      </c>
      <c r="E405" s="10" t="s">
        <v>1225</v>
      </c>
      <c r="F405" s="10" t="s">
        <v>1226</v>
      </c>
      <c r="G405" s="10" t="s">
        <v>1227</v>
      </c>
      <c r="H405" s="10">
        <v>70.834947966430306</v>
      </c>
      <c r="I405" s="10">
        <v>-104.884617888298</v>
      </c>
      <c r="J405" s="10">
        <v>3.5673949428954601</v>
      </c>
      <c r="K405" s="4">
        <f t="shared" si="80"/>
        <v>70.834947966666661</v>
      </c>
      <c r="L405" s="4">
        <f t="shared" si="81"/>
        <v>-104.8846178888889</v>
      </c>
      <c r="M405" s="4">
        <f t="shared" si="82"/>
        <v>3.5673944444444032</v>
      </c>
      <c r="N405" s="4">
        <f t="shared" si="83"/>
        <v>3.5673949428954757</v>
      </c>
      <c r="O405" s="5">
        <f t="shared" si="84"/>
        <v>70.834947966449135</v>
      </c>
      <c r="P405" s="2">
        <f t="shared" si="85"/>
        <v>3.0708789851580002E-12</v>
      </c>
      <c r="Q405" s="2">
        <f t="shared" si="86"/>
        <v>2.6582051710641713E-13</v>
      </c>
      <c r="R405" s="6">
        <f t="shared" si="87"/>
        <v>-104.8846178882943</v>
      </c>
      <c r="S405" s="2">
        <f t="shared" si="88"/>
        <v>5.6690521842646333E-12</v>
      </c>
      <c r="T405" s="2">
        <f t="shared" si="89"/>
        <v>3.5227493795968279E-14</v>
      </c>
      <c r="U405" s="6">
        <f t="shared" si="90"/>
        <v>3.5673949428988556</v>
      </c>
      <c r="V405" s="2">
        <f t="shared" si="91"/>
        <v>1.3972507389989227E-7</v>
      </c>
      <c r="W405" s="2">
        <f t="shared" si="92"/>
        <v>9.4745970947233551E-13</v>
      </c>
    </row>
    <row r="406" spans="1:23" x14ac:dyDescent="0.45">
      <c r="A406">
        <v>4.0334099999999999</v>
      </c>
      <c r="B406">
        <v>3.1151</v>
      </c>
      <c r="C406">
        <v>77.926869999999994</v>
      </c>
      <c r="D406">
        <v>2066.0987</v>
      </c>
      <c r="E406" s="10" t="s">
        <v>1228</v>
      </c>
      <c r="F406" s="10" t="s">
        <v>1229</v>
      </c>
      <c r="G406" s="10" t="s">
        <v>1230</v>
      </c>
      <c r="H406" s="10">
        <v>4.0373177906524802</v>
      </c>
      <c r="I406" s="10">
        <v>3.1332944080416798</v>
      </c>
      <c r="J406" s="10">
        <v>77.928150380047697</v>
      </c>
      <c r="K406" s="4">
        <f t="shared" si="80"/>
        <v>4.0373177916666663</v>
      </c>
      <c r="L406" s="4">
        <f t="shared" si="81"/>
        <v>3.1332944083333132</v>
      </c>
      <c r="M406" s="4">
        <f t="shared" si="82"/>
        <v>77.928150000000016</v>
      </c>
      <c r="N406" s="4">
        <f t="shared" si="83"/>
        <v>77.928150380047668</v>
      </c>
      <c r="O406" s="5">
        <f t="shared" si="84"/>
        <v>4.0373177906525095</v>
      </c>
      <c r="P406" s="2">
        <f t="shared" si="85"/>
        <v>2.5119567269766791E-10</v>
      </c>
      <c r="Q406" s="2">
        <f t="shared" si="86"/>
        <v>7.2597425741329348E-15</v>
      </c>
      <c r="R406" s="6">
        <f t="shared" si="87"/>
        <v>3.1332944080417913</v>
      </c>
      <c r="S406" s="2">
        <f t="shared" si="88"/>
        <v>9.3040065734497133E-11</v>
      </c>
      <c r="T406" s="2">
        <f t="shared" si="89"/>
        <v>3.5574822265754658E-14</v>
      </c>
      <c r="U406" s="6">
        <f t="shared" si="90"/>
        <v>77.928150380047555</v>
      </c>
      <c r="V406" s="2">
        <f t="shared" si="91"/>
        <v>4.8768967097082869E-9</v>
      </c>
      <c r="W406" s="2">
        <f t="shared" si="92"/>
        <v>1.458867394737035E-15</v>
      </c>
    </row>
    <row r="407" spans="1:23" x14ac:dyDescent="0.45">
      <c r="A407">
        <v>-87.02346</v>
      </c>
      <c r="B407">
        <v>40.207279999999997</v>
      </c>
      <c r="C407">
        <v>162.63477</v>
      </c>
      <c r="D407">
        <v>2378.8726000000001</v>
      </c>
      <c r="E407" s="10" t="s">
        <v>1231</v>
      </c>
      <c r="F407" s="10" t="s">
        <v>1232</v>
      </c>
      <c r="G407" s="10" t="s">
        <v>1233</v>
      </c>
      <c r="H407" s="10">
        <v>-87.043781115266</v>
      </c>
      <c r="I407" s="10">
        <v>40.330537380496899</v>
      </c>
      <c r="J407" s="10">
        <v>162.511677773331</v>
      </c>
      <c r="K407" s="4">
        <f t="shared" si="80"/>
        <v>-87.043781113888883</v>
      </c>
      <c r="L407" s="4">
        <f t="shared" si="81"/>
        <v>40.330537380555597</v>
      </c>
      <c r="M407" s="4">
        <f t="shared" si="82"/>
        <v>162.51167777777778</v>
      </c>
      <c r="N407" s="4">
        <f t="shared" si="83"/>
        <v>162.51167777333103</v>
      </c>
      <c r="O407" s="5">
        <f t="shared" si="84"/>
        <v>-87.043781115265773</v>
      </c>
      <c r="P407" s="2">
        <f t="shared" si="85"/>
        <v>1.5818358253008185E-11</v>
      </c>
      <c r="Q407" s="2">
        <f t="shared" si="86"/>
        <v>2.6121759938500026E-15</v>
      </c>
      <c r="R407" s="6">
        <f t="shared" si="87"/>
        <v>40.330537380495926</v>
      </c>
      <c r="S407" s="2">
        <f t="shared" si="88"/>
        <v>1.4795582410935674E-12</v>
      </c>
      <c r="T407" s="2">
        <f t="shared" si="89"/>
        <v>2.4136637179103805E-14</v>
      </c>
      <c r="U407" s="6">
        <f t="shared" si="90"/>
        <v>162.51167777333168</v>
      </c>
      <c r="V407" s="2">
        <f t="shared" si="91"/>
        <v>2.7358607898972533E-11</v>
      </c>
      <c r="W407" s="2">
        <f t="shared" si="92"/>
        <v>4.0224759589957751E-15</v>
      </c>
    </row>
    <row r="408" spans="1:23" x14ac:dyDescent="0.45">
      <c r="A408">
        <v>15.754440000000001</v>
      </c>
      <c r="B408">
        <v>28.95121</v>
      </c>
      <c r="C408">
        <v>113.33511</v>
      </c>
      <c r="D408">
        <v>598.16459999999995</v>
      </c>
      <c r="E408" s="10" t="s">
        <v>1234</v>
      </c>
      <c r="F408" s="10" t="s">
        <v>1235</v>
      </c>
      <c r="G408" s="10" t="s">
        <v>1236</v>
      </c>
      <c r="H408" s="10">
        <v>15.7522987312834</v>
      </c>
      <c r="I408" s="10">
        <v>28.956335140853302</v>
      </c>
      <c r="J408" s="10">
        <v>113.336501460614</v>
      </c>
      <c r="K408" s="4">
        <f t="shared" si="80"/>
        <v>15.752298730555555</v>
      </c>
      <c r="L408" s="4">
        <f t="shared" si="81"/>
        <v>28.956335141666614</v>
      </c>
      <c r="M408" s="4">
        <f t="shared" si="82"/>
        <v>113.33650277777775</v>
      </c>
      <c r="N408" s="4">
        <f t="shared" si="83"/>
        <v>113.33650146061399</v>
      </c>
      <c r="O408" s="5">
        <f t="shared" si="84"/>
        <v>15.752298731283426</v>
      </c>
      <c r="P408" s="2">
        <f t="shared" si="85"/>
        <v>4.6207293880007503E-11</v>
      </c>
      <c r="Q408" s="2">
        <f t="shared" si="86"/>
        <v>1.6915215388905248E-15</v>
      </c>
      <c r="R408" s="6">
        <f t="shared" si="87"/>
        <v>28.956335140853252</v>
      </c>
      <c r="S408" s="2">
        <f t="shared" si="88"/>
        <v>2.8089252951347474E-11</v>
      </c>
      <c r="T408" s="2">
        <f t="shared" si="89"/>
        <v>1.7176894541821256E-15</v>
      </c>
      <c r="U408" s="6">
        <f t="shared" si="90"/>
        <v>113.33650146061343</v>
      </c>
      <c r="V408" s="2">
        <f t="shared" si="91"/>
        <v>1.1621713099182349E-8</v>
      </c>
      <c r="W408" s="2">
        <f t="shared" si="92"/>
        <v>4.890069189981821E-15</v>
      </c>
    </row>
    <row r="409" spans="1:23" x14ac:dyDescent="0.45">
      <c r="A409">
        <v>-80.318340000000006</v>
      </c>
      <c r="B409">
        <v>171.35975999999999</v>
      </c>
      <c r="C409">
        <v>128.19161</v>
      </c>
      <c r="D409">
        <v>2658.8733999999999</v>
      </c>
      <c r="E409" s="10" t="s">
        <v>1237</v>
      </c>
      <c r="F409" s="10" t="s">
        <v>1238</v>
      </c>
      <c r="G409" s="10" t="s">
        <v>1239</v>
      </c>
      <c r="H409" s="10">
        <v>-80.333044725155304</v>
      </c>
      <c r="I409" s="10">
        <v>171.471189011468</v>
      </c>
      <c r="J409" s="10">
        <v>128.08176562716099</v>
      </c>
      <c r="K409" s="4">
        <f t="shared" si="80"/>
        <v>-80.333044724999993</v>
      </c>
      <c r="L409" s="4">
        <f t="shared" si="81"/>
        <v>171.47118901111116</v>
      </c>
      <c r="M409" s="4">
        <f t="shared" si="82"/>
        <v>128.08176666666668</v>
      </c>
      <c r="N409" s="4">
        <f t="shared" si="83"/>
        <v>128.08176562716096</v>
      </c>
      <c r="O409" s="5">
        <f t="shared" si="84"/>
        <v>-80.333044725155105</v>
      </c>
      <c r="P409" s="2">
        <f t="shared" si="85"/>
        <v>1.9308552258589857E-12</v>
      </c>
      <c r="Q409" s="2">
        <f t="shared" si="86"/>
        <v>2.4765893872628073E-15</v>
      </c>
      <c r="R409" s="6">
        <f t="shared" si="87"/>
        <v>171.47118901146675</v>
      </c>
      <c r="S409" s="2">
        <f t="shared" si="88"/>
        <v>2.0737245057578919E-12</v>
      </c>
      <c r="T409" s="2">
        <f t="shared" si="89"/>
        <v>7.2930923389942733E-15</v>
      </c>
      <c r="U409" s="6">
        <f t="shared" si="90"/>
        <v>128.0817656271613</v>
      </c>
      <c r="V409" s="2">
        <f t="shared" si="91"/>
        <v>8.1159512772880249E-9</v>
      </c>
      <c r="W409" s="2">
        <f t="shared" si="92"/>
        <v>2.6628342566548984E-15</v>
      </c>
    </row>
    <row r="410" spans="1:23" x14ac:dyDescent="0.4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10" t="s">
        <v>1240</v>
      </c>
      <c r="F410" s="10" t="s">
        <v>1241</v>
      </c>
      <c r="G410" s="10" t="s">
        <v>1242</v>
      </c>
      <c r="H410" s="10">
        <v>-42.481354139469403</v>
      </c>
      <c r="I410" s="10">
        <v>170.46030584308201</v>
      </c>
      <c r="J410" s="10">
        <v>-49.894558657923</v>
      </c>
      <c r="K410" s="4">
        <f t="shared" si="80"/>
        <v>-42.481354138888889</v>
      </c>
      <c r="L410" s="4">
        <f t="shared" si="81"/>
        <v>170.46030584444441</v>
      </c>
      <c r="M410" s="4">
        <f t="shared" si="82"/>
        <v>310.10544166666671</v>
      </c>
      <c r="N410" s="4">
        <f t="shared" si="83"/>
        <v>310.10544134207703</v>
      </c>
      <c r="O410" s="5">
        <f t="shared" si="84"/>
        <v>-42.481354139468756</v>
      </c>
      <c r="P410" s="2">
        <f t="shared" si="85"/>
        <v>1.3649913779363973E-11</v>
      </c>
      <c r="Q410" s="2">
        <f t="shared" si="86"/>
        <v>1.5220651569130213E-14</v>
      </c>
      <c r="R410" s="6">
        <f t="shared" si="87"/>
        <v>170.46030584308082</v>
      </c>
      <c r="S410" s="2">
        <f t="shared" si="88"/>
        <v>7.9994480039643482E-12</v>
      </c>
      <c r="T410" s="2">
        <f t="shared" si="89"/>
        <v>7.0028725466200029E-15</v>
      </c>
      <c r="U410" s="6">
        <f t="shared" si="90"/>
        <v>310.10544134207743</v>
      </c>
      <c r="V410" s="2">
        <f t="shared" si="91"/>
        <v>1.0467061724364968E-9</v>
      </c>
      <c r="W410" s="2">
        <f t="shared" si="92"/>
        <v>1.283124637554259E-15</v>
      </c>
    </row>
    <row r="411" spans="1:23" x14ac:dyDescent="0.45">
      <c r="A411">
        <v>34.714449999999999</v>
      </c>
      <c r="B411">
        <v>-142.19544999999999</v>
      </c>
      <c r="C411">
        <v>255.7319</v>
      </c>
      <c r="D411">
        <v>2963.6988000000001</v>
      </c>
      <c r="E411" s="10" t="s">
        <v>1243</v>
      </c>
      <c r="F411" s="10" t="s">
        <v>1244</v>
      </c>
      <c r="G411" s="10" t="s">
        <v>1245</v>
      </c>
      <c r="H411" s="10">
        <v>34.707861662753103</v>
      </c>
      <c r="I411" s="10">
        <v>-142.226802833921</v>
      </c>
      <c r="J411" s="10">
        <v>-104.285953545194</v>
      </c>
      <c r="K411" s="4">
        <f t="shared" si="80"/>
        <v>34.707861663888892</v>
      </c>
      <c r="L411" s="4">
        <f t="shared" si="81"/>
        <v>-142.22680283333329</v>
      </c>
      <c r="M411" s="4">
        <f t="shared" si="82"/>
        <v>255.71404722222223</v>
      </c>
      <c r="N411" s="4">
        <f t="shared" si="83"/>
        <v>255.71404645480601</v>
      </c>
      <c r="O411" s="5">
        <f t="shared" si="84"/>
        <v>34.707861662752393</v>
      </c>
      <c r="P411" s="2">
        <f t="shared" si="85"/>
        <v>3.2744710866933439E-11</v>
      </c>
      <c r="Q411" s="2">
        <f t="shared" si="86"/>
        <v>2.0472097724263501E-14</v>
      </c>
      <c r="R411" s="6">
        <f t="shared" si="87"/>
        <v>-142.22680283392384</v>
      </c>
      <c r="S411" s="2">
        <f t="shared" si="88"/>
        <v>4.1521447911400972E-12</v>
      </c>
      <c r="T411" s="2">
        <f t="shared" si="89"/>
        <v>1.9983370830315429E-14</v>
      </c>
      <c r="U411" s="6">
        <f t="shared" si="90"/>
        <v>255.71404645480385</v>
      </c>
      <c r="V411" s="2">
        <f t="shared" si="91"/>
        <v>3.0010802815712955E-9</v>
      </c>
      <c r="W411" s="2">
        <f t="shared" si="92"/>
        <v>8.447130482886728E-15</v>
      </c>
    </row>
    <row r="412" spans="1:23" x14ac:dyDescent="0.45">
      <c r="A412">
        <v>-10.031370000000001</v>
      </c>
      <c r="B412">
        <v>58.65645</v>
      </c>
      <c r="C412">
        <v>74.390590000000003</v>
      </c>
      <c r="D412">
        <v>1864.1994</v>
      </c>
      <c r="E412" s="10" t="s">
        <v>1246</v>
      </c>
      <c r="F412" s="10" t="s">
        <v>1247</v>
      </c>
      <c r="G412" s="10" t="s">
        <v>1248</v>
      </c>
      <c r="H412" s="10">
        <v>-10.0268345239963</v>
      </c>
      <c r="I412" s="10">
        <v>58.672827258774703</v>
      </c>
      <c r="J412" s="10">
        <v>74.387737927075605</v>
      </c>
      <c r="K412" s="4">
        <f t="shared" si="80"/>
        <v>-10.026834525</v>
      </c>
      <c r="L412" s="4">
        <f t="shared" si="81"/>
        <v>58.672827258333314</v>
      </c>
      <c r="M412" s="4">
        <f t="shared" si="82"/>
        <v>74.387738888888862</v>
      </c>
      <c r="N412" s="4">
        <f t="shared" si="83"/>
        <v>74.387737927075591</v>
      </c>
      <c r="O412" s="5">
        <f t="shared" si="84"/>
        <v>-10.026834523996284</v>
      </c>
      <c r="P412" s="2">
        <f t="shared" si="85"/>
        <v>1.0010300047794958E-10</v>
      </c>
      <c r="Q412" s="2">
        <f t="shared" si="86"/>
        <v>1.5944425447873437E-15</v>
      </c>
      <c r="R412" s="6">
        <f t="shared" si="87"/>
        <v>58.672827258774866</v>
      </c>
      <c r="S412" s="2">
        <f t="shared" si="88"/>
        <v>7.5256740286140766E-12</v>
      </c>
      <c r="T412" s="2">
        <f t="shared" si="89"/>
        <v>2.785358007447687E-15</v>
      </c>
      <c r="U412" s="6">
        <f t="shared" si="90"/>
        <v>74.387737927075463</v>
      </c>
      <c r="V412" s="2">
        <f t="shared" si="91"/>
        <v>1.2929730262939001E-8</v>
      </c>
      <c r="W412" s="2">
        <f t="shared" si="92"/>
        <v>1.7193383748568852E-15</v>
      </c>
    </row>
    <row r="413" spans="1:23" x14ac:dyDescent="0.45">
      <c r="A413">
        <v>-60.351030000000002</v>
      </c>
      <c r="B413">
        <v>58.51435</v>
      </c>
      <c r="C413">
        <v>192.98403999999999</v>
      </c>
      <c r="D413">
        <v>434.13080000000002</v>
      </c>
      <c r="E413" s="10" t="s">
        <v>1249</v>
      </c>
      <c r="F413" s="10" t="s">
        <v>1250</v>
      </c>
      <c r="G413" s="10" t="s">
        <v>1251</v>
      </c>
      <c r="H413" s="10">
        <v>-60.354826773695102</v>
      </c>
      <c r="I413" s="10">
        <v>58.512583009342599</v>
      </c>
      <c r="J413" s="10">
        <v>-167.01442432814599</v>
      </c>
      <c r="K413" s="4">
        <f t="shared" si="80"/>
        <v>-60.354826774999999</v>
      </c>
      <c r="L413" s="4">
        <f t="shared" si="81"/>
        <v>58.512583008333308</v>
      </c>
      <c r="M413" s="4">
        <f t="shared" si="82"/>
        <v>192.98557500000001</v>
      </c>
      <c r="N413" s="4">
        <f t="shared" si="83"/>
        <v>192.98557567185401</v>
      </c>
      <c r="O413" s="5">
        <f t="shared" si="84"/>
        <v>-60.354826773697503</v>
      </c>
      <c r="P413" s="2">
        <f t="shared" si="85"/>
        <v>2.1580641657335611E-11</v>
      </c>
      <c r="Q413" s="2">
        <f t="shared" si="86"/>
        <v>3.9791920137129132E-14</v>
      </c>
      <c r="R413" s="6">
        <f t="shared" si="87"/>
        <v>58.512583009341384</v>
      </c>
      <c r="S413" s="2">
        <f t="shared" si="88"/>
        <v>1.7228352417611018E-11</v>
      </c>
      <c r="T413" s="2">
        <f t="shared" si="89"/>
        <v>2.076524425448403E-14</v>
      </c>
      <c r="U413" s="6">
        <f t="shared" si="90"/>
        <v>192.9855756718552</v>
      </c>
      <c r="V413" s="2">
        <f t="shared" si="91"/>
        <v>3.4813751760905578E-9</v>
      </c>
      <c r="W413" s="2">
        <f t="shared" si="92"/>
        <v>6.1854975011537364E-15</v>
      </c>
    </row>
    <row r="414" spans="1:23" x14ac:dyDescent="0.45">
      <c r="A414">
        <v>79.351789999999994</v>
      </c>
      <c r="B414">
        <v>-56.456060000000001</v>
      </c>
      <c r="C414">
        <v>51.214190000000002</v>
      </c>
      <c r="D414">
        <v>2755.375</v>
      </c>
      <c r="E414" s="10" t="s">
        <v>1252</v>
      </c>
      <c r="F414" s="10" t="s">
        <v>1253</v>
      </c>
      <c r="G414" s="10" t="s">
        <v>1254</v>
      </c>
      <c r="H414" s="10">
        <v>79.367231037424801</v>
      </c>
      <c r="I414" s="10">
        <v>-56.351831816950202</v>
      </c>
      <c r="J414" s="10">
        <v>51.316625992795601</v>
      </c>
      <c r="K414" s="4">
        <f t="shared" si="80"/>
        <v>79.367231036111107</v>
      </c>
      <c r="L414" s="4">
        <f t="shared" si="81"/>
        <v>-56.351831816666675</v>
      </c>
      <c r="M414" s="4">
        <f t="shared" si="82"/>
        <v>51.316624999999988</v>
      </c>
      <c r="N414" s="4">
        <f t="shared" si="83"/>
        <v>51.316625992795593</v>
      </c>
      <c r="O414" s="5">
        <f t="shared" si="84"/>
        <v>79.367231037424617</v>
      </c>
      <c r="P414" s="2">
        <f t="shared" si="85"/>
        <v>1.6549768515024678E-11</v>
      </c>
      <c r="Q414" s="2">
        <f t="shared" si="86"/>
        <v>2.327674896589416E-15</v>
      </c>
      <c r="R414" s="6">
        <f t="shared" si="87"/>
        <v>-56.351831816950941</v>
      </c>
      <c r="S414" s="2">
        <f t="shared" si="88"/>
        <v>5.0445002962879417E-12</v>
      </c>
      <c r="T414" s="2">
        <f t="shared" si="89"/>
        <v>1.3113405924245914E-14</v>
      </c>
      <c r="U414" s="6">
        <f t="shared" si="90"/>
        <v>51.316625992794854</v>
      </c>
      <c r="V414" s="2">
        <f t="shared" si="91"/>
        <v>1.9346456762520139E-8</v>
      </c>
      <c r="W414" s="2">
        <f t="shared" si="92"/>
        <v>1.4400098036341057E-14</v>
      </c>
    </row>
    <row r="415" spans="1:23" x14ac:dyDescent="0.4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10" t="s">
        <v>1255</v>
      </c>
      <c r="F415" s="10" t="s">
        <v>1256</v>
      </c>
      <c r="G415" s="10" t="s">
        <v>1257</v>
      </c>
      <c r="H415" s="10">
        <v>32.119723324957299</v>
      </c>
      <c r="I415" s="10">
        <v>-85.644512982092294</v>
      </c>
      <c r="J415" s="10">
        <v>24.317739707085099</v>
      </c>
      <c r="K415" s="4">
        <f t="shared" si="80"/>
        <v>32.119723325000002</v>
      </c>
      <c r="L415" s="4">
        <f t="shared" si="81"/>
        <v>-85.644512983333357</v>
      </c>
      <c r="M415" s="4">
        <f t="shared" si="82"/>
        <v>24.317738888888925</v>
      </c>
      <c r="N415" s="4">
        <f t="shared" si="83"/>
        <v>24.317739707085082</v>
      </c>
      <c r="O415" s="5">
        <f t="shared" si="84"/>
        <v>32.119723324956645</v>
      </c>
      <c r="P415" s="2">
        <f t="shared" si="85"/>
        <v>1.3498658533691248E-12</v>
      </c>
      <c r="Q415" s="2">
        <f t="shared" si="86"/>
        <v>2.035195976894864E-14</v>
      </c>
      <c r="R415" s="6">
        <f t="shared" si="87"/>
        <v>-85.644512982092692</v>
      </c>
      <c r="S415" s="2">
        <f t="shared" si="88"/>
        <v>1.4486210696269966E-11</v>
      </c>
      <c r="T415" s="2">
        <f t="shared" si="89"/>
        <v>4.6459944504425545E-15</v>
      </c>
      <c r="U415" s="6">
        <f t="shared" si="90"/>
        <v>24.317739707084915</v>
      </c>
      <c r="V415" s="2">
        <f t="shared" si="91"/>
        <v>3.3646055372225092E-8</v>
      </c>
      <c r="W415" s="2">
        <f t="shared" si="92"/>
        <v>6.8664910849002098E-15</v>
      </c>
    </row>
    <row r="416" spans="1:23" x14ac:dyDescent="0.45">
      <c r="A416">
        <v>-66.744129999999998</v>
      </c>
      <c r="B416">
        <v>112.51819</v>
      </c>
      <c r="C416">
        <v>64.061499999999995</v>
      </c>
      <c r="D416">
        <v>1356.1890000000001</v>
      </c>
      <c r="E416" s="10" t="s">
        <v>1258</v>
      </c>
      <c r="F416" s="10" t="s">
        <v>1259</v>
      </c>
      <c r="G416" s="10" t="s">
        <v>1260</v>
      </c>
      <c r="H416" s="10">
        <v>-66.738808212201306</v>
      </c>
      <c r="I416" s="10">
        <v>112.545852603733</v>
      </c>
      <c r="J416" s="10">
        <v>64.0360854688671</v>
      </c>
      <c r="K416" s="4">
        <f t="shared" si="80"/>
        <v>-66.738808211111106</v>
      </c>
      <c r="L416" s="4">
        <f t="shared" si="81"/>
        <v>112.54585260277781</v>
      </c>
      <c r="M416" s="4">
        <f t="shared" si="82"/>
        <v>64.036086111111103</v>
      </c>
      <c r="N416" s="4">
        <f t="shared" si="83"/>
        <v>64.0360854688671</v>
      </c>
      <c r="O416" s="5">
        <f t="shared" si="84"/>
        <v>-66.738808212187607</v>
      </c>
      <c r="P416" s="2">
        <f t="shared" si="85"/>
        <v>1.6130055289281587E-11</v>
      </c>
      <c r="Q416" s="2">
        <f t="shared" si="86"/>
        <v>2.052668351807668E-13</v>
      </c>
      <c r="R416" s="6">
        <f t="shared" si="87"/>
        <v>112.54585260380341</v>
      </c>
      <c r="S416" s="2">
        <f t="shared" si="88"/>
        <v>9.1127070529724268E-12</v>
      </c>
      <c r="T416" s="2">
        <f t="shared" si="89"/>
        <v>6.2565419768733767E-13</v>
      </c>
      <c r="U416" s="6">
        <f t="shared" si="90"/>
        <v>64.036085468802227</v>
      </c>
      <c r="V416" s="2">
        <f t="shared" si="91"/>
        <v>1.0030420584950656E-8</v>
      </c>
      <c r="W416" s="2">
        <f t="shared" si="92"/>
        <v>1.013062420975697E-12</v>
      </c>
    </row>
    <row r="417" spans="1:23" x14ac:dyDescent="0.45">
      <c r="A417">
        <v>0.26845000000000002</v>
      </c>
      <c r="B417">
        <v>-15.071</v>
      </c>
      <c r="C417">
        <v>247.40186</v>
      </c>
      <c r="D417">
        <v>914.31590000000006</v>
      </c>
      <c r="E417" s="10" t="s">
        <v>1261</v>
      </c>
      <c r="F417" s="10" t="s">
        <v>1262</v>
      </c>
      <c r="G417" s="10" t="s">
        <v>1263</v>
      </c>
      <c r="H417" s="10">
        <v>0.26527258732564002</v>
      </c>
      <c r="I417" s="10">
        <v>-15.0785829144278</v>
      </c>
      <c r="J417" s="10">
        <v>-112.598175318117</v>
      </c>
      <c r="K417" s="4">
        <f t="shared" si="80"/>
        <v>0.2652725861111111</v>
      </c>
      <c r="L417" s="4">
        <f t="shared" si="81"/>
        <v>-15.078582913888908</v>
      </c>
      <c r="M417" s="4">
        <f t="shared" si="82"/>
        <v>247.401825</v>
      </c>
      <c r="N417" s="4">
        <f t="shared" si="83"/>
        <v>247.401824681883</v>
      </c>
      <c r="O417" s="5">
        <f t="shared" si="84"/>
        <v>0.26527258732566655</v>
      </c>
      <c r="P417" s="2">
        <f t="shared" si="85"/>
        <v>4.5785185495928489E-9</v>
      </c>
      <c r="Q417" s="2">
        <f t="shared" si="86"/>
        <v>1.0002665769595166E-13</v>
      </c>
      <c r="R417" s="6">
        <f t="shared" si="87"/>
        <v>-15.078582914427699</v>
      </c>
      <c r="S417" s="2">
        <f t="shared" si="88"/>
        <v>3.5732160558396242E-11</v>
      </c>
      <c r="T417" s="2">
        <f t="shared" si="89"/>
        <v>6.7149771580280219E-15</v>
      </c>
      <c r="U417" s="6">
        <f t="shared" si="90"/>
        <v>247.40182468188274</v>
      </c>
      <c r="V417" s="2">
        <f t="shared" si="91"/>
        <v>1.2858323044197877E-9</v>
      </c>
      <c r="W417" s="2">
        <f t="shared" si="92"/>
        <v>1.0339268321991795E-15</v>
      </c>
    </row>
    <row r="418" spans="1:23" x14ac:dyDescent="0.4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10" t="s">
        <v>1264</v>
      </c>
      <c r="F418" s="10" t="s">
        <v>1265</v>
      </c>
      <c r="G418" s="10" t="s">
        <v>1266</v>
      </c>
      <c r="H418" s="10">
        <v>-78.614339212031695</v>
      </c>
      <c r="I418" s="10">
        <v>-159.28671252402799</v>
      </c>
      <c r="J418" s="10">
        <v>-60.866221528441599</v>
      </c>
      <c r="K418" s="4">
        <f t="shared" si="80"/>
        <v>-78.614339211111115</v>
      </c>
      <c r="L418" s="4">
        <f t="shared" si="81"/>
        <v>-159.28671252499998</v>
      </c>
      <c r="M418" s="4">
        <f t="shared" si="82"/>
        <v>299.13377777777777</v>
      </c>
      <c r="N418" s="4">
        <f t="shared" si="83"/>
        <v>299.1337784715584</v>
      </c>
      <c r="O418" s="5">
        <f t="shared" si="84"/>
        <v>-78.614339212021946</v>
      </c>
      <c r="P418" s="2">
        <f t="shared" si="85"/>
        <v>1.1586060905125857E-11</v>
      </c>
      <c r="Q418" s="2">
        <f t="shared" si="86"/>
        <v>1.2400595657664158E-13</v>
      </c>
      <c r="R418" s="6">
        <f t="shared" si="87"/>
        <v>-159.28671252411621</v>
      </c>
      <c r="S418" s="2">
        <f t="shared" si="88"/>
        <v>5.548316245146341E-12</v>
      </c>
      <c r="T418" s="2">
        <f t="shared" si="89"/>
        <v>5.5385025325741549E-13</v>
      </c>
      <c r="U418" s="6">
        <f t="shared" si="90"/>
        <v>299.13377847164412</v>
      </c>
      <c r="V418" s="2">
        <f t="shared" si="91"/>
        <v>2.3195854368231626E-9</v>
      </c>
      <c r="W418" s="2">
        <f t="shared" si="92"/>
        <v>2.8656033457702178E-13</v>
      </c>
    </row>
    <row r="419" spans="1:23" x14ac:dyDescent="0.4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10" t="s">
        <v>1267</v>
      </c>
      <c r="F419" s="10" t="s">
        <v>1268</v>
      </c>
      <c r="G419" s="10" t="s">
        <v>1269</v>
      </c>
      <c r="H419" s="10">
        <v>50.529450012286901</v>
      </c>
      <c r="I419" s="10">
        <v>89.391629577947398</v>
      </c>
      <c r="J419" s="10">
        <v>29.869703777837501</v>
      </c>
      <c r="K419" s="4">
        <f t="shared" si="80"/>
        <v>50.529450011111109</v>
      </c>
      <c r="L419" s="4">
        <f t="shared" si="81"/>
        <v>89.391629577777735</v>
      </c>
      <c r="M419" s="4">
        <f t="shared" si="82"/>
        <v>29.869702777777775</v>
      </c>
      <c r="N419" s="4">
        <f t="shared" si="83"/>
        <v>29.869703777837515</v>
      </c>
      <c r="O419" s="5">
        <f t="shared" si="84"/>
        <v>50.529450012289189</v>
      </c>
      <c r="P419" s="2">
        <f t="shared" si="85"/>
        <v>2.3314717568293218E-11</v>
      </c>
      <c r="Q419" s="2">
        <f t="shared" si="86"/>
        <v>4.5279487676813779E-14</v>
      </c>
      <c r="R419" s="6">
        <f t="shared" si="87"/>
        <v>89.39162957794953</v>
      </c>
      <c r="S419" s="2">
        <f t="shared" si="88"/>
        <v>1.9218244869627516E-12</v>
      </c>
      <c r="T419" s="2">
        <f t="shared" si="89"/>
        <v>2.3845948634615401E-14</v>
      </c>
      <c r="U419" s="6">
        <f t="shared" si="90"/>
        <v>29.869703777839174</v>
      </c>
      <c r="V419" s="2">
        <f t="shared" si="91"/>
        <v>3.3480795120926723E-8</v>
      </c>
      <c r="W419" s="2">
        <f t="shared" si="92"/>
        <v>5.5545153722979088E-14</v>
      </c>
    </row>
    <row r="420" spans="1:23" x14ac:dyDescent="0.4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10" t="s">
        <v>1270</v>
      </c>
      <c r="F420" s="10" t="s">
        <v>1271</v>
      </c>
      <c r="G420" s="10" t="s">
        <v>1272</v>
      </c>
      <c r="H420" s="10">
        <v>-27.725636946531001</v>
      </c>
      <c r="I420" s="10">
        <v>154.33951069214399</v>
      </c>
      <c r="J420" s="10">
        <v>6.3362691251542502</v>
      </c>
      <c r="K420" s="4">
        <f t="shared" si="80"/>
        <v>-27.725636947222224</v>
      </c>
      <c r="L420" s="4">
        <f t="shared" si="81"/>
        <v>154.33951069166665</v>
      </c>
      <c r="M420" s="4">
        <f t="shared" si="82"/>
        <v>6.3362694444444401</v>
      </c>
      <c r="N420" s="4">
        <f t="shared" si="83"/>
        <v>6.3362691251542742</v>
      </c>
      <c r="O420" s="5">
        <f t="shared" si="84"/>
        <v>-27.725636946534681</v>
      </c>
      <c r="P420" s="2">
        <f t="shared" si="85"/>
        <v>2.4798076549596789E-11</v>
      </c>
      <c r="Q420" s="2">
        <f t="shared" si="86"/>
        <v>1.327511926357325E-13</v>
      </c>
      <c r="R420" s="6">
        <f t="shared" si="87"/>
        <v>154.33951069214305</v>
      </c>
      <c r="S420" s="2">
        <f t="shared" si="88"/>
        <v>3.0867319154858175E-12</v>
      </c>
      <c r="T420" s="2">
        <f t="shared" si="89"/>
        <v>6.0769689303613488E-15</v>
      </c>
      <c r="U420" s="6">
        <f t="shared" si="90"/>
        <v>6.3362691251544696</v>
      </c>
      <c r="V420" s="2">
        <f t="shared" si="91"/>
        <v>5.0390844843708781E-8</v>
      </c>
      <c r="W420" s="2">
        <f t="shared" si="92"/>
        <v>3.0838218591176083E-14</v>
      </c>
    </row>
    <row r="421" spans="1:23" x14ac:dyDescent="0.4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10" t="s">
        <v>1273</v>
      </c>
      <c r="F421" s="10" t="s">
        <v>1274</v>
      </c>
      <c r="G421" s="10" t="s">
        <v>1275</v>
      </c>
      <c r="H421" s="10">
        <v>46.091200368207303</v>
      </c>
      <c r="I421" s="10">
        <v>-169.64449296739801</v>
      </c>
      <c r="J421" s="10">
        <v>47.859393944840797</v>
      </c>
      <c r="K421" s="4">
        <f t="shared" si="80"/>
        <v>46.091200369444444</v>
      </c>
      <c r="L421" s="4">
        <f t="shared" si="81"/>
        <v>-169.64449296666669</v>
      </c>
      <c r="M421" s="4">
        <f t="shared" si="82"/>
        <v>47.859394444444433</v>
      </c>
      <c r="N421" s="4">
        <f t="shared" si="83"/>
        <v>47.859393944840804</v>
      </c>
      <c r="O421" s="5">
        <f t="shared" si="84"/>
        <v>46.091200368207701</v>
      </c>
      <c r="P421" s="2">
        <f t="shared" si="85"/>
        <v>2.6832502825734216E-11</v>
      </c>
      <c r="Q421" s="2">
        <f t="shared" si="86"/>
        <v>8.6329696090996466E-15</v>
      </c>
      <c r="R421" s="6">
        <f t="shared" si="87"/>
        <v>-169.64449296739701</v>
      </c>
      <c r="S421" s="2">
        <f t="shared" si="88"/>
        <v>4.3050277244611894E-12</v>
      </c>
      <c r="T421" s="2">
        <f t="shared" si="89"/>
        <v>5.8637908762255637E-15</v>
      </c>
      <c r="U421" s="6">
        <f t="shared" si="90"/>
        <v>47.859393944841258</v>
      </c>
      <c r="V421" s="2">
        <f t="shared" si="91"/>
        <v>1.0438978190802172E-8</v>
      </c>
      <c r="W421" s="2">
        <f t="shared" si="92"/>
        <v>9.5017365119702987E-15</v>
      </c>
    </row>
    <row r="422" spans="1:23" x14ac:dyDescent="0.4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10" t="s">
        <v>1276</v>
      </c>
      <c r="F422" s="10" t="s">
        <v>1277</v>
      </c>
      <c r="G422" s="10" t="s">
        <v>1278</v>
      </c>
      <c r="H422" s="10">
        <v>-89.669481240104005</v>
      </c>
      <c r="I422" s="10">
        <v>176.05050380969601</v>
      </c>
      <c r="J422" s="10">
        <v>-95.843380489650301</v>
      </c>
      <c r="K422" s="4">
        <f t="shared" si="80"/>
        <v>-89.669481238888892</v>
      </c>
      <c r="L422" s="4">
        <f t="shared" si="81"/>
        <v>176.05050381111107</v>
      </c>
      <c r="M422" s="4">
        <f t="shared" si="82"/>
        <v>264.15661944444446</v>
      </c>
      <c r="N422" s="4">
        <f t="shared" si="83"/>
        <v>264.15661951034969</v>
      </c>
      <c r="O422" s="5">
        <f t="shared" si="84"/>
        <v>-89.669481240103948</v>
      </c>
      <c r="P422" s="2">
        <f t="shared" si="85"/>
        <v>1.3550390646536293E-11</v>
      </c>
      <c r="Q422" s="2">
        <f t="shared" si="86"/>
        <v>6.3392157593285175E-16</v>
      </c>
      <c r="R422" s="6">
        <f t="shared" si="87"/>
        <v>176.05050380972602</v>
      </c>
      <c r="S422" s="2">
        <f t="shared" si="88"/>
        <v>7.8673262159391423E-12</v>
      </c>
      <c r="T422" s="2">
        <f t="shared" si="89"/>
        <v>1.7048133637237363E-13</v>
      </c>
      <c r="U422" s="6">
        <f t="shared" si="90"/>
        <v>264.1566195103195</v>
      </c>
      <c r="V422" s="2">
        <f t="shared" si="91"/>
        <v>2.4937873012029791E-10</v>
      </c>
      <c r="W422" s="2">
        <f t="shared" si="92"/>
        <v>1.1426499729985548E-13</v>
      </c>
    </row>
    <row r="423" spans="1:23" x14ac:dyDescent="0.45">
      <c r="A423">
        <v>5.4884199999999996</v>
      </c>
      <c r="B423">
        <v>-54.188720000000004</v>
      </c>
      <c r="C423">
        <v>183.5258</v>
      </c>
      <c r="D423">
        <v>373.10430000000002</v>
      </c>
      <c r="E423" s="10" t="s">
        <v>1279</v>
      </c>
      <c r="F423" s="10" t="s">
        <v>1280</v>
      </c>
      <c r="G423" s="10" t="s">
        <v>1281</v>
      </c>
      <c r="H423" s="10">
        <v>5.4850524544708499</v>
      </c>
      <c r="I423" s="10">
        <v>-54.188927061711098</v>
      </c>
      <c r="J423" s="10">
        <v>-176.474219798272</v>
      </c>
      <c r="K423" s="4">
        <f t="shared" si="80"/>
        <v>5.4850524555555555</v>
      </c>
      <c r="L423" s="4">
        <f t="shared" si="81"/>
        <v>-54.188927061111087</v>
      </c>
      <c r="M423" s="4">
        <f t="shared" si="82"/>
        <v>183.52578055555554</v>
      </c>
      <c r="N423" s="4">
        <f t="shared" si="83"/>
        <v>183.525780201728</v>
      </c>
      <c r="O423" s="5">
        <f t="shared" si="84"/>
        <v>5.4850524544857668</v>
      </c>
      <c r="P423" s="2">
        <f t="shared" si="85"/>
        <v>1.9503709595060825E-10</v>
      </c>
      <c r="Q423" s="2">
        <f t="shared" si="86"/>
        <v>2.7195649782172707E-12</v>
      </c>
      <c r="R423" s="6">
        <f t="shared" si="87"/>
        <v>-54.188927061710217</v>
      </c>
      <c r="S423" s="2">
        <f t="shared" si="88"/>
        <v>1.1056311082100837E-11</v>
      </c>
      <c r="T423" s="2">
        <f t="shared" si="89"/>
        <v>1.6259281002909434E-14</v>
      </c>
      <c r="U423" s="6">
        <f t="shared" si="90"/>
        <v>183.52578020172828</v>
      </c>
      <c r="V423" s="2">
        <f t="shared" si="91"/>
        <v>1.9279430919885577E-9</v>
      </c>
      <c r="W423" s="2">
        <f t="shared" si="92"/>
        <v>1.5486494267542911E-15</v>
      </c>
    </row>
    <row r="424" spans="1:23" x14ac:dyDescent="0.45">
      <c r="A424">
        <v>-3.02867</v>
      </c>
      <c r="B424">
        <v>-128.25211999999999</v>
      </c>
      <c r="C424">
        <v>205.12929</v>
      </c>
      <c r="D424">
        <v>968.30229999999995</v>
      </c>
      <c r="E424" s="10" t="s">
        <v>1282</v>
      </c>
      <c r="F424" s="10" t="s">
        <v>1283</v>
      </c>
      <c r="G424" s="10" t="s">
        <v>1284</v>
      </c>
      <c r="H424" s="10">
        <v>-3.0365979643415901</v>
      </c>
      <c r="I424" s="10">
        <v>-128.25581904487899</v>
      </c>
      <c r="J424" s="10">
        <v>-154.87051430300099</v>
      </c>
      <c r="K424" s="4">
        <f t="shared" si="80"/>
        <v>-3.0365979638888887</v>
      </c>
      <c r="L424" s="4">
        <f t="shared" si="81"/>
        <v>-128.25581904444448</v>
      </c>
      <c r="M424" s="4">
        <f t="shared" si="82"/>
        <v>205.12948611111111</v>
      </c>
      <c r="N424" s="4">
        <f t="shared" si="83"/>
        <v>205.12948569699901</v>
      </c>
      <c r="O424" s="5">
        <f t="shared" si="84"/>
        <v>-3.0365979643212886</v>
      </c>
      <c r="P424" s="2">
        <f t="shared" si="85"/>
        <v>1.4239616136560483E-10</v>
      </c>
      <c r="Q424" s="2">
        <f t="shared" si="86"/>
        <v>6.6856193894266442E-12</v>
      </c>
      <c r="R424" s="6">
        <f t="shared" si="87"/>
        <v>-128.25581904486933</v>
      </c>
      <c r="S424" s="2">
        <f t="shared" si="88"/>
        <v>3.3125024324896843E-12</v>
      </c>
      <c r="T424" s="2">
        <f t="shared" si="89"/>
        <v>7.534458302399499E-14</v>
      </c>
      <c r="U424" s="6">
        <f t="shared" si="90"/>
        <v>205.1294856969985</v>
      </c>
      <c r="V424" s="2">
        <f t="shared" si="91"/>
        <v>2.018786345108038E-9</v>
      </c>
      <c r="W424" s="2">
        <f t="shared" si="92"/>
        <v>2.49398943310838E-15</v>
      </c>
    </row>
    <row r="425" spans="1:23" x14ac:dyDescent="0.45">
      <c r="A425">
        <v>61.862470000000002</v>
      </c>
      <c r="B425">
        <v>165.48783</v>
      </c>
      <c r="C425">
        <v>105.66137000000001</v>
      </c>
      <c r="D425">
        <v>526.63610000000006</v>
      </c>
      <c r="E425" s="10" t="s">
        <v>1285</v>
      </c>
      <c r="F425" s="10" t="s">
        <v>1286</v>
      </c>
      <c r="G425" s="10" t="s">
        <v>1287</v>
      </c>
      <c r="H425" s="10">
        <v>61.861193981843599</v>
      </c>
      <c r="I425" s="10">
        <v>165.49746370327</v>
      </c>
      <c r="J425" s="10">
        <v>105.669865123845</v>
      </c>
      <c r="K425" s="4">
        <f t="shared" si="80"/>
        <v>61.861193980555555</v>
      </c>
      <c r="L425" s="4">
        <f t="shared" si="81"/>
        <v>165.49746370277774</v>
      </c>
      <c r="M425" s="4">
        <f t="shared" si="82"/>
        <v>105.66986388888887</v>
      </c>
      <c r="N425" s="4">
        <f t="shared" si="83"/>
        <v>105.669865123845</v>
      </c>
      <c r="O425" s="5">
        <f t="shared" si="84"/>
        <v>61.861193981840856</v>
      </c>
      <c r="P425" s="2">
        <f t="shared" si="85"/>
        <v>2.0777173410530127E-11</v>
      </c>
      <c r="Q425" s="2">
        <f t="shared" si="86"/>
        <v>4.4336275837788935E-14</v>
      </c>
      <c r="R425" s="6">
        <f t="shared" si="87"/>
        <v>165.49746370328998</v>
      </c>
      <c r="S425" s="2">
        <f t="shared" si="88"/>
        <v>3.0951801774082041E-12</v>
      </c>
      <c r="T425" s="2">
        <f t="shared" si="89"/>
        <v>1.2072971562511765E-13</v>
      </c>
      <c r="U425" s="6">
        <f t="shared" si="90"/>
        <v>105.66986512386239</v>
      </c>
      <c r="V425" s="2">
        <f t="shared" si="91"/>
        <v>1.1687092978863805E-8</v>
      </c>
      <c r="W425" s="2">
        <f t="shared" si="92"/>
        <v>1.6460782031870105E-13</v>
      </c>
    </row>
    <row r="426" spans="1:23" x14ac:dyDescent="0.4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10" t="s">
        <v>1288</v>
      </c>
      <c r="F426" s="10" t="s">
        <v>1289</v>
      </c>
      <c r="G426" s="10" t="s">
        <v>1290</v>
      </c>
      <c r="H426" s="10">
        <v>-53.5263184225131</v>
      </c>
      <c r="I426" s="10">
        <v>140.91487289065299</v>
      </c>
      <c r="J426" s="10">
        <v>-122.06966986432801</v>
      </c>
      <c r="K426" s="4">
        <f t="shared" ref="K426:K489" si="93">ConvertDecimal(E426)</f>
        <v>-53.526318422222225</v>
      </c>
      <c r="L426" s="4">
        <f t="shared" ref="L426:L489" si="94">MOD(ConvertDecimal(F426)+3*180, 360) - 180</f>
        <v>140.91487289166662</v>
      </c>
      <c r="M426" s="4">
        <f t="shared" ref="M426:M489" si="95">MOD(ConvertDecimal(G426)+180, 360)</f>
        <v>237.93033055555554</v>
      </c>
      <c r="N426" s="4">
        <f t="shared" ref="N426:N489" si="96">MOD(J426+360, 360)</f>
        <v>237.93033013567199</v>
      </c>
      <c r="O426" s="5">
        <f t="shared" si="84"/>
        <v>-53.526318422520788</v>
      </c>
      <c r="P426" s="2">
        <f t="shared" si="85"/>
        <v>5.5778719878310135E-12</v>
      </c>
      <c r="Q426" s="2">
        <f t="shared" si="86"/>
        <v>1.436316307099255E-13</v>
      </c>
      <c r="R426" s="6">
        <f t="shared" si="87"/>
        <v>140.91487289063198</v>
      </c>
      <c r="S426" s="2">
        <f t="shared" si="88"/>
        <v>7.3422731551580812E-12</v>
      </c>
      <c r="T426" s="2">
        <f t="shared" si="89"/>
        <v>1.4905199740957756E-13</v>
      </c>
      <c r="U426" s="6">
        <f t="shared" si="90"/>
        <v>237.93033013568896</v>
      </c>
      <c r="V426" s="2">
        <f t="shared" si="91"/>
        <v>1.7646618639748773E-9</v>
      </c>
      <c r="W426" s="2">
        <f t="shared" si="92"/>
        <v>7.1313987251124652E-14</v>
      </c>
    </row>
    <row r="427" spans="1:23" x14ac:dyDescent="0.45">
      <c r="A427">
        <v>32.604289999999999</v>
      </c>
      <c r="B427">
        <v>159.29326</v>
      </c>
      <c r="C427">
        <v>120.34804</v>
      </c>
      <c r="D427">
        <v>2285.7537000000002</v>
      </c>
      <c r="E427" s="10" t="s">
        <v>1291</v>
      </c>
      <c r="F427" s="10" t="s">
        <v>1292</v>
      </c>
      <c r="G427" s="10" t="s">
        <v>1293</v>
      </c>
      <c r="H427" s="10">
        <v>32.593874285994701</v>
      </c>
      <c r="I427" s="10">
        <v>159.31427153329801</v>
      </c>
      <c r="J427" s="10">
        <v>120.359360116858</v>
      </c>
      <c r="K427" s="4">
        <f t="shared" si="93"/>
        <v>32.593874286111109</v>
      </c>
      <c r="L427" s="4">
        <f t="shared" si="94"/>
        <v>159.31427153333334</v>
      </c>
      <c r="M427" s="4">
        <f t="shared" si="95"/>
        <v>120.35936111111113</v>
      </c>
      <c r="N427" s="4">
        <f t="shared" si="96"/>
        <v>120.359360116858</v>
      </c>
      <c r="O427" s="5">
        <f t="shared" si="84"/>
        <v>32.593874285994588</v>
      </c>
      <c r="P427" s="2">
        <f t="shared" si="85"/>
        <v>3.5749632650129935E-12</v>
      </c>
      <c r="Q427" s="2">
        <f t="shared" si="86"/>
        <v>3.487981720861771E-15</v>
      </c>
      <c r="R427" s="6">
        <f t="shared" si="87"/>
        <v>159.31427153329793</v>
      </c>
      <c r="S427" s="2">
        <f t="shared" si="88"/>
        <v>2.2228673934509271E-13</v>
      </c>
      <c r="T427" s="2">
        <f t="shared" si="89"/>
        <v>5.3520081704287803E-16</v>
      </c>
      <c r="U427" s="6">
        <f t="shared" si="90"/>
        <v>120.35936011685818</v>
      </c>
      <c r="V427" s="2">
        <f t="shared" si="91"/>
        <v>8.2607030637978184E-9</v>
      </c>
      <c r="W427" s="2">
        <f t="shared" si="92"/>
        <v>1.5349127073977398E-15</v>
      </c>
    </row>
    <row r="428" spans="1:23" x14ac:dyDescent="0.4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10" t="s">
        <v>1294</v>
      </c>
      <c r="F428" s="10" t="s">
        <v>1295</v>
      </c>
      <c r="G428" s="10" t="s">
        <v>1296</v>
      </c>
      <c r="H428" s="10">
        <v>16.599462219323499</v>
      </c>
      <c r="I428" s="10">
        <v>3.6622455745087299</v>
      </c>
      <c r="J428" s="10">
        <v>-93.097080945812493</v>
      </c>
      <c r="K428" s="4">
        <f t="shared" si="93"/>
        <v>16.599462219444444</v>
      </c>
      <c r="L428" s="4">
        <f t="shared" si="94"/>
        <v>3.6622455750000427</v>
      </c>
      <c r="M428" s="4">
        <f t="shared" si="95"/>
        <v>266.90291944444448</v>
      </c>
      <c r="N428" s="4">
        <f t="shared" si="96"/>
        <v>266.90291905418752</v>
      </c>
      <c r="O428" s="5">
        <f t="shared" si="84"/>
        <v>16.59946221932351</v>
      </c>
      <c r="P428" s="2">
        <f t="shared" si="85"/>
        <v>7.2854392526468557E-12</v>
      </c>
      <c r="Q428" s="2">
        <f t="shared" si="86"/>
        <v>6.4207748995592874E-16</v>
      </c>
      <c r="R428" s="6">
        <f t="shared" si="87"/>
        <v>3.6622455745086318</v>
      </c>
      <c r="S428" s="2">
        <f t="shared" si="88"/>
        <v>1.3418294920391014E-10</v>
      </c>
      <c r="T428" s="2">
        <f t="shared" si="89"/>
        <v>2.6798780524167683E-14</v>
      </c>
      <c r="U428" s="6">
        <f t="shared" si="90"/>
        <v>266.90291905418718</v>
      </c>
      <c r="V428" s="2">
        <f t="shared" si="91"/>
        <v>1.4621694632992314E-9</v>
      </c>
      <c r="W428" s="2">
        <f t="shared" si="92"/>
        <v>1.2778448222801372E-15</v>
      </c>
    </row>
    <row r="429" spans="1:23" x14ac:dyDescent="0.45">
      <c r="A429">
        <v>-51.484250000000003</v>
      </c>
      <c r="B429">
        <v>88.669690000000003</v>
      </c>
      <c r="C429">
        <v>301.63119999999998</v>
      </c>
      <c r="D429">
        <v>2974.0944</v>
      </c>
      <c r="E429" s="10" t="s">
        <v>1297</v>
      </c>
      <c r="F429" s="10" t="s">
        <v>1298</v>
      </c>
      <c r="G429" s="10" t="s">
        <v>1299</v>
      </c>
      <c r="H429" s="10">
        <v>-51.470224930287102</v>
      </c>
      <c r="I429" s="10">
        <v>88.633247028710102</v>
      </c>
      <c r="J429" s="10">
        <v>-58.340288447904697</v>
      </c>
      <c r="K429" s="4">
        <f t="shared" si="93"/>
        <v>-51.470224930555553</v>
      </c>
      <c r="L429" s="4">
        <f t="shared" si="94"/>
        <v>88.63324702777777</v>
      </c>
      <c r="M429" s="4">
        <f t="shared" si="95"/>
        <v>301.65971111111111</v>
      </c>
      <c r="N429" s="4">
        <f t="shared" si="96"/>
        <v>301.6597115520953</v>
      </c>
      <c r="O429" s="5">
        <f t="shared" si="84"/>
        <v>-51.470224930278505</v>
      </c>
      <c r="P429" s="2">
        <f t="shared" si="85"/>
        <v>5.3826793738324991E-12</v>
      </c>
      <c r="Q429" s="2">
        <f t="shared" si="86"/>
        <v>1.6703962561543161E-13</v>
      </c>
      <c r="R429" s="6">
        <f t="shared" si="87"/>
        <v>88.633247028688075</v>
      </c>
      <c r="S429" s="2">
        <f t="shared" si="88"/>
        <v>1.0270465666302445E-11</v>
      </c>
      <c r="T429" s="2">
        <f t="shared" si="89"/>
        <v>2.485165053405769E-13</v>
      </c>
      <c r="U429" s="6">
        <f t="shared" si="90"/>
        <v>301.65971155211241</v>
      </c>
      <c r="V429" s="2">
        <f t="shared" si="91"/>
        <v>1.4619164859070352E-9</v>
      </c>
      <c r="W429" s="2">
        <f t="shared" si="92"/>
        <v>5.6719105740271895E-14</v>
      </c>
    </row>
    <row r="430" spans="1:23" x14ac:dyDescent="0.45">
      <c r="A430">
        <v>-40.90269</v>
      </c>
      <c r="B430">
        <v>73.915390000000002</v>
      </c>
      <c r="C430">
        <v>163.66669999999999</v>
      </c>
      <c r="D430">
        <v>581.15200000000004</v>
      </c>
      <c r="E430" s="10" t="s">
        <v>1300</v>
      </c>
      <c r="F430" s="10" t="s">
        <v>1301</v>
      </c>
      <c r="G430" s="10" t="s">
        <v>1302</v>
      </c>
      <c r="H430" s="10">
        <v>-40.907711932782298</v>
      </c>
      <c r="I430" s="10">
        <v>73.917329815597697</v>
      </c>
      <c r="J430" s="10">
        <v>163.66542979046699</v>
      </c>
      <c r="K430" s="4">
        <f t="shared" si="93"/>
        <v>-40.907711933333331</v>
      </c>
      <c r="L430" s="4">
        <f t="shared" si="94"/>
        <v>73.917329816666665</v>
      </c>
      <c r="M430" s="4">
        <f t="shared" si="95"/>
        <v>163.66543055555553</v>
      </c>
      <c r="N430" s="4">
        <f t="shared" si="96"/>
        <v>163.66542979046699</v>
      </c>
      <c r="O430" s="5">
        <f t="shared" si="84"/>
        <v>-40.907711932782263</v>
      </c>
      <c r="P430" s="2">
        <f t="shared" si="85"/>
        <v>1.3471018008637862E-11</v>
      </c>
      <c r="Q430" s="2">
        <f t="shared" si="86"/>
        <v>8.6847039615370308E-16</v>
      </c>
      <c r="R430" s="6">
        <f t="shared" si="87"/>
        <v>73.917329815597711</v>
      </c>
      <c r="S430" s="2">
        <f t="shared" si="88"/>
        <v>1.4461489682913101E-11</v>
      </c>
      <c r="T430" s="2">
        <f t="shared" si="89"/>
        <v>1.9225335588628494E-16</v>
      </c>
      <c r="U430" s="6">
        <f t="shared" si="90"/>
        <v>163.66542979046653</v>
      </c>
      <c r="V430" s="2">
        <f t="shared" si="91"/>
        <v>4.6747135041336599E-9</v>
      </c>
      <c r="W430" s="2">
        <f t="shared" si="92"/>
        <v>2.7785180503216553E-15</v>
      </c>
    </row>
    <row r="431" spans="1:23" x14ac:dyDescent="0.45">
      <c r="A431">
        <v>-25.64594</v>
      </c>
      <c r="B431">
        <v>139.58041</v>
      </c>
      <c r="C431">
        <v>100.22121</v>
      </c>
      <c r="D431">
        <v>1778.7229</v>
      </c>
      <c r="E431" s="10" t="s">
        <v>1303</v>
      </c>
      <c r="F431" s="10" t="s">
        <v>1304</v>
      </c>
      <c r="G431" s="10" t="s">
        <v>1305</v>
      </c>
      <c r="H431" s="10">
        <v>-25.648788077233199</v>
      </c>
      <c r="I431" s="10">
        <v>139.597842854243</v>
      </c>
      <c r="J431" s="10">
        <v>100.213664518323</v>
      </c>
      <c r="K431" s="4">
        <f t="shared" si="93"/>
        <v>-25.648788077777777</v>
      </c>
      <c r="L431" s="4">
        <f t="shared" si="94"/>
        <v>139.59784285555554</v>
      </c>
      <c r="M431" s="4">
        <f t="shared" si="95"/>
        <v>100.2136638888889</v>
      </c>
      <c r="N431" s="4">
        <f t="shared" si="96"/>
        <v>100.21366451832301</v>
      </c>
      <c r="O431" s="5">
        <f t="shared" si="84"/>
        <v>-25.648788077233313</v>
      </c>
      <c r="P431" s="2">
        <f t="shared" si="85"/>
        <v>2.1227670787647825E-11</v>
      </c>
      <c r="Q431" s="2">
        <f t="shared" si="86"/>
        <v>4.4324448149083744E-15</v>
      </c>
      <c r="R431" s="6">
        <f t="shared" si="87"/>
        <v>139.59784285424334</v>
      </c>
      <c r="S431" s="2">
        <f t="shared" si="88"/>
        <v>9.3998723465238786E-12</v>
      </c>
      <c r="T431" s="2">
        <f t="shared" si="89"/>
        <v>2.4431646377297995E-15</v>
      </c>
      <c r="U431" s="6">
        <f t="shared" si="90"/>
        <v>100.21366451832294</v>
      </c>
      <c r="V431" s="2">
        <f t="shared" si="91"/>
        <v>6.2809203502072786E-9</v>
      </c>
      <c r="W431" s="2">
        <f t="shared" si="92"/>
        <v>7.0902779493727117E-16</v>
      </c>
    </row>
    <row r="432" spans="1:23" x14ac:dyDescent="0.45">
      <c r="A432">
        <v>-85.719920000000002</v>
      </c>
      <c r="B432">
        <v>8.6200200000000002</v>
      </c>
      <c r="C432">
        <v>232.77705</v>
      </c>
      <c r="D432">
        <v>2334.7959999999998</v>
      </c>
      <c r="E432" s="10" t="s">
        <v>1306</v>
      </c>
      <c r="F432" s="10" t="s">
        <v>1307</v>
      </c>
      <c r="G432" s="10" t="s">
        <v>1308</v>
      </c>
      <c r="H432" s="10">
        <v>-85.732533216324796</v>
      </c>
      <c r="I432" s="10">
        <v>8.3963269629021706</v>
      </c>
      <c r="J432" s="10">
        <v>-126.99987897205</v>
      </c>
      <c r="K432" s="4">
        <f t="shared" si="93"/>
        <v>-85.732533216666667</v>
      </c>
      <c r="L432" s="4">
        <f t="shared" si="94"/>
        <v>8.396326963888896</v>
      </c>
      <c r="M432" s="4">
        <f t="shared" si="95"/>
        <v>233.00012222222222</v>
      </c>
      <c r="N432" s="4">
        <f t="shared" si="96"/>
        <v>233.00012102795</v>
      </c>
      <c r="O432" s="5">
        <f t="shared" si="84"/>
        <v>-85.732533216324569</v>
      </c>
      <c r="P432" s="2">
        <f t="shared" si="85"/>
        <v>3.9902927479641178E-12</v>
      </c>
      <c r="Q432" s="2">
        <f t="shared" si="86"/>
        <v>2.6521282751497726E-15</v>
      </c>
      <c r="R432" s="6">
        <f t="shared" si="87"/>
        <v>8.3963269629040216</v>
      </c>
      <c r="S432" s="2">
        <f t="shared" si="88"/>
        <v>1.1729824344485952E-10</v>
      </c>
      <c r="T432" s="2">
        <f t="shared" si="89"/>
        <v>2.2044923153103125E-13</v>
      </c>
      <c r="U432" s="6">
        <f t="shared" si="90"/>
        <v>233.0001210279475</v>
      </c>
      <c r="V432" s="2">
        <f t="shared" si="91"/>
        <v>5.1256398711882041E-9</v>
      </c>
      <c r="W432" s="2">
        <f t="shared" si="92"/>
        <v>1.0734373951572012E-14</v>
      </c>
    </row>
    <row r="433" spans="1:23" x14ac:dyDescent="0.45">
      <c r="A433">
        <v>-21.546500000000002</v>
      </c>
      <c r="B433">
        <v>124.54858</v>
      </c>
      <c r="C433">
        <v>39.628720000000001</v>
      </c>
      <c r="D433">
        <v>2644.8265000000001</v>
      </c>
      <c r="E433" s="10" t="s">
        <v>1309</v>
      </c>
      <c r="F433" s="10" t="s">
        <v>1310</v>
      </c>
      <c r="G433" s="10" t="s">
        <v>1311</v>
      </c>
      <c r="H433" s="10">
        <v>-21.5281018657328</v>
      </c>
      <c r="I433" s="10">
        <v>124.56486274477101</v>
      </c>
      <c r="J433" s="10">
        <v>39.622742492366598</v>
      </c>
      <c r="K433" s="4">
        <f t="shared" si="93"/>
        <v>-21.528101866666667</v>
      </c>
      <c r="L433" s="4">
        <f t="shared" si="94"/>
        <v>124.56486274444444</v>
      </c>
      <c r="M433" s="4">
        <f t="shared" si="95"/>
        <v>39.622741666666684</v>
      </c>
      <c r="N433" s="4">
        <f t="shared" si="96"/>
        <v>39.622742492366569</v>
      </c>
      <c r="O433" s="5">
        <f t="shared" si="84"/>
        <v>-21.528101865737472</v>
      </c>
      <c r="P433" s="2">
        <f t="shared" si="85"/>
        <v>4.3161933405778245E-11</v>
      </c>
      <c r="Q433" s="2">
        <f t="shared" si="86"/>
        <v>2.1701023698048326E-13</v>
      </c>
      <c r="R433" s="6">
        <f t="shared" si="87"/>
        <v>124.5648627447666</v>
      </c>
      <c r="S433" s="2">
        <f t="shared" si="88"/>
        <v>2.586283718343339E-12</v>
      </c>
      <c r="T433" s="2">
        <f t="shared" si="89"/>
        <v>3.536603231955594E-14</v>
      </c>
      <c r="U433" s="6">
        <f t="shared" si="90"/>
        <v>39.622742492368154</v>
      </c>
      <c r="V433" s="2">
        <f t="shared" si="91"/>
        <v>2.0839079658107209E-8</v>
      </c>
      <c r="W433" s="2">
        <f t="shared" si="92"/>
        <v>3.9989919956961173E-14</v>
      </c>
    </row>
    <row r="434" spans="1:23" x14ac:dyDescent="0.4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10" t="s">
        <v>1312</v>
      </c>
      <c r="F434" s="10" t="s">
        <v>1313</v>
      </c>
      <c r="G434" s="10" t="s">
        <v>1314</v>
      </c>
      <c r="H434" s="10">
        <v>27.2241552102447</v>
      </c>
      <c r="I434" s="10">
        <v>35.632742586950002</v>
      </c>
      <c r="J434" s="10">
        <v>64.797440320424798</v>
      </c>
      <c r="K434" s="4">
        <f t="shared" si="93"/>
        <v>27.22415521111111</v>
      </c>
      <c r="L434" s="4">
        <f t="shared" si="94"/>
        <v>35.632742586111135</v>
      </c>
      <c r="M434" s="4">
        <f t="shared" si="95"/>
        <v>64.797441666666657</v>
      </c>
      <c r="N434" s="4">
        <f t="shared" si="96"/>
        <v>64.797440320424812</v>
      </c>
      <c r="O434" s="5">
        <f t="shared" si="84"/>
        <v>27.22415521024476</v>
      </c>
      <c r="P434" s="2">
        <f t="shared" si="85"/>
        <v>3.1822862459437771E-11</v>
      </c>
      <c r="Q434" s="2">
        <f t="shared" si="86"/>
        <v>2.2184759113069154E-15</v>
      </c>
      <c r="R434" s="6">
        <f t="shared" si="87"/>
        <v>35.63274258695008</v>
      </c>
      <c r="S434" s="2">
        <f t="shared" si="88"/>
        <v>2.3544213906967416E-11</v>
      </c>
      <c r="T434" s="2">
        <f t="shared" si="89"/>
        <v>2.1934797958054435E-15</v>
      </c>
      <c r="U434" s="6">
        <f t="shared" si="90"/>
        <v>64.797440320424755</v>
      </c>
      <c r="V434" s="2">
        <f t="shared" si="91"/>
        <v>2.0776158245281926E-8</v>
      </c>
      <c r="W434" s="2">
        <f t="shared" si="92"/>
        <v>8.7724790639438875E-16</v>
      </c>
    </row>
    <row r="435" spans="1:23" x14ac:dyDescent="0.45">
      <c r="A435">
        <v>61.464239999999997</v>
      </c>
      <c r="B435">
        <v>52.84836</v>
      </c>
      <c r="C435">
        <v>166.41623000000001</v>
      </c>
      <c r="D435">
        <v>1329.8941</v>
      </c>
      <c r="E435" s="10" t="s">
        <v>1315</v>
      </c>
      <c r="F435" s="10" t="s">
        <v>1316</v>
      </c>
      <c r="G435" s="10" t="s">
        <v>1317</v>
      </c>
      <c r="H435" s="10">
        <v>61.452639623188198</v>
      </c>
      <c r="I435" s="10">
        <v>52.854216247531099</v>
      </c>
      <c r="J435" s="10">
        <v>166.421374542297</v>
      </c>
      <c r="K435" s="4">
        <f t="shared" si="93"/>
        <v>61.452639622222222</v>
      </c>
      <c r="L435" s="4">
        <f t="shared" si="94"/>
        <v>52.854216247222212</v>
      </c>
      <c r="M435" s="4">
        <f t="shared" si="95"/>
        <v>166.42137500000001</v>
      </c>
      <c r="N435" s="4">
        <f t="shared" si="96"/>
        <v>166.42137454229703</v>
      </c>
      <c r="O435" s="5">
        <f t="shared" si="84"/>
        <v>61.452639623178754</v>
      </c>
      <c r="P435" s="2">
        <f t="shared" si="85"/>
        <v>1.5565362802322164E-11</v>
      </c>
      <c r="Q435" s="2">
        <f t="shared" si="86"/>
        <v>1.5366488756470797E-13</v>
      </c>
      <c r="R435" s="6">
        <f t="shared" si="87"/>
        <v>52.854216247535881</v>
      </c>
      <c r="S435" s="2">
        <f t="shared" si="88"/>
        <v>5.9346086835178701E-12</v>
      </c>
      <c r="T435" s="2">
        <f t="shared" si="89"/>
        <v>9.0474383146090948E-14</v>
      </c>
      <c r="U435" s="6">
        <f t="shared" si="90"/>
        <v>166.42137454230118</v>
      </c>
      <c r="V435" s="2">
        <f t="shared" si="91"/>
        <v>2.750240657030828E-9</v>
      </c>
      <c r="W435" s="2">
        <f t="shared" si="92"/>
        <v>2.4934114312247471E-14</v>
      </c>
    </row>
    <row r="436" spans="1:23" x14ac:dyDescent="0.4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10" t="s">
        <v>1318</v>
      </c>
      <c r="F436" s="10" t="s">
        <v>1319</v>
      </c>
      <c r="G436" s="10" t="s">
        <v>1320</v>
      </c>
      <c r="H436" s="10">
        <v>26.650819473908999</v>
      </c>
      <c r="I436" s="10">
        <v>49.843445286397703</v>
      </c>
      <c r="J436" s="10">
        <v>142.38789250694299</v>
      </c>
      <c r="K436" s="4">
        <f t="shared" si="93"/>
        <v>26.650819474999999</v>
      </c>
      <c r="L436" s="4">
        <f t="shared" si="94"/>
        <v>49.843445286111091</v>
      </c>
      <c r="M436" s="4">
        <f t="shared" si="95"/>
        <v>142.38789166666669</v>
      </c>
      <c r="N436" s="4">
        <f t="shared" si="96"/>
        <v>142.38789250694299</v>
      </c>
      <c r="O436" s="5">
        <f t="shared" si="84"/>
        <v>26.650819473909277</v>
      </c>
      <c r="P436" s="2">
        <f t="shared" si="85"/>
        <v>4.0926403042329739E-11</v>
      </c>
      <c r="Q436" s="2">
        <f t="shared" si="86"/>
        <v>1.0397866647880371E-14</v>
      </c>
      <c r="R436" s="6">
        <f t="shared" si="87"/>
        <v>49.843445286397483</v>
      </c>
      <c r="S436" s="2">
        <f t="shared" si="88"/>
        <v>5.7458177987401108E-12</v>
      </c>
      <c r="T436" s="2">
        <f t="shared" si="89"/>
        <v>4.4192018994670568E-15</v>
      </c>
      <c r="U436" s="6">
        <f t="shared" si="90"/>
        <v>142.38789250694302</v>
      </c>
      <c r="V436" s="2">
        <f t="shared" si="91"/>
        <v>5.9013187054183035E-9</v>
      </c>
      <c r="W436" s="2">
        <f t="shared" si="92"/>
        <v>1.9960762765709264E-16</v>
      </c>
    </row>
    <row r="437" spans="1:23" x14ac:dyDescent="0.45">
      <c r="A437">
        <v>-88.782409999999999</v>
      </c>
      <c r="B437">
        <v>-73.764449999999997</v>
      </c>
      <c r="C437">
        <v>291.10323</v>
      </c>
      <c r="D437">
        <v>1791.4936</v>
      </c>
      <c r="E437" s="10" t="s">
        <v>1321</v>
      </c>
      <c r="F437" s="10" t="s">
        <v>1322</v>
      </c>
      <c r="G437" s="10" t="s">
        <v>1323</v>
      </c>
      <c r="H437" s="10">
        <v>-88.776543534941496</v>
      </c>
      <c r="I437" s="10">
        <v>-74.465283205676599</v>
      </c>
      <c r="J437" s="10">
        <v>-68.196095796018597</v>
      </c>
      <c r="K437" s="4">
        <f t="shared" si="93"/>
        <v>-88.776543536111106</v>
      </c>
      <c r="L437" s="4">
        <f t="shared" si="94"/>
        <v>-74.465283205555579</v>
      </c>
      <c r="M437" s="4">
        <f t="shared" si="95"/>
        <v>291.80390555555556</v>
      </c>
      <c r="N437" s="4">
        <f t="shared" si="96"/>
        <v>291.8039042039814</v>
      </c>
      <c r="O437" s="5">
        <f t="shared" si="84"/>
        <v>-88.776543534941467</v>
      </c>
      <c r="P437" s="2">
        <f t="shared" si="85"/>
        <v>1.3175086138757466E-11</v>
      </c>
      <c r="Q437" s="2">
        <f t="shared" si="86"/>
        <v>3.2014886251138543E-16</v>
      </c>
      <c r="R437" s="6">
        <f t="shared" si="87"/>
        <v>-74.465283205670588</v>
      </c>
      <c r="S437" s="2">
        <f t="shared" si="88"/>
        <v>1.544457259266147E-12</v>
      </c>
      <c r="T437" s="2">
        <f t="shared" si="89"/>
        <v>8.0724752337639749E-14</v>
      </c>
      <c r="U437" s="6">
        <f t="shared" si="90"/>
        <v>291.80390420397515</v>
      </c>
      <c r="V437" s="2">
        <f t="shared" si="91"/>
        <v>4.6318105506798983E-9</v>
      </c>
      <c r="W437" s="2">
        <f t="shared" si="92"/>
        <v>2.1428006906713511E-14</v>
      </c>
    </row>
    <row r="438" spans="1:23" x14ac:dyDescent="0.45">
      <c r="A438">
        <v>29.366720000000001</v>
      </c>
      <c r="B438">
        <v>117.47463999999999</v>
      </c>
      <c r="C438">
        <v>177.71938</v>
      </c>
      <c r="D438">
        <v>1454.0617</v>
      </c>
      <c r="E438" s="10" t="s">
        <v>1324</v>
      </c>
      <c r="F438" s="10" t="s">
        <v>1325</v>
      </c>
      <c r="G438" s="10" t="s">
        <v>1326</v>
      </c>
      <c r="H438" s="10">
        <v>29.353612029777601</v>
      </c>
      <c r="I438" s="10">
        <v>117.475235874707</v>
      </c>
      <c r="J438" s="10">
        <v>177.719672156142</v>
      </c>
      <c r="K438" s="4">
        <f t="shared" si="93"/>
        <v>29.353612030555556</v>
      </c>
      <c r="L438" s="4">
        <f t="shared" si="94"/>
        <v>117.47523587499995</v>
      </c>
      <c r="M438" s="4">
        <f t="shared" si="95"/>
        <v>177.71967222222224</v>
      </c>
      <c r="N438" s="4">
        <f t="shared" si="96"/>
        <v>177.719672156142</v>
      </c>
      <c r="O438" s="5">
        <f t="shared" si="84"/>
        <v>29.353612029786216</v>
      </c>
      <c r="P438" s="2">
        <f t="shared" si="85"/>
        <v>2.6209385963928599E-11</v>
      </c>
      <c r="Q438" s="2">
        <f t="shared" si="86"/>
        <v>2.935015514394427E-13</v>
      </c>
      <c r="R438" s="6">
        <f t="shared" si="87"/>
        <v>117.47523587470636</v>
      </c>
      <c r="S438" s="2">
        <f t="shared" si="88"/>
        <v>2.4992182925129497E-12</v>
      </c>
      <c r="T438" s="2">
        <f t="shared" si="89"/>
        <v>5.4436022828346178E-15</v>
      </c>
      <c r="U438" s="6">
        <f t="shared" si="90"/>
        <v>177.7196721561412</v>
      </c>
      <c r="V438" s="2">
        <f t="shared" si="91"/>
        <v>3.7182739554712665E-10</v>
      </c>
      <c r="W438" s="2">
        <f t="shared" si="92"/>
        <v>4.4778828049611001E-15</v>
      </c>
    </row>
    <row r="439" spans="1:23" x14ac:dyDescent="0.4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10" t="s">
        <v>1327</v>
      </c>
      <c r="F439" s="10" t="s">
        <v>1328</v>
      </c>
      <c r="G439" s="10" t="s">
        <v>1329</v>
      </c>
      <c r="H439" s="10">
        <v>26.942663201644301</v>
      </c>
      <c r="I439" s="10">
        <v>19.3608220978448</v>
      </c>
      <c r="J439" s="10">
        <v>114.260294200896</v>
      </c>
      <c r="K439" s="4">
        <f t="shared" si="93"/>
        <v>26.942663202777776</v>
      </c>
      <c r="L439" s="4">
        <f t="shared" si="94"/>
        <v>19.36082209722224</v>
      </c>
      <c r="M439" s="4">
        <f t="shared" si="95"/>
        <v>114.26029444444447</v>
      </c>
      <c r="N439" s="4">
        <f t="shared" si="96"/>
        <v>114.260294200896</v>
      </c>
      <c r="O439" s="5">
        <f t="shared" si="84"/>
        <v>26.942663201644262</v>
      </c>
      <c r="P439" s="2">
        <f t="shared" si="85"/>
        <v>4.2071364919356142E-11</v>
      </c>
      <c r="Q439" s="2">
        <f t="shared" si="86"/>
        <v>1.4504820913331419E-15</v>
      </c>
      <c r="R439" s="6">
        <f t="shared" si="87"/>
        <v>19.36082209784486</v>
      </c>
      <c r="S439" s="2">
        <f t="shared" si="88"/>
        <v>3.2158767562172618E-11</v>
      </c>
      <c r="T439" s="2">
        <f t="shared" si="89"/>
        <v>3.1195024795115321E-15</v>
      </c>
      <c r="U439" s="6">
        <f t="shared" si="90"/>
        <v>114.26029420089601</v>
      </c>
      <c r="V439" s="2">
        <f t="shared" si="91"/>
        <v>2.1315230916688927E-9</v>
      </c>
      <c r="W439" s="2">
        <f t="shared" si="92"/>
        <v>1.243726424353156E-16</v>
      </c>
    </row>
    <row r="440" spans="1:23" x14ac:dyDescent="0.45">
      <c r="A440">
        <v>89.631810000000002</v>
      </c>
      <c r="B440">
        <v>11.580299999999999</v>
      </c>
      <c r="C440">
        <v>49.81174</v>
      </c>
      <c r="D440">
        <v>1250.5150000000001</v>
      </c>
      <c r="E440" s="10" t="s">
        <v>1330</v>
      </c>
      <c r="F440" s="10" t="s">
        <v>1331</v>
      </c>
      <c r="G440" s="10" t="s">
        <v>1332</v>
      </c>
      <c r="H440" s="10">
        <v>89.638933420395006</v>
      </c>
      <c r="I440" s="10">
        <v>12.937646149544101</v>
      </c>
      <c r="J440" s="10">
        <v>51.169058668543002</v>
      </c>
      <c r="K440" s="4">
        <f t="shared" si="93"/>
        <v>89.638933419444442</v>
      </c>
      <c r="L440" s="4">
        <f t="shared" si="94"/>
        <v>12.937646149999978</v>
      </c>
      <c r="M440" s="4">
        <f t="shared" si="95"/>
        <v>51.169058333333339</v>
      </c>
      <c r="N440" s="4">
        <f t="shared" si="96"/>
        <v>51.169058668543016</v>
      </c>
      <c r="O440" s="5">
        <f t="shared" si="84"/>
        <v>89.638933420428074</v>
      </c>
      <c r="P440" s="2">
        <f t="shared" si="85"/>
        <v>1.0973275710672032E-11</v>
      </c>
      <c r="Q440" s="2">
        <f t="shared" si="86"/>
        <v>3.6890955370014643E-13</v>
      </c>
      <c r="R440" s="6">
        <f t="shared" si="87"/>
        <v>12.937646156086817</v>
      </c>
      <c r="S440" s="2">
        <f t="shared" si="88"/>
        <v>4.7047503126317593E-10</v>
      </c>
      <c r="T440" s="2">
        <f t="shared" si="89"/>
        <v>5.0571151159208529E-10</v>
      </c>
      <c r="U440" s="6">
        <f t="shared" si="90"/>
        <v>51.169058675085566</v>
      </c>
      <c r="V440" s="2">
        <f t="shared" si="91"/>
        <v>6.6788844205772892E-9</v>
      </c>
      <c r="W440" s="2">
        <f t="shared" si="92"/>
        <v>1.2786144172725813E-10</v>
      </c>
    </row>
    <row r="441" spans="1:23" x14ac:dyDescent="0.45">
      <c r="A441">
        <v>-26.93751</v>
      </c>
      <c r="B441">
        <v>122.75523</v>
      </c>
      <c r="C441">
        <v>107.32465000000001</v>
      </c>
      <c r="D441">
        <v>2712.2029000000002</v>
      </c>
      <c r="E441" s="10" t="s">
        <v>1333</v>
      </c>
      <c r="F441" s="10" t="s">
        <v>1334</v>
      </c>
      <c r="G441" s="10" t="s">
        <v>1335</v>
      </c>
      <c r="H441" s="10">
        <v>-26.944796725401499</v>
      </c>
      <c r="I441" s="10">
        <v>122.78130322723899</v>
      </c>
      <c r="J441" s="10">
        <v>107.312836868822</v>
      </c>
      <c r="K441" s="4">
        <f t="shared" si="93"/>
        <v>-26.944796725</v>
      </c>
      <c r="L441" s="4">
        <f t="shared" si="94"/>
        <v>122.78130322777781</v>
      </c>
      <c r="M441" s="4">
        <f t="shared" si="95"/>
        <v>107.3128361111111</v>
      </c>
      <c r="N441" s="4">
        <f t="shared" si="96"/>
        <v>107.31283686882199</v>
      </c>
      <c r="O441" s="5">
        <f t="shared" si="84"/>
        <v>-26.944796725401599</v>
      </c>
      <c r="P441" s="2">
        <f t="shared" si="85"/>
        <v>1.4904501167715104E-11</v>
      </c>
      <c r="Q441" s="2">
        <f t="shared" si="86"/>
        <v>3.6918438843754814E-15</v>
      </c>
      <c r="R441" s="6">
        <f t="shared" si="87"/>
        <v>122.78130322723921</v>
      </c>
      <c r="S441" s="2">
        <f t="shared" si="88"/>
        <v>4.3867070181009287E-12</v>
      </c>
      <c r="T441" s="2">
        <f t="shared" si="89"/>
        <v>1.7361179196275215E-15</v>
      </c>
      <c r="U441" s="6">
        <f t="shared" si="90"/>
        <v>107.31283686882155</v>
      </c>
      <c r="V441" s="2">
        <f t="shared" si="91"/>
        <v>7.060762533747628E-9</v>
      </c>
      <c r="W441" s="2">
        <f t="shared" si="92"/>
        <v>4.1051612185946494E-15</v>
      </c>
    </row>
    <row r="442" spans="1:23" x14ac:dyDescent="0.45">
      <c r="A442">
        <v>45.122979999999998</v>
      </c>
      <c r="B442">
        <v>172.37832</v>
      </c>
      <c r="C442">
        <v>347.08416999999997</v>
      </c>
      <c r="D442">
        <v>2240.8114</v>
      </c>
      <c r="E442" s="10" t="s">
        <v>1336</v>
      </c>
      <c r="F442" s="10" t="s">
        <v>1337</v>
      </c>
      <c r="G442" s="10" t="s">
        <v>1338</v>
      </c>
      <c r="H442" s="10">
        <v>45.142632767336202</v>
      </c>
      <c r="I442" s="10">
        <v>172.37195180290701</v>
      </c>
      <c r="J442" s="10">
        <v>-12.9203434208431</v>
      </c>
      <c r="K442" s="4">
        <f t="shared" si="93"/>
        <v>45.142632766666665</v>
      </c>
      <c r="L442" s="4">
        <f t="shared" si="94"/>
        <v>172.37195180277774</v>
      </c>
      <c r="M442" s="4">
        <f t="shared" si="95"/>
        <v>347.07965555555552</v>
      </c>
      <c r="N442" s="4">
        <f t="shared" si="96"/>
        <v>347.0796565791569</v>
      </c>
      <c r="O442" s="5">
        <f t="shared" si="84"/>
        <v>45.14263276729632</v>
      </c>
      <c r="P442" s="2">
        <f t="shared" si="85"/>
        <v>1.3948113172214172E-11</v>
      </c>
      <c r="Q442" s="2">
        <f t="shared" si="86"/>
        <v>8.8348333522701279E-13</v>
      </c>
      <c r="R442" s="6">
        <f t="shared" si="87"/>
        <v>172.37195180292011</v>
      </c>
      <c r="S442" s="2">
        <f t="shared" si="88"/>
        <v>8.2591361905434716E-13</v>
      </c>
      <c r="T442" s="2">
        <f t="shared" si="89"/>
        <v>7.6012413332754755E-14</v>
      </c>
      <c r="U442" s="6">
        <f t="shared" si="90"/>
        <v>347.07965657916566</v>
      </c>
      <c r="V442" s="2">
        <f t="shared" si="91"/>
        <v>2.9492081212144396E-9</v>
      </c>
      <c r="W442" s="2">
        <f t="shared" si="92"/>
        <v>2.5221548824968294E-14</v>
      </c>
    </row>
    <row r="443" spans="1:23" x14ac:dyDescent="0.45">
      <c r="A443">
        <v>42.462569999999999</v>
      </c>
      <c r="B443">
        <v>21.18187</v>
      </c>
      <c r="C443">
        <v>78.801850000000002</v>
      </c>
      <c r="D443">
        <v>606.53039999999999</v>
      </c>
      <c r="E443" s="10" t="s">
        <v>1339</v>
      </c>
      <c r="F443" s="10" t="s">
        <v>1340</v>
      </c>
      <c r="G443" s="10" t="s">
        <v>1341</v>
      </c>
      <c r="H443" s="10">
        <v>42.463630155278203</v>
      </c>
      <c r="I443" s="10">
        <v>21.189104131139601</v>
      </c>
      <c r="J443" s="10">
        <v>78.806733872201605</v>
      </c>
      <c r="K443" s="4">
        <f t="shared" si="93"/>
        <v>42.463630155555556</v>
      </c>
      <c r="L443" s="4">
        <f t="shared" si="94"/>
        <v>21.189104130555506</v>
      </c>
      <c r="M443" s="4">
        <f t="shared" si="95"/>
        <v>78.806733333333341</v>
      </c>
      <c r="N443" s="4">
        <f t="shared" si="96"/>
        <v>78.806733872201619</v>
      </c>
      <c r="O443" s="5">
        <f t="shared" si="84"/>
        <v>42.463630155278572</v>
      </c>
      <c r="P443" s="2">
        <f t="shared" si="85"/>
        <v>6.5228471574224138E-12</v>
      </c>
      <c r="Q443" s="2">
        <f t="shared" si="86"/>
        <v>8.7011454565743406E-15</v>
      </c>
      <c r="R443" s="6">
        <f t="shared" si="87"/>
        <v>21.189104131142383</v>
      </c>
      <c r="S443" s="2">
        <f t="shared" si="88"/>
        <v>2.7697080617412003E-11</v>
      </c>
      <c r="T443" s="2">
        <f t="shared" si="89"/>
        <v>1.3128326678109453E-13</v>
      </c>
      <c r="U443" s="6">
        <f t="shared" si="90"/>
        <v>78.806733872203452</v>
      </c>
      <c r="V443" s="2">
        <f t="shared" si="91"/>
        <v>6.8378689029070081E-9</v>
      </c>
      <c r="W443" s="2">
        <f t="shared" si="92"/>
        <v>2.3261974810856914E-14</v>
      </c>
    </row>
    <row r="444" spans="1:23" x14ac:dyDescent="0.45">
      <c r="A444">
        <v>30.746449999999999</v>
      </c>
      <c r="B444">
        <v>66.220020000000005</v>
      </c>
      <c r="C444">
        <v>177.19843</v>
      </c>
      <c r="D444">
        <v>2875.1604000000002</v>
      </c>
      <c r="E444" s="10" t="s">
        <v>1342</v>
      </c>
      <c r="F444" s="10" t="s">
        <v>1343</v>
      </c>
      <c r="G444" s="10" t="s">
        <v>1344</v>
      </c>
      <c r="H444" s="10">
        <v>30.720547076347799</v>
      </c>
      <c r="I444" s="10">
        <v>66.221487187445604</v>
      </c>
      <c r="J444" s="10">
        <v>177.19917979963699</v>
      </c>
      <c r="K444" s="4">
        <f t="shared" si="93"/>
        <v>30.720547074999999</v>
      </c>
      <c r="L444" s="4">
        <f t="shared" si="94"/>
        <v>66.221487186111062</v>
      </c>
      <c r="M444" s="4">
        <f t="shared" si="95"/>
        <v>177.19918055555559</v>
      </c>
      <c r="N444" s="4">
        <f t="shared" si="96"/>
        <v>177.19917979963702</v>
      </c>
      <c r="O444" s="5">
        <f t="shared" si="84"/>
        <v>30.720547076361044</v>
      </c>
      <c r="P444" s="2">
        <f t="shared" si="85"/>
        <v>4.4304048590855766E-11</v>
      </c>
      <c r="Q444" s="2">
        <f t="shared" si="86"/>
        <v>4.3112893014738712E-13</v>
      </c>
      <c r="R444" s="6">
        <f t="shared" si="87"/>
        <v>66.221487187444836</v>
      </c>
      <c r="S444" s="2">
        <f t="shared" si="88"/>
        <v>2.0141105807568421E-11</v>
      </c>
      <c r="T444" s="2">
        <f t="shared" si="89"/>
        <v>1.1588174582198008E-14</v>
      </c>
      <c r="U444" s="6">
        <f t="shared" si="90"/>
        <v>177.19917979963625</v>
      </c>
      <c r="V444" s="2">
        <f t="shared" si="91"/>
        <v>4.2659301714382765E-9</v>
      </c>
      <c r="W444" s="2">
        <f t="shared" si="92"/>
        <v>4.3306416851850472E-15</v>
      </c>
    </row>
    <row r="445" spans="1:23" x14ac:dyDescent="0.4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10" t="s">
        <v>1345</v>
      </c>
      <c r="F445" s="10" t="s">
        <v>1346</v>
      </c>
      <c r="G445" s="10" t="s">
        <v>1347</v>
      </c>
      <c r="H445" s="10">
        <v>30.217712587831301</v>
      </c>
      <c r="I445" s="10">
        <v>76.510259609858593</v>
      </c>
      <c r="J445" s="10">
        <v>-109.688644307619</v>
      </c>
      <c r="K445" s="4">
        <f t="shared" si="93"/>
        <v>30.21771258888889</v>
      </c>
      <c r="L445" s="4">
        <f t="shared" si="94"/>
        <v>76.51025961111111</v>
      </c>
      <c r="M445" s="4">
        <f t="shared" si="95"/>
        <v>250.31135555555556</v>
      </c>
      <c r="N445" s="4">
        <f t="shared" si="96"/>
        <v>250.311355692381</v>
      </c>
      <c r="O445" s="5">
        <f t="shared" si="84"/>
        <v>30.217712587831109</v>
      </c>
      <c r="P445" s="2">
        <f t="shared" si="85"/>
        <v>3.5005343799627327E-11</v>
      </c>
      <c r="Q445" s="2">
        <f t="shared" si="86"/>
        <v>6.3488107545401641E-15</v>
      </c>
      <c r="R445" s="6">
        <f t="shared" si="87"/>
        <v>76.510259609858181</v>
      </c>
      <c r="S445" s="2">
        <f t="shared" si="88"/>
        <v>1.6375953160316556E-11</v>
      </c>
      <c r="T445" s="2">
        <f t="shared" si="89"/>
        <v>5.386399011613807E-15</v>
      </c>
      <c r="U445" s="6">
        <f t="shared" si="90"/>
        <v>250.31135569238023</v>
      </c>
      <c r="V445" s="2">
        <f t="shared" si="91"/>
        <v>5.4661789852936166E-10</v>
      </c>
      <c r="W445" s="2">
        <f t="shared" si="92"/>
        <v>3.0657264929042368E-15</v>
      </c>
    </row>
    <row r="446" spans="1:23" x14ac:dyDescent="0.45">
      <c r="A446">
        <v>-2.31047</v>
      </c>
      <c r="B446">
        <v>40.459800000000001</v>
      </c>
      <c r="C446">
        <v>46.148719999999997</v>
      </c>
      <c r="D446">
        <v>1943.4681</v>
      </c>
      <c r="E446" s="10" t="s">
        <v>1348</v>
      </c>
      <c r="F446" s="10" t="s">
        <v>1349</v>
      </c>
      <c r="G446" s="10" t="s">
        <v>1350</v>
      </c>
      <c r="H446" s="10">
        <v>-2.29829359266459</v>
      </c>
      <c r="I446" s="10">
        <v>40.4724000776948</v>
      </c>
      <c r="J446" s="10">
        <v>46.148213373455597</v>
      </c>
      <c r="K446" s="4">
        <f t="shared" si="93"/>
        <v>-2.2982935916666665</v>
      </c>
      <c r="L446" s="4">
        <f t="shared" si="94"/>
        <v>40.47240007777782</v>
      </c>
      <c r="M446" s="4">
        <f t="shared" si="95"/>
        <v>46.148213888888904</v>
      </c>
      <c r="N446" s="4">
        <f t="shared" si="96"/>
        <v>46.148213373455576</v>
      </c>
      <c r="O446" s="5">
        <f t="shared" si="84"/>
        <v>-2.2982935926708201</v>
      </c>
      <c r="P446" s="2">
        <f t="shared" si="85"/>
        <v>4.3691269590666652E-10</v>
      </c>
      <c r="Q446" s="2">
        <f t="shared" si="86"/>
        <v>2.7107622563414357E-12</v>
      </c>
      <c r="R446" s="6">
        <f t="shared" si="87"/>
        <v>40.472400077688349</v>
      </c>
      <c r="S446" s="2">
        <f t="shared" si="88"/>
        <v>2.2106803924395367E-12</v>
      </c>
      <c r="T446" s="2">
        <f t="shared" si="89"/>
        <v>1.5941056197103057E-13</v>
      </c>
      <c r="U446" s="6">
        <f t="shared" si="90"/>
        <v>46.148213373455803</v>
      </c>
      <c r="V446" s="2">
        <f t="shared" si="91"/>
        <v>1.1169080170387031E-8</v>
      </c>
      <c r="W446" s="2">
        <f t="shared" si="92"/>
        <v>4.9270309470749146E-15</v>
      </c>
    </row>
    <row r="447" spans="1:23" x14ac:dyDescent="0.45">
      <c r="A447">
        <v>82.367189999999994</v>
      </c>
      <c r="B447">
        <v>122.33834</v>
      </c>
      <c r="C447">
        <v>76.671930000000003</v>
      </c>
      <c r="D447">
        <v>2836.5140000000001</v>
      </c>
      <c r="E447" s="10" t="s">
        <v>1351</v>
      </c>
      <c r="F447" s="10" t="s">
        <v>1352</v>
      </c>
      <c r="G447" s="10" t="s">
        <v>1353</v>
      </c>
      <c r="H447" s="10">
        <v>82.373005552225607</v>
      </c>
      <c r="I447" s="10">
        <v>122.524538675241</v>
      </c>
      <c r="J447" s="10">
        <v>76.856480146340303</v>
      </c>
      <c r="K447" s="4">
        <f t="shared" si="93"/>
        <v>82.373005552777784</v>
      </c>
      <c r="L447" s="4">
        <f t="shared" si="94"/>
        <v>122.52453867500003</v>
      </c>
      <c r="M447" s="4">
        <f t="shared" si="95"/>
        <v>76.856480555555549</v>
      </c>
      <c r="N447" s="4">
        <f t="shared" si="96"/>
        <v>76.856480146340289</v>
      </c>
      <c r="O447" s="5">
        <f t="shared" si="84"/>
        <v>82.373005552225521</v>
      </c>
      <c r="P447" s="2">
        <f t="shared" si="85"/>
        <v>6.7044079821554703E-12</v>
      </c>
      <c r="Q447" s="2">
        <f t="shared" si="86"/>
        <v>1.0351100790798846E-15</v>
      </c>
      <c r="R447" s="6">
        <f t="shared" si="87"/>
        <v>122.52453867523994</v>
      </c>
      <c r="S447" s="2">
        <f t="shared" si="88"/>
        <v>1.9580375645273993E-12</v>
      </c>
      <c r="T447" s="2">
        <f t="shared" si="89"/>
        <v>8.6987807925166528E-15</v>
      </c>
      <c r="U447" s="6">
        <f t="shared" si="90"/>
        <v>76.856480146338754</v>
      </c>
      <c r="V447" s="2">
        <f t="shared" si="91"/>
        <v>5.3244279806007363E-9</v>
      </c>
      <c r="W447" s="2">
        <f t="shared" si="92"/>
        <v>1.9969328628106559E-14</v>
      </c>
    </row>
    <row r="448" spans="1:23" x14ac:dyDescent="0.4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10" t="s">
        <v>1354</v>
      </c>
      <c r="F448" s="10" t="s">
        <v>1355</v>
      </c>
      <c r="G448" s="10" t="s">
        <v>1356</v>
      </c>
      <c r="H448" s="10">
        <v>47.443866558801801</v>
      </c>
      <c r="I448" s="10">
        <v>-97.150206959274101</v>
      </c>
      <c r="J448" s="10">
        <v>20.605861478791599</v>
      </c>
      <c r="K448" s="4">
        <f t="shared" si="93"/>
        <v>47.443866558333333</v>
      </c>
      <c r="L448" s="4">
        <f t="shared" si="94"/>
        <v>-97.150206958333342</v>
      </c>
      <c r="M448" s="4">
        <f t="shared" si="95"/>
        <v>20.605861111111153</v>
      </c>
      <c r="N448" s="4">
        <f t="shared" si="96"/>
        <v>20.60586147879161</v>
      </c>
      <c r="O448" s="5">
        <f t="shared" si="84"/>
        <v>47.443866558801886</v>
      </c>
      <c r="P448" s="2">
        <f t="shared" si="85"/>
        <v>9.8759487839420896E-12</v>
      </c>
      <c r="Q448" s="2">
        <f t="shared" si="86"/>
        <v>1.7971791608834125E-15</v>
      </c>
      <c r="R448" s="6">
        <f t="shared" si="87"/>
        <v>-97.150206959274001</v>
      </c>
      <c r="S448" s="2">
        <f t="shared" si="88"/>
        <v>9.6825229262435294E-12</v>
      </c>
      <c r="T448" s="2">
        <f t="shared" si="89"/>
        <v>1.0239400009524932E-15</v>
      </c>
      <c r="U448" s="6">
        <f t="shared" si="90"/>
        <v>20.605861478791699</v>
      </c>
      <c r="V448" s="2">
        <f t="shared" si="91"/>
        <v>1.7843493343124654E-8</v>
      </c>
      <c r="W448" s="2">
        <f t="shared" si="92"/>
        <v>4.3103192779116496E-15</v>
      </c>
    </row>
    <row r="449" spans="1:23" x14ac:dyDescent="0.45">
      <c r="A449">
        <v>-36.95899</v>
      </c>
      <c r="B449">
        <v>93.75658</v>
      </c>
      <c r="C449">
        <v>158.23999000000001</v>
      </c>
      <c r="D449">
        <v>509.322</v>
      </c>
      <c r="E449" s="10" t="s">
        <v>1357</v>
      </c>
      <c r="F449" s="10" t="s">
        <v>1358</v>
      </c>
      <c r="G449" s="10" t="s">
        <v>1359</v>
      </c>
      <c r="H449" s="10">
        <v>-36.963252400551497</v>
      </c>
      <c r="I449" s="10">
        <v>93.758700226638794</v>
      </c>
      <c r="J449" s="10">
        <v>158.23871516505201</v>
      </c>
      <c r="K449" s="4">
        <f t="shared" si="93"/>
        <v>-36.963252400000002</v>
      </c>
      <c r="L449" s="4">
        <f t="shared" si="94"/>
        <v>93.758700227777808</v>
      </c>
      <c r="M449" s="4">
        <f t="shared" si="95"/>
        <v>158.23871388888892</v>
      </c>
      <c r="N449" s="4">
        <f t="shared" si="96"/>
        <v>158.23871516505199</v>
      </c>
      <c r="O449" s="5">
        <f t="shared" si="84"/>
        <v>-36.963252400551362</v>
      </c>
      <c r="P449" s="2">
        <f t="shared" si="85"/>
        <v>1.4916432155406458E-11</v>
      </c>
      <c r="Q449" s="2">
        <f t="shared" si="86"/>
        <v>3.6523604127542842E-15</v>
      </c>
      <c r="R449" s="6">
        <f t="shared" si="87"/>
        <v>93.758700226638723</v>
      </c>
      <c r="S449" s="2">
        <f t="shared" si="88"/>
        <v>1.2149115418456452E-11</v>
      </c>
      <c r="T449" s="2">
        <f t="shared" si="89"/>
        <v>7.5784192191501847E-16</v>
      </c>
      <c r="U449" s="6">
        <f t="shared" si="90"/>
        <v>158.23871516505173</v>
      </c>
      <c r="V449" s="2">
        <f t="shared" si="91"/>
        <v>8.0647951079053624E-9</v>
      </c>
      <c r="W449" s="2">
        <f t="shared" si="92"/>
        <v>1.6165158103491104E-15</v>
      </c>
    </row>
    <row r="450" spans="1:23" x14ac:dyDescent="0.45">
      <c r="A450">
        <v>-4.4054399999999996</v>
      </c>
      <c r="B450">
        <v>120.34432</v>
      </c>
      <c r="C450">
        <v>96.75797</v>
      </c>
      <c r="D450">
        <v>1593.0436999999999</v>
      </c>
      <c r="E450" s="10" t="s">
        <v>1360</v>
      </c>
      <c r="F450" s="10" t="s">
        <v>1361</v>
      </c>
      <c r="G450" s="10" t="s">
        <v>1362</v>
      </c>
      <c r="H450" s="10">
        <v>-4.4071351143613402</v>
      </c>
      <c r="I450" s="10">
        <v>120.358572989189</v>
      </c>
      <c r="J450" s="10">
        <v>96.756874965029397</v>
      </c>
      <c r="K450" s="4">
        <f t="shared" si="93"/>
        <v>-4.4071351138888888</v>
      </c>
      <c r="L450" s="4">
        <f t="shared" si="94"/>
        <v>120.35857298888891</v>
      </c>
      <c r="M450" s="4">
        <f t="shared" si="95"/>
        <v>96.75687499999998</v>
      </c>
      <c r="N450" s="4">
        <f t="shared" si="96"/>
        <v>96.756874965029397</v>
      </c>
      <c r="O450" s="5">
        <f t="shared" si="84"/>
        <v>-4.4071351143610551</v>
      </c>
      <c r="P450" s="2">
        <f t="shared" si="85"/>
        <v>1.071367892864487E-10</v>
      </c>
      <c r="Q450" s="2">
        <f t="shared" si="86"/>
        <v>6.4691747660442725E-14</v>
      </c>
      <c r="R450" s="6">
        <f t="shared" si="87"/>
        <v>120.35857298918674</v>
      </c>
      <c r="S450" s="2">
        <f t="shared" si="88"/>
        <v>2.4745316077210251E-12</v>
      </c>
      <c r="T450" s="2">
        <f t="shared" si="89"/>
        <v>1.8773285887329992E-14</v>
      </c>
      <c r="U450" s="6">
        <f t="shared" si="90"/>
        <v>96.756874965029482</v>
      </c>
      <c r="V450" s="2">
        <f t="shared" si="91"/>
        <v>3.6142648890645295E-10</v>
      </c>
      <c r="W450" s="2">
        <f t="shared" si="92"/>
        <v>8.812306962376492E-16</v>
      </c>
    </row>
    <row r="451" spans="1:23" x14ac:dyDescent="0.45">
      <c r="A451">
        <v>43.101329999999997</v>
      </c>
      <c r="B451">
        <v>-153.50833</v>
      </c>
      <c r="C451">
        <v>207.45282</v>
      </c>
      <c r="D451">
        <v>2276.5025999999998</v>
      </c>
      <c r="E451" s="10" t="s">
        <v>1363</v>
      </c>
      <c r="F451" s="10" t="s">
        <v>1364</v>
      </c>
      <c r="G451" s="10" t="s">
        <v>1365</v>
      </c>
      <c r="H451" s="10">
        <v>43.083145234738303</v>
      </c>
      <c r="I451" s="10">
        <v>-153.521218330294</v>
      </c>
      <c r="J451" s="10">
        <v>-152.555984983191</v>
      </c>
      <c r="K451" s="4">
        <f t="shared" si="93"/>
        <v>43.083145236111108</v>
      </c>
      <c r="L451" s="4">
        <f t="shared" si="94"/>
        <v>-153.5212183305556</v>
      </c>
      <c r="M451" s="4">
        <f t="shared" si="95"/>
        <v>207.44401388888889</v>
      </c>
      <c r="N451" s="4">
        <f t="shared" si="96"/>
        <v>207.444015016809</v>
      </c>
      <c r="O451" s="5">
        <f t="shared" si="84"/>
        <v>43.083145234738247</v>
      </c>
      <c r="P451" s="2">
        <f t="shared" si="85"/>
        <v>3.186538328435381E-11</v>
      </c>
      <c r="Q451" s="2">
        <f t="shared" si="86"/>
        <v>1.3193887900035368E-15</v>
      </c>
      <c r="R451" s="6">
        <f t="shared" si="87"/>
        <v>-153.52121833029452</v>
      </c>
      <c r="S451" s="2">
        <f t="shared" si="88"/>
        <v>1.7006237031388099E-12</v>
      </c>
      <c r="T451" s="2">
        <f t="shared" si="89"/>
        <v>3.3323782556663116E-15</v>
      </c>
      <c r="U451" s="6">
        <f t="shared" si="90"/>
        <v>207.44401501680906</v>
      </c>
      <c r="V451" s="2">
        <f t="shared" si="91"/>
        <v>5.4372268948110337E-9</v>
      </c>
      <c r="W451" s="2">
        <f t="shared" si="92"/>
        <v>2.7401811932825369E-16</v>
      </c>
    </row>
    <row r="452" spans="1:23" x14ac:dyDescent="0.4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10" t="s">
        <v>1366</v>
      </c>
      <c r="F452" s="10" t="s">
        <v>1367</v>
      </c>
      <c r="G452" s="10" t="s">
        <v>1368</v>
      </c>
      <c r="H452" s="10">
        <v>-46.999732010387902</v>
      </c>
      <c r="I452" s="10">
        <v>-134.419670443238</v>
      </c>
      <c r="J452" s="10">
        <v>-113.22381130713499</v>
      </c>
      <c r="K452" s="4">
        <f t="shared" si="93"/>
        <v>-46.999732011111114</v>
      </c>
      <c r="L452" s="4">
        <f t="shared" si="94"/>
        <v>-134.41967044444448</v>
      </c>
      <c r="M452" s="4">
        <f t="shared" si="95"/>
        <v>246.7761888888889</v>
      </c>
      <c r="N452" s="4">
        <f t="shared" si="96"/>
        <v>246.77618869286499</v>
      </c>
      <c r="O452" s="5">
        <f t="shared" si="84"/>
        <v>-46.999732010390325</v>
      </c>
      <c r="P452" s="2">
        <f t="shared" si="85"/>
        <v>1.5336018550900686E-11</v>
      </c>
      <c r="Q452" s="2">
        <f t="shared" si="86"/>
        <v>5.1552437116161001E-14</v>
      </c>
      <c r="R452" s="6">
        <f t="shared" si="87"/>
        <v>-134.41967044324679</v>
      </c>
      <c r="S452" s="2">
        <f t="shared" si="88"/>
        <v>8.9100860866358788E-12</v>
      </c>
      <c r="T452" s="2">
        <f t="shared" si="89"/>
        <v>6.5334992899743669E-14</v>
      </c>
      <c r="U452" s="6">
        <f t="shared" si="90"/>
        <v>246.77618869287062</v>
      </c>
      <c r="V452" s="2">
        <f t="shared" si="91"/>
        <v>7.9431600774772917E-10</v>
      </c>
      <c r="W452" s="2">
        <f t="shared" si="92"/>
        <v>2.2804057786239328E-14</v>
      </c>
    </row>
    <row r="453" spans="1:23" x14ac:dyDescent="0.45">
      <c r="A453">
        <v>47.026739999999997</v>
      </c>
      <c r="B453">
        <v>-136.01058</v>
      </c>
      <c r="C453">
        <v>101.47855</v>
      </c>
      <c r="D453">
        <v>2384.1579000000002</v>
      </c>
      <c r="E453" s="10" t="s">
        <v>1369</v>
      </c>
      <c r="F453" s="10" t="s">
        <v>1370</v>
      </c>
      <c r="G453" s="10" t="s">
        <v>1371</v>
      </c>
      <c r="H453" s="10">
        <v>47.022468138929398</v>
      </c>
      <c r="I453" s="10">
        <v>-135.97984668269899</v>
      </c>
      <c r="J453" s="10">
        <v>101.50103592428199</v>
      </c>
      <c r="K453" s="4">
        <f t="shared" si="93"/>
        <v>47.02246813888889</v>
      </c>
      <c r="L453" s="4">
        <f t="shared" si="94"/>
        <v>-135.97984668333334</v>
      </c>
      <c r="M453" s="4">
        <f t="shared" si="95"/>
        <v>101.50103611111109</v>
      </c>
      <c r="N453" s="4">
        <f t="shared" si="96"/>
        <v>101.50103592428201</v>
      </c>
      <c r="O453" s="5">
        <f t="shared" ref="O453:O516" si="97">vincentyDirLat(A453, $B453, $C453, $D453)</f>
        <v>47.022468138926492</v>
      </c>
      <c r="P453" s="2">
        <f t="shared" ref="P453:P516" si="98">ABS((K453-O453)/K453)</f>
        <v>7.9965861139744524E-13</v>
      </c>
      <c r="Q453" s="2">
        <f t="shared" ref="Q453:Q516" si="99">ABS((H453-O453)/H453)</f>
        <v>6.1802791394798448E-14</v>
      </c>
      <c r="R453" s="6">
        <f t="shared" ref="R453:R516" si="100">VincentyDirLon($A453, $B453, $C453, $D453)</f>
        <v>-135.97984668267878</v>
      </c>
      <c r="S453" s="2">
        <f t="shared" ref="S453:S516" si="101">ABS((L453-R453)/L453)</f>
        <v>4.8135954271702442E-12</v>
      </c>
      <c r="T453" s="2">
        <f t="shared" ref="T453:T516" si="102">ABS((I453-R453)/I453)</f>
        <v>1.4860904684038253E-13</v>
      </c>
      <c r="U453" s="6">
        <f t="shared" ref="U453:U516" si="103">VincentyDirRevAzimuth($A453, $B453, $C453, $D453)</f>
        <v>101.50103592429666</v>
      </c>
      <c r="V453" s="2">
        <f t="shared" ref="V453:V516" si="104">ABS((M453-U453)/M453)</f>
        <v>1.8405174915013474E-9</v>
      </c>
      <c r="W453" s="2">
        <f t="shared" ref="W453:W516" si="105">ABS((N453-U453)/N453)</f>
        <v>1.443472086561062E-13</v>
      </c>
    </row>
    <row r="454" spans="1:23" x14ac:dyDescent="0.45">
      <c r="A454">
        <v>37.676609999999997</v>
      </c>
      <c r="B454">
        <v>127.77905</v>
      </c>
      <c r="C454">
        <v>121.64788</v>
      </c>
      <c r="D454">
        <v>900.21310000000005</v>
      </c>
      <c r="E454" s="10" t="s">
        <v>1372</v>
      </c>
      <c r="F454" s="10" t="s">
        <v>1373</v>
      </c>
      <c r="G454" s="10" t="s">
        <v>1374</v>
      </c>
      <c r="H454" s="10">
        <v>37.672353997991301</v>
      </c>
      <c r="I454" s="10">
        <v>127.787736529909</v>
      </c>
      <c r="J454" s="10">
        <v>121.653188986364</v>
      </c>
      <c r="K454" s="4">
        <f t="shared" si="93"/>
        <v>37.672353997222224</v>
      </c>
      <c r="L454" s="4">
        <f t="shared" si="94"/>
        <v>127.78773653055555</v>
      </c>
      <c r="M454" s="4">
        <f t="shared" si="95"/>
        <v>121.65318888888891</v>
      </c>
      <c r="N454" s="4">
        <f t="shared" si="96"/>
        <v>121.653188986364</v>
      </c>
      <c r="O454" s="5">
        <f t="shared" si="97"/>
        <v>37.672353997991081</v>
      </c>
      <c r="P454" s="2">
        <f t="shared" si="98"/>
        <v>2.040905057699934E-11</v>
      </c>
      <c r="Q454" s="2">
        <f t="shared" si="99"/>
        <v>5.8469467582879429E-15</v>
      </c>
      <c r="R454" s="6">
        <f t="shared" si="100"/>
        <v>127.78773652990911</v>
      </c>
      <c r="S454" s="2">
        <f t="shared" si="101"/>
        <v>5.0586823719602633E-12</v>
      </c>
      <c r="T454" s="2">
        <f t="shared" si="102"/>
        <v>8.8965373993464059E-16</v>
      </c>
      <c r="U454" s="6">
        <f t="shared" si="103"/>
        <v>121.65318898636437</v>
      </c>
      <c r="V454" s="2">
        <f t="shared" si="104"/>
        <v>8.0125695869563035E-10</v>
      </c>
      <c r="W454" s="2">
        <f t="shared" si="105"/>
        <v>3.0371766303361522E-15</v>
      </c>
    </row>
    <row r="455" spans="1:23" x14ac:dyDescent="0.45">
      <c r="A455">
        <v>-12.139749999999999</v>
      </c>
      <c r="B455">
        <v>-137.83193</v>
      </c>
      <c r="C455">
        <v>339.84532999999999</v>
      </c>
      <c r="D455">
        <v>1913.3998999999999</v>
      </c>
      <c r="E455" s="10" t="s">
        <v>1375</v>
      </c>
      <c r="F455" s="10" t="s">
        <v>1376</v>
      </c>
      <c r="G455" s="10" t="s">
        <v>1377</v>
      </c>
      <c r="H455" s="10">
        <v>-12.1235125402376</v>
      </c>
      <c r="I455" s="10">
        <v>-137.83798655083399</v>
      </c>
      <c r="J455" s="10">
        <v>-20.153397165343701</v>
      </c>
      <c r="K455" s="4">
        <f t="shared" si="93"/>
        <v>-12.123512538888889</v>
      </c>
      <c r="L455" s="4">
        <f t="shared" si="94"/>
        <v>-137.83798654999998</v>
      </c>
      <c r="M455" s="4">
        <f t="shared" si="95"/>
        <v>339.84660277777778</v>
      </c>
      <c r="N455" s="4">
        <f t="shared" si="96"/>
        <v>339.84660283465632</v>
      </c>
      <c r="O455" s="5">
        <f t="shared" si="97"/>
        <v>-12.123512540276767</v>
      </c>
      <c r="P455" s="2">
        <f t="shared" si="98"/>
        <v>1.1447822999419689E-10</v>
      </c>
      <c r="Q455" s="2">
        <f t="shared" si="99"/>
        <v>3.2306554574792E-12</v>
      </c>
      <c r="R455" s="6">
        <f t="shared" si="100"/>
        <v>-137.83798655081935</v>
      </c>
      <c r="S455" s="2">
        <f t="shared" si="101"/>
        <v>5.9444386970343282E-12</v>
      </c>
      <c r="T455" s="2">
        <f t="shared" si="102"/>
        <v>1.0619119390038349E-13</v>
      </c>
      <c r="U455" s="6">
        <f t="shared" si="103"/>
        <v>339.84660283465286</v>
      </c>
      <c r="V455" s="2">
        <f t="shared" si="104"/>
        <v>1.6735515429678582E-10</v>
      </c>
      <c r="W455" s="2">
        <f t="shared" si="105"/>
        <v>1.020298134978353E-14</v>
      </c>
    </row>
    <row r="456" spans="1:23" x14ac:dyDescent="0.4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10" t="s">
        <v>1378</v>
      </c>
      <c r="F456" s="10" t="s">
        <v>1379</v>
      </c>
      <c r="G456" s="10" t="s">
        <v>1380</v>
      </c>
      <c r="H456" s="10">
        <v>-88.133363069523</v>
      </c>
      <c r="I456" s="10">
        <v>-81.151527325553104</v>
      </c>
      <c r="J456" s="10">
        <v>96.703227304863006</v>
      </c>
      <c r="K456" s="4">
        <f t="shared" si="93"/>
        <v>-88.133363069444442</v>
      </c>
      <c r="L456" s="4">
        <f t="shared" si="94"/>
        <v>-81.151527325000018</v>
      </c>
      <c r="M456" s="4">
        <f t="shared" si="95"/>
        <v>96.703227777777784</v>
      </c>
      <c r="N456" s="4">
        <f t="shared" si="96"/>
        <v>96.703227304862992</v>
      </c>
      <c r="O456" s="5">
        <f t="shared" si="97"/>
        <v>-88.133363069522915</v>
      </c>
      <c r="P456" s="2">
        <f t="shared" si="98"/>
        <v>8.9038176922300585E-13</v>
      </c>
      <c r="Q456" s="2">
        <f t="shared" si="99"/>
        <v>9.674557434504298E-16</v>
      </c>
      <c r="R456" s="6">
        <f t="shared" si="100"/>
        <v>-81.151527325556287</v>
      </c>
      <c r="S456" s="2">
        <f t="shared" si="101"/>
        <v>6.8547039754912844E-12</v>
      </c>
      <c r="T456" s="2">
        <f t="shared" si="102"/>
        <v>3.9225773822286505E-14</v>
      </c>
      <c r="U456" s="6">
        <f t="shared" si="103"/>
        <v>96.70322730486609</v>
      </c>
      <c r="V456" s="2">
        <f t="shared" si="104"/>
        <v>4.8903403192692497E-9</v>
      </c>
      <c r="W456" s="2">
        <f t="shared" si="105"/>
        <v>3.2035811153928748E-14</v>
      </c>
    </row>
    <row r="457" spans="1:23" x14ac:dyDescent="0.4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10" t="s">
        <v>1381</v>
      </c>
      <c r="F457" s="10" t="s">
        <v>1382</v>
      </c>
      <c r="G457" s="10" t="s">
        <v>1383</v>
      </c>
      <c r="H457" s="10">
        <v>-8.3329783882803401</v>
      </c>
      <c r="I457" s="10">
        <v>21.809944727444702</v>
      </c>
      <c r="J457" s="10">
        <v>-58.1806591736039</v>
      </c>
      <c r="K457" s="4">
        <f t="shared" si="93"/>
        <v>-8.3329783888888898</v>
      </c>
      <c r="L457" s="4">
        <f t="shared" si="94"/>
        <v>21.809944727777747</v>
      </c>
      <c r="M457" s="4">
        <f t="shared" si="95"/>
        <v>301.81934166666667</v>
      </c>
      <c r="N457" s="4">
        <f t="shared" si="96"/>
        <v>301.81934082639611</v>
      </c>
      <c r="O457" s="5">
        <f t="shared" si="97"/>
        <v>-8.3329783882809103</v>
      </c>
      <c r="P457" s="2">
        <f t="shared" si="98"/>
        <v>7.2960640984918702E-11</v>
      </c>
      <c r="Q457" s="2">
        <f t="shared" si="99"/>
        <v>6.8428180042976642E-14</v>
      </c>
      <c r="R457" s="6">
        <f t="shared" si="100"/>
        <v>21.809944727445622</v>
      </c>
      <c r="S457" s="2">
        <f t="shared" si="101"/>
        <v>1.5228165059935283E-11</v>
      </c>
      <c r="T457" s="2">
        <f t="shared" si="102"/>
        <v>4.2189599942059862E-14</v>
      </c>
      <c r="U457" s="6">
        <f t="shared" si="103"/>
        <v>301.8193408263956</v>
      </c>
      <c r="V457" s="2">
        <f t="shared" si="104"/>
        <v>2.7840199566445852E-9</v>
      </c>
      <c r="W457" s="2">
        <f t="shared" si="105"/>
        <v>1.6950231497640662E-15</v>
      </c>
    </row>
    <row r="458" spans="1:23" x14ac:dyDescent="0.45">
      <c r="A458">
        <v>62.624600000000001</v>
      </c>
      <c r="B458">
        <v>-127.76622999999999</v>
      </c>
      <c r="C458">
        <v>122.26999000000001</v>
      </c>
      <c r="D458">
        <v>2539.4928</v>
      </c>
      <c r="E458" s="10" t="s">
        <v>1384</v>
      </c>
      <c r="F458" s="10" t="s">
        <v>1385</v>
      </c>
      <c r="G458" s="10" t="s">
        <v>1386</v>
      </c>
      <c r="H458" s="10">
        <v>62.612428734355703</v>
      </c>
      <c r="I458" s="10">
        <v>-127.72440874446001</v>
      </c>
      <c r="J458" s="10">
        <v>122.307125771846</v>
      </c>
      <c r="K458" s="4">
        <f t="shared" si="93"/>
        <v>62.612428733333331</v>
      </c>
      <c r="L458" s="4">
        <f t="shared" si="94"/>
        <v>-127.72440874444442</v>
      </c>
      <c r="M458" s="4">
        <f t="shared" si="95"/>
        <v>122.30712499999998</v>
      </c>
      <c r="N458" s="4">
        <f t="shared" si="96"/>
        <v>122.30712577184602</v>
      </c>
      <c r="O458" s="5">
        <f t="shared" si="97"/>
        <v>62.612428734333506</v>
      </c>
      <c r="P458" s="2">
        <f t="shared" si="98"/>
        <v>1.5974051573216868E-11</v>
      </c>
      <c r="Q458" s="2">
        <f t="shared" si="99"/>
        <v>3.545199493749353E-13</v>
      </c>
      <c r="R458" s="6">
        <f t="shared" si="100"/>
        <v>-127.72440874438375</v>
      </c>
      <c r="S458" s="2">
        <f t="shared" si="101"/>
        <v>4.7497686131849979E-13</v>
      </c>
      <c r="T458" s="2">
        <f t="shared" si="102"/>
        <v>5.970311168504939E-13</v>
      </c>
      <c r="U458" s="6">
        <f t="shared" si="103"/>
        <v>122.30712577191325</v>
      </c>
      <c r="V458" s="2">
        <f t="shared" si="104"/>
        <v>6.3112697970373031E-9</v>
      </c>
      <c r="W458" s="2">
        <f t="shared" si="105"/>
        <v>5.4969449435869883E-13</v>
      </c>
    </row>
    <row r="459" spans="1:23" x14ac:dyDescent="0.45">
      <c r="A459">
        <v>37.274369999999998</v>
      </c>
      <c r="B459">
        <v>37.531089999999999</v>
      </c>
      <c r="C459">
        <v>109.78476000000001</v>
      </c>
      <c r="D459">
        <v>880.4864</v>
      </c>
      <c r="E459" s="10" t="s">
        <v>1387</v>
      </c>
      <c r="F459" s="10" t="s">
        <v>1388</v>
      </c>
      <c r="G459" s="10" t="s">
        <v>1389</v>
      </c>
      <c r="H459" s="10">
        <v>37.271684225618102</v>
      </c>
      <c r="I459" s="10">
        <v>37.540431243598697</v>
      </c>
      <c r="J459" s="10">
        <v>109.790417186523</v>
      </c>
      <c r="K459" s="4">
        <f t="shared" si="93"/>
        <v>37.271684225000001</v>
      </c>
      <c r="L459" s="4">
        <f t="shared" si="94"/>
        <v>37.540431244444449</v>
      </c>
      <c r="M459" s="4">
        <f t="shared" si="95"/>
        <v>109.79041666666666</v>
      </c>
      <c r="N459" s="4">
        <f t="shared" si="96"/>
        <v>109.79041718652297</v>
      </c>
      <c r="O459" s="5">
        <f t="shared" si="97"/>
        <v>37.271684225617769</v>
      </c>
      <c r="P459" s="2">
        <f t="shared" si="98"/>
        <v>1.6574704996495335E-11</v>
      </c>
      <c r="Q459" s="2">
        <f t="shared" si="99"/>
        <v>8.9600213337745635E-15</v>
      </c>
      <c r="R459" s="6">
        <f t="shared" si="100"/>
        <v>37.540431243599819</v>
      </c>
      <c r="S459" s="2">
        <f t="shared" si="101"/>
        <v>2.2499188939135699E-11</v>
      </c>
      <c r="T459" s="2">
        <f t="shared" si="102"/>
        <v>2.9905291050496152E-14</v>
      </c>
      <c r="U459" s="6">
        <f t="shared" si="103"/>
        <v>109.7904171865238</v>
      </c>
      <c r="V459" s="2">
        <f t="shared" si="104"/>
        <v>4.7349955893537481E-9</v>
      </c>
      <c r="W459" s="2">
        <f t="shared" si="105"/>
        <v>7.5072997680793252E-15</v>
      </c>
    </row>
    <row r="460" spans="1:23" x14ac:dyDescent="0.4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10" t="s">
        <v>1390</v>
      </c>
      <c r="F460" s="10" t="s">
        <v>1391</v>
      </c>
      <c r="G460" s="10" t="s">
        <v>1392</v>
      </c>
      <c r="H460" s="10">
        <v>-73.8962609869521</v>
      </c>
      <c r="I460" s="10">
        <v>74.714755109545706</v>
      </c>
      <c r="J460" s="10">
        <v>60.092214648763402</v>
      </c>
      <c r="K460" s="4">
        <f t="shared" si="93"/>
        <v>-73.896260986111116</v>
      </c>
      <c r="L460" s="4">
        <f t="shared" si="94"/>
        <v>74.714755108333293</v>
      </c>
      <c r="M460" s="4">
        <f t="shared" si="95"/>
        <v>60.092213888888864</v>
      </c>
      <c r="N460" s="4">
        <f t="shared" si="96"/>
        <v>60.092214648763388</v>
      </c>
      <c r="O460" s="5">
        <f t="shared" si="97"/>
        <v>-73.896260986932745</v>
      </c>
      <c r="P460" s="2">
        <f t="shared" si="98"/>
        <v>1.1118681461072305E-11</v>
      </c>
      <c r="Q460" s="2">
        <f t="shared" si="99"/>
        <v>2.6192372744708534E-13</v>
      </c>
      <c r="R460" s="6">
        <f t="shared" si="100"/>
        <v>74.714755109666626</v>
      </c>
      <c r="S460" s="2">
        <f t="shared" si="101"/>
        <v>1.7845650992505429E-11</v>
      </c>
      <c r="T460" s="2">
        <f t="shared" si="102"/>
        <v>1.6184241331496361E-12</v>
      </c>
      <c r="U460" s="6">
        <f t="shared" si="103"/>
        <v>60.092214648647143</v>
      </c>
      <c r="V460" s="2">
        <f t="shared" si="104"/>
        <v>1.2643206669092913E-8</v>
      </c>
      <c r="W460" s="2">
        <f t="shared" si="105"/>
        <v>1.934440130885483E-12</v>
      </c>
    </row>
    <row r="461" spans="1:23" x14ac:dyDescent="0.45">
      <c r="A461">
        <v>-89.379109999999997</v>
      </c>
      <c r="B461">
        <v>-96.268940000000001</v>
      </c>
      <c r="C461">
        <v>176.62004999999999</v>
      </c>
      <c r="D461">
        <v>1481.5454</v>
      </c>
      <c r="E461" s="10" t="s">
        <v>1393</v>
      </c>
      <c r="F461" s="10" t="s">
        <v>1394</v>
      </c>
      <c r="G461" s="10" t="s">
        <v>1395</v>
      </c>
      <c r="H461" s="10">
        <v>-89.392350765542005</v>
      </c>
      <c r="I461" s="10">
        <v>-96.195200697632004</v>
      </c>
      <c r="J461" s="10">
        <v>176.54631493491101</v>
      </c>
      <c r="K461" s="4">
        <f t="shared" si="93"/>
        <v>-89.392350766666667</v>
      </c>
      <c r="L461" s="4">
        <f t="shared" si="94"/>
        <v>-96.195200697222219</v>
      </c>
      <c r="M461" s="4">
        <f t="shared" si="95"/>
        <v>176.5463138888889</v>
      </c>
      <c r="N461" s="4">
        <f t="shared" si="96"/>
        <v>176.54631493491104</v>
      </c>
      <c r="O461" s="5">
        <f t="shared" si="97"/>
        <v>-89.392350765541835</v>
      </c>
      <c r="P461" s="2">
        <f t="shared" si="98"/>
        <v>1.258308763138401E-11</v>
      </c>
      <c r="Q461" s="2">
        <f t="shared" si="99"/>
        <v>1.9076605002780417E-15</v>
      </c>
      <c r="R461" s="6">
        <f t="shared" si="100"/>
        <v>-96.195200697632629</v>
      </c>
      <c r="S461" s="2">
        <f t="shared" si="101"/>
        <v>4.2664237009787231E-12</v>
      </c>
      <c r="T461" s="2">
        <f t="shared" si="102"/>
        <v>6.5000915111587302E-15</v>
      </c>
      <c r="U461" s="6">
        <f t="shared" si="103"/>
        <v>176.54631493491189</v>
      </c>
      <c r="V461" s="2">
        <f t="shared" si="104"/>
        <v>5.924921139940232E-9</v>
      </c>
      <c r="W461" s="2">
        <f t="shared" si="105"/>
        <v>4.829618127268615E-15</v>
      </c>
    </row>
    <row r="462" spans="1:23" x14ac:dyDescent="0.4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10" t="s">
        <v>1396</v>
      </c>
      <c r="F462" s="10" t="s">
        <v>1397</v>
      </c>
      <c r="G462" s="10" t="s">
        <v>1398</v>
      </c>
      <c r="H462" s="10">
        <v>-3.98361928387324</v>
      </c>
      <c r="I462" s="10">
        <v>-58.2092850449758</v>
      </c>
      <c r="J462" s="10">
        <v>118.69324657292201</v>
      </c>
      <c r="K462" s="4">
        <f t="shared" si="93"/>
        <v>-3.9836192833333333</v>
      </c>
      <c r="L462" s="4">
        <f t="shared" si="94"/>
        <v>-58.209285044444414</v>
      </c>
      <c r="M462" s="4">
        <f t="shared" si="95"/>
        <v>118.69324722222223</v>
      </c>
      <c r="N462" s="4">
        <f t="shared" si="96"/>
        <v>118.69324657292202</v>
      </c>
      <c r="O462" s="5">
        <f t="shared" si="97"/>
        <v>-3.9836192838732072</v>
      </c>
      <c r="P462" s="2">
        <f t="shared" si="98"/>
        <v>1.3552347374231457E-10</v>
      </c>
      <c r="Q462" s="2">
        <f t="shared" si="99"/>
        <v>8.2494332884523533E-15</v>
      </c>
      <c r="R462" s="6">
        <f t="shared" si="100"/>
        <v>-58.209285044975815</v>
      </c>
      <c r="S462" s="2">
        <f t="shared" si="101"/>
        <v>9.1291398067254125E-12</v>
      </c>
      <c r="T462" s="2">
        <f t="shared" si="102"/>
        <v>2.4413381308878624E-16</v>
      </c>
      <c r="U462" s="6">
        <f t="shared" si="103"/>
        <v>118.69324657292235</v>
      </c>
      <c r="V462" s="2">
        <f t="shared" si="104"/>
        <v>5.470402849863486E-9</v>
      </c>
      <c r="W462" s="2">
        <f t="shared" si="105"/>
        <v>2.7537342509949645E-15</v>
      </c>
    </row>
    <row r="463" spans="1:23" x14ac:dyDescent="0.45">
      <c r="A463">
        <v>60.613079999999997</v>
      </c>
      <c r="B463">
        <v>-24.641100000000002</v>
      </c>
      <c r="C463">
        <v>103.25893000000001</v>
      </c>
      <c r="D463">
        <v>1191.329</v>
      </c>
      <c r="E463" s="10" t="s">
        <v>1399</v>
      </c>
      <c r="F463" s="10" t="s">
        <v>1400</v>
      </c>
      <c r="G463" s="10" t="s">
        <v>1401</v>
      </c>
      <c r="H463" s="10">
        <v>60.610626095435499</v>
      </c>
      <c r="I463" s="10">
        <v>-24.619927756579902</v>
      </c>
      <c r="J463" s="10">
        <v>103.27737770069901</v>
      </c>
      <c r="K463" s="4">
        <f t="shared" si="93"/>
        <v>60.610626094444441</v>
      </c>
      <c r="L463" s="4">
        <f t="shared" si="94"/>
        <v>-24.619927755555523</v>
      </c>
      <c r="M463" s="4">
        <f t="shared" si="95"/>
        <v>103.27737777777776</v>
      </c>
      <c r="N463" s="4">
        <f t="shared" si="96"/>
        <v>103.27737770069899</v>
      </c>
      <c r="O463" s="5">
        <f t="shared" si="97"/>
        <v>60.610626095430547</v>
      </c>
      <c r="P463" s="2">
        <f t="shared" si="98"/>
        <v>1.6269513830891916E-11</v>
      </c>
      <c r="Q463" s="2">
        <f t="shared" si="99"/>
        <v>8.1709812078988954E-14</v>
      </c>
      <c r="R463" s="6">
        <f t="shared" si="100"/>
        <v>-24.619927756538274</v>
      </c>
      <c r="S463" s="2">
        <f t="shared" si="101"/>
        <v>3.9916918830439511E-11</v>
      </c>
      <c r="T463" s="2">
        <f t="shared" si="102"/>
        <v>1.6907907523562994E-12</v>
      </c>
      <c r="U463" s="6">
        <f t="shared" si="103"/>
        <v>103.27737770073556</v>
      </c>
      <c r="V463" s="2">
        <f t="shared" si="104"/>
        <v>7.4597364504299888E-10</v>
      </c>
      <c r="W463" s="2">
        <f t="shared" si="105"/>
        <v>3.5404199831815912E-13</v>
      </c>
    </row>
    <row r="464" spans="1:23" x14ac:dyDescent="0.45">
      <c r="A464">
        <v>-53.123269999999998</v>
      </c>
      <c r="B464">
        <v>148.29747</v>
      </c>
      <c r="C464">
        <v>230.70348000000001</v>
      </c>
      <c r="D464">
        <v>952.34939999999995</v>
      </c>
      <c r="E464" s="10" t="s">
        <v>1402</v>
      </c>
      <c r="F464" s="10" t="s">
        <v>1403</v>
      </c>
      <c r="G464" s="10" t="s">
        <v>1404</v>
      </c>
      <c r="H464" s="10">
        <v>-53.1286892277191</v>
      </c>
      <c r="I464" s="10">
        <v>148.28645967492599</v>
      </c>
      <c r="J464" s="10">
        <v>-129.28771221529499</v>
      </c>
      <c r="K464" s="4">
        <f t="shared" si="93"/>
        <v>-53.128689227777777</v>
      </c>
      <c r="L464" s="4">
        <f t="shared" si="94"/>
        <v>148.28645967500006</v>
      </c>
      <c r="M464" s="4">
        <f t="shared" si="95"/>
        <v>230.71228888888891</v>
      </c>
      <c r="N464" s="4">
        <f t="shared" si="96"/>
        <v>230.71228778470501</v>
      </c>
      <c r="O464" s="5">
        <f t="shared" si="97"/>
        <v>-53.12868922772212</v>
      </c>
      <c r="P464" s="2">
        <f t="shared" si="98"/>
        <v>1.0475848981229726E-12</v>
      </c>
      <c r="Q464" s="2">
        <f t="shared" si="99"/>
        <v>5.683947168425316E-14</v>
      </c>
      <c r="R464" s="6">
        <f t="shared" si="100"/>
        <v>148.28645967491923</v>
      </c>
      <c r="S464" s="2">
        <f t="shared" si="101"/>
        <v>5.4510264657492881E-13</v>
      </c>
      <c r="T464" s="2">
        <f t="shared" si="102"/>
        <v>4.5616888145182091E-14</v>
      </c>
      <c r="U464" s="6">
        <f t="shared" si="103"/>
        <v>230.71228778470979</v>
      </c>
      <c r="V464" s="2">
        <f t="shared" si="104"/>
        <v>4.7859571113909961E-9</v>
      </c>
      <c r="W464" s="2">
        <f t="shared" si="105"/>
        <v>2.0696111291495848E-14</v>
      </c>
    </row>
    <row r="465" spans="1:23" x14ac:dyDescent="0.45">
      <c r="A465">
        <v>-38.636450000000004</v>
      </c>
      <c r="B465">
        <v>-159.59639000000001</v>
      </c>
      <c r="C465">
        <v>117.90428</v>
      </c>
      <c r="D465">
        <v>2320.2631999999999</v>
      </c>
      <c r="E465" s="10" t="s">
        <v>1405</v>
      </c>
      <c r="F465" s="10" t="s">
        <v>1406</v>
      </c>
      <c r="G465" s="10" t="s">
        <v>1407</v>
      </c>
      <c r="H465" s="10">
        <v>-38.646229511430903</v>
      </c>
      <c r="I465" s="10">
        <v>-159.572836367912</v>
      </c>
      <c r="J465" s="10">
        <v>117.88957209176699</v>
      </c>
      <c r="K465" s="4">
        <f t="shared" si="93"/>
        <v>-38.646229511111109</v>
      </c>
      <c r="L465" s="4">
        <f t="shared" si="94"/>
        <v>-159.57283636666671</v>
      </c>
      <c r="M465" s="4">
        <f t="shared" si="95"/>
        <v>117.88957222222223</v>
      </c>
      <c r="N465" s="4">
        <f t="shared" si="96"/>
        <v>117.88957209176698</v>
      </c>
      <c r="O465" s="5">
        <f t="shared" si="97"/>
        <v>-38.646229511431706</v>
      </c>
      <c r="P465" s="2">
        <f t="shared" si="98"/>
        <v>8.2956833417030496E-12</v>
      </c>
      <c r="Q465" s="2">
        <f t="shared" si="99"/>
        <v>2.0775980000103892E-14</v>
      </c>
      <c r="R465" s="6">
        <f t="shared" si="100"/>
        <v>-159.57283636790982</v>
      </c>
      <c r="S465" s="2">
        <f t="shared" si="101"/>
        <v>7.7902276814243833E-12</v>
      </c>
      <c r="T465" s="2">
        <f t="shared" si="102"/>
        <v>1.3714562427751528E-14</v>
      </c>
      <c r="U465" s="6">
        <f t="shared" si="103"/>
        <v>117.88957209176613</v>
      </c>
      <c r="V465" s="2">
        <f t="shared" si="104"/>
        <v>1.1065957622358243E-9</v>
      </c>
      <c r="W465" s="2">
        <f t="shared" si="105"/>
        <v>7.2326268369894827E-15</v>
      </c>
    </row>
    <row r="466" spans="1:23" x14ac:dyDescent="0.45">
      <c r="A466">
        <v>4.07592</v>
      </c>
      <c r="B466">
        <v>10.46036</v>
      </c>
      <c r="C466">
        <v>283.61604</v>
      </c>
      <c r="D466">
        <v>1113.6715999999999</v>
      </c>
      <c r="E466" s="10" t="s">
        <v>1408</v>
      </c>
      <c r="F466" s="10" t="s">
        <v>1409</v>
      </c>
      <c r="G466" s="10" t="s">
        <v>1410</v>
      </c>
      <c r="H466" s="10">
        <v>4.0782908431221996</v>
      </c>
      <c r="I466" s="10">
        <v>10.4506123684884</v>
      </c>
      <c r="J466" s="10">
        <v>-76.384653045641002</v>
      </c>
      <c r="K466" s="4">
        <f t="shared" si="93"/>
        <v>4.0782908444444441</v>
      </c>
      <c r="L466" s="4">
        <f t="shared" si="94"/>
        <v>10.450612369444457</v>
      </c>
      <c r="M466" s="4">
        <f t="shared" si="95"/>
        <v>283.61534722222223</v>
      </c>
      <c r="N466" s="4">
        <f t="shared" si="96"/>
        <v>283.61534695435898</v>
      </c>
      <c r="O466" s="5">
        <f t="shared" si="97"/>
        <v>4.0782908431222165</v>
      </c>
      <c r="P466" s="2">
        <f t="shared" si="98"/>
        <v>3.2421122257503317E-10</v>
      </c>
      <c r="Q466" s="2">
        <f t="shared" si="99"/>
        <v>4.1378583880945475E-15</v>
      </c>
      <c r="R466" s="6">
        <f t="shared" si="100"/>
        <v>10.450612368488301</v>
      </c>
      <c r="S466" s="2">
        <f t="shared" si="101"/>
        <v>9.1492824480401452E-11</v>
      </c>
      <c r="T466" s="2">
        <f t="shared" si="102"/>
        <v>9.5186750306003788E-15</v>
      </c>
      <c r="U466" s="6">
        <f t="shared" si="103"/>
        <v>283.61534695435876</v>
      </c>
      <c r="V466" s="2">
        <f t="shared" si="104"/>
        <v>9.4446042040729533E-10</v>
      </c>
      <c r="W466" s="2">
        <f t="shared" si="105"/>
        <v>8.0169736188437766E-16</v>
      </c>
    </row>
    <row r="467" spans="1:23" x14ac:dyDescent="0.4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10" t="s">
        <v>1411</v>
      </c>
      <c r="F467" s="10" t="s">
        <v>1412</v>
      </c>
      <c r="G467" s="10" t="s">
        <v>1413</v>
      </c>
      <c r="H467" s="10">
        <v>3.94604235599164</v>
      </c>
      <c r="I467" s="10">
        <v>-81.037542782530807</v>
      </c>
      <c r="J467" s="10">
        <v>-7.4062906559344803</v>
      </c>
      <c r="K467" s="4">
        <f t="shared" si="93"/>
        <v>3.9460423555555555</v>
      </c>
      <c r="L467" s="4">
        <f t="shared" si="94"/>
        <v>-81.037542783333322</v>
      </c>
      <c r="M467" s="4">
        <f t="shared" si="95"/>
        <v>352.59370833333332</v>
      </c>
      <c r="N467" s="4">
        <f t="shared" si="96"/>
        <v>352.59370934406553</v>
      </c>
      <c r="O467" s="5">
        <f t="shared" si="97"/>
        <v>3.9460423559915982</v>
      </c>
      <c r="P467" s="2">
        <f t="shared" si="98"/>
        <v>1.1050128664810029E-10</v>
      </c>
      <c r="Q467" s="2">
        <f t="shared" si="99"/>
        <v>1.0578798188144518E-14</v>
      </c>
      <c r="R467" s="6">
        <f t="shared" si="100"/>
        <v>-81.037542782530849</v>
      </c>
      <c r="S467" s="2">
        <f t="shared" si="101"/>
        <v>9.9024813358208516E-12</v>
      </c>
      <c r="T467" s="2">
        <f t="shared" si="102"/>
        <v>5.2608411708648543E-16</v>
      </c>
      <c r="U467" s="6">
        <f t="shared" si="103"/>
        <v>352.59370934406513</v>
      </c>
      <c r="V467" s="2">
        <f t="shared" si="104"/>
        <v>2.8665622320945304E-9</v>
      </c>
      <c r="W467" s="2">
        <f t="shared" si="105"/>
        <v>1.128505476645859E-15</v>
      </c>
    </row>
    <row r="468" spans="1:23" x14ac:dyDescent="0.4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10" t="s">
        <v>1414</v>
      </c>
      <c r="F468" s="10" t="s">
        <v>1415</v>
      </c>
      <c r="G468" s="10" t="s">
        <v>1416</v>
      </c>
      <c r="H468" s="10">
        <v>-47.073944206437602</v>
      </c>
      <c r="I468" s="10">
        <v>-53.409944596425099</v>
      </c>
      <c r="J468" s="10">
        <v>72.119020809210994</v>
      </c>
      <c r="K468" s="4">
        <f t="shared" si="93"/>
        <v>-47.073944205555556</v>
      </c>
      <c r="L468" s="4">
        <f t="shared" si="94"/>
        <v>-53.409944597222193</v>
      </c>
      <c r="M468" s="4">
        <f t="shared" si="95"/>
        <v>72.119019444444461</v>
      </c>
      <c r="N468" s="4">
        <f t="shared" si="96"/>
        <v>72.119020809211008</v>
      </c>
      <c r="O468" s="5">
        <f t="shared" si="97"/>
        <v>-47.073944206434405</v>
      </c>
      <c r="P468" s="2">
        <f t="shared" si="98"/>
        <v>1.8669542321373519E-11</v>
      </c>
      <c r="Q468" s="2">
        <f t="shared" si="99"/>
        <v>6.7923824205136067E-14</v>
      </c>
      <c r="R468" s="6">
        <f t="shared" si="100"/>
        <v>-53.409944596410995</v>
      </c>
      <c r="S468" s="2">
        <f t="shared" si="101"/>
        <v>1.5188149432195174E-11</v>
      </c>
      <c r="T468" s="2">
        <f t="shared" si="102"/>
        <v>2.6407578984423876E-13</v>
      </c>
      <c r="U468" s="6">
        <f t="shared" si="103"/>
        <v>72.119020809200549</v>
      </c>
      <c r="V468" s="2">
        <f t="shared" si="104"/>
        <v>1.8923663940653894E-8</v>
      </c>
      <c r="W468" s="2">
        <f t="shared" si="105"/>
        <v>1.4502677591891031E-13</v>
      </c>
    </row>
    <row r="469" spans="1:23" x14ac:dyDescent="0.45">
      <c r="A469">
        <v>14.09404</v>
      </c>
      <c r="B469">
        <v>-37.694540000000003</v>
      </c>
      <c r="C469">
        <v>346.49799999999999</v>
      </c>
      <c r="D469">
        <v>167.43340000000001</v>
      </c>
      <c r="E469" s="10" t="s">
        <v>1417</v>
      </c>
      <c r="F469" s="10" t="s">
        <v>1418</v>
      </c>
      <c r="G469" s="10" t="s">
        <v>1419</v>
      </c>
      <c r="H469" s="10">
        <v>14.0955114892956</v>
      </c>
      <c r="I469" s="10">
        <v>-37.694902001249901</v>
      </c>
      <c r="J469" s="10">
        <v>-13.502088156925399</v>
      </c>
      <c r="K469" s="4">
        <f t="shared" si="93"/>
        <v>14.095511488888889</v>
      </c>
      <c r="L469" s="4">
        <f t="shared" si="94"/>
        <v>-37.694902000000013</v>
      </c>
      <c r="M469" s="4">
        <f t="shared" si="95"/>
        <v>346.49791111111108</v>
      </c>
      <c r="N469" s="4">
        <f t="shared" si="96"/>
        <v>346.49791184307458</v>
      </c>
      <c r="O469" s="5">
        <f t="shared" si="97"/>
        <v>14.095511489291559</v>
      </c>
      <c r="P469" s="2">
        <f t="shared" si="98"/>
        <v>2.8567242681699119E-11</v>
      </c>
      <c r="Q469" s="2">
        <f t="shared" si="99"/>
        <v>2.8670203367253064E-13</v>
      </c>
      <c r="R469" s="6">
        <f t="shared" si="100"/>
        <v>-37.694902001248863</v>
      </c>
      <c r="S469" s="2">
        <f t="shared" si="101"/>
        <v>3.3130472454125272E-11</v>
      </c>
      <c r="T469" s="2">
        <f t="shared" si="102"/>
        <v>2.7520761140998538E-14</v>
      </c>
      <c r="U469" s="6">
        <f t="shared" si="103"/>
        <v>346.49791184307446</v>
      </c>
      <c r="V469" s="2">
        <f t="shared" si="104"/>
        <v>2.1124611689656441E-9</v>
      </c>
      <c r="W469" s="2">
        <f t="shared" si="105"/>
        <v>3.281025190509767E-16</v>
      </c>
    </row>
    <row r="470" spans="1:23" x14ac:dyDescent="0.45">
      <c r="A470">
        <v>-52.998240000000003</v>
      </c>
      <c r="B470">
        <v>-148.73666</v>
      </c>
      <c r="C470">
        <v>244.64949999999999</v>
      </c>
      <c r="D470">
        <v>1155.6850999999999</v>
      </c>
      <c r="E470" s="10" t="s">
        <v>1420</v>
      </c>
      <c r="F470" s="10" t="s">
        <v>1421</v>
      </c>
      <c r="G470" s="10" t="s">
        <v>1422</v>
      </c>
      <c r="H470" s="10">
        <v>-53.002685279334202</v>
      </c>
      <c r="I470" s="10">
        <v>-148.75221714882201</v>
      </c>
      <c r="J470" s="10">
        <v>-115.33807543288</v>
      </c>
      <c r="K470" s="4">
        <f t="shared" si="93"/>
        <v>-53.002685280555554</v>
      </c>
      <c r="L470" s="4">
        <f t="shared" si="94"/>
        <v>-148.75221714999998</v>
      </c>
      <c r="M470" s="4">
        <f t="shared" si="95"/>
        <v>244.661925</v>
      </c>
      <c r="N470" s="4">
        <f t="shared" si="96"/>
        <v>244.66192456712</v>
      </c>
      <c r="O470" s="5">
        <f t="shared" si="97"/>
        <v>-53.00268527933801</v>
      </c>
      <c r="P470" s="2">
        <f t="shared" si="98"/>
        <v>2.2971353111443719E-11</v>
      </c>
      <c r="Q470" s="2">
        <f t="shared" si="99"/>
        <v>7.1855020997569693E-14</v>
      </c>
      <c r="R470" s="6">
        <f t="shared" si="100"/>
        <v>-148.752217148836</v>
      </c>
      <c r="S470" s="2">
        <f t="shared" si="101"/>
        <v>7.8249770679990567E-12</v>
      </c>
      <c r="T470" s="2">
        <f t="shared" si="102"/>
        <v>9.4005194058847069E-14</v>
      </c>
      <c r="U470" s="6">
        <f t="shared" si="103"/>
        <v>244.66192456713043</v>
      </c>
      <c r="V470" s="2">
        <f t="shared" si="104"/>
        <v>1.7692559621696513E-9</v>
      </c>
      <c r="W470" s="2">
        <f t="shared" si="105"/>
        <v>4.263339046078957E-14</v>
      </c>
    </row>
    <row r="471" spans="1:23" x14ac:dyDescent="0.45">
      <c r="A471">
        <v>54.64817</v>
      </c>
      <c r="B471">
        <v>8.3456200000000003</v>
      </c>
      <c r="C471">
        <v>90.053619999999995</v>
      </c>
      <c r="D471">
        <v>2369.3285999999998</v>
      </c>
      <c r="E471" s="10" t="s">
        <v>1423</v>
      </c>
      <c r="F471" s="10" t="s">
        <v>1424</v>
      </c>
      <c r="G471" s="10" t="s">
        <v>1425</v>
      </c>
      <c r="H471" s="10">
        <v>54.648144520601399</v>
      </c>
      <c r="I471" s="10">
        <v>8.3823236527408405</v>
      </c>
      <c r="J471" s="10">
        <v>90.083556027874195</v>
      </c>
      <c r="K471" s="4">
        <f t="shared" si="93"/>
        <v>54.648144519444443</v>
      </c>
      <c r="L471" s="4">
        <f t="shared" si="94"/>
        <v>8.3823236527778135</v>
      </c>
      <c r="M471" s="4">
        <f t="shared" si="95"/>
        <v>90.083555555555563</v>
      </c>
      <c r="N471" s="4">
        <f t="shared" si="96"/>
        <v>90.083556027874181</v>
      </c>
      <c r="O471" s="5">
        <f t="shared" si="97"/>
        <v>54.648144520601313</v>
      </c>
      <c r="P471" s="2">
        <f t="shared" si="98"/>
        <v>2.1169431558946695E-11</v>
      </c>
      <c r="Q471" s="2">
        <f t="shared" si="99"/>
        <v>1.5602566022908346E-15</v>
      </c>
      <c r="R471" s="6">
        <f t="shared" si="100"/>
        <v>8.3823236527917704</v>
      </c>
      <c r="S471" s="2">
        <f t="shared" si="101"/>
        <v>1.6650318295145548E-12</v>
      </c>
      <c r="T471" s="2">
        <f t="shared" si="102"/>
        <v>6.0758721629403546E-12</v>
      </c>
      <c r="U471" s="6">
        <f t="shared" si="103"/>
        <v>90.083556027915748</v>
      </c>
      <c r="V471" s="2">
        <f t="shared" si="104"/>
        <v>5.2435783848828269E-9</v>
      </c>
      <c r="W471" s="2">
        <f t="shared" si="105"/>
        <v>4.6142439169590544E-13</v>
      </c>
    </row>
    <row r="472" spans="1:23" x14ac:dyDescent="0.45">
      <c r="A472">
        <v>89.877889999999994</v>
      </c>
      <c r="B472">
        <v>152.97896</v>
      </c>
      <c r="C472">
        <v>31.659759999999999</v>
      </c>
      <c r="D472">
        <v>2099.6320000000001</v>
      </c>
      <c r="E472" s="10" t="s">
        <v>1426</v>
      </c>
      <c r="F472" s="10" t="s">
        <v>1427</v>
      </c>
      <c r="G472" s="10" t="s">
        <v>1428</v>
      </c>
      <c r="H472" s="10">
        <v>89.893432809158099</v>
      </c>
      <c r="I472" s="10">
        <v>158.291353751835</v>
      </c>
      <c r="J472" s="10">
        <v>36.972143237853999</v>
      </c>
      <c r="K472" s="4">
        <f t="shared" si="93"/>
        <v>89.89343280833333</v>
      </c>
      <c r="L472" s="4">
        <f t="shared" si="94"/>
        <v>158.29135375277781</v>
      </c>
      <c r="M472" s="4">
        <f t="shared" si="95"/>
        <v>36.972144444444439</v>
      </c>
      <c r="N472" s="4">
        <f t="shared" si="96"/>
        <v>36.97214323785397</v>
      </c>
      <c r="O472" s="5">
        <f t="shared" si="97"/>
        <v>89.8934328091579</v>
      </c>
      <c r="P472" s="2">
        <f t="shared" si="98"/>
        <v>9.1727572107852746E-12</v>
      </c>
      <c r="Q472" s="2">
        <f t="shared" si="99"/>
        <v>2.2131980034092029E-15</v>
      </c>
      <c r="R472" s="6">
        <f t="shared" si="100"/>
        <v>158.29135375177839</v>
      </c>
      <c r="S472" s="2">
        <f t="shared" si="101"/>
        <v>6.3138065770265608E-12</v>
      </c>
      <c r="T472" s="2">
        <f t="shared" si="102"/>
        <v>3.576698527332448E-13</v>
      </c>
      <c r="U472" s="6">
        <f t="shared" si="103"/>
        <v>36.972143237797738</v>
      </c>
      <c r="V472" s="2">
        <f t="shared" si="104"/>
        <v>3.2636643584280149E-8</v>
      </c>
      <c r="W472" s="2">
        <f t="shared" si="105"/>
        <v>1.5209383926242276E-12</v>
      </c>
    </row>
    <row r="473" spans="1:23" x14ac:dyDescent="0.45">
      <c r="A473">
        <v>-85.22278</v>
      </c>
      <c r="B473">
        <v>23.71979</v>
      </c>
      <c r="C473">
        <v>142.60686000000001</v>
      </c>
      <c r="D473">
        <v>1566.3607999999999</v>
      </c>
      <c r="E473" s="10" t="s">
        <v>1429</v>
      </c>
      <c r="F473" s="10" t="s">
        <v>1430</v>
      </c>
      <c r="G473" s="10" t="s">
        <v>1431</v>
      </c>
      <c r="H473" s="10">
        <v>-85.233914825001705</v>
      </c>
      <c r="I473" s="10">
        <v>23.822289953390499</v>
      </c>
      <c r="J473" s="10">
        <v>142.50471529669599</v>
      </c>
      <c r="K473" s="4">
        <f t="shared" si="93"/>
        <v>-85.233914824999999</v>
      </c>
      <c r="L473" s="4">
        <f t="shared" si="94"/>
        <v>23.822289952777737</v>
      </c>
      <c r="M473" s="4">
        <f t="shared" si="95"/>
        <v>142.50471666666664</v>
      </c>
      <c r="N473" s="4">
        <f t="shared" si="96"/>
        <v>142.50471529669596</v>
      </c>
      <c r="O473" s="5">
        <f t="shared" si="97"/>
        <v>-85.233914825001548</v>
      </c>
      <c r="P473" s="2">
        <f t="shared" si="98"/>
        <v>1.8173319471918535E-14</v>
      </c>
      <c r="Q473" s="2">
        <f t="shared" si="99"/>
        <v>1.8340047173495403E-15</v>
      </c>
      <c r="R473" s="6">
        <f t="shared" si="100"/>
        <v>23.822289953389699</v>
      </c>
      <c r="S473" s="2">
        <f t="shared" si="101"/>
        <v>2.5688631857551026E-11</v>
      </c>
      <c r="T473" s="2">
        <f t="shared" si="102"/>
        <v>3.3555152728562271E-14</v>
      </c>
      <c r="U473" s="6">
        <f t="shared" si="103"/>
        <v>142.50471529669693</v>
      </c>
      <c r="V473" s="2">
        <f t="shared" si="104"/>
        <v>9.6135043195457651E-9</v>
      </c>
      <c r="W473" s="2">
        <f t="shared" si="105"/>
        <v>6.7810957596863549E-15</v>
      </c>
    </row>
    <row r="474" spans="1:23" x14ac:dyDescent="0.4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10" t="s">
        <v>1432</v>
      </c>
      <c r="F474" s="10" t="s">
        <v>1433</v>
      </c>
      <c r="G474" s="10" t="s">
        <v>1434</v>
      </c>
      <c r="H474" s="10">
        <v>-1.8356565306297601</v>
      </c>
      <c r="I474" s="10">
        <v>-162.89992333563401</v>
      </c>
      <c r="J474" s="10">
        <v>1.02163013040803</v>
      </c>
      <c r="K474" s="4">
        <f t="shared" si="93"/>
        <v>-1.8356565305555557</v>
      </c>
      <c r="L474" s="4">
        <f t="shared" si="94"/>
        <v>-162.8999233361111</v>
      </c>
      <c r="M474" s="4">
        <f t="shared" si="95"/>
        <v>1.0216305555555891</v>
      </c>
      <c r="N474" s="4">
        <f t="shared" si="96"/>
        <v>1.0216301304080275</v>
      </c>
      <c r="O474" s="5">
        <f t="shared" si="97"/>
        <v>-1.8356565306297994</v>
      </c>
      <c r="P474" s="2">
        <f t="shared" si="98"/>
        <v>4.0445323537014599E-11</v>
      </c>
      <c r="Q474" s="2">
        <f t="shared" si="99"/>
        <v>2.1410266254029131E-14</v>
      </c>
      <c r="R474" s="6">
        <f t="shared" si="100"/>
        <v>-162.89992333563376</v>
      </c>
      <c r="S474" s="2">
        <f t="shared" si="101"/>
        <v>2.9302813660552512E-12</v>
      </c>
      <c r="T474" s="2">
        <f t="shared" si="102"/>
        <v>1.5702609285248286E-15</v>
      </c>
      <c r="U474" s="6">
        <f t="shared" si="103"/>
        <v>1.0216301304080049</v>
      </c>
      <c r="V474" s="2">
        <f t="shared" si="104"/>
        <v>4.161461126400172E-7</v>
      </c>
      <c r="W474" s="2">
        <f t="shared" si="105"/>
        <v>2.2169030677773392E-14</v>
      </c>
    </row>
    <row r="475" spans="1:23" x14ac:dyDescent="0.45">
      <c r="A475">
        <v>-50.760620000000003</v>
      </c>
      <c r="B475">
        <v>-103.93796</v>
      </c>
      <c r="C475">
        <v>43.065800000000003</v>
      </c>
      <c r="D475">
        <v>2141.8692999999998</v>
      </c>
      <c r="E475" s="10" t="s">
        <v>1435</v>
      </c>
      <c r="F475" s="10" t="s">
        <v>1436</v>
      </c>
      <c r="G475" s="10" t="s">
        <v>1437</v>
      </c>
      <c r="H475" s="10">
        <v>-50.746551856645297</v>
      </c>
      <c r="I475" s="10">
        <v>-103.917237963574</v>
      </c>
      <c r="J475" s="10">
        <v>43.049752186696701</v>
      </c>
      <c r="K475" s="4">
        <f t="shared" si="93"/>
        <v>-50.746551855555559</v>
      </c>
      <c r="L475" s="4">
        <f t="shared" si="94"/>
        <v>-103.91723796388891</v>
      </c>
      <c r="M475" s="4">
        <f t="shared" si="95"/>
        <v>43.049752777777769</v>
      </c>
      <c r="N475" s="4">
        <f t="shared" si="96"/>
        <v>43.049752186696708</v>
      </c>
      <c r="O475" s="5">
        <f t="shared" si="97"/>
        <v>-50.746551856641354</v>
      </c>
      <c r="P475" s="2">
        <f t="shared" si="98"/>
        <v>2.1396420557998076E-11</v>
      </c>
      <c r="Q475" s="2">
        <f t="shared" si="99"/>
        <v>7.7709953468536014E-14</v>
      </c>
      <c r="R475" s="6">
        <f t="shared" si="100"/>
        <v>-103.91723796356855</v>
      </c>
      <c r="S475" s="2">
        <f t="shared" si="101"/>
        <v>3.0827926542478139E-12</v>
      </c>
      <c r="T475" s="2">
        <f t="shared" si="102"/>
        <v>5.2375885489087112E-14</v>
      </c>
      <c r="U475" s="6">
        <f t="shared" si="103"/>
        <v>43.049752186692295</v>
      </c>
      <c r="V475" s="2">
        <f t="shared" si="104"/>
        <v>1.3730287301558759E-8</v>
      </c>
      <c r="W475" s="2">
        <f t="shared" si="105"/>
        <v>1.0249699858745691E-13</v>
      </c>
    </row>
    <row r="476" spans="1:23" x14ac:dyDescent="0.4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10" t="s">
        <v>1438</v>
      </c>
      <c r="F476" s="10" t="s">
        <v>1439</v>
      </c>
      <c r="G476" s="10" t="s">
        <v>1440</v>
      </c>
      <c r="H476" s="10">
        <v>49.039840849661303</v>
      </c>
      <c r="I476" s="10">
        <v>-163.32925121807099</v>
      </c>
      <c r="J476" s="10">
        <v>-140.847501103296</v>
      </c>
      <c r="K476" s="4">
        <f t="shared" si="93"/>
        <v>49.039840849999997</v>
      </c>
      <c r="L476" s="4">
        <f t="shared" si="94"/>
        <v>-163.32925121944447</v>
      </c>
      <c r="M476" s="4">
        <f t="shared" si="95"/>
        <v>219.1525</v>
      </c>
      <c r="N476" s="4">
        <f t="shared" si="96"/>
        <v>219.152498896704</v>
      </c>
      <c r="O476" s="5">
        <f t="shared" si="97"/>
        <v>49.039840849660891</v>
      </c>
      <c r="P476" s="2">
        <f t="shared" si="98"/>
        <v>6.9149188652293074E-12</v>
      </c>
      <c r="Q476" s="2">
        <f t="shared" si="99"/>
        <v>8.4036730054702934E-15</v>
      </c>
      <c r="R476" s="6">
        <f t="shared" si="100"/>
        <v>-163.32925121807168</v>
      </c>
      <c r="S476" s="2">
        <f t="shared" si="101"/>
        <v>8.4050895779439631E-12</v>
      </c>
      <c r="T476" s="2">
        <f t="shared" si="102"/>
        <v>4.1763555593538731E-15</v>
      </c>
      <c r="U476" s="6">
        <f t="shared" si="103"/>
        <v>219.15249889670335</v>
      </c>
      <c r="V476" s="2">
        <f t="shared" si="104"/>
        <v>5.0343785904197626E-9</v>
      </c>
      <c r="W476" s="2">
        <f t="shared" si="105"/>
        <v>2.9828513030435888E-15</v>
      </c>
    </row>
    <row r="477" spans="1:23" x14ac:dyDescent="0.4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10" t="s">
        <v>1441</v>
      </c>
      <c r="F477" s="10" t="s">
        <v>1442</v>
      </c>
      <c r="G477" s="10" t="s">
        <v>1443</v>
      </c>
      <c r="H477" s="10">
        <v>82.749424540233093</v>
      </c>
      <c r="I477" s="10">
        <v>156.38437807909699</v>
      </c>
      <c r="J477" s="10">
        <v>55.159089282209798</v>
      </c>
      <c r="K477" s="4">
        <f t="shared" si="93"/>
        <v>82.749424538888888</v>
      </c>
      <c r="L477" s="4">
        <f t="shared" si="94"/>
        <v>156.3843780777778</v>
      </c>
      <c r="M477" s="4">
        <f t="shared" si="95"/>
        <v>55.159088888888903</v>
      </c>
      <c r="N477" s="4">
        <f t="shared" si="96"/>
        <v>55.159089282209777</v>
      </c>
      <c r="O477" s="5">
        <f t="shared" si="97"/>
        <v>82.749424540248995</v>
      </c>
      <c r="P477" s="2">
        <f t="shared" si="98"/>
        <v>1.643644897250099E-11</v>
      </c>
      <c r="Q477" s="2">
        <f t="shared" si="99"/>
        <v>1.9216987326092466E-13</v>
      </c>
      <c r="R477" s="6">
        <f t="shared" si="100"/>
        <v>156.38437807927946</v>
      </c>
      <c r="S477" s="2">
        <f t="shared" si="101"/>
        <v>9.6023722843246177E-12</v>
      </c>
      <c r="T477" s="2">
        <f t="shared" si="102"/>
        <v>1.1667877366299613E-12</v>
      </c>
      <c r="U477" s="6">
        <f t="shared" si="103"/>
        <v>55.159089282390632</v>
      </c>
      <c r="V477" s="2">
        <f t="shared" si="104"/>
        <v>7.1339417837698098E-9</v>
      </c>
      <c r="W477" s="2">
        <f t="shared" si="105"/>
        <v>3.2787786181116029E-12</v>
      </c>
    </row>
    <row r="478" spans="1:23" x14ac:dyDescent="0.45">
      <c r="A478">
        <v>-73.563220000000001</v>
      </c>
      <c r="B478">
        <v>108.30370000000001</v>
      </c>
      <c r="C478">
        <v>25.50957</v>
      </c>
      <c r="D478">
        <v>1764.5993000000001</v>
      </c>
      <c r="E478" s="10" t="s">
        <v>1444</v>
      </c>
      <c r="F478" s="10" t="s">
        <v>1445</v>
      </c>
      <c r="G478" s="10" t="s">
        <v>1446</v>
      </c>
      <c r="H478" s="10">
        <v>-73.548948705161393</v>
      </c>
      <c r="I478" s="10">
        <v>108.327731606556</v>
      </c>
      <c r="J478" s="10">
        <v>25.486521351173199</v>
      </c>
      <c r="K478" s="4">
        <f t="shared" si="93"/>
        <v>-73.54894870555556</v>
      </c>
      <c r="L478" s="4">
        <f t="shared" si="94"/>
        <v>108.32773160555553</v>
      </c>
      <c r="M478" s="4">
        <f t="shared" si="95"/>
        <v>25.48652222222222</v>
      </c>
      <c r="N478" s="4">
        <f t="shared" si="96"/>
        <v>25.486521351173224</v>
      </c>
      <c r="O478" s="5">
        <f t="shared" si="97"/>
        <v>-73.54894870511923</v>
      </c>
      <c r="P478" s="2">
        <f t="shared" si="98"/>
        <v>5.9325128483121862E-12</v>
      </c>
      <c r="Q478" s="2">
        <f t="shared" si="99"/>
        <v>5.7327272085189521E-13</v>
      </c>
      <c r="R478" s="6">
        <f t="shared" si="100"/>
        <v>108.32773160662701</v>
      </c>
      <c r="S478" s="2">
        <f t="shared" si="101"/>
        <v>9.8911351580130878E-12</v>
      </c>
      <c r="T478" s="2">
        <f t="shared" si="102"/>
        <v>6.555259669774788E-13</v>
      </c>
      <c r="U478" s="6">
        <f t="shared" si="103"/>
        <v>25.486521351105427</v>
      </c>
      <c r="V478" s="2">
        <f t="shared" si="104"/>
        <v>3.4179508107329055E-8</v>
      </c>
      <c r="W478" s="2">
        <f t="shared" si="105"/>
        <v>2.6600897862206324E-12</v>
      </c>
    </row>
    <row r="479" spans="1:23" x14ac:dyDescent="0.45">
      <c r="A479">
        <v>83.163110000000003</v>
      </c>
      <c r="B479">
        <v>-121.99243</v>
      </c>
      <c r="C479">
        <v>70.844089999999994</v>
      </c>
      <c r="D479">
        <v>1206.1131</v>
      </c>
      <c r="E479" s="10" t="s">
        <v>1447</v>
      </c>
      <c r="F479" s="10" t="s">
        <v>1448</v>
      </c>
      <c r="G479" s="10" t="s">
        <v>1449</v>
      </c>
      <c r="H479" s="10">
        <v>83.166646304661796</v>
      </c>
      <c r="I479" s="10">
        <v>-121.906694776733</v>
      </c>
      <c r="J479" s="10">
        <v>70.929215881085099</v>
      </c>
      <c r="K479" s="4">
        <f t="shared" si="93"/>
        <v>83.16664630555556</v>
      </c>
      <c r="L479" s="4">
        <f t="shared" si="94"/>
        <v>-121.90669477777777</v>
      </c>
      <c r="M479" s="4">
        <f t="shared" si="95"/>
        <v>70.929216666666662</v>
      </c>
      <c r="N479" s="4">
        <f t="shared" si="96"/>
        <v>70.929215881085099</v>
      </c>
      <c r="O479" s="5">
        <f t="shared" si="97"/>
        <v>83.16664630467767</v>
      </c>
      <c r="P479" s="2">
        <f t="shared" si="98"/>
        <v>1.0555791292352204E-11</v>
      </c>
      <c r="Q479" s="2">
        <f t="shared" si="99"/>
        <v>1.9086407138183313E-13</v>
      </c>
      <c r="R479" s="6">
        <f t="shared" si="100"/>
        <v>-121.90669477634633</v>
      </c>
      <c r="S479" s="2">
        <f t="shared" si="101"/>
        <v>1.1742137601359356E-11</v>
      </c>
      <c r="T479" s="2">
        <f t="shared" si="102"/>
        <v>3.1719123999615431E-12</v>
      </c>
      <c r="U479" s="6">
        <f t="shared" si="103"/>
        <v>70.929215881469062</v>
      </c>
      <c r="V479" s="2">
        <f t="shared" si="104"/>
        <v>1.1070157493413452E-8</v>
      </c>
      <c r="W479" s="2">
        <f t="shared" si="105"/>
        <v>5.4133276221996905E-12</v>
      </c>
    </row>
    <row r="480" spans="1:23" x14ac:dyDescent="0.45">
      <c r="A480">
        <v>-43.220440000000004</v>
      </c>
      <c r="B480">
        <v>-158.75604000000001</v>
      </c>
      <c r="C480">
        <v>354.94718</v>
      </c>
      <c r="D480">
        <v>667.92190000000005</v>
      </c>
      <c r="E480" s="10" t="s">
        <v>1450</v>
      </c>
      <c r="F480" s="10" t="s">
        <v>1451</v>
      </c>
      <c r="G480" s="10" t="s">
        <v>1452</v>
      </c>
      <c r="H480" s="10">
        <v>-43.214451298977302</v>
      </c>
      <c r="I480" s="10">
        <v>-158.756763959062</v>
      </c>
      <c r="J480" s="10">
        <v>-5.0523242552524001</v>
      </c>
      <c r="K480" s="4">
        <f t="shared" si="93"/>
        <v>-43.2144513</v>
      </c>
      <c r="L480" s="4">
        <f t="shared" si="94"/>
        <v>-158.75676395833329</v>
      </c>
      <c r="M480" s="4">
        <f t="shared" si="95"/>
        <v>354.947675</v>
      </c>
      <c r="N480" s="4">
        <f t="shared" si="96"/>
        <v>354.94767574474758</v>
      </c>
      <c r="O480" s="5">
        <f t="shared" si="97"/>
        <v>-43.214451298977288</v>
      </c>
      <c r="P480" s="2">
        <f t="shared" si="98"/>
        <v>2.3665985579433763E-11</v>
      </c>
      <c r="Q480" s="2">
        <f t="shared" si="99"/>
        <v>3.2884496477543642E-16</v>
      </c>
      <c r="R480" s="6">
        <f t="shared" si="100"/>
        <v>-158.75676395906163</v>
      </c>
      <c r="S480" s="2">
        <f t="shared" si="101"/>
        <v>4.5877398083944893E-12</v>
      </c>
      <c r="T480" s="2">
        <f t="shared" si="102"/>
        <v>2.3273479087198391E-15</v>
      </c>
      <c r="U480" s="6">
        <f t="shared" si="103"/>
        <v>354.94767574474724</v>
      </c>
      <c r="V480" s="2">
        <f t="shared" si="104"/>
        <v>2.0981888101620948E-9</v>
      </c>
      <c r="W480" s="2">
        <f t="shared" si="105"/>
        <v>9.608754655154127E-16</v>
      </c>
    </row>
    <row r="481" spans="1:23" x14ac:dyDescent="0.45">
      <c r="A481">
        <v>19.110880000000002</v>
      </c>
      <c r="B481">
        <v>-152.16387</v>
      </c>
      <c r="C481">
        <v>79.474339999999998</v>
      </c>
      <c r="D481">
        <v>785.29570000000001</v>
      </c>
      <c r="E481" s="10" t="s">
        <v>1453</v>
      </c>
      <c r="F481" s="10" t="s">
        <v>1454</v>
      </c>
      <c r="G481" s="10" t="s">
        <v>1455</v>
      </c>
      <c r="H481" s="10">
        <v>19.112175816839201</v>
      </c>
      <c r="I481" s="10">
        <v>-152.156532302823</v>
      </c>
      <c r="J481" s="10">
        <v>79.476742420878097</v>
      </c>
      <c r="K481" s="4">
        <f t="shared" si="93"/>
        <v>19.112175816666667</v>
      </c>
      <c r="L481" s="4">
        <f t="shared" si="94"/>
        <v>-152.1565323027778</v>
      </c>
      <c r="M481" s="4">
        <f t="shared" si="95"/>
        <v>79.476741666666669</v>
      </c>
      <c r="N481" s="4">
        <f t="shared" si="96"/>
        <v>79.476742420878111</v>
      </c>
      <c r="O481" s="5">
        <f t="shared" si="97"/>
        <v>19.112175816839162</v>
      </c>
      <c r="P481" s="2">
        <f t="shared" si="98"/>
        <v>9.0253934926853018E-12</v>
      </c>
      <c r="Q481" s="2">
        <f t="shared" si="99"/>
        <v>2.0447619800762483E-15</v>
      </c>
      <c r="R481" s="6">
        <f t="shared" si="100"/>
        <v>-152.15653230282317</v>
      </c>
      <c r="S481" s="2">
        <f t="shared" si="101"/>
        <v>2.9812093877547361E-13</v>
      </c>
      <c r="T481" s="2">
        <f t="shared" si="102"/>
        <v>1.1207554089300192E-15</v>
      </c>
      <c r="U481" s="6">
        <f t="shared" si="103"/>
        <v>79.476742420877983</v>
      </c>
      <c r="V481" s="2">
        <f t="shared" si="104"/>
        <v>9.4897110529549082E-9</v>
      </c>
      <c r="W481" s="2">
        <f t="shared" si="105"/>
        <v>1.6092467876894261E-15</v>
      </c>
    </row>
    <row r="482" spans="1:23" x14ac:dyDescent="0.4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10" t="s">
        <v>1456</v>
      </c>
      <c r="F482" s="10" t="s">
        <v>1457</v>
      </c>
      <c r="G482" s="10" t="s">
        <v>1458</v>
      </c>
      <c r="H482" s="10">
        <v>71.336099784060806</v>
      </c>
      <c r="I482" s="10">
        <v>-137.809210036249</v>
      </c>
      <c r="J482" s="10">
        <v>-22.075398119045801</v>
      </c>
      <c r="K482" s="4">
        <f t="shared" si="93"/>
        <v>71.336099783333339</v>
      </c>
      <c r="L482" s="4">
        <f t="shared" si="94"/>
        <v>-137.80921003611115</v>
      </c>
      <c r="M482" s="4">
        <f t="shared" si="95"/>
        <v>337.92460277777775</v>
      </c>
      <c r="N482" s="4">
        <f t="shared" si="96"/>
        <v>337.92460188095419</v>
      </c>
      <c r="O482" s="5">
        <f t="shared" si="97"/>
        <v>71.336099784087125</v>
      </c>
      <c r="P482" s="2">
        <f t="shared" si="98"/>
        <v>1.0566688800591974E-11</v>
      </c>
      <c r="Q482" s="2">
        <f t="shared" si="99"/>
        <v>3.6893666758095826E-13</v>
      </c>
      <c r="R482" s="6">
        <f t="shared" si="100"/>
        <v>-137.80921003628211</v>
      </c>
      <c r="S482" s="2">
        <f t="shared" si="101"/>
        <v>1.2405308917965868E-12</v>
      </c>
      <c r="T482" s="2">
        <f t="shared" si="102"/>
        <v>2.4026907546825901E-13</v>
      </c>
      <c r="U482" s="6">
        <f t="shared" si="103"/>
        <v>337.92460188092213</v>
      </c>
      <c r="V482" s="2">
        <f t="shared" si="104"/>
        <v>2.6540110340010572E-9</v>
      </c>
      <c r="W482" s="2">
        <f t="shared" si="105"/>
        <v>9.4872311927114065E-14</v>
      </c>
    </row>
    <row r="483" spans="1:23" x14ac:dyDescent="0.45">
      <c r="A483">
        <v>58.819180000000003</v>
      </c>
      <c r="B483">
        <v>22.398800000000001</v>
      </c>
      <c r="C483">
        <v>144.72909000000001</v>
      </c>
      <c r="D483">
        <v>1835.7257</v>
      </c>
      <c r="E483" s="10" t="s">
        <v>1459</v>
      </c>
      <c r="F483" s="10" t="s">
        <v>1460</v>
      </c>
      <c r="G483" s="10" t="s">
        <v>1461</v>
      </c>
      <c r="H483" s="10">
        <v>58.805724006806997</v>
      </c>
      <c r="I483" s="10">
        <v>22.417139976208102</v>
      </c>
      <c r="J483" s="10">
        <v>144.744779424706</v>
      </c>
      <c r="K483" s="4">
        <f t="shared" si="93"/>
        <v>58.805724005555554</v>
      </c>
      <c r="L483" s="4">
        <f t="shared" si="94"/>
        <v>22.417139975000055</v>
      </c>
      <c r="M483" s="4">
        <f t="shared" si="95"/>
        <v>144.74478055555556</v>
      </c>
      <c r="N483" s="4">
        <f t="shared" si="96"/>
        <v>144.744779424706</v>
      </c>
      <c r="O483" s="5">
        <f t="shared" si="97"/>
        <v>58.805724006796211</v>
      </c>
      <c r="P483" s="2">
        <f t="shared" si="98"/>
        <v>2.1097561089655652E-11</v>
      </c>
      <c r="Q483" s="2">
        <f t="shared" si="99"/>
        <v>1.8341817758403577E-13</v>
      </c>
      <c r="R483" s="6">
        <f t="shared" si="100"/>
        <v>22.417139976222646</v>
      </c>
      <c r="S483" s="2">
        <f t="shared" si="101"/>
        <v>5.4538259873266221E-11</v>
      </c>
      <c r="T483" s="2">
        <f t="shared" si="102"/>
        <v>6.4882539951332058E-13</v>
      </c>
      <c r="U483" s="6">
        <f t="shared" si="103"/>
        <v>144.74477942471819</v>
      </c>
      <c r="V483" s="2">
        <f t="shared" si="104"/>
        <v>7.8126297293747449E-9</v>
      </c>
      <c r="W483" s="2">
        <f t="shared" si="105"/>
        <v>8.4237327205199027E-14</v>
      </c>
    </row>
    <row r="484" spans="1:23" x14ac:dyDescent="0.45">
      <c r="A484">
        <v>-3.2574299999999998</v>
      </c>
      <c r="B484">
        <v>172.19671</v>
      </c>
      <c r="C484">
        <v>28.176300000000001</v>
      </c>
      <c r="D484">
        <v>1166.6110000000001</v>
      </c>
      <c r="E484" s="10" t="s">
        <v>1462</v>
      </c>
      <c r="F484" s="10" t="s">
        <v>1463</v>
      </c>
      <c r="G484" s="10" t="s">
        <v>1464</v>
      </c>
      <c r="H484" s="10">
        <v>-3.2481300579805801</v>
      </c>
      <c r="I484" s="10">
        <v>172.201666347008</v>
      </c>
      <c r="J484" s="10">
        <v>28.176018770772799</v>
      </c>
      <c r="K484" s="4">
        <f t="shared" si="93"/>
        <v>-3.2481300583333335</v>
      </c>
      <c r="L484" s="4">
        <f t="shared" si="94"/>
        <v>172.20166634722227</v>
      </c>
      <c r="M484" s="4">
        <f t="shared" si="95"/>
        <v>28.176019444444478</v>
      </c>
      <c r="N484" s="4">
        <f t="shared" si="96"/>
        <v>28.176018770772771</v>
      </c>
      <c r="O484" s="5">
        <f t="shared" si="97"/>
        <v>-3.2481300580007932</v>
      </c>
      <c r="P484" s="2">
        <f t="shared" si="98"/>
        <v>1.0237897239721257E-10</v>
      </c>
      <c r="Q484" s="2">
        <f t="shared" si="99"/>
        <v>6.2230157397399084E-12</v>
      </c>
      <c r="R484" s="6">
        <f t="shared" si="100"/>
        <v>172.20166634699689</v>
      </c>
      <c r="S484" s="2">
        <f t="shared" si="101"/>
        <v>1.3088384134950583E-12</v>
      </c>
      <c r="T484" s="2">
        <f t="shared" si="102"/>
        <v>6.453415128338015E-14</v>
      </c>
      <c r="U484" s="6">
        <f t="shared" si="103"/>
        <v>28.176018770773418</v>
      </c>
      <c r="V484" s="2">
        <f t="shared" si="104"/>
        <v>2.3909376610056518E-8</v>
      </c>
      <c r="W484" s="2">
        <f t="shared" si="105"/>
        <v>2.29483765893998E-14</v>
      </c>
    </row>
    <row r="485" spans="1:23" x14ac:dyDescent="0.45">
      <c r="A485">
        <v>-3.2598600000000002</v>
      </c>
      <c r="B485">
        <v>113.29009000000001</v>
      </c>
      <c r="C485">
        <v>210.50439</v>
      </c>
      <c r="D485">
        <v>662.86389999999994</v>
      </c>
      <c r="E485" s="10" t="s">
        <v>1465</v>
      </c>
      <c r="F485" s="10" t="s">
        <v>1466</v>
      </c>
      <c r="G485" s="10" t="s">
        <v>1467</v>
      </c>
      <c r="H485" s="10">
        <v>-3.2650248360636902</v>
      </c>
      <c r="I485" s="10">
        <v>113.287062533587</v>
      </c>
      <c r="J485" s="10">
        <v>-149.495437708103</v>
      </c>
      <c r="K485" s="4">
        <f t="shared" si="93"/>
        <v>-3.2650248361111109</v>
      </c>
      <c r="L485" s="4">
        <f t="shared" si="94"/>
        <v>113.28706253333337</v>
      </c>
      <c r="M485" s="4">
        <f t="shared" si="95"/>
        <v>210.50456111111112</v>
      </c>
      <c r="N485" s="4">
        <f t="shared" si="96"/>
        <v>210.504562291897</v>
      </c>
      <c r="O485" s="5">
        <f t="shared" si="97"/>
        <v>-3.2650248360539136</v>
      </c>
      <c r="P485" s="2">
        <f t="shared" si="98"/>
        <v>1.7518199962357669E-11</v>
      </c>
      <c r="Q485" s="2">
        <f t="shared" si="99"/>
        <v>2.9943490312422291E-12</v>
      </c>
      <c r="R485" s="6">
        <f t="shared" si="100"/>
        <v>113.28706253359255</v>
      </c>
      <c r="S485" s="2">
        <f t="shared" si="101"/>
        <v>2.2877949388050752E-12</v>
      </c>
      <c r="T485" s="2">
        <f t="shared" si="102"/>
        <v>4.8922032357275017E-14</v>
      </c>
      <c r="U485" s="6">
        <f t="shared" si="103"/>
        <v>210.5045622918966</v>
      </c>
      <c r="V485" s="2">
        <f t="shared" si="104"/>
        <v>5.6093107090345946E-9</v>
      </c>
      <c r="W485" s="2">
        <f t="shared" si="105"/>
        <v>1.8902389938413829E-15</v>
      </c>
    </row>
    <row r="486" spans="1:23" x14ac:dyDescent="0.45">
      <c r="A486">
        <v>19.137039999999999</v>
      </c>
      <c r="B486">
        <v>177.69049999999999</v>
      </c>
      <c r="C486">
        <v>106.10713</v>
      </c>
      <c r="D486">
        <v>470.29559999999998</v>
      </c>
      <c r="E486" s="10" t="s">
        <v>1468</v>
      </c>
      <c r="F486" s="10" t="s">
        <v>1469</v>
      </c>
      <c r="G486" s="10" t="s">
        <v>1470</v>
      </c>
      <c r="H486" s="10">
        <v>19.135861237039499</v>
      </c>
      <c r="I486" s="10">
        <v>177.694794744192</v>
      </c>
      <c r="J486" s="10">
        <v>106.10853789871901</v>
      </c>
      <c r="K486" s="4">
        <f t="shared" si="93"/>
        <v>19.135861236111111</v>
      </c>
      <c r="L486" s="4">
        <f t="shared" si="94"/>
        <v>177.69479474444438</v>
      </c>
      <c r="M486" s="4">
        <f t="shared" si="95"/>
        <v>106.10853888888892</v>
      </c>
      <c r="N486" s="4">
        <f t="shared" si="96"/>
        <v>106.10853789871902</v>
      </c>
      <c r="O486" s="5">
        <f t="shared" si="97"/>
        <v>19.135861237044313</v>
      </c>
      <c r="P486" s="2">
        <f t="shared" si="98"/>
        <v>4.876717847381371E-11</v>
      </c>
      <c r="Q486" s="2">
        <f t="shared" si="99"/>
        <v>2.515657369764372E-13</v>
      </c>
      <c r="R486" s="6">
        <f t="shared" si="100"/>
        <v>177.69479474417415</v>
      </c>
      <c r="S486" s="2">
        <f t="shared" si="101"/>
        <v>1.5207739408063338E-12</v>
      </c>
      <c r="T486" s="2">
        <f t="shared" si="102"/>
        <v>1.0044657497136455E-13</v>
      </c>
      <c r="U486" s="6">
        <f t="shared" si="103"/>
        <v>106.10853789871291</v>
      </c>
      <c r="V486" s="2">
        <f t="shared" si="104"/>
        <v>9.3317278284811037E-9</v>
      </c>
      <c r="W486" s="2">
        <f t="shared" si="105"/>
        <v>5.7588839206978003E-14</v>
      </c>
    </row>
    <row r="487" spans="1:23" x14ac:dyDescent="0.4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10" t="s">
        <v>1471</v>
      </c>
      <c r="F487" s="10" t="s">
        <v>1472</v>
      </c>
      <c r="G487" s="10" t="s">
        <v>1473</v>
      </c>
      <c r="H487" s="10">
        <v>35.102969240935998</v>
      </c>
      <c r="I487" s="10">
        <v>-30.636192776069802</v>
      </c>
      <c r="J487" s="10">
        <v>-101.87249793172001</v>
      </c>
      <c r="K487" s="4">
        <f t="shared" si="93"/>
        <v>35.102969241666663</v>
      </c>
      <c r="L487" s="4">
        <f t="shared" si="94"/>
        <v>-30.636192774999984</v>
      </c>
      <c r="M487" s="4">
        <f t="shared" si="95"/>
        <v>258.12750277777775</v>
      </c>
      <c r="N487" s="4">
        <f t="shared" si="96"/>
        <v>258.12750206828002</v>
      </c>
      <c r="O487" s="5">
        <f t="shared" si="97"/>
        <v>35.102969240935877</v>
      </c>
      <c r="P487" s="2">
        <f t="shared" si="98"/>
        <v>2.0818355657346331E-11</v>
      </c>
      <c r="Q487" s="2">
        <f t="shared" si="99"/>
        <v>3.4410839792536074E-15</v>
      </c>
      <c r="R487" s="6">
        <f t="shared" si="100"/>
        <v>-30.636192776070548</v>
      </c>
      <c r="S487" s="2">
        <f t="shared" si="101"/>
        <v>3.4944423077998051E-11</v>
      </c>
      <c r="T487" s="2">
        <f t="shared" si="102"/>
        <v>2.4352564889553343E-14</v>
      </c>
      <c r="U487" s="6">
        <f t="shared" si="103"/>
        <v>258.127502068279</v>
      </c>
      <c r="V487" s="2">
        <f t="shared" si="104"/>
        <v>2.7486367856745234E-9</v>
      </c>
      <c r="W487" s="2">
        <f t="shared" si="105"/>
        <v>3.9638610039463819E-15</v>
      </c>
    </row>
    <row r="488" spans="1:23" x14ac:dyDescent="0.4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10" t="s">
        <v>1474</v>
      </c>
      <c r="F488" s="10" t="s">
        <v>1475</v>
      </c>
      <c r="G488" s="10" t="s">
        <v>1476</v>
      </c>
      <c r="H488" s="10">
        <v>74.029298275059702</v>
      </c>
      <c r="I488" s="10">
        <v>-142.621755071824</v>
      </c>
      <c r="J488" s="10">
        <v>-125.818756990895</v>
      </c>
      <c r="K488" s="4">
        <f t="shared" si="93"/>
        <v>74.029298275000002</v>
      </c>
      <c r="L488" s="4">
        <f t="shared" si="94"/>
        <v>-142.62175507222219</v>
      </c>
      <c r="M488" s="4">
        <f t="shared" si="95"/>
        <v>234.18124166666666</v>
      </c>
      <c r="N488" s="4">
        <f t="shared" si="96"/>
        <v>234.181243009105</v>
      </c>
      <c r="O488" s="5">
        <f t="shared" si="97"/>
        <v>74.029298275059702</v>
      </c>
      <c r="P488" s="2">
        <f t="shared" si="98"/>
        <v>8.0643477717152001E-13</v>
      </c>
      <c r="Q488" s="2">
        <f t="shared" si="99"/>
        <v>0</v>
      </c>
      <c r="R488" s="6">
        <f t="shared" si="100"/>
        <v>-142.6217550718238</v>
      </c>
      <c r="S488" s="2">
        <f t="shared" si="101"/>
        <v>2.7933122887474906E-12</v>
      </c>
      <c r="T488" s="2">
        <f t="shared" si="102"/>
        <v>1.394962261631378E-15</v>
      </c>
      <c r="U488" s="6">
        <f t="shared" si="103"/>
        <v>234.18124300910486</v>
      </c>
      <c r="V488" s="2">
        <f t="shared" si="104"/>
        <v>5.7324753537353597E-9</v>
      </c>
      <c r="W488" s="2">
        <f t="shared" si="105"/>
        <v>6.0683146662815702E-16</v>
      </c>
    </row>
    <row r="489" spans="1:23" x14ac:dyDescent="0.45">
      <c r="A489">
        <v>24.983989999999999</v>
      </c>
      <c r="B489">
        <v>-177.4408</v>
      </c>
      <c r="C489">
        <v>134.02439000000001</v>
      </c>
      <c r="D489">
        <v>2794.4827</v>
      </c>
      <c r="E489" s="10" t="s">
        <v>1477</v>
      </c>
      <c r="F489" s="10" t="s">
        <v>1478</v>
      </c>
      <c r="G489" s="10" t="s">
        <v>1479</v>
      </c>
      <c r="H489" s="10">
        <v>24.9664566467941</v>
      </c>
      <c r="I489" s="10">
        <v>-177.420900948547</v>
      </c>
      <c r="J489" s="10">
        <v>134.03279190310499</v>
      </c>
      <c r="K489" s="4">
        <f t="shared" si="93"/>
        <v>24.966456647222223</v>
      </c>
      <c r="L489" s="4">
        <f t="shared" si="94"/>
        <v>-177.42090094722221</v>
      </c>
      <c r="M489" s="4">
        <f t="shared" si="95"/>
        <v>134.03279166666664</v>
      </c>
      <c r="N489" s="4">
        <f t="shared" si="96"/>
        <v>134.03279190310502</v>
      </c>
      <c r="O489" s="5">
        <f t="shared" si="97"/>
        <v>24.966456646794846</v>
      </c>
      <c r="P489" s="2">
        <f t="shared" si="98"/>
        <v>1.7118057670091331E-11</v>
      </c>
      <c r="Q489" s="2">
        <f t="shared" si="99"/>
        <v>2.9882889795012492E-14</v>
      </c>
      <c r="R489" s="6">
        <f t="shared" si="100"/>
        <v>-177.42090094854848</v>
      </c>
      <c r="S489" s="2">
        <f t="shared" si="101"/>
        <v>7.4752785144231763E-12</v>
      </c>
      <c r="T489" s="2">
        <f t="shared" si="102"/>
        <v>8.3300720629843702E-15</v>
      </c>
      <c r="U489" s="6">
        <f t="shared" si="103"/>
        <v>134.03279190310411</v>
      </c>
      <c r="V489" s="2">
        <f t="shared" si="104"/>
        <v>1.7640270662677436E-9</v>
      </c>
      <c r="W489" s="2">
        <f t="shared" si="105"/>
        <v>6.7856133477426931E-15</v>
      </c>
    </row>
    <row r="490" spans="1:23" x14ac:dyDescent="0.4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10" t="s">
        <v>1480</v>
      </c>
      <c r="F490" s="10" t="s">
        <v>1481</v>
      </c>
      <c r="G490" s="10" t="s">
        <v>1482</v>
      </c>
      <c r="H490" s="10">
        <v>-23.917794243745501</v>
      </c>
      <c r="I490" s="10">
        <v>-165.236339754852</v>
      </c>
      <c r="J490" s="10">
        <v>35.8872831422552</v>
      </c>
      <c r="K490" s="4">
        <f t="shared" ref="K490:K553" si="106">ConvertDecimal(E490)</f>
        <v>-23.917794244444444</v>
      </c>
      <c r="L490" s="4">
        <f t="shared" ref="L490:L553" si="107">MOD(ConvertDecimal(F490)+3*180, 360) - 180</f>
        <v>-165.23633975555555</v>
      </c>
      <c r="M490" s="4">
        <f t="shared" ref="M490:M553" si="108">MOD(ConvertDecimal(G490)+180, 360)</f>
        <v>35.887283333333357</v>
      </c>
      <c r="N490" s="4">
        <f t="shared" ref="N490:N553" si="109">MOD(J490+360, 360)</f>
        <v>35.887283142255228</v>
      </c>
      <c r="O490" s="5">
        <f t="shared" si="97"/>
        <v>-23.917794243751253</v>
      </c>
      <c r="P490" s="2">
        <f t="shared" si="98"/>
        <v>2.8982241216238031E-11</v>
      </c>
      <c r="Q490" s="2">
        <f t="shared" si="99"/>
        <v>2.4048385847629397E-13</v>
      </c>
      <c r="R490" s="6">
        <f t="shared" si="100"/>
        <v>-165.2363397548564</v>
      </c>
      <c r="S490" s="2">
        <f t="shared" si="101"/>
        <v>4.231185653911228E-12</v>
      </c>
      <c r="T490" s="2">
        <f t="shared" si="102"/>
        <v>2.6660993388309802E-14</v>
      </c>
      <c r="U490" s="6">
        <f t="shared" si="103"/>
        <v>35.887283142257061</v>
      </c>
      <c r="V490" s="2">
        <f t="shared" si="104"/>
        <v>5.3243455166005855E-9</v>
      </c>
      <c r="W490" s="2">
        <f t="shared" si="105"/>
        <v>5.1082168884012559E-14</v>
      </c>
    </row>
    <row r="491" spans="1:23" x14ac:dyDescent="0.4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10" t="s">
        <v>1483</v>
      </c>
      <c r="F491" s="10" t="s">
        <v>1484</v>
      </c>
      <c r="G491" s="10" t="s">
        <v>1485</v>
      </c>
      <c r="H491" s="10">
        <v>-56.908616638506203</v>
      </c>
      <c r="I491" s="10">
        <v>53.481501404320198</v>
      </c>
      <c r="J491" s="10">
        <v>-63.153070054758103</v>
      </c>
      <c r="K491" s="4">
        <f t="shared" si="106"/>
        <v>-56.908616638888887</v>
      </c>
      <c r="L491" s="4">
        <f t="shared" si="107"/>
        <v>53.481501405555605</v>
      </c>
      <c r="M491" s="4">
        <f t="shared" si="108"/>
        <v>296.84693055555556</v>
      </c>
      <c r="N491" s="4">
        <f t="shared" si="109"/>
        <v>296.84692994524187</v>
      </c>
      <c r="O491" s="5">
        <f t="shared" si="97"/>
        <v>-56.908616638499673</v>
      </c>
      <c r="P491" s="2">
        <f t="shared" si="98"/>
        <v>6.8392805405383566E-12</v>
      </c>
      <c r="Q491" s="2">
        <f t="shared" si="99"/>
        <v>1.1474339260633141E-13</v>
      </c>
      <c r="R491" s="6">
        <f t="shared" si="100"/>
        <v>53.481501404296857</v>
      </c>
      <c r="S491" s="2">
        <f t="shared" si="101"/>
        <v>2.3536133795793788E-11</v>
      </c>
      <c r="T491" s="2">
        <f t="shared" si="102"/>
        <v>4.3643742708827156E-13</v>
      </c>
      <c r="U491" s="6">
        <f t="shared" si="103"/>
        <v>296.84692994526125</v>
      </c>
      <c r="V491" s="2">
        <f t="shared" si="104"/>
        <v>2.0559225806802427E-9</v>
      </c>
      <c r="W491" s="2">
        <f t="shared" si="105"/>
        <v>6.5298320030162163E-14</v>
      </c>
    </row>
    <row r="492" spans="1:23" x14ac:dyDescent="0.4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10" t="s">
        <v>1486</v>
      </c>
      <c r="F492" s="10" t="s">
        <v>1487</v>
      </c>
      <c r="G492" s="10" t="s">
        <v>1488</v>
      </c>
      <c r="H492" s="10">
        <v>-39.228012785062504</v>
      </c>
      <c r="I492" s="10">
        <v>39.4016549113731</v>
      </c>
      <c r="J492" s="10">
        <v>100.62495025195599</v>
      </c>
      <c r="K492" s="4">
        <f t="shared" si="106"/>
        <v>-39.228012786111108</v>
      </c>
      <c r="L492" s="4">
        <f t="shared" si="107"/>
        <v>39.401654911111109</v>
      </c>
      <c r="M492" s="4">
        <f t="shared" si="108"/>
        <v>100.62495000000001</v>
      </c>
      <c r="N492" s="4">
        <f t="shared" si="109"/>
        <v>100.62495025195597</v>
      </c>
      <c r="O492" s="5">
        <f t="shared" si="97"/>
        <v>-39.228012785063463</v>
      </c>
      <c r="P492" s="2">
        <f t="shared" si="98"/>
        <v>2.6706566340716834E-11</v>
      </c>
      <c r="Q492" s="2">
        <f t="shared" si="99"/>
        <v>2.4452747543750115E-14</v>
      </c>
      <c r="R492" s="6">
        <f t="shared" si="100"/>
        <v>39.401654911379374</v>
      </c>
      <c r="S492" s="2">
        <f t="shared" si="101"/>
        <v>6.8084807729884475E-12</v>
      </c>
      <c r="T492" s="2">
        <f t="shared" si="102"/>
        <v>1.5923423447248906E-13</v>
      </c>
      <c r="U492" s="6">
        <f t="shared" si="103"/>
        <v>100.62495025195192</v>
      </c>
      <c r="V492" s="2">
        <f t="shared" si="104"/>
        <v>2.5038710866093131E-9</v>
      </c>
      <c r="W492" s="2">
        <f t="shared" si="105"/>
        <v>4.0249397228932736E-14</v>
      </c>
    </row>
    <row r="493" spans="1:23" x14ac:dyDescent="0.4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10" t="s">
        <v>1489</v>
      </c>
      <c r="F493" s="10" t="s">
        <v>1490</v>
      </c>
      <c r="G493" s="10" t="s">
        <v>1491</v>
      </c>
      <c r="H493" s="10">
        <v>39.759308440541297</v>
      </c>
      <c r="I493" s="10">
        <v>60.744930768700698</v>
      </c>
      <c r="J493" s="10">
        <v>59.967539861538</v>
      </c>
      <c r="K493" s="4">
        <f t="shared" si="106"/>
        <v>39.759308441666668</v>
      </c>
      <c r="L493" s="4">
        <f t="shared" si="107"/>
        <v>60.744930769444409</v>
      </c>
      <c r="M493" s="4">
        <f t="shared" si="108"/>
        <v>59.967538888888896</v>
      </c>
      <c r="N493" s="4">
        <f t="shared" si="109"/>
        <v>59.967539861538</v>
      </c>
      <c r="O493" s="5">
        <f t="shared" si="97"/>
        <v>39.75930844054151</v>
      </c>
      <c r="P493" s="2">
        <f t="shared" si="98"/>
        <v>2.8299250591383485E-11</v>
      </c>
      <c r="Q493" s="2">
        <f t="shared" si="99"/>
        <v>5.3613311973674754E-15</v>
      </c>
      <c r="R493" s="6">
        <f t="shared" si="100"/>
        <v>60.74493076870116</v>
      </c>
      <c r="S493" s="2">
        <f t="shared" si="101"/>
        <v>1.2235572721419624E-11</v>
      </c>
      <c r="T493" s="2">
        <f t="shared" si="102"/>
        <v>7.603149306444487E-15</v>
      </c>
      <c r="U493" s="6">
        <f t="shared" si="103"/>
        <v>59.967539861538178</v>
      </c>
      <c r="V493" s="2">
        <f t="shared" si="104"/>
        <v>1.6219596468802894E-8</v>
      </c>
      <c r="W493" s="2">
        <f t="shared" si="105"/>
        <v>2.9621972879023687E-15</v>
      </c>
    </row>
    <row r="494" spans="1:23" x14ac:dyDescent="0.45">
      <c r="A494">
        <v>53.71452</v>
      </c>
      <c r="B494">
        <v>106.21198</v>
      </c>
      <c r="C494">
        <v>81.984049999999996</v>
      </c>
      <c r="D494">
        <v>2322.3270000000002</v>
      </c>
      <c r="E494" s="10" t="s">
        <v>1492</v>
      </c>
      <c r="F494" s="10" t="s">
        <v>1493</v>
      </c>
      <c r="G494" s="10" t="s">
        <v>1494</v>
      </c>
      <c r="H494" s="10">
        <v>53.717424609342601</v>
      </c>
      <c r="I494" s="10">
        <v>106.246812910115</v>
      </c>
      <c r="J494" s="10">
        <v>82.012128575289495</v>
      </c>
      <c r="K494" s="4">
        <f t="shared" si="106"/>
        <v>53.717424608333332</v>
      </c>
      <c r="L494" s="4">
        <f t="shared" si="107"/>
        <v>106.24681291111108</v>
      </c>
      <c r="M494" s="4">
        <f t="shared" si="108"/>
        <v>82.012127777777778</v>
      </c>
      <c r="N494" s="4">
        <f t="shared" si="109"/>
        <v>82.012128575289466</v>
      </c>
      <c r="O494" s="5">
        <f t="shared" si="97"/>
        <v>53.717424609346146</v>
      </c>
      <c r="P494" s="2">
        <f t="shared" si="98"/>
        <v>1.8854491412506841E-11</v>
      </c>
      <c r="Q494" s="2">
        <f t="shared" si="99"/>
        <v>6.6004807140851716E-14</v>
      </c>
      <c r="R494" s="6">
        <f t="shared" si="100"/>
        <v>106.24681291015882</v>
      </c>
      <c r="S494" s="2">
        <f t="shared" si="101"/>
        <v>8.9626703853004343E-12</v>
      </c>
      <c r="T494" s="2">
        <f t="shared" si="102"/>
        <v>4.1249497035511165E-13</v>
      </c>
      <c r="U494" s="6">
        <f t="shared" si="103"/>
        <v>82.012128575324667</v>
      </c>
      <c r="V494" s="2">
        <f t="shared" si="104"/>
        <v>9.7247432859738709E-9</v>
      </c>
      <c r="W494" s="2">
        <f t="shared" si="105"/>
        <v>4.2920831029572046E-13</v>
      </c>
    </row>
    <row r="495" spans="1:23" x14ac:dyDescent="0.4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10" t="s">
        <v>1495</v>
      </c>
      <c r="F495" s="10" t="s">
        <v>1496</v>
      </c>
      <c r="G495" s="10" t="s">
        <v>1497</v>
      </c>
      <c r="H495" s="10">
        <v>21.164105619807899</v>
      </c>
      <c r="I495" s="10">
        <v>-24.950942992702299</v>
      </c>
      <c r="J495" s="10">
        <v>136.77922161322201</v>
      </c>
      <c r="K495" s="4">
        <f t="shared" si="106"/>
        <v>21.164105619444445</v>
      </c>
      <c r="L495" s="4">
        <f t="shared" si="107"/>
        <v>-24.950942991666693</v>
      </c>
      <c r="M495" s="4">
        <f t="shared" si="108"/>
        <v>136.77922222222224</v>
      </c>
      <c r="N495" s="4">
        <f t="shared" si="109"/>
        <v>136.77922161322203</v>
      </c>
      <c r="O495" s="5">
        <f t="shared" si="97"/>
        <v>21.164105619808193</v>
      </c>
      <c r="P495" s="2">
        <f t="shared" si="98"/>
        <v>1.7187031158239722E-11</v>
      </c>
      <c r="Q495" s="2">
        <f t="shared" si="99"/>
        <v>1.3932799270499865E-14</v>
      </c>
      <c r="R495" s="6">
        <f t="shared" si="100"/>
        <v>-24.950942992702547</v>
      </c>
      <c r="S495" s="2">
        <f t="shared" si="101"/>
        <v>4.1515628067956712E-11</v>
      </c>
      <c r="T495" s="2">
        <f t="shared" si="102"/>
        <v>9.9671566557132697E-15</v>
      </c>
      <c r="U495" s="6">
        <f t="shared" si="103"/>
        <v>136.77922161322192</v>
      </c>
      <c r="V495" s="2">
        <f t="shared" si="104"/>
        <v>4.4524330088557566E-9</v>
      </c>
      <c r="W495" s="2">
        <f t="shared" si="105"/>
        <v>8.3117038085722131E-16</v>
      </c>
    </row>
    <row r="496" spans="1:23" x14ac:dyDescent="0.45">
      <c r="A496">
        <v>21.482230000000001</v>
      </c>
      <c r="B496">
        <v>-104.71257</v>
      </c>
      <c r="C496">
        <v>254.71663000000001</v>
      </c>
      <c r="D496">
        <v>1289.5731000000001</v>
      </c>
      <c r="E496" s="10" t="s">
        <v>1498</v>
      </c>
      <c r="F496" s="10" t="s">
        <v>1499</v>
      </c>
      <c r="G496" s="10" t="s">
        <v>1500</v>
      </c>
      <c r="H496" s="10">
        <v>21.4791595517734</v>
      </c>
      <c r="I496" s="10">
        <v>-104.724573343168</v>
      </c>
      <c r="J496" s="10">
        <v>-105.28776547677801</v>
      </c>
      <c r="K496" s="4">
        <f t="shared" si="106"/>
        <v>21.479159552777777</v>
      </c>
      <c r="L496" s="4">
        <f t="shared" si="107"/>
        <v>-104.72457334444448</v>
      </c>
      <c r="M496" s="4">
        <f t="shared" si="108"/>
        <v>254.71223333333333</v>
      </c>
      <c r="N496" s="4">
        <f t="shared" si="109"/>
        <v>254.71223452322198</v>
      </c>
      <c r="O496" s="5">
        <f t="shared" si="97"/>
        <v>21.479159551773378</v>
      </c>
      <c r="P496" s="2">
        <f t="shared" si="98"/>
        <v>4.6761528997759736E-11</v>
      </c>
      <c r="Q496" s="2">
        <f t="shared" si="99"/>
        <v>9.9241695288040512E-16</v>
      </c>
      <c r="R496" s="6">
        <f t="shared" si="100"/>
        <v>-104.72457334316807</v>
      </c>
      <c r="S496" s="2">
        <f t="shared" si="101"/>
        <v>1.218820682579024E-11</v>
      </c>
      <c r="T496" s="2">
        <f t="shared" si="102"/>
        <v>6.7848711441559136E-16</v>
      </c>
      <c r="U496" s="6">
        <f t="shared" si="103"/>
        <v>254.71223452322155</v>
      </c>
      <c r="V496" s="2">
        <f t="shared" si="104"/>
        <v>4.6715001000761882E-9</v>
      </c>
      <c r="W496" s="2">
        <f t="shared" si="105"/>
        <v>1.6737540788100316E-15</v>
      </c>
    </row>
    <row r="497" spans="1:23" x14ac:dyDescent="0.45">
      <c r="A497">
        <v>-80.251000000000005</v>
      </c>
      <c r="B497">
        <v>-11.22095</v>
      </c>
      <c r="C497">
        <v>294.80853000000002</v>
      </c>
      <c r="D497">
        <v>1929.104</v>
      </c>
      <c r="E497" s="10" t="s">
        <v>1501</v>
      </c>
      <c r="F497" s="10" t="s">
        <v>1502</v>
      </c>
      <c r="G497" s="10" t="s">
        <v>1503</v>
      </c>
      <c r="H497" s="10">
        <v>-80.2437385875606</v>
      </c>
      <c r="I497" s="10">
        <v>-11.313474673002201</v>
      </c>
      <c r="J497" s="10">
        <v>-65.100282466688995</v>
      </c>
      <c r="K497" s="4">
        <f t="shared" si="106"/>
        <v>-80.243738588888888</v>
      </c>
      <c r="L497" s="4">
        <f t="shared" si="107"/>
        <v>-11.313474672222242</v>
      </c>
      <c r="M497" s="4">
        <f t="shared" si="108"/>
        <v>294.89971666666668</v>
      </c>
      <c r="N497" s="4">
        <f t="shared" si="109"/>
        <v>294.89971753331099</v>
      </c>
      <c r="O497" s="5">
        <f t="shared" si="97"/>
        <v>-80.243738587560514</v>
      </c>
      <c r="P497" s="2">
        <f t="shared" si="98"/>
        <v>1.6554236862814348E-11</v>
      </c>
      <c r="Q497" s="2">
        <f t="shared" si="99"/>
        <v>1.0625767167885899E-15</v>
      </c>
      <c r="R497" s="6">
        <f t="shared" si="100"/>
        <v>-11.313474673001494</v>
      </c>
      <c r="S497" s="2">
        <f t="shared" si="101"/>
        <v>6.8878239522768812E-11</v>
      </c>
      <c r="T497" s="2">
        <f t="shared" si="102"/>
        <v>6.2490971387280195E-14</v>
      </c>
      <c r="U497" s="6">
        <f t="shared" si="103"/>
        <v>294.89971753331008</v>
      </c>
      <c r="V497" s="2">
        <f t="shared" si="104"/>
        <v>2.938773268239986E-9</v>
      </c>
      <c r="W497" s="2">
        <f t="shared" si="105"/>
        <v>3.0840812917028123E-15</v>
      </c>
    </row>
    <row r="498" spans="1:23" x14ac:dyDescent="0.4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10" t="s">
        <v>1504</v>
      </c>
      <c r="F498" s="10" t="s">
        <v>1505</v>
      </c>
      <c r="G498" s="10" t="s">
        <v>1506</v>
      </c>
      <c r="H498" s="10">
        <v>-41.798560047344701</v>
      </c>
      <c r="I498" s="10">
        <v>-95.613825592189798</v>
      </c>
      <c r="J498" s="10">
        <v>-61.787535019937998</v>
      </c>
      <c r="K498" s="4">
        <f t="shared" si="106"/>
        <v>-41.798560047222225</v>
      </c>
      <c r="L498" s="4">
        <f t="shared" si="107"/>
        <v>-95.613825591666682</v>
      </c>
      <c r="M498" s="4">
        <f t="shared" si="108"/>
        <v>298.21246388888892</v>
      </c>
      <c r="N498" s="4">
        <f t="shared" si="109"/>
        <v>298.21246498006201</v>
      </c>
      <c r="O498" s="5">
        <f t="shared" si="97"/>
        <v>-41.798560047343372</v>
      </c>
      <c r="P498" s="2">
        <f t="shared" si="98"/>
        <v>2.8983662669295253E-12</v>
      </c>
      <c r="Q498" s="2">
        <f t="shared" si="99"/>
        <v>3.178853325010165E-14</v>
      </c>
      <c r="R498" s="6">
        <f t="shared" si="100"/>
        <v>-95.613825592193137</v>
      </c>
      <c r="S498" s="2">
        <f t="shared" si="101"/>
        <v>5.5060585696851061E-12</v>
      </c>
      <c r="T498" s="2">
        <f t="shared" si="102"/>
        <v>3.4927489172081215E-14</v>
      </c>
      <c r="U498" s="6">
        <f t="shared" si="103"/>
        <v>298.21246498006394</v>
      </c>
      <c r="V498" s="2">
        <f t="shared" si="104"/>
        <v>3.6590523685996454E-9</v>
      </c>
      <c r="W498" s="2">
        <f t="shared" si="105"/>
        <v>6.4808700783070484E-15</v>
      </c>
    </row>
    <row r="499" spans="1:23" x14ac:dyDescent="0.45">
      <c r="A499">
        <v>-53.464919999999999</v>
      </c>
      <c r="B499">
        <v>10.17784</v>
      </c>
      <c r="C499">
        <v>309.47633000000002</v>
      </c>
      <c r="D499">
        <v>954.67409999999995</v>
      </c>
      <c r="E499" s="10" t="s">
        <v>1507</v>
      </c>
      <c r="F499" s="10" t="s">
        <v>1508</v>
      </c>
      <c r="G499" s="10" t="s">
        <v>1509</v>
      </c>
      <c r="H499" s="10">
        <v>-53.459466020856802</v>
      </c>
      <c r="I499" s="10">
        <v>10.166745827101501</v>
      </c>
      <c r="J499" s="10">
        <v>-50.5147562293606</v>
      </c>
      <c r="K499" s="4">
        <f t="shared" si="106"/>
        <v>-53.459466022222223</v>
      </c>
      <c r="L499" s="4">
        <f t="shared" si="107"/>
        <v>10.166745827777731</v>
      </c>
      <c r="M499" s="4">
        <f t="shared" si="108"/>
        <v>309.48524444444445</v>
      </c>
      <c r="N499" s="4">
        <f t="shared" si="109"/>
        <v>309.48524377063939</v>
      </c>
      <c r="O499" s="5">
        <f t="shared" si="97"/>
        <v>-53.459466020853469</v>
      </c>
      <c r="P499" s="2">
        <f t="shared" si="98"/>
        <v>2.5603585311953929E-11</v>
      </c>
      <c r="Q499" s="2">
        <f t="shared" si="99"/>
        <v>6.2335928110743604E-14</v>
      </c>
      <c r="R499" s="6">
        <f t="shared" si="100"/>
        <v>10.166745827094841</v>
      </c>
      <c r="S499" s="2">
        <f t="shared" si="101"/>
        <v>6.7169003770641524E-11</v>
      </c>
      <c r="T499" s="2">
        <f t="shared" si="102"/>
        <v>6.5503376440858208E-13</v>
      </c>
      <c r="U499" s="6">
        <f t="shared" si="103"/>
        <v>309.48524377064439</v>
      </c>
      <c r="V499" s="2">
        <f t="shared" si="104"/>
        <v>2.1771637627270765E-9</v>
      </c>
      <c r="W499" s="2">
        <f t="shared" si="105"/>
        <v>1.6163035105668136E-14</v>
      </c>
    </row>
    <row r="500" spans="1:23" x14ac:dyDescent="0.45">
      <c r="A500">
        <v>35.098280000000003</v>
      </c>
      <c r="B500">
        <v>10.69909</v>
      </c>
      <c r="C500">
        <v>111.38601</v>
      </c>
      <c r="D500">
        <v>2645.9000999999998</v>
      </c>
      <c r="E500" s="10" t="s">
        <v>1510</v>
      </c>
      <c r="F500" s="10" t="s">
        <v>1511</v>
      </c>
      <c r="G500" s="10" t="s">
        <v>1512</v>
      </c>
      <c r="H500" s="10">
        <v>35.089580342693701</v>
      </c>
      <c r="I500" s="10">
        <v>10.726107819927</v>
      </c>
      <c r="J500" s="10">
        <v>111.401543046778</v>
      </c>
      <c r="K500" s="4">
        <f t="shared" si="106"/>
        <v>35.089580341666668</v>
      </c>
      <c r="L500" s="4">
        <f t="shared" si="107"/>
        <v>10.726107819444451</v>
      </c>
      <c r="M500" s="4">
        <f t="shared" si="108"/>
        <v>111.40154166666667</v>
      </c>
      <c r="N500" s="4">
        <f t="shared" si="109"/>
        <v>111.40154304677799</v>
      </c>
      <c r="O500" s="5">
        <f t="shared" si="97"/>
        <v>35.089580342693111</v>
      </c>
      <c r="P500" s="2">
        <f t="shared" si="98"/>
        <v>2.9252072001352682E-11</v>
      </c>
      <c r="Q500" s="2">
        <f t="shared" si="99"/>
        <v>1.6806996975205494E-14</v>
      </c>
      <c r="R500" s="6">
        <f t="shared" si="100"/>
        <v>10.72610781992881</v>
      </c>
      <c r="S500" s="2">
        <f t="shared" si="101"/>
        <v>4.5157034364432975E-11</v>
      </c>
      <c r="T500" s="2">
        <f t="shared" si="102"/>
        <v>1.6875717172878228E-13</v>
      </c>
      <c r="U500" s="6">
        <f t="shared" si="103"/>
        <v>111.40154304677876</v>
      </c>
      <c r="V500" s="2">
        <f t="shared" si="104"/>
        <v>1.2388626412689648E-8</v>
      </c>
      <c r="W500" s="2">
        <f t="shared" si="105"/>
        <v>6.8884697072703872E-15</v>
      </c>
    </row>
    <row r="501" spans="1:23" x14ac:dyDescent="0.45">
      <c r="A501">
        <v>-26.025849999999998</v>
      </c>
      <c r="B501">
        <v>-112.98105</v>
      </c>
      <c r="C501">
        <v>262.43319000000002</v>
      </c>
      <c r="D501">
        <v>1037.9902</v>
      </c>
      <c r="E501" s="10" t="s">
        <v>1513</v>
      </c>
      <c r="F501" s="10" t="s">
        <v>1514</v>
      </c>
      <c r="G501" s="10" t="s">
        <v>1515</v>
      </c>
      <c r="H501" s="10">
        <v>-26.027083381064301</v>
      </c>
      <c r="I501" s="10">
        <v>-112.99132977395401</v>
      </c>
      <c r="J501" s="10">
        <v>-97.562299376209793</v>
      </c>
      <c r="K501" s="4">
        <f t="shared" si="106"/>
        <v>-26.027083380555556</v>
      </c>
      <c r="L501" s="4">
        <f t="shared" si="107"/>
        <v>-112.991329775</v>
      </c>
      <c r="M501" s="4">
        <f t="shared" si="108"/>
        <v>262.43770000000001</v>
      </c>
      <c r="N501" s="4">
        <f t="shared" si="109"/>
        <v>262.43770062379019</v>
      </c>
      <c r="O501" s="5">
        <f t="shared" si="97"/>
        <v>-26.027083381064333</v>
      </c>
      <c r="P501" s="2">
        <f t="shared" si="98"/>
        <v>1.9547984423554804E-11</v>
      </c>
      <c r="Q501" s="2">
        <f t="shared" si="99"/>
        <v>1.2285058083944636E-15</v>
      </c>
      <c r="R501" s="6">
        <f t="shared" si="100"/>
        <v>-112.99132977395431</v>
      </c>
      <c r="S501" s="2">
        <f t="shared" si="101"/>
        <v>9.254617459991959E-12</v>
      </c>
      <c r="T501" s="2">
        <f t="shared" si="102"/>
        <v>2.641157950935397E-15</v>
      </c>
      <c r="U501" s="6">
        <f t="shared" si="103"/>
        <v>262.43770062379014</v>
      </c>
      <c r="V501" s="2">
        <f t="shared" si="104"/>
        <v>2.3769074675023388E-9</v>
      </c>
      <c r="W501" s="2">
        <f t="shared" si="105"/>
        <v>2.1659776291933841E-16</v>
      </c>
    </row>
    <row r="502" spans="1:23" x14ac:dyDescent="0.45">
      <c r="A502">
        <v>-12.496169999999999</v>
      </c>
      <c r="B502">
        <v>177.97058999999999</v>
      </c>
      <c r="C502">
        <v>315.38481999999999</v>
      </c>
      <c r="D502">
        <v>2665.431</v>
      </c>
      <c r="E502" s="10" t="s">
        <v>1516</v>
      </c>
      <c r="F502" s="10" t="s">
        <v>1517</v>
      </c>
      <c r="G502" s="10" t="s">
        <v>1518</v>
      </c>
      <c r="H502" s="10">
        <v>-12.4790183572442</v>
      </c>
      <c r="I502" s="10">
        <v>177.953368933641</v>
      </c>
      <c r="J502" s="10">
        <v>-44.611456319425201</v>
      </c>
      <c r="K502" s="4">
        <f t="shared" si="106"/>
        <v>-12.479018358333333</v>
      </c>
      <c r="L502" s="4">
        <f t="shared" si="107"/>
        <v>177.95336893333331</v>
      </c>
      <c r="M502" s="4">
        <f t="shared" si="108"/>
        <v>315.38854444444445</v>
      </c>
      <c r="N502" s="4">
        <f t="shared" si="109"/>
        <v>315.3885436805748</v>
      </c>
      <c r="O502" s="5">
        <f t="shared" si="97"/>
        <v>-12.479018357250899</v>
      </c>
      <c r="P502" s="2">
        <f t="shared" si="98"/>
        <v>8.6740292156613688E-11</v>
      </c>
      <c r="Q502" s="2">
        <f t="shared" si="99"/>
        <v>5.3679235414296138E-13</v>
      </c>
      <c r="R502" s="6">
        <f t="shared" si="100"/>
        <v>177.95336893364785</v>
      </c>
      <c r="S502" s="2">
        <f t="shared" si="101"/>
        <v>1.7675588843958242E-12</v>
      </c>
      <c r="T502" s="2">
        <f t="shared" si="102"/>
        <v>3.8491162116079974E-14</v>
      </c>
      <c r="U502" s="6">
        <f t="shared" si="103"/>
        <v>315.38854368057298</v>
      </c>
      <c r="V502" s="2">
        <f t="shared" si="104"/>
        <v>2.4220013143942241E-9</v>
      </c>
      <c r="W502" s="2">
        <f t="shared" si="105"/>
        <v>5.7674555401356849E-15</v>
      </c>
    </row>
    <row r="503" spans="1:23" x14ac:dyDescent="0.45">
      <c r="A503">
        <v>-11.61533</v>
      </c>
      <c r="B503">
        <v>173.26237</v>
      </c>
      <c r="C503">
        <v>173.36855</v>
      </c>
      <c r="D503">
        <v>2753.4184</v>
      </c>
      <c r="E503" s="10" t="s">
        <v>1519</v>
      </c>
      <c r="F503" s="10" t="s">
        <v>1520</v>
      </c>
      <c r="G503" s="10" t="s">
        <v>1521</v>
      </c>
      <c r="H503" s="10">
        <v>-11.6400543718963</v>
      </c>
      <c r="I503" s="10">
        <v>173.26528596452999</v>
      </c>
      <c r="J503" s="10">
        <v>173.367962283411</v>
      </c>
      <c r="K503" s="4">
        <f t="shared" si="106"/>
        <v>-11.640054372222222</v>
      </c>
      <c r="L503" s="4">
        <f t="shared" si="107"/>
        <v>173.26528596388891</v>
      </c>
      <c r="M503" s="4">
        <f t="shared" si="108"/>
        <v>173.36796111111107</v>
      </c>
      <c r="N503" s="4">
        <f t="shared" si="109"/>
        <v>173.36796228341098</v>
      </c>
      <c r="O503" s="5">
        <f t="shared" si="97"/>
        <v>-11.640054371896367</v>
      </c>
      <c r="P503" s="2">
        <f t="shared" si="98"/>
        <v>2.7994276332351226E-11</v>
      </c>
      <c r="Q503" s="2">
        <f t="shared" si="99"/>
        <v>5.7990759957431996E-15</v>
      </c>
      <c r="R503" s="6">
        <f t="shared" si="100"/>
        <v>173.26528596452962</v>
      </c>
      <c r="S503" s="2">
        <f t="shared" si="101"/>
        <v>3.6978589919225441E-12</v>
      </c>
      <c r="T503" s="2">
        <f t="shared" si="102"/>
        <v>2.1324653726130151E-15</v>
      </c>
      <c r="U503" s="6">
        <f t="shared" si="103"/>
        <v>173.36796228341075</v>
      </c>
      <c r="V503" s="2">
        <f t="shared" si="104"/>
        <v>6.7619164953358489E-9</v>
      </c>
      <c r="W503" s="2">
        <f t="shared" si="105"/>
        <v>1.3115091880213483E-15</v>
      </c>
    </row>
    <row r="504" spans="1:23" x14ac:dyDescent="0.45">
      <c r="A504">
        <v>21.873650000000001</v>
      </c>
      <c r="B504">
        <v>-20.562519999999999</v>
      </c>
      <c r="C504">
        <v>166.18342000000001</v>
      </c>
      <c r="D504">
        <v>264.5086</v>
      </c>
      <c r="E504" s="10" t="s">
        <v>1522</v>
      </c>
      <c r="F504" s="10" t="s">
        <v>1523</v>
      </c>
      <c r="G504" s="10" t="s">
        <v>1524</v>
      </c>
      <c r="H504" s="10">
        <v>21.871330316317099</v>
      </c>
      <c r="I504" s="10">
        <v>-20.5619088205192</v>
      </c>
      <c r="J504" s="10">
        <v>166.18364769018001</v>
      </c>
      <c r="K504" s="4">
        <f t="shared" si="106"/>
        <v>21.871330316666668</v>
      </c>
      <c r="L504" s="4">
        <f t="shared" si="107"/>
        <v>-20.561908819444398</v>
      </c>
      <c r="M504" s="4">
        <f t="shared" si="108"/>
        <v>166.18364722222225</v>
      </c>
      <c r="N504" s="4">
        <f t="shared" si="109"/>
        <v>166.18364769018001</v>
      </c>
      <c r="O504" s="5">
        <f t="shared" si="97"/>
        <v>21.871330316320496</v>
      </c>
      <c r="P504" s="2">
        <f t="shared" si="98"/>
        <v>1.5827700607897955E-11</v>
      </c>
      <c r="Q504" s="2">
        <f t="shared" si="99"/>
        <v>1.5528978931836626E-13</v>
      </c>
      <c r="R504" s="6">
        <f t="shared" si="100"/>
        <v>-20.561908820520056</v>
      </c>
      <c r="S504" s="2">
        <f t="shared" si="101"/>
        <v>5.2313172025493487E-11</v>
      </c>
      <c r="T504" s="2">
        <f t="shared" si="102"/>
        <v>4.1640297312110201E-14</v>
      </c>
      <c r="U504" s="6">
        <f t="shared" si="103"/>
        <v>166.18364769017899</v>
      </c>
      <c r="V504" s="2">
        <f t="shared" si="104"/>
        <v>2.8159012398038208E-9</v>
      </c>
      <c r="W504" s="2">
        <f t="shared" si="105"/>
        <v>6.1569327290377277E-15</v>
      </c>
    </row>
    <row r="505" spans="1:23" x14ac:dyDescent="0.45">
      <c r="A505">
        <v>1.35799</v>
      </c>
      <c r="B505">
        <v>-13.302680000000001</v>
      </c>
      <c r="C505">
        <v>288.05</v>
      </c>
      <c r="D505">
        <v>6.3822000000000001</v>
      </c>
      <c r="E505" s="10" t="s">
        <v>1525</v>
      </c>
      <c r="F505" s="10" t="s">
        <v>1526</v>
      </c>
      <c r="G505" s="10" t="s">
        <v>1527</v>
      </c>
      <c r="H505" s="10">
        <v>1.35800788384506</v>
      </c>
      <c r="I505" s="10">
        <v>-13.302734525967599</v>
      </c>
      <c r="J505" s="10">
        <v>-71.950001292229103</v>
      </c>
      <c r="K505" s="4">
        <f t="shared" si="106"/>
        <v>1.3580078833333333</v>
      </c>
      <c r="L505" s="4">
        <f t="shared" si="107"/>
        <v>-13.302734525000005</v>
      </c>
      <c r="M505" s="4">
        <f t="shared" si="108"/>
        <v>288.05</v>
      </c>
      <c r="N505" s="4">
        <f t="shared" si="109"/>
        <v>288.0499987077709</v>
      </c>
      <c r="O505" s="5">
        <f t="shared" si="97"/>
        <v>1.3580078838446032</v>
      </c>
      <c r="P505" s="2">
        <f t="shared" si="98"/>
        <v>3.7648523367788169E-10</v>
      </c>
      <c r="Q505" s="2">
        <f t="shared" si="99"/>
        <v>3.3633512571190728E-13</v>
      </c>
      <c r="R505" s="6">
        <f t="shared" si="100"/>
        <v>-13.302734525966187</v>
      </c>
      <c r="S505" s="2">
        <f t="shared" si="101"/>
        <v>7.2630315174380937E-11</v>
      </c>
      <c r="T505" s="2">
        <f t="shared" si="102"/>
        <v>1.0615890173306152E-13</v>
      </c>
      <c r="U505" s="6">
        <f t="shared" si="103"/>
        <v>288.04999870777067</v>
      </c>
      <c r="V505" s="2">
        <f t="shared" si="104"/>
        <v>4.4861285964171855E-9</v>
      </c>
      <c r="W505" s="2">
        <f t="shared" si="105"/>
        <v>7.8935489138434095E-16</v>
      </c>
    </row>
    <row r="506" spans="1:23" x14ac:dyDescent="0.45">
      <c r="A506">
        <v>-33.337649999999996</v>
      </c>
      <c r="B506">
        <v>-174.36304999999999</v>
      </c>
      <c r="C506">
        <v>27.023720000000001</v>
      </c>
      <c r="D506">
        <v>131.6283</v>
      </c>
      <c r="E506" s="10" t="s">
        <v>1528</v>
      </c>
      <c r="F506" s="10" t="s">
        <v>1529</v>
      </c>
      <c r="G506" s="10" t="s">
        <v>1530</v>
      </c>
      <c r="H506" s="10">
        <v>-33.3365927769268</v>
      </c>
      <c r="I506" s="10">
        <v>-174.36240758721601</v>
      </c>
      <c r="J506" s="10">
        <v>27.023366952923201</v>
      </c>
      <c r="K506" s="4">
        <f t="shared" si="106"/>
        <v>-33.336592777777781</v>
      </c>
      <c r="L506" s="4">
        <f t="shared" si="107"/>
        <v>-174.36240758611109</v>
      </c>
      <c r="M506" s="4">
        <f t="shared" si="108"/>
        <v>27.023366666666675</v>
      </c>
      <c r="N506" s="4">
        <f t="shared" si="109"/>
        <v>27.023366952923197</v>
      </c>
      <c r="O506" s="5">
        <f t="shared" si="97"/>
        <v>-33.336592776926913</v>
      </c>
      <c r="P506" s="2">
        <f t="shared" si="98"/>
        <v>2.552353884265437E-11</v>
      </c>
      <c r="Q506" s="2">
        <f t="shared" si="99"/>
        <v>3.4102716640046644E-15</v>
      </c>
      <c r="R506" s="6">
        <f t="shared" si="100"/>
        <v>-174.36240758721635</v>
      </c>
      <c r="S506" s="2">
        <f t="shared" si="101"/>
        <v>6.338886068567863E-12</v>
      </c>
      <c r="T506" s="2">
        <f t="shared" si="102"/>
        <v>1.9560438392905863E-15</v>
      </c>
      <c r="U506" s="6">
        <f t="shared" si="103"/>
        <v>27.023366952923244</v>
      </c>
      <c r="V506" s="2">
        <f t="shared" si="104"/>
        <v>1.0592927676339583E-8</v>
      </c>
      <c r="W506" s="2">
        <f t="shared" si="105"/>
        <v>1.7090867287138886E-15</v>
      </c>
    </row>
    <row r="507" spans="1:23" x14ac:dyDescent="0.45">
      <c r="A507">
        <v>-1.3826000000000001</v>
      </c>
      <c r="B507">
        <v>-104.57032</v>
      </c>
      <c r="C507">
        <v>45.487139999999997</v>
      </c>
      <c r="D507">
        <v>173.012</v>
      </c>
      <c r="E507" s="10" t="s">
        <v>1531</v>
      </c>
      <c r="F507" s="10" t="s">
        <v>1532</v>
      </c>
      <c r="G507" s="10" t="s">
        <v>1533</v>
      </c>
      <c r="H507" s="10">
        <v>-1.3815030655892699</v>
      </c>
      <c r="I507" s="10">
        <v>-104.56921139541799</v>
      </c>
      <c r="J507" s="10">
        <v>45.487113261554299</v>
      </c>
      <c r="K507" s="4">
        <f t="shared" si="106"/>
        <v>-1.3815030666666666</v>
      </c>
      <c r="L507" s="4">
        <f t="shared" si="107"/>
        <v>-104.56921139444444</v>
      </c>
      <c r="M507" s="4">
        <f t="shared" si="108"/>
        <v>45.487113888888871</v>
      </c>
      <c r="N507" s="4">
        <f t="shared" si="109"/>
        <v>45.487113261554327</v>
      </c>
      <c r="O507" s="5">
        <f t="shared" si="97"/>
        <v>-1.381503065589875</v>
      </c>
      <c r="P507" s="2">
        <f t="shared" si="98"/>
        <v>7.7943478432990386E-10</v>
      </c>
      <c r="Q507" s="2">
        <f t="shared" si="99"/>
        <v>4.3798060495987498E-13</v>
      </c>
      <c r="R507" s="6">
        <f t="shared" si="100"/>
        <v>-104.56921139541898</v>
      </c>
      <c r="S507" s="2">
        <f t="shared" si="101"/>
        <v>9.3195479894016214E-12</v>
      </c>
      <c r="T507" s="2">
        <f t="shared" si="102"/>
        <v>9.3770332802940489E-15</v>
      </c>
      <c r="U507" s="6">
        <f t="shared" si="103"/>
        <v>45.487113261554235</v>
      </c>
      <c r="V507" s="2">
        <f t="shared" si="104"/>
        <v>1.3791480315210325E-8</v>
      </c>
      <c r="W507" s="2">
        <f t="shared" si="105"/>
        <v>2.0306972464415444E-15</v>
      </c>
    </row>
    <row r="508" spans="1:23" x14ac:dyDescent="0.45">
      <c r="A508">
        <v>61.856349999999999</v>
      </c>
      <c r="B508">
        <v>-111.99178999999999</v>
      </c>
      <c r="C508">
        <v>215.14201</v>
      </c>
      <c r="D508">
        <v>188.12110000000001</v>
      </c>
      <c r="E508" s="10" t="s">
        <v>1534</v>
      </c>
      <c r="F508" s="10" t="s">
        <v>1535</v>
      </c>
      <c r="G508" s="10" t="s">
        <v>1536</v>
      </c>
      <c r="H508" s="10">
        <v>61.854969623658</v>
      </c>
      <c r="I508" s="10">
        <v>-111.99384677680899</v>
      </c>
      <c r="J508" s="10">
        <v>-144.859803587827</v>
      </c>
      <c r="K508" s="4">
        <f t="shared" si="106"/>
        <v>61.854969625000003</v>
      </c>
      <c r="L508" s="4">
        <f t="shared" si="107"/>
        <v>-111.99384677777778</v>
      </c>
      <c r="M508" s="4">
        <f t="shared" si="108"/>
        <v>215.14019722222221</v>
      </c>
      <c r="N508" s="4">
        <f t="shared" si="109"/>
        <v>215.140196412173</v>
      </c>
      <c r="O508" s="5">
        <f t="shared" si="97"/>
        <v>61.85496962365626</v>
      </c>
      <c r="P508" s="2">
        <f t="shared" si="98"/>
        <v>2.1724089477033892E-11</v>
      </c>
      <c r="Q508" s="2">
        <f t="shared" si="99"/>
        <v>2.8143732236939309E-14</v>
      </c>
      <c r="R508" s="6">
        <f t="shared" si="100"/>
        <v>-111.99384677681154</v>
      </c>
      <c r="S508" s="2">
        <f t="shared" si="101"/>
        <v>8.6276047519644122E-12</v>
      </c>
      <c r="T508" s="2">
        <f t="shared" si="102"/>
        <v>2.2713238871868999E-14</v>
      </c>
      <c r="U508" s="6">
        <f t="shared" si="103"/>
        <v>215.14019641217106</v>
      </c>
      <c r="V508" s="2">
        <f t="shared" si="104"/>
        <v>3.7652245298457995E-9</v>
      </c>
      <c r="W508" s="2">
        <f t="shared" si="105"/>
        <v>8.9833340003315086E-15</v>
      </c>
    </row>
    <row r="509" spans="1:23" x14ac:dyDescent="0.45">
      <c r="A509">
        <v>-32.009039999999999</v>
      </c>
      <c r="B509">
        <v>-36.844709999999999</v>
      </c>
      <c r="C509">
        <v>100.82675</v>
      </c>
      <c r="D509">
        <v>101.82980000000001</v>
      </c>
      <c r="E509" s="10" t="s">
        <v>1537</v>
      </c>
      <c r="F509" s="10" t="s">
        <v>1538</v>
      </c>
      <c r="G509" s="10" t="s">
        <v>1539</v>
      </c>
      <c r="H509" s="10">
        <v>-32.0092124928535</v>
      </c>
      <c r="I509" s="10">
        <v>-36.843651434312399</v>
      </c>
      <c r="J509" s="10">
        <v>100.826188902666</v>
      </c>
      <c r="K509" s="4">
        <f t="shared" si="106"/>
        <v>-32.009212491666666</v>
      </c>
      <c r="L509" s="4">
        <f t="shared" si="107"/>
        <v>-36.843651433333321</v>
      </c>
      <c r="M509" s="4">
        <f t="shared" si="108"/>
        <v>100.82618888888891</v>
      </c>
      <c r="N509" s="4">
        <f t="shared" si="109"/>
        <v>100.82618890266599</v>
      </c>
      <c r="O509" s="5">
        <f t="shared" si="97"/>
        <v>-32.009212492853521</v>
      </c>
      <c r="P509" s="2">
        <f t="shared" si="98"/>
        <v>3.7078546027518525E-11</v>
      </c>
      <c r="Q509" s="2">
        <f t="shared" si="99"/>
        <v>6.6594209643746032E-16</v>
      </c>
      <c r="R509" s="6">
        <f t="shared" si="100"/>
        <v>-36.843651434312292</v>
      </c>
      <c r="S509" s="2">
        <f t="shared" si="101"/>
        <v>2.6570970367770122E-11</v>
      </c>
      <c r="T509" s="2">
        <f t="shared" si="102"/>
        <v>2.8928025918939193E-15</v>
      </c>
      <c r="U509" s="6">
        <f t="shared" si="103"/>
        <v>100.82618890266598</v>
      </c>
      <c r="V509" s="2">
        <f t="shared" si="104"/>
        <v>1.3664176467289544E-10</v>
      </c>
      <c r="W509" s="2">
        <f t="shared" si="105"/>
        <v>1.4094408278111806E-16</v>
      </c>
    </row>
    <row r="510" spans="1:23" x14ac:dyDescent="0.4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10" t="s">
        <v>1540</v>
      </c>
      <c r="F510" s="10" t="s">
        <v>1541</v>
      </c>
      <c r="G510" s="10" t="s">
        <v>1542</v>
      </c>
      <c r="H510" s="10">
        <v>69.096143943629002</v>
      </c>
      <c r="I510" s="10">
        <v>165.33678535063501</v>
      </c>
      <c r="J510" s="10">
        <v>47.535656013536801</v>
      </c>
      <c r="K510" s="4">
        <f t="shared" si="106"/>
        <v>69.096143944444449</v>
      </c>
      <c r="L510" s="4">
        <f t="shared" si="107"/>
        <v>165.33678535000001</v>
      </c>
      <c r="M510" s="4">
        <f t="shared" si="108"/>
        <v>47.535655555555536</v>
      </c>
      <c r="N510" s="4">
        <f t="shared" si="109"/>
        <v>47.535656013536823</v>
      </c>
      <c r="O510" s="5">
        <f t="shared" si="97"/>
        <v>69.096143943629855</v>
      </c>
      <c r="P510" s="2">
        <f t="shared" si="98"/>
        <v>1.1789291955854583E-11</v>
      </c>
      <c r="Q510" s="2">
        <f t="shared" si="99"/>
        <v>1.2340070432985989E-14</v>
      </c>
      <c r="R510" s="6">
        <f t="shared" si="100"/>
        <v>165.33678535063856</v>
      </c>
      <c r="S510" s="2">
        <f t="shared" si="101"/>
        <v>3.8621202439683624E-12</v>
      </c>
      <c r="T510" s="2">
        <f t="shared" si="102"/>
        <v>2.1487738927947264E-14</v>
      </c>
      <c r="U510" s="6">
        <f t="shared" si="103"/>
        <v>47.535656013539509</v>
      </c>
      <c r="V510" s="2">
        <f t="shared" si="104"/>
        <v>9.6345357431451129E-9</v>
      </c>
      <c r="W510" s="2">
        <f t="shared" si="105"/>
        <v>5.6501829708804762E-14</v>
      </c>
    </row>
    <row r="511" spans="1:23" x14ac:dyDescent="0.45">
      <c r="A511">
        <v>24.48837</v>
      </c>
      <c r="B511">
        <v>81.266869999999997</v>
      </c>
      <c r="C511">
        <v>193.37889000000001</v>
      </c>
      <c r="D511">
        <v>152.2518</v>
      </c>
      <c r="E511" s="10" t="s">
        <v>1543</v>
      </c>
      <c r="F511" s="10" t="s">
        <v>1544</v>
      </c>
      <c r="G511" s="10" t="s">
        <v>1545</v>
      </c>
      <c r="H511" s="10">
        <v>24.4870327590858</v>
      </c>
      <c r="I511" s="10">
        <v>81.266522450024993</v>
      </c>
      <c r="J511" s="10">
        <v>-166.621254058738</v>
      </c>
      <c r="K511" s="4">
        <f t="shared" si="106"/>
        <v>24.487032758333335</v>
      </c>
      <c r="L511" s="4">
        <f t="shared" si="107"/>
        <v>81.266522450000025</v>
      </c>
      <c r="M511" s="4">
        <f t="shared" si="108"/>
        <v>193.37874722222222</v>
      </c>
      <c r="N511" s="4">
        <f t="shared" si="109"/>
        <v>193.378745941262</v>
      </c>
      <c r="O511" s="5">
        <f t="shared" si="97"/>
        <v>24.487032759087239</v>
      </c>
      <c r="P511" s="2">
        <f t="shared" si="98"/>
        <v>3.078787101933756E-11</v>
      </c>
      <c r="Q511" s="2">
        <f t="shared" si="99"/>
        <v>5.8759632253945695E-14</v>
      </c>
      <c r="R511" s="6">
        <f t="shared" si="100"/>
        <v>81.266522450025406</v>
      </c>
      <c r="S511" s="2">
        <f t="shared" si="101"/>
        <v>3.1231293964825943E-13</v>
      </c>
      <c r="T511" s="2">
        <f t="shared" si="102"/>
        <v>5.0711507557652529E-15</v>
      </c>
      <c r="U511" s="6">
        <f t="shared" si="103"/>
        <v>193.37874594126217</v>
      </c>
      <c r="V511" s="2">
        <f t="shared" si="104"/>
        <v>6.6240994294562512E-9</v>
      </c>
      <c r="W511" s="2">
        <f t="shared" si="105"/>
        <v>8.8184591203327958E-16</v>
      </c>
    </row>
    <row r="512" spans="1:23" x14ac:dyDescent="0.4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10" t="s">
        <v>1546</v>
      </c>
      <c r="F512" s="10" t="s">
        <v>1547</v>
      </c>
      <c r="G512" s="10" t="s">
        <v>1548</v>
      </c>
      <c r="H512" s="10">
        <v>82.781811023273605</v>
      </c>
      <c r="I512" s="10">
        <v>28.352168975348199</v>
      </c>
      <c r="J512" s="10">
        <v>-24.600359445189401</v>
      </c>
      <c r="K512" s="4">
        <f t="shared" si="106"/>
        <v>82.781811022222229</v>
      </c>
      <c r="L512" s="4">
        <f t="shared" si="107"/>
        <v>28.352168975000041</v>
      </c>
      <c r="M512" s="4">
        <f t="shared" si="108"/>
        <v>335.39964166666664</v>
      </c>
      <c r="N512" s="4">
        <f t="shared" si="109"/>
        <v>335.39964055481062</v>
      </c>
      <c r="O512" s="5">
        <f t="shared" si="97"/>
        <v>82.78181102327521</v>
      </c>
      <c r="P512" s="2">
        <f t="shared" si="98"/>
        <v>1.2719964552957859E-11</v>
      </c>
      <c r="Q512" s="2">
        <f t="shared" si="99"/>
        <v>1.9398302150775102E-14</v>
      </c>
      <c r="R512" s="6">
        <f t="shared" si="100"/>
        <v>28.352168975341868</v>
      </c>
      <c r="S512" s="2">
        <f t="shared" si="101"/>
        <v>1.2056499085515502E-11</v>
      </c>
      <c r="T512" s="2">
        <f t="shared" si="102"/>
        <v>2.2329634749028018E-13</v>
      </c>
      <c r="U512" s="6">
        <f t="shared" si="103"/>
        <v>335.39964055480397</v>
      </c>
      <c r="V512" s="2">
        <f t="shared" si="104"/>
        <v>3.3150383450534794E-9</v>
      </c>
      <c r="W512" s="2">
        <f t="shared" si="105"/>
        <v>1.9829120853299459E-14</v>
      </c>
    </row>
    <row r="513" spans="1:23" x14ac:dyDescent="0.45">
      <c r="A513">
        <v>-30.31739</v>
      </c>
      <c r="B513">
        <v>151.85156000000001</v>
      </c>
      <c r="C513">
        <v>279.11272000000002</v>
      </c>
      <c r="D513">
        <v>232.5444</v>
      </c>
      <c r="E513" s="10" t="s">
        <v>1549</v>
      </c>
      <c r="F513" s="10" t="s">
        <v>1550</v>
      </c>
      <c r="G513" s="10" t="s">
        <v>1551</v>
      </c>
      <c r="H513" s="10">
        <v>-30.3170577530936</v>
      </c>
      <c r="I513" s="10">
        <v>151.84917266443401</v>
      </c>
      <c r="J513" s="10">
        <v>-80.886074903685099</v>
      </c>
      <c r="K513" s="4">
        <f t="shared" si="106"/>
        <v>-30.317057752777778</v>
      </c>
      <c r="L513" s="4">
        <f t="shared" si="107"/>
        <v>151.84917266388891</v>
      </c>
      <c r="M513" s="4">
        <f t="shared" si="108"/>
        <v>279.11392499999999</v>
      </c>
      <c r="N513" s="4">
        <f t="shared" si="109"/>
        <v>279.11392509631492</v>
      </c>
      <c r="O513" s="5">
        <f t="shared" si="97"/>
        <v>-30.317057753093536</v>
      </c>
      <c r="P513" s="2">
        <f t="shared" si="98"/>
        <v>1.0415195594483433E-11</v>
      </c>
      <c r="Q513" s="2">
        <f t="shared" si="99"/>
        <v>2.1093355014598531E-15</v>
      </c>
      <c r="R513" s="6">
        <f t="shared" si="100"/>
        <v>151.84917266443367</v>
      </c>
      <c r="S513" s="2">
        <f t="shared" si="101"/>
        <v>3.5874999849907127E-12</v>
      </c>
      <c r="T513" s="2">
        <f t="shared" si="102"/>
        <v>2.2460478854142023E-15</v>
      </c>
      <c r="U513" s="6">
        <f t="shared" si="103"/>
        <v>279.11392509631469</v>
      </c>
      <c r="V513" s="2">
        <f t="shared" si="104"/>
        <v>3.4507304897055586E-10</v>
      </c>
      <c r="W513" s="2">
        <f t="shared" si="105"/>
        <v>8.1462677064489475E-16</v>
      </c>
    </row>
    <row r="514" spans="1:23" x14ac:dyDescent="0.45">
      <c r="A514">
        <v>23.356680000000001</v>
      </c>
      <c r="B514">
        <v>-164.59180000000001</v>
      </c>
      <c r="C514">
        <v>326.82810000000001</v>
      </c>
      <c r="D514">
        <v>107.157</v>
      </c>
      <c r="E514" s="10" t="s">
        <v>1552</v>
      </c>
      <c r="F514" s="10" t="s">
        <v>1553</v>
      </c>
      <c r="G514" s="10" t="s">
        <v>1554</v>
      </c>
      <c r="H514" s="10">
        <v>23.3574898834203</v>
      </c>
      <c r="I514" s="10">
        <v>-164.592373407606</v>
      </c>
      <c r="J514" s="10">
        <v>-33.172127333393099</v>
      </c>
      <c r="K514" s="4">
        <f t="shared" si="106"/>
        <v>23.357489883333333</v>
      </c>
      <c r="L514" s="4">
        <f t="shared" si="107"/>
        <v>-164.59237340833334</v>
      </c>
      <c r="M514" s="4">
        <f t="shared" si="108"/>
        <v>326.82787222222225</v>
      </c>
      <c r="N514" s="4">
        <f t="shared" si="109"/>
        <v>326.82787266660688</v>
      </c>
      <c r="O514" s="5">
        <f t="shared" si="97"/>
        <v>23.357489883419976</v>
      </c>
      <c r="P514" s="2">
        <f t="shared" si="98"/>
        <v>3.7094560088158651E-12</v>
      </c>
      <c r="Q514" s="2">
        <f t="shared" si="99"/>
        <v>1.3841253764186768E-14</v>
      </c>
      <c r="R514" s="6">
        <f t="shared" si="100"/>
        <v>-164.59237340760555</v>
      </c>
      <c r="S514" s="2">
        <f t="shared" si="101"/>
        <v>4.4218009517293165E-12</v>
      </c>
      <c r="T514" s="2">
        <f t="shared" si="102"/>
        <v>2.7628701225439023E-15</v>
      </c>
      <c r="U514" s="6">
        <f t="shared" si="103"/>
        <v>326.82787266660659</v>
      </c>
      <c r="V514" s="2">
        <f t="shared" si="104"/>
        <v>1.3596892390457897E-9</v>
      </c>
      <c r="W514" s="2">
        <f t="shared" si="105"/>
        <v>8.6962318111089152E-16</v>
      </c>
    </row>
    <row r="515" spans="1:23" x14ac:dyDescent="0.4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10" t="s">
        <v>1555</v>
      </c>
      <c r="F515" s="10" t="s">
        <v>1556</v>
      </c>
      <c r="G515" s="10" t="s">
        <v>1557</v>
      </c>
      <c r="H515" s="10">
        <v>-73.492879854427002</v>
      </c>
      <c r="I515" s="10">
        <v>15.9291759121369</v>
      </c>
      <c r="J515" s="10">
        <v>148.549724616259</v>
      </c>
      <c r="K515" s="4">
        <f t="shared" si="106"/>
        <v>-73.492879855555557</v>
      </c>
      <c r="L515" s="4">
        <f t="shared" si="107"/>
        <v>15.929175911111088</v>
      </c>
      <c r="M515" s="4">
        <f t="shared" si="108"/>
        <v>148.54972500000002</v>
      </c>
      <c r="N515" s="4">
        <f t="shared" si="109"/>
        <v>148.54972461625903</v>
      </c>
      <c r="O515" s="5">
        <f t="shared" si="97"/>
        <v>-73.492879854428622</v>
      </c>
      <c r="P515" s="2">
        <f t="shared" si="98"/>
        <v>1.5333934280234164E-11</v>
      </c>
      <c r="Q515" s="2">
        <f t="shared" si="99"/>
        <v>2.204346109095141E-14</v>
      </c>
      <c r="R515" s="6">
        <f t="shared" si="100"/>
        <v>15.929175912140577</v>
      </c>
      <c r="S515" s="2">
        <f t="shared" si="101"/>
        <v>6.4629167784703432E-11</v>
      </c>
      <c r="T515" s="2">
        <f t="shared" si="102"/>
        <v>2.3083797164653452E-13</v>
      </c>
      <c r="U515" s="6">
        <f t="shared" si="103"/>
        <v>148.5497246162555</v>
      </c>
      <c r="V515" s="2">
        <f t="shared" si="104"/>
        <v>2.583273180778511E-9</v>
      </c>
      <c r="W515" s="2">
        <f t="shared" si="105"/>
        <v>2.3724661748611258E-14</v>
      </c>
    </row>
    <row r="516" spans="1:23" x14ac:dyDescent="0.4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10" t="s">
        <v>1558</v>
      </c>
      <c r="F516" s="10" t="s">
        <v>1559</v>
      </c>
      <c r="G516" s="10" t="s">
        <v>1560</v>
      </c>
      <c r="H516" s="10">
        <v>-46.820111351963803</v>
      </c>
      <c r="I516" s="10">
        <v>-33.364393082319197</v>
      </c>
      <c r="J516" s="10">
        <v>-31.327295854051499</v>
      </c>
      <c r="K516" s="4">
        <f t="shared" si="106"/>
        <v>-46.820111352777779</v>
      </c>
      <c r="L516" s="4">
        <f t="shared" si="107"/>
        <v>-33.364393083333312</v>
      </c>
      <c r="M516" s="4">
        <f t="shared" si="108"/>
        <v>328.67270277777777</v>
      </c>
      <c r="N516" s="4">
        <f t="shared" si="109"/>
        <v>328.6727041459485</v>
      </c>
      <c r="O516" s="5">
        <f t="shared" si="97"/>
        <v>-46.820111351963639</v>
      </c>
      <c r="P516" s="2">
        <f t="shared" si="98"/>
        <v>1.7388678563781778E-11</v>
      </c>
      <c r="Q516" s="2">
        <f t="shared" si="99"/>
        <v>3.4904835658398841E-15</v>
      </c>
      <c r="R516" s="6">
        <f t="shared" si="100"/>
        <v>-33.364393082319282</v>
      </c>
      <c r="S516" s="2">
        <f t="shared" si="101"/>
        <v>3.0392572900254487E-11</v>
      </c>
      <c r="T516" s="2">
        <f t="shared" si="102"/>
        <v>2.5555725854457878E-15</v>
      </c>
      <c r="U516" s="6">
        <f t="shared" si="103"/>
        <v>328.67270414594816</v>
      </c>
      <c r="V516" s="2">
        <f t="shared" si="104"/>
        <v>4.1627137760055257E-9</v>
      </c>
      <c r="W516" s="2">
        <f t="shared" si="105"/>
        <v>1.0376904101333548E-15</v>
      </c>
    </row>
    <row r="517" spans="1:23" x14ac:dyDescent="0.45">
      <c r="A517">
        <v>11.27017</v>
      </c>
      <c r="B517">
        <v>-26.875640000000001</v>
      </c>
      <c r="C517">
        <v>89.378320000000002</v>
      </c>
      <c r="D517">
        <v>194.6788</v>
      </c>
      <c r="E517" s="10" t="s">
        <v>1561</v>
      </c>
      <c r="F517" s="10" t="s">
        <v>1562</v>
      </c>
      <c r="G517" s="10" t="s">
        <v>1563</v>
      </c>
      <c r="H517" s="10">
        <v>11.270189090266401</v>
      </c>
      <c r="I517" s="10">
        <v>-26.873857116842199</v>
      </c>
      <c r="J517" s="10">
        <v>89.378668439092905</v>
      </c>
      <c r="K517" s="4">
        <f t="shared" si="106"/>
        <v>11.270189088888889</v>
      </c>
      <c r="L517" s="4">
        <f t="shared" si="107"/>
        <v>-26.873857116666613</v>
      </c>
      <c r="M517" s="4">
        <f t="shared" si="108"/>
        <v>89.378669444444427</v>
      </c>
      <c r="N517" s="4">
        <f t="shared" si="109"/>
        <v>89.378668439092905</v>
      </c>
      <c r="O517" s="5">
        <f t="shared" ref="O517:O580" si="110">vincentyDirLat(A517, $B517, $C517, $D517)</f>
        <v>11.270189090266356</v>
      </c>
      <c r="P517" s="2">
        <f t="shared" ref="P517:P580" si="111">ABS((K517-O517)/K517)</f>
        <v>1.2222217555220537E-10</v>
      </c>
      <c r="Q517" s="2">
        <f t="shared" ref="Q517:Q580" si="112">ABS((H517-O517)/H517)</f>
        <v>3.9403882782552799E-15</v>
      </c>
      <c r="R517" s="6">
        <f t="shared" ref="R517:R580" si="113">VincentyDirLon($A517, $B517, $C517, $D517)</f>
        <v>-26.873857116849372</v>
      </c>
      <c r="S517" s="2">
        <f t="shared" ref="S517:S580" si="114">ABS((L517-R517)/L517)</f>
        <v>6.8006128138380321E-12</v>
      </c>
      <c r="T517" s="2">
        <f t="shared" ref="T517:T580" si="115">ABS((I517-R517)/I517)</f>
        <v>2.6691103127890201E-13</v>
      </c>
      <c r="U517" s="6">
        <f t="shared" ref="U517:U580" si="116">VincentyDirRevAzimuth($A517, $B517, $C517, $D517)</f>
        <v>89.378668439091399</v>
      </c>
      <c r="V517" s="2">
        <f t="shared" ref="V517:V580" si="117">ABS((M517-U517)/M517)</f>
        <v>1.1248243386744484E-8</v>
      </c>
      <c r="W517" s="2">
        <f t="shared" ref="W517:W580" si="118">ABS((N517-U517)/N517)</f>
        <v>1.6853580682262176E-14</v>
      </c>
    </row>
    <row r="518" spans="1:23" x14ac:dyDescent="0.4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10" t="s">
        <v>1564</v>
      </c>
      <c r="F518" s="10" t="s">
        <v>1565</v>
      </c>
      <c r="G518" s="10" t="s">
        <v>1566</v>
      </c>
      <c r="H518" s="10">
        <v>42.259722389265697</v>
      </c>
      <c r="I518" s="10">
        <v>-92.031040176828895</v>
      </c>
      <c r="J518" s="10">
        <v>-70.282111212149204</v>
      </c>
      <c r="K518" s="4">
        <f t="shared" si="106"/>
        <v>42.259722388888889</v>
      </c>
      <c r="L518" s="4">
        <f t="shared" si="107"/>
        <v>-92.031040177777754</v>
      </c>
      <c r="M518" s="4">
        <f t="shared" si="108"/>
        <v>289.71788888888887</v>
      </c>
      <c r="N518" s="4">
        <f t="shared" si="109"/>
        <v>289.71788878785082</v>
      </c>
      <c r="O518" s="5">
        <f t="shared" si="110"/>
        <v>42.259722389265747</v>
      </c>
      <c r="P518" s="2">
        <f t="shared" si="111"/>
        <v>8.9176557461609584E-12</v>
      </c>
      <c r="Q518" s="2">
        <f t="shared" si="112"/>
        <v>1.1769597311846245E-15</v>
      </c>
      <c r="R518" s="6">
        <f t="shared" si="113"/>
        <v>-92.031040176829094</v>
      </c>
      <c r="S518" s="2">
        <f t="shared" si="114"/>
        <v>1.0308041890382684E-11</v>
      </c>
      <c r="T518" s="2">
        <f t="shared" si="115"/>
        <v>2.1617919957284062E-15</v>
      </c>
      <c r="U518" s="6">
        <f t="shared" si="116"/>
        <v>289.71788878785031</v>
      </c>
      <c r="V518" s="2">
        <f t="shared" si="117"/>
        <v>3.487480601732141E-10</v>
      </c>
      <c r="W518" s="2">
        <f t="shared" si="118"/>
        <v>1.7658238912609577E-15</v>
      </c>
    </row>
    <row r="519" spans="1:23" x14ac:dyDescent="0.4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10" t="s">
        <v>1567</v>
      </c>
      <c r="F519" s="10" t="s">
        <v>1568</v>
      </c>
      <c r="G519" s="10" t="s">
        <v>1569</v>
      </c>
      <c r="H519" s="10">
        <v>-44.623926672915701</v>
      </c>
      <c r="I519" s="10">
        <v>-9.2261784390471107</v>
      </c>
      <c r="J519" s="10">
        <v>175.124985683414</v>
      </c>
      <c r="K519" s="4">
        <f t="shared" si="106"/>
        <v>-44.623926672222225</v>
      </c>
      <c r="L519" s="4">
        <f t="shared" si="107"/>
        <v>-9.2261784388888373</v>
      </c>
      <c r="M519" s="4">
        <f t="shared" si="108"/>
        <v>175.12498611111118</v>
      </c>
      <c r="N519" s="4">
        <f t="shared" si="109"/>
        <v>175.12498568341402</v>
      </c>
      <c r="O519" s="5">
        <f t="shared" si="110"/>
        <v>-44.623926672915402</v>
      </c>
      <c r="P519" s="2">
        <f t="shared" si="111"/>
        <v>1.5533753369346954E-11</v>
      </c>
      <c r="Q519" s="2">
        <f t="shared" si="112"/>
        <v>6.6876218941165397E-15</v>
      </c>
      <c r="R519" s="6">
        <f t="shared" si="113"/>
        <v>-9.2261784390470982</v>
      </c>
      <c r="S519" s="2">
        <f t="shared" si="114"/>
        <v>1.7153468355392747E-11</v>
      </c>
      <c r="T519" s="2">
        <f t="shared" si="115"/>
        <v>1.3477408829615051E-15</v>
      </c>
      <c r="U519" s="6">
        <f t="shared" si="116"/>
        <v>175.12498568341394</v>
      </c>
      <c r="V519" s="2">
        <f t="shared" si="117"/>
        <v>2.4422399922995673E-9</v>
      </c>
      <c r="W519" s="2">
        <f t="shared" si="118"/>
        <v>4.8688157180125003E-16</v>
      </c>
    </row>
    <row r="520" spans="1:23" x14ac:dyDescent="0.4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10" t="s">
        <v>1570</v>
      </c>
      <c r="F520" s="10" t="s">
        <v>1571</v>
      </c>
      <c r="G520" s="10" t="s">
        <v>1572</v>
      </c>
      <c r="H520" s="10">
        <v>27.231487042590199</v>
      </c>
      <c r="I520" s="10">
        <v>-174.14540138767799</v>
      </c>
      <c r="J520" s="10">
        <v>54.313617127995798</v>
      </c>
      <c r="K520" s="4">
        <f t="shared" si="106"/>
        <v>27.231487041666668</v>
      </c>
      <c r="L520" s="4">
        <f t="shared" si="107"/>
        <v>-174.1454013888889</v>
      </c>
      <c r="M520" s="4">
        <f t="shared" si="108"/>
        <v>54.31361666666669</v>
      </c>
      <c r="N520" s="4">
        <f t="shared" si="109"/>
        <v>54.313617127995826</v>
      </c>
      <c r="O520" s="5">
        <f t="shared" si="110"/>
        <v>27.231487042585076</v>
      </c>
      <c r="P520" s="2">
        <f t="shared" si="111"/>
        <v>3.3725975338320295E-11</v>
      </c>
      <c r="Q520" s="2">
        <f t="shared" si="112"/>
        <v>1.8812829122470988E-13</v>
      </c>
      <c r="R520" s="6">
        <f t="shared" si="113"/>
        <v>-174.14540138768621</v>
      </c>
      <c r="S520" s="2">
        <f t="shared" si="114"/>
        <v>6.9062579124395533E-12</v>
      </c>
      <c r="T520" s="2">
        <f t="shared" si="115"/>
        <v>4.7166758122433818E-14</v>
      </c>
      <c r="U520" s="6">
        <f t="shared" si="116"/>
        <v>54.313617127991996</v>
      </c>
      <c r="V520" s="2">
        <f t="shared" si="117"/>
        <v>8.4937320538865507E-9</v>
      </c>
      <c r="W520" s="2">
        <f t="shared" si="118"/>
        <v>7.0513170513419282E-14</v>
      </c>
    </row>
    <row r="521" spans="1:23" x14ac:dyDescent="0.4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10" t="s">
        <v>1573</v>
      </c>
      <c r="F521" s="10" t="s">
        <v>1574</v>
      </c>
      <c r="G521" s="10" t="s">
        <v>1575</v>
      </c>
      <c r="H521" s="10">
        <v>-37.709780348733602</v>
      </c>
      <c r="I521" s="10">
        <v>96.488310649097002</v>
      </c>
      <c r="J521" s="10">
        <v>1.28798901924156</v>
      </c>
      <c r="K521" s="4">
        <f t="shared" si="106"/>
        <v>-37.709780350000003</v>
      </c>
      <c r="L521" s="4">
        <f t="shared" si="107"/>
        <v>96.488310650000017</v>
      </c>
      <c r="M521" s="4">
        <f t="shared" si="108"/>
        <v>1.28798888888889</v>
      </c>
      <c r="N521" s="4">
        <f t="shared" si="109"/>
        <v>1.287989019241536</v>
      </c>
      <c r="O521" s="5">
        <f t="shared" si="110"/>
        <v>-37.70978034873378</v>
      </c>
      <c r="P521" s="2">
        <f t="shared" si="111"/>
        <v>3.3578097525600845E-11</v>
      </c>
      <c r="Q521" s="2">
        <f t="shared" si="112"/>
        <v>4.7105998045409071E-15</v>
      </c>
      <c r="R521" s="6">
        <f t="shared" si="113"/>
        <v>96.488310649097016</v>
      </c>
      <c r="S521" s="2">
        <f t="shared" si="114"/>
        <v>9.3586501316580034E-12</v>
      </c>
      <c r="T521" s="2">
        <f t="shared" si="115"/>
        <v>1.4728058372669827E-16</v>
      </c>
      <c r="U521" s="6">
        <f t="shared" si="116"/>
        <v>1.287989019241577</v>
      </c>
      <c r="V521" s="2">
        <f t="shared" si="117"/>
        <v>1.0120637546903214E-7</v>
      </c>
      <c r="W521" s="2">
        <f t="shared" si="118"/>
        <v>3.1893324630454327E-14</v>
      </c>
    </row>
    <row r="522" spans="1:23" x14ac:dyDescent="0.45">
      <c r="A522">
        <v>88.094620000000006</v>
      </c>
      <c r="B522">
        <v>26.098240000000001</v>
      </c>
      <c r="C522">
        <v>148.42997</v>
      </c>
      <c r="D522">
        <v>16.641500000000001</v>
      </c>
      <c r="E522" s="10" t="s">
        <v>1576</v>
      </c>
      <c r="F522" s="10" t="s">
        <v>1577</v>
      </c>
      <c r="G522" s="10" t="s">
        <v>1578</v>
      </c>
      <c r="H522" s="10">
        <v>88.094493055738596</v>
      </c>
      <c r="I522" s="10">
        <v>26.100585884429901</v>
      </c>
      <c r="J522" s="10">
        <v>148.4323145873</v>
      </c>
      <c r="K522" s="4">
        <f t="shared" si="106"/>
        <v>88.09449305555556</v>
      </c>
      <c r="L522" s="4">
        <f t="shared" si="107"/>
        <v>26.100585883333338</v>
      </c>
      <c r="M522" s="4">
        <f t="shared" si="108"/>
        <v>148.43231388888887</v>
      </c>
      <c r="N522" s="4">
        <f t="shared" si="109"/>
        <v>148.43231458729997</v>
      </c>
      <c r="O522" s="5">
        <f t="shared" si="110"/>
        <v>88.094493055737942</v>
      </c>
      <c r="P522" s="2">
        <f t="shared" si="111"/>
        <v>2.0703009131329671E-12</v>
      </c>
      <c r="Q522" s="2">
        <f t="shared" si="112"/>
        <v>7.4204333803894835E-15</v>
      </c>
      <c r="R522" s="6">
        <f t="shared" si="113"/>
        <v>26.100585884440914</v>
      </c>
      <c r="S522" s="2">
        <f t="shared" si="114"/>
        <v>4.2434919196265957E-11</v>
      </c>
      <c r="T522" s="2">
        <f t="shared" si="115"/>
        <v>4.219603518881742E-13</v>
      </c>
      <c r="U522" s="6">
        <f t="shared" si="116"/>
        <v>148.43231458731086</v>
      </c>
      <c r="V522" s="2">
        <f t="shared" si="117"/>
        <v>4.7053230313280332E-9</v>
      </c>
      <c r="W522" s="2">
        <f t="shared" si="118"/>
        <v>7.3336555736604488E-14</v>
      </c>
    </row>
    <row r="523" spans="1:23" x14ac:dyDescent="0.45">
      <c r="A523">
        <v>-56.325490000000002</v>
      </c>
      <c r="B523">
        <v>-107.77484</v>
      </c>
      <c r="C523">
        <v>351.82191999999998</v>
      </c>
      <c r="D523">
        <v>22.802299999999999</v>
      </c>
      <c r="E523" s="10" t="s">
        <v>1579</v>
      </c>
      <c r="F523" s="10" t="s">
        <v>1580</v>
      </c>
      <c r="G523" s="10" t="s">
        <v>1581</v>
      </c>
      <c r="H523" s="10">
        <v>-56.325287297901802</v>
      </c>
      <c r="I523" s="10">
        <v>-107.774892428537</v>
      </c>
      <c r="J523" s="10">
        <v>-8.1780363689770503</v>
      </c>
      <c r="K523" s="4">
        <f t="shared" si="106"/>
        <v>-56.325287297222225</v>
      </c>
      <c r="L523" s="4">
        <f t="shared" si="107"/>
        <v>-107.77489242777779</v>
      </c>
      <c r="M523" s="4">
        <f t="shared" si="108"/>
        <v>351.82196388888889</v>
      </c>
      <c r="N523" s="4">
        <f t="shared" si="109"/>
        <v>351.82196363102292</v>
      </c>
      <c r="O523" s="5">
        <f t="shared" si="110"/>
        <v>-56.325287297901696</v>
      </c>
      <c r="P523" s="2">
        <f t="shared" si="111"/>
        <v>1.2063333087673753E-11</v>
      </c>
      <c r="Q523" s="2">
        <f t="shared" si="112"/>
        <v>1.8922479667136176E-15</v>
      </c>
      <c r="R523" s="6">
        <f t="shared" si="113"/>
        <v>-107.77489242853665</v>
      </c>
      <c r="S523" s="2">
        <f t="shared" si="114"/>
        <v>7.0411542493564977E-12</v>
      </c>
      <c r="T523" s="2">
        <f t="shared" si="115"/>
        <v>3.2964205287017305E-15</v>
      </c>
      <c r="U523" s="6">
        <f t="shared" si="116"/>
        <v>351.82196363102258</v>
      </c>
      <c r="V523" s="2">
        <f t="shared" si="117"/>
        <v>7.3294544052687796E-10</v>
      </c>
      <c r="W523" s="2">
        <f t="shared" si="118"/>
        <v>9.6941222669810051E-16</v>
      </c>
    </row>
    <row r="524" spans="1:23" x14ac:dyDescent="0.4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10" t="s">
        <v>1582</v>
      </c>
      <c r="F524" s="10" t="s">
        <v>1583</v>
      </c>
      <c r="G524" s="10" t="s">
        <v>1584</v>
      </c>
      <c r="H524" s="10">
        <v>76.132277832012406</v>
      </c>
      <c r="I524" s="10">
        <v>76.323630524145699</v>
      </c>
      <c r="J524" s="10">
        <v>48.039206202349902</v>
      </c>
      <c r="K524" s="4">
        <f t="shared" si="106"/>
        <v>76.132277833333333</v>
      </c>
      <c r="L524" s="4">
        <f t="shared" si="107"/>
        <v>76.323630524999999</v>
      </c>
      <c r="M524" s="4">
        <f t="shared" si="108"/>
        <v>48.039205555555554</v>
      </c>
      <c r="N524" s="4">
        <f t="shared" si="109"/>
        <v>48.039206202349874</v>
      </c>
      <c r="O524" s="5">
        <f t="shared" si="110"/>
        <v>76.132277832013457</v>
      </c>
      <c r="P524" s="2">
        <f t="shared" si="111"/>
        <v>1.7336612036329282E-11</v>
      </c>
      <c r="Q524" s="2">
        <f t="shared" si="112"/>
        <v>1.3812843630468205E-14</v>
      </c>
      <c r="R524" s="6">
        <f t="shared" si="113"/>
        <v>76.323630524151227</v>
      </c>
      <c r="S524" s="2">
        <f t="shared" si="114"/>
        <v>1.1120693731895428E-11</v>
      </c>
      <c r="T524" s="2">
        <f t="shared" si="115"/>
        <v>7.2428715015918138E-14</v>
      </c>
      <c r="U524" s="6">
        <f t="shared" si="116"/>
        <v>48.03920620235521</v>
      </c>
      <c r="V524" s="2">
        <f t="shared" si="117"/>
        <v>1.3463995670464204E-8</v>
      </c>
      <c r="W524" s="2">
        <f t="shared" si="118"/>
        <v>1.1107960283692884E-13</v>
      </c>
    </row>
    <row r="525" spans="1:23" x14ac:dyDescent="0.45">
      <c r="A525">
        <v>-17.751480000000001</v>
      </c>
      <c r="B525">
        <v>140.92678000000001</v>
      </c>
      <c r="C525">
        <v>22.109079999999999</v>
      </c>
      <c r="D525">
        <v>26.3157</v>
      </c>
      <c r="E525" s="10" t="s">
        <v>1585</v>
      </c>
      <c r="F525" s="10" t="s">
        <v>1586</v>
      </c>
      <c r="G525" s="10" t="s">
        <v>1587</v>
      </c>
      <c r="H525" s="10">
        <v>-17.751259714328199</v>
      </c>
      <c r="I525" s="10">
        <v>140.92687339215399</v>
      </c>
      <c r="J525" s="10">
        <v>22.109051525939901</v>
      </c>
      <c r="K525" s="4">
        <f t="shared" si="106"/>
        <v>-17.751259713888889</v>
      </c>
      <c r="L525" s="4">
        <f t="shared" si="107"/>
        <v>140.92687339166673</v>
      </c>
      <c r="M525" s="4">
        <f t="shared" si="108"/>
        <v>22.109052777777777</v>
      </c>
      <c r="N525" s="4">
        <f t="shared" si="109"/>
        <v>22.10905152593989</v>
      </c>
      <c r="O525" s="5">
        <f t="shared" si="110"/>
        <v>-17.751259714328565</v>
      </c>
      <c r="P525" s="2">
        <f t="shared" si="111"/>
        <v>2.4768762698963939E-11</v>
      </c>
      <c r="Q525" s="2">
        <f t="shared" si="112"/>
        <v>2.0614283989157459E-14</v>
      </c>
      <c r="R525" s="6">
        <f t="shared" si="113"/>
        <v>140.92687339215365</v>
      </c>
      <c r="S525" s="2">
        <f t="shared" si="114"/>
        <v>3.4551304108508946E-12</v>
      </c>
      <c r="T525" s="2">
        <f t="shared" si="115"/>
        <v>2.4201240328080419E-15</v>
      </c>
      <c r="U525" s="6">
        <f t="shared" si="116"/>
        <v>22.109051525939993</v>
      </c>
      <c r="V525" s="2">
        <f t="shared" si="117"/>
        <v>5.6621050039462541E-8</v>
      </c>
      <c r="W525" s="2">
        <f t="shared" si="118"/>
        <v>4.6600233648347168E-15</v>
      </c>
    </row>
    <row r="526" spans="1:23" x14ac:dyDescent="0.45">
      <c r="A526">
        <v>-25.518599999999999</v>
      </c>
      <c r="B526">
        <v>102.41481</v>
      </c>
      <c r="C526">
        <v>250.43512999999999</v>
      </c>
      <c r="D526">
        <v>287.31920000000002</v>
      </c>
      <c r="E526" s="10" t="s">
        <v>1588</v>
      </c>
      <c r="F526" s="10" t="s">
        <v>1589</v>
      </c>
      <c r="G526" s="10" t="s">
        <v>1590</v>
      </c>
      <c r="H526" s="10">
        <v>-25.519468499502899</v>
      </c>
      <c r="I526" s="10">
        <v>102.412116743303</v>
      </c>
      <c r="J526" s="10">
        <v>-109.56370971560099</v>
      </c>
      <c r="K526" s="4">
        <f t="shared" si="106"/>
        <v>-25.519468499999999</v>
      </c>
      <c r="L526" s="4">
        <f t="shared" si="107"/>
        <v>102.41211674444446</v>
      </c>
      <c r="M526" s="4">
        <f t="shared" si="108"/>
        <v>250.43629166666665</v>
      </c>
      <c r="N526" s="4">
        <f t="shared" si="109"/>
        <v>250.43629028439901</v>
      </c>
      <c r="O526" s="5">
        <f t="shared" si="110"/>
        <v>-25.519468499502871</v>
      </c>
      <c r="P526" s="2">
        <f t="shared" si="111"/>
        <v>1.9480330178540958E-11</v>
      </c>
      <c r="Q526" s="2">
        <f t="shared" si="112"/>
        <v>1.1137265429708163E-15</v>
      </c>
      <c r="R526" s="6">
        <f t="shared" si="113"/>
        <v>102.41211674330279</v>
      </c>
      <c r="S526" s="2">
        <f t="shared" si="114"/>
        <v>1.1147818074679437E-11</v>
      </c>
      <c r="T526" s="2">
        <f t="shared" si="115"/>
        <v>2.0814218815760327E-15</v>
      </c>
      <c r="U526" s="6">
        <f t="shared" si="116"/>
        <v>250.43629028439867</v>
      </c>
      <c r="V526" s="2">
        <f t="shared" si="117"/>
        <v>5.5194395854294162E-9</v>
      </c>
      <c r="W526" s="2">
        <f t="shared" si="118"/>
        <v>1.3618653781268478E-15</v>
      </c>
    </row>
    <row r="527" spans="1:23" x14ac:dyDescent="0.45">
      <c r="A527">
        <v>10.159509999999999</v>
      </c>
      <c r="B527">
        <v>149.08867000000001</v>
      </c>
      <c r="C527">
        <v>22.20468</v>
      </c>
      <c r="D527">
        <v>249.56829999999999</v>
      </c>
      <c r="E527" s="10" t="s">
        <v>1591</v>
      </c>
      <c r="F527" s="10" t="s">
        <v>1592</v>
      </c>
      <c r="G527" s="10" t="s">
        <v>1593</v>
      </c>
      <c r="H527" s="10">
        <v>10.161598984244</v>
      </c>
      <c r="I527" s="10">
        <v>149.089530666732</v>
      </c>
      <c r="J527" s="10">
        <v>22.204831827743899</v>
      </c>
      <c r="K527" s="4">
        <f t="shared" si="106"/>
        <v>10.161598983333333</v>
      </c>
      <c r="L527" s="4">
        <f t="shared" si="107"/>
        <v>149.08953066666663</v>
      </c>
      <c r="M527" s="4">
        <f t="shared" si="108"/>
        <v>22.204830555555532</v>
      </c>
      <c r="N527" s="4">
        <f t="shared" si="109"/>
        <v>22.204831827743874</v>
      </c>
      <c r="O527" s="5">
        <f t="shared" si="110"/>
        <v>10.16159898423893</v>
      </c>
      <c r="P527" s="2">
        <f t="shared" si="111"/>
        <v>8.9119574227698845E-11</v>
      </c>
      <c r="Q527" s="2">
        <f t="shared" si="112"/>
        <v>4.9890990852021808E-13</v>
      </c>
      <c r="R527" s="6">
        <f t="shared" si="113"/>
        <v>149.08953066673041</v>
      </c>
      <c r="S527" s="2">
        <f t="shared" si="114"/>
        <v>4.2778534265039522E-13</v>
      </c>
      <c r="T527" s="2">
        <f t="shared" si="115"/>
        <v>1.0675570048311777E-14</v>
      </c>
      <c r="U527" s="6">
        <f t="shared" si="116"/>
        <v>22.204831827743536</v>
      </c>
      <c r="V527" s="2">
        <f t="shared" si="117"/>
        <v>5.7293299380805917E-8</v>
      </c>
      <c r="W527" s="2">
        <f t="shared" si="118"/>
        <v>1.5199745807772693E-14</v>
      </c>
    </row>
    <row r="528" spans="1:23" x14ac:dyDescent="0.4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10" t="s">
        <v>1594</v>
      </c>
      <c r="F528" s="10" t="s">
        <v>1595</v>
      </c>
      <c r="G528" s="10" t="s">
        <v>1596</v>
      </c>
      <c r="H528" s="10">
        <v>6.93944893466852</v>
      </c>
      <c r="I528" s="10">
        <v>147.22108797894199</v>
      </c>
      <c r="J528" s="10">
        <v>-173.68405232703299</v>
      </c>
      <c r="K528" s="4">
        <f t="shared" si="106"/>
        <v>6.9394489333333338</v>
      </c>
      <c r="L528" s="4">
        <f t="shared" si="107"/>
        <v>147.22108797777776</v>
      </c>
      <c r="M528" s="4">
        <f t="shared" si="108"/>
        <v>186.31594722222223</v>
      </c>
      <c r="N528" s="4">
        <f t="shared" si="109"/>
        <v>186.31594767296701</v>
      </c>
      <c r="O528" s="5">
        <f t="shared" si="110"/>
        <v>6.9394489346723693</v>
      </c>
      <c r="P528" s="2">
        <f t="shared" si="111"/>
        <v>1.929599254886516E-10</v>
      </c>
      <c r="Q528" s="2">
        <f t="shared" si="112"/>
        <v>5.5470762984499396E-13</v>
      </c>
      <c r="R528" s="6">
        <f t="shared" si="113"/>
        <v>147.22108797894239</v>
      </c>
      <c r="S528" s="2">
        <f t="shared" si="114"/>
        <v>7.9107986724392409E-12</v>
      </c>
      <c r="T528" s="2">
        <f t="shared" si="115"/>
        <v>2.7027645121232287E-15</v>
      </c>
      <c r="U528" s="6">
        <f t="shared" si="116"/>
        <v>186.31594767296718</v>
      </c>
      <c r="V528" s="2">
        <f t="shared" si="117"/>
        <v>2.4192505023922858E-9</v>
      </c>
      <c r="W528" s="2">
        <f t="shared" si="118"/>
        <v>9.1527461128420968E-16</v>
      </c>
    </row>
    <row r="529" spans="1:23" x14ac:dyDescent="0.45">
      <c r="A529">
        <v>-61.764209999999999</v>
      </c>
      <c r="B529">
        <v>152.63578000000001</v>
      </c>
      <c r="C529">
        <v>89.417590000000004</v>
      </c>
      <c r="D529">
        <v>112.4393</v>
      </c>
      <c r="E529" s="10" t="s">
        <v>1597</v>
      </c>
      <c r="F529" s="10" t="s">
        <v>1598</v>
      </c>
      <c r="G529" s="10" t="s">
        <v>1599</v>
      </c>
      <c r="H529" s="10">
        <v>-61.764199727696003</v>
      </c>
      <c r="I529" s="10">
        <v>152.63790931084401</v>
      </c>
      <c r="J529" s="10">
        <v>89.415714059989995</v>
      </c>
      <c r="K529" s="4">
        <f t="shared" si="106"/>
        <v>-61.764199727777779</v>
      </c>
      <c r="L529" s="4">
        <f t="shared" si="107"/>
        <v>152.63790931111112</v>
      </c>
      <c r="M529" s="4">
        <f t="shared" si="108"/>
        <v>89.415713888888888</v>
      </c>
      <c r="N529" s="4">
        <f t="shared" si="109"/>
        <v>89.415714059990023</v>
      </c>
      <c r="O529" s="5">
        <f t="shared" si="110"/>
        <v>-61.764199727695939</v>
      </c>
      <c r="P529" s="2">
        <f t="shared" si="111"/>
        <v>1.3250444863781106E-12</v>
      </c>
      <c r="Q529" s="2">
        <f t="shared" si="112"/>
        <v>1.0353707568517784E-15</v>
      </c>
      <c r="R529" s="6">
        <f t="shared" si="113"/>
        <v>152.63790931084847</v>
      </c>
      <c r="S529" s="2">
        <f t="shared" si="114"/>
        <v>1.7207063306339748E-12</v>
      </c>
      <c r="T529" s="2">
        <f t="shared" si="115"/>
        <v>2.9233945883563122E-14</v>
      </c>
      <c r="U529" s="6">
        <f t="shared" si="116"/>
        <v>89.415714059985788</v>
      </c>
      <c r="V529" s="2">
        <f t="shared" si="117"/>
        <v>1.9134992358943647E-9</v>
      </c>
      <c r="W529" s="2">
        <f t="shared" si="118"/>
        <v>4.7361190923208398E-14</v>
      </c>
    </row>
    <row r="530" spans="1:23" x14ac:dyDescent="0.4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10" t="s">
        <v>1600</v>
      </c>
      <c r="F530" s="10" t="s">
        <v>1601</v>
      </c>
      <c r="G530" s="10" t="s">
        <v>1602</v>
      </c>
      <c r="H530" s="10">
        <v>79.592609430173596</v>
      </c>
      <c r="I530" s="10">
        <v>-28.287832134293801</v>
      </c>
      <c r="J530" s="10">
        <v>-103.76604321590401</v>
      </c>
      <c r="K530" s="4">
        <f t="shared" si="106"/>
        <v>79.592609430555555</v>
      </c>
      <c r="L530" s="4">
        <f t="shared" si="107"/>
        <v>-28.287832133333325</v>
      </c>
      <c r="M530" s="4">
        <f t="shared" si="108"/>
        <v>256.23395555555555</v>
      </c>
      <c r="N530" s="4">
        <f t="shared" si="109"/>
        <v>256.23395678409599</v>
      </c>
      <c r="O530" s="5">
        <f t="shared" si="110"/>
        <v>79.592609430171763</v>
      </c>
      <c r="P530" s="2">
        <f t="shared" si="111"/>
        <v>4.8219621901995684E-12</v>
      </c>
      <c r="Q530" s="2">
        <f t="shared" si="112"/>
        <v>2.3032292462647813E-14</v>
      </c>
      <c r="R530" s="6">
        <f t="shared" si="113"/>
        <v>-28.287832134332383</v>
      </c>
      <c r="S530" s="2">
        <f t="shared" si="114"/>
        <v>3.5317609667169777E-11</v>
      </c>
      <c r="T530" s="2">
        <f t="shared" si="115"/>
        <v>1.3639246149583615E-12</v>
      </c>
      <c r="U530" s="6">
        <f t="shared" si="116"/>
        <v>256.23395678405785</v>
      </c>
      <c r="V530" s="2">
        <f t="shared" si="117"/>
        <v>4.7944555058535066E-9</v>
      </c>
      <c r="W530" s="2">
        <f t="shared" si="118"/>
        <v>1.4885589144510132E-13</v>
      </c>
    </row>
    <row r="531" spans="1:23" x14ac:dyDescent="0.45">
      <c r="A531">
        <v>-79.142229999999998</v>
      </c>
      <c r="B531">
        <v>-164.06370999999999</v>
      </c>
      <c r="C531">
        <v>111.26199</v>
      </c>
      <c r="D531">
        <v>114.4122</v>
      </c>
      <c r="E531" s="10" t="s">
        <v>1603</v>
      </c>
      <c r="F531" s="10" t="s">
        <v>1604</v>
      </c>
      <c r="G531" s="10" t="s">
        <v>1605</v>
      </c>
      <c r="H531" s="10">
        <v>-79.142601549990204</v>
      </c>
      <c r="I531" s="10">
        <v>-164.05864151820899</v>
      </c>
      <c r="J531" s="10">
        <v>111.257012251991</v>
      </c>
      <c r="K531" s="4">
        <f t="shared" si="106"/>
        <v>-79.142601549999995</v>
      </c>
      <c r="L531" s="4">
        <f t="shared" si="107"/>
        <v>-164.05864151944445</v>
      </c>
      <c r="M531" s="4">
        <f t="shared" si="108"/>
        <v>111.25701111111113</v>
      </c>
      <c r="N531" s="4">
        <f t="shared" si="109"/>
        <v>111.257012251991</v>
      </c>
      <c r="O531" s="5">
        <f t="shared" si="110"/>
        <v>-79.142601549991682</v>
      </c>
      <c r="P531" s="2">
        <f t="shared" si="111"/>
        <v>1.0504266786252963E-13</v>
      </c>
      <c r="Q531" s="2">
        <f t="shared" si="112"/>
        <v>1.8674252064452024E-14</v>
      </c>
      <c r="R531" s="6">
        <f t="shared" si="113"/>
        <v>-164.0586415181881</v>
      </c>
      <c r="S531" s="2">
        <f t="shared" si="114"/>
        <v>7.6579522543021548E-12</v>
      </c>
      <c r="T531" s="2">
        <f t="shared" si="115"/>
        <v>1.2733225289463556E-13</v>
      </c>
      <c r="U531" s="6">
        <f t="shared" si="116"/>
        <v>111.2570122519697</v>
      </c>
      <c r="V531" s="2">
        <f t="shared" si="117"/>
        <v>1.0254262276720752E-8</v>
      </c>
      <c r="W531" s="2">
        <f t="shared" si="118"/>
        <v>1.9146722338579241E-13</v>
      </c>
    </row>
    <row r="532" spans="1:23" x14ac:dyDescent="0.4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10" t="s">
        <v>1606</v>
      </c>
      <c r="F532" s="10" t="s">
        <v>1607</v>
      </c>
      <c r="G532" s="10" t="s">
        <v>1608</v>
      </c>
      <c r="H532" s="10">
        <v>43.785696534683701</v>
      </c>
      <c r="I532" s="10">
        <v>80.856371267445695</v>
      </c>
      <c r="J532" s="10">
        <v>54.931849664819502</v>
      </c>
      <c r="K532" s="4">
        <f t="shared" si="106"/>
        <v>43.785696533333336</v>
      </c>
      <c r="L532" s="4">
        <f t="shared" si="107"/>
        <v>80.856371266666656</v>
      </c>
      <c r="M532" s="4">
        <f t="shared" si="108"/>
        <v>54.931849999999997</v>
      </c>
      <c r="N532" s="4">
        <f t="shared" si="109"/>
        <v>54.931849664819481</v>
      </c>
      <c r="O532" s="5">
        <f t="shared" si="110"/>
        <v>43.78569653468378</v>
      </c>
      <c r="P532" s="2">
        <f t="shared" si="111"/>
        <v>3.0842111000857571E-11</v>
      </c>
      <c r="Q532" s="2">
        <f t="shared" si="112"/>
        <v>1.7850509896924637E-15</v>
      </c>
      <c r="R532" s="6">
        <f t="shared" si="113"/>
        <v>80.856371267445866</v>
      </c>
      <c r="S532" s="2">
        <f t="shared" si="114"/>
        <v>9.6369596302324832E-12</v>
      </c>
      <c r="T532" s="2">
        <f t="shared" si="115"/>
        <v>2.1090515677282533E-15</v>
      </c>
      <c r="U532" s="6">
        <f t="shared" si="116"/>
        <v>54.931849664819545</v>
      </c>
      <c r="V532" s="2">
        <f t="shared" si="117"/>
        <v>6.1017506652734646E-9</v>
      </c>
      <c r="W532" s="2">
        <f t="shared" si="118"/>
        <v>1.1641487881549413E-15</v>
      </c>
    </row>
    <row r="533" spans="1:23" x14ac:dyDescent="0.45">
      <c r="A533">
        <v>22.29635</v>
      </c>
      <c r="B533">
        <v>128.5907</v>
      </c>
      <c r="C533">
        <v>284.13648999999998</v>
      </c>
      <c r="D533">
        <v>69.067899999999995</v>
      </c>
      <c r="E533" s="10" t="s">
        <v>1609</v>
      </c>
      <c r="F533" s="10" t="s">
        <v>1610</v>
      </c>
      <c r="G533" s="10" t="s">
        <v>1611</v>
      </c>
      <c r="H533" s="10">
        <v>22.296502333041001</v>
      </c>
      <c r="I533" s="10">
        <v>128.59005003571201</v>
      </c>
      <c r="J533" s="10">
        <v>-75.863756595442396</v>
      </c>
      <c r="K533" s="4">
        <f t="shared" si="106"/>
        <v>22.296502333333333</v>
      </c>
      <c r="L533" s="4">
        <f t="shared" si="107"/>
        <v>128.59005003611105</v>
      </c>
      <c r="M533" s="4">
        <f t="shared" si="108"/>
        <v>284.13624444444446</v>
      </c>
      <c r="N533" s="4">
        <f t="shared" si="109"/>
        <v>284.1362434045576</v>
      </c>
      <c r="O533" s="5">
        <f t="shared" si="110"/>
        <v>22.296502333037335</v>
      </c>
      <c r="P533" s="2">
        <f t="shared" si="111"/>
        <v>1.3275530324791117E-11</v>
      </c>
      <c r="Q533" s="2">
        <f t="shared" si="112"/>
        <v>1.6443837072547959E-13</v>
      </c>
      <c r="R533" s="6">
        <f t="shared" si="113"/>
        <v>128.59005003572815</v>
      </c>
      <c r="S533" s="2">
        <f t="shared" si="114"/>
        <v>2.9776586084139201E-12</v>
      </c>
      <c r="T533" s="2">
        <f t="shared" si="115"/>
        <v>1.255426135380311E-13</v>
      </c>
      <c r="U533" s="6">
        <f t="shared" si="116"/>
        <v>284.13624340456323</v>
      </c>
      <c r="V533" s="2">
        <f t="shared" si="117"/>
        <v>3.6597978849701798E-9</v>
      </c>
      <c r="W533" s="2">
        <f t="shared" si="118"/>
        <v>1.980563408522113E-14</v>
      </c>
    </row>
    <row r="534" spans="1:23" x14ac:dyDescent="0.4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10" t="s">
        <v>1612</v>
      </c>
      <c r="F534" s="10" t="s">
        <v>1613</v>
      </c>
      <c r="G534" s="10" t="s">
        <v>1614</v>
      </c>
      <c r="H534" s="10">
        <v>-32.809035274679601</v>
      </c>
      <c r="I534" s="10">
        <v>-154.674374082627</v>
      </c>
      <c r="J534" s="10">
        <v>77.064348864864996</v>
      </c>
      <c r="K534" s="4">
        <f t="shared" si="106"/>
        <v>-32.809035274999999</v>
      </c>
      <c r="L534" s="4">
        <f t="shared" si="107"/>
        <v>-154.6743740833333</v>
      </c>
      <c r="M534" s="4">
        <f t="shared" si="108"/>
        <v>77.06434999999999</v>
      </c>
      <c r="N534" s="4">
        <f t="shared" si="109"/>
        <v>77.064348864864996</v>
      </c>
      <c r="O534" s="5">
        <f t="shared" si="110"/>
        <v>-32.809035274682294</v>
      </c>
      <c r="P534" s="2">
        <f t="shared" si="111"/>
        <v>9.6834597779990228E-12</v>
      </c>
      <c r="Q534" s="2">
        <f t="shared" si="112"/>
        <v>8.207973645019277E-14</v>
      </c>
      <c r="R534" s="6">
        <f t="shared" si="113"/>
        <v>-154.67437408264135</v>
      </c>
      <c r="S534" s="2">
        <f t="shared" si="114"/>
        <v>4.4736236489944616E-12</v>
      </c>
      <c r="T534" s="2">
        <f t="shared" si="115"/>
        <v>9.279470725180808E-14</v>
      </c>
      <c r="U534" s="6">
        <f t="shared" si="116"/>
        <v>77.064348864872613</v>
      </c>
      <c r="V534" s="2">
        <f t="shared" si="117"/>
        <v>1.4729604246104607E-8</v>
      </c>
      <c r="W534" s="2">
        <f t="shared" si="118"/>
        <v>9.8839713039099045E-14</v>
      </c>
    </row>
    <row r="535" spans="1:23" x14ac:dyDescent="0.4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10" t="s">
        <v>1615</v>
      </c>
      <c r="F535" s="10" t="s">
        <v>1616</v>
      </c>
      <c r="G535" s="10" t="s">
        <v>1617</v>
      </c>
      <c r="H535" s="10">
        <v>-21.576456842590598</v>
      </c>
      <c r="I535" s="10">
        <v>-140.858961666845</v>
      </c>
      <c r="J535" s="10">
        <v>-15.636968935020301</v>
      </c>
      <c r="K535" s="4">
        <f t="shared" si="106"/>
        <v>-21.576456841666666</v>
      </c>
      <c r="L535" s="4">
        <f t="shared" si="107"/>
        <v>-140.85896166666669</v>
      </c>
      <c r="M535" s="4">
        <f t="shared" si="108"/>
        <v>344.36303055555555</v>
      </c>
      <c r="N535" s="4">
        <f t="shared" si="109"/>
        <v>344.36303106497968</v>
      </c>
      <c r="O535" s="5">
        <f t="shared" si="110"/>
        <v>-21.576456842591153</v>
      </c>
      <c r="P535" s="2">
        <f t="shared" si="111"/>
        <v>4.284703277658514E-11</v>
      </c>
      <c r="Q535" s="2">
        <f t="shared" si="112"/>
        <v>2.5686484946818302E-14</v>
      </c>
      <c r="R535" s="6">
        <f t="shared" si="113"/>
        <v>-140.85896166684469</v>
      </c>
      <c r="S535" s="2">
        <f t="shared" si="114"/>
        <v>1.2637120425738875E-12</v>
      </c>
      <c r="T535" s="2">
        <f t="shared" si="115"/>
        <v>2.2195166003983981E-15</v>
      </c>
      <c r="U535" s="6">
        <f t="shared" si="116"/>
        <v>344.36303106497922</v>
      </c>
      <c r="V535" s="2">
        <f t="shared" si="117"/>
        <v>1.4793216055300053E-9</v>
      </c>
      <c r="W535" s="2">
        <f t="shared" si="118"/>
        <v>1.3205463707300667E-15</v>
      </c>
    </row>
    <row r="536" spans="1:23" x14ac:dyDescent="0.4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10" t="s">
        <v>1618</v>
      </c>
      <c r="F536" s="10" t="s">
        <v>1619</v>
      </c>
      <c r="G536" s="10" t="s">
        <v>1620</v>
      </c>
      <c r="H536" s="10">
        <v>72.058965322293503</v>
      </c>
      <c r="I536" s="10">
        <v>-152.77484613060801</v>
      </c>
      <c r="J536" s="10">
        <v>-10.9323870470913</v>
      </c>
      <c r="K536" s="4">
        <f t="shared" si="106"/>
        <v>72.058965322222221</v>
      </c>
      <c r="L536" s="4">
        <f t="shared" si="107"/>
        <v>-152.77484613055555</v>
      </c>
      <c r="M536" s="4">
        <f t="shared" si="108"/>
        <v>349.0676138888889</v>
      </c>
      <c r="N536" s="4">
        <f t="shared" si="109"/>
        <v>349.06761295290869</v>
      </c>
      <c r="O536" s="5">
        <f t="shared" si="110"/>
        <v>72.058965322300011</v>
      </c>
      <c r="P536" s="2">
        <f t="shared" si="111"/>
        <v>1.0795356048087203E-12</v>
      </c>
      <c r="Q536" s="2">
        <f t="shared" si="112"/>
        <v>9.0322854768342132E-14</v>
      </c>
      <c r="R536" s="6">
        <f t="shared" si="113"/>
        <v>-152.77484613061191</v>
      </c>
      <c r="S536" s="2">
        <f t="shared" si="114"/>
        <v>3.6891053225036685E-13</v>
      </c>
      <c r="T536" s="2">
        <f t="shared" si="115"/>
        <v>2.5487011053092739E-14</v>
      </c>
      <c r="U536" s="6">
        <f t="shared" si="116"/>
        <v>349.06761295290431</v>
      </c>
      <c r="V536" s="2">
        <f t="shared" si="117"/>
        <v>2.6813847815491681E-9</v>
      </c>
      <c r="W536" s="2">
        <f t="shared" si="118"/>
        <v>1.2538955462684798E-14</v>
      </c>
    </row>
    <row r="537" spans="1:23" x14ac:dyDescent="0.45">
      <c r="A537">
        <v>-82.838620000000006</v>
      </c>
      <c r="B537">
        <v>-106.94711</v>
      </c>
      <c r="C537">
        <v>183.34251</v>
      </c>
      <c r="D537">
        <v>219.79079999999999</v>
      </c>
      <c r="E537" s="10" t="s">
        <v>1621</v>
      </c>
      <c r="F537" s="10" t="s">
        <v>1622</v>
      </c>
      <c r="G537" s="10" t="s">
        <v>1623</v>
      </c>
      <c r="H537" s="10">
        <v>-82.840584754608201</v>
      </c>
      <c r="I537" s="10">
        <v>-106.948030623439</v>
      </c>
      <c r="J537" s="10">
        <v>-176.65657655641701</v>
      </c>
      <c r="K537" s="4">
        <f t="shared" si="106"/>
        <v>-82.840584755555554</v>
      </c>
      <c r="L537" s="4">
        <f t="shared" si="107"/>
        <v>-106.94803062222223</v>
      </c>
      <c r="M537" s="4">
        <f t="shared" si="108"/>
        <v>183.34342222222222</v>
      </c>
      <c r="N537" s="4">
        <f t="shared" si="109"/>
        <v>183.34342344358299</v>
      </c>
      <c r="O537" s="5">
        <f t="shared" si="110"/>
        <v>-82.840584754616543</v>
      </c>
      <c r="P537" s="2">
        <f t="shared" si="111"/>
        <v>1.1335152326449865E-11</v>
      </c>
      <c r="Q537" s="2">
        <f t="shared" si="112"/>
        <v>1.0069667835558761E-13</v>
      </c>
      <c r="R537" s="6">
        <f t="shared" si="113"/>
        <v>-106.94803062344332</v>
      </c>
      <c r="S537" s="2">
        <f t="shared" si="114"/>
        <v>1.1417525831510958E-11</v>
      </c>
      <c r="T537" s="2">
        <f t="shared" si="115"/>
        <v>4.0394384153106654E-14</v>
      </c>
      <c r="U537" s="6">
        <f t="shared" si="116"/>
        <v>183.34342344358723</v>
      </c>
      <c r="V537" s="2">
        <f t="shared" si="117"/>
        <v>6.6616243773704773E-9</v>
      </c>
      <c r="W537" s="2">
        <f t="shared" si="118"/>
        <v>2.3097827157314466E-14</v>
      </c>
    </row>
    <row r="538" spans="1:23" x14ac:dyDescent="0.45">
      <c r="A538">
        <v>-80.31738</v>
      </c>
      <c r="B538">
        <v>-159.21198999999999</v>
      </c>
      <c r="C538">
        <v>231.74418</v>
      </c>
      <c r="D538">
        <v>75.439899999999994</v>
      </c>
      <c r="E538" s="10" t="s">
        <v>1624</v>
      </c>
      <c r="F538" s="10" t="s">
        <v>1625</v>
      </c>
      <c r="G538" s="10" t="s">
        <v>1626</v>
      </c>
      <c r="H538" s="10">
        <v>-80.317798305030294</v>
      </c>
      <c r="I538" s="10">
        <v>-159.215143845157</v>
      </c>
      <c r="J538" s="10">
        <v>-128.25271108090399</v>
      </c>
      <c r="K538" s="4">
        <f t="shared" si="106"/>
        <v>-80.317798305555556</v>
      </c>
      <c r="L538" s="4">
        <f t="shared" si="107"/>
        <v>-159.21514384444447</v>
      </c>
      <c r="M538" s="4">
        <f t="shared" si="108"/>
        <v>231.74728888888887</v>
      </c>
      <c r="N538" s="4">
        <f t="shared" si="109"/>
        <v>231.74728891909601</v>
      </c>
      <c r="O538" s="5">
        <f t="shared" si="110"/>
        <v>-80.317798305031999</v>
      </c>
      <c r="P538" s="2">
        <f t="shared" si="111"/>
        <v>6.518559030038277E-12</v>
      </c>
      <c r="Q538" s="2">
        <f t="shared" si="112"/>
        <v>2.1231938646373945E-14</v>
      </c>
      <c r="R538" s="6">
        <f t="shared" si="113"/>
        <v>-159.21514384517019</v>
      </c>
      <c r="S538" s="2">
        <f t="shared" si="114"/>
        <v>4.5581086765526207E-12</v>
      </c>
      <c r="T538" s="2">
        <f t="shared" si="115"/>
        <v>8.2829263958288991E-14</v>
      </c>
      <c r="U538" s="6">
        <f t="shared" si="116"/>
        <v>231.74728891910902</v>
      </c>
      <c r="V538" s="2">
        <f t="shared" si="117"/>
        <v>1.3040130947344423E-10</v>
      </c>
      <c r="W538" s="2">
        <f t="shared" si="118"/>
        <v>5.6169558573215401E-14</v>
      </c>
    </row>
    <row r="539" spans="1:23" x14ac:dyDescent="0.45">
      <c r="A539">
        <v>-59.436450000000001</v>
      </c>
      <c r="B539">
        <v>137.40592000000001</v>
      </c>
      <c r="C539">
        <v>356.06178</v>
      </c>
      <c r="D539">
        <v>153.09970000000001</v>
      </c>
      <c r="E539" s="10" t="s">
        <v>1627</v>
      </c>
      <c r="F539" s="10" t="s">
        <v>1628</v>
      </c>
      <c r="G539" s="10" t="s">
        <v>1629</v>
      </c>
      <c r="H539" s="10">
        <v>-59.435078953573402</v>
      </c>
      <c r="I539" s="10">
        <v>137.4057347088</v>
      </c>
      <c r="J539" s="10">
        <v>-3.9380604532323602</v>
      </c>
      <c r="K539" s="4">
        <f t="shared" si="106"/>
        <v>-59.435078952777779</v>
      </c>
      <c r="L539" s="4">
        <f t="shared" si="107"/>
        <v>137.40573470833328</v>
      </c>
      <c r="M539" s="4">
        <f t="shared" si="108"/>
        <v>356.0619388888889</v>
      </c>
      <c r="N539" s="4">
        <f t="shared" si="109"/>
        <v>356.06193954676763</v>
      </c>
      <c r="O539" s="5">
        <f t="shared" si="110"/>
        <v>-59.435078953572535</v>
      </c>
      <c r="P539" s="2">
        <f t="shared" si="111"/>
        <v>1.3371838227620345E-11</v>
      </c>
      <c r="Q539" s="2">
        <f t="shared" si="112"/>
        <v>1.4585025424202016E-14</v>
      </c>
      <c r="R539" s="6">
        <f t="shared" si="113"/>
        <v>137.4057347088002</v>
      </c>
      <c r="S539" s="2">
        <f t="shared" si="114"/>
        <v>3.3980520792219897E-12</v>
      </c>
      <c r="T539" s="2">
        <f t="shared" si="115"/>
        <v>1.4479160308298718E-15</v>
      </c>
      <c r="U539" s="6">
        <f t="shared" si="116"/>
        <v>356.06193954676735</v>
      </c>
      <c r="V539" s="2">
        <f t="shared" si="117"/>
        <v>1.8476516953957087E-9</v>
      </c>
      <c r="W539" s="2">
        <f t="shared" si="118"/>
        <v>7.9822374350322567E-16</v>
      </c>
    </row>
    <row r="540" spans="1:23" x14ac:dyDescent="0.45">
      <c r="A540">
        <v>-69.068560000000005</v>
      </c>
      <c r="B540">
        <v>155.59643</v>
      </c>
      <c r="C540">
        <v>294.31029999999998</v>
      </c>
      <c r="D540">
        <v>275.0976</v>
      </c>
      <c r="E540" s="10" t="s">
        <v>1630</v>
      </c>
      <c r="F540" s="10" t="s">
        <v>1631</v>
      </c>
      <c r="G540" s="10" t="s">
        <v>1632</v>
      </c>
      <c r="H540" s="10">
        <v>-69.067544630131707</v>
      </c>
      <c r="I540" s="10">
        <v>155.59014469981699</v>
      </c>
      <c r="J540" s="10">
        <v>-65.683829495595205</v>
      </c>
      <c r="K540" s="4">
        <f t="shared" si="106"/>
        <v>-69.06754463055556</v>
      </c>
      <c r="L540" s="4">
        <f t="shared" si="107"/>
        <v>155.5901447</v>
      </c>
      <c r="M540" s="4">
        <f t="shared" si="108"/>
        <v>294.31616944444443</v>
      </c>
      <c r="N540" s="4">
        <f t="shared" si="109"/>
        <v>294.31617050440479</v>
      </c>
      <c r="O540" s="5">
        <f t="shared" si="110"/>
        <v>-69.06754463012868</v>
      </c>
      <c r="P540" s="2">
        <f t="shared" si="111"/>
        <v>6.1806144560856566E-12</v>
      </c>
      <c r="Q540" s="2">
        <f t="shared" si="112"/>
        <v>4.382538963195592E-14</v>
      </c>
      <c r="R540" s="6">
        <f t="shared" si="113"/>
        <v>155.59014469979925</v>
      </c>
      <c r="S540" s="2">
        <f t="shared" si="114"/>
        <v>1.2902008291977861E-12</v>
      </c>
      <c r="T540" s="2">
        <f t="shared" si="115"/>
        <v>1.1398631140030659E-13</v>
      </c>
      <c r="U540" s="6">
        <f t="shared" si="116"/>
        <v>294.31617050442151</v>
      </c>
      <c r="V540" s="2">
        <f t="shared" si="117"/>
        <v>3.6014911526330268E-9</v>
      </c>
      <c r="W540" s="2">
        <f t="shared" si="118"/>
        <v>5.6782354555769955E-14</v>
      </c>
    </row>
    <row r="541" spans="1:23" x14ac:dyDescent="0.45">
      <c r="A541">
        <v>-53.89425</v>
      </c>
      <c r="B541">
        <v>-149.10196999999999</v>
      </c>
      <c r="C541">
        <v>302.54115999999999</v>
      </c>
      <c r="D541">
        <v>117.9924</v>
      </c>
      <c r="E541" s="10" t="s">
        <v>1633</v>
      </c>
      <c r="F541" s="10" t="s">
        <v>1634</v>
      </c>
      <c r="G541" s="10" t="s">
        <v>1635</v>
      </c>
      <c r="H541" s="10">
        <v>-53.893679756712302</v>
      </c>
      <c r="I541" s="10">
        <v>-149.10348299122501</v>
      </c>
      <c r="J541" s="10">
        <v>-57.457617612301398</v>
      </c>
      <c r="K541" s="4">
        <f t="shared" si="106"/>
        <v>-53.893679755555553</v>
      </c>
      <c r="L541" s="4">
        <f t="shared" si="107"/>
        <v>-149.10348299166668</v>
      </c>
      <c r="M541" s="4">
        <f t="shared" si="108"/>
        <v>302.54238333333331</v>
      </c>
      <c r="N541" s="4">
        <f t="shared" si="109"/>
        <v>302.54238238769858</v>
      </c>
      <c r="O541" s="5">
        <f t="shared" si="110"/>
        <v>-53.893679756711791</v>
      </c>
      <c r="P541" s="2">
        <f t="shared" si="111"/>
        <v>2.1454051336581662E-11</v>
      </c>
      <c r="Q541" s="2">
        <f t="shared" si="112"/>
        <v>9.4925930472126461E-15</v>
      </c>
      <c r="R541" s="6">
        <f t="shared" si="113"/>
        <v>-149.103482991226</v>
      </c>
      <c r="S541" s="2">
        <f t="shared" si="114"/>
        <v>2.955521868949523E-12</v>
      </c>
      <c r="T541" s="2">
        <f t="shared" si="115"/>
        <v>6.6716069276710563E-15</v>
      </c>
      <c r="U541" s="6">
        <f t="shared" si="116"/>
        <v>302.54238238769932</v>
      </c>
      <c r="V541" s="2">
        <f t="shared" si="117"/>
        <v>3.1256248295524614E-9</v>
      </c>
      <c r="W541" s="2">
        <f t="shared" si="118"/>
        <v>2.4425154563751152E-15</v>
      </c>
    </row>
    <row r="542" spans="1:23" x14ac:dyDescent="0.45">
      <c r="A542">
        <v>-51.121549999999999</v>
      </c>
      <c r="B542">
        <v>4.9102800000000002</v>
      </c>
      <c r="C542">
        <v>241.80784</v>
      </c>
      <c r="D542">
        <v>230.8272</v>
      </c>
      <c r="E542" s="10" t="s">
        <v>1636</v>
      </c>
      <c r="F542" s="10" t="s">
        <v>1637</v>
      </c>
      <c r="G542" s="10" t="s">
        <v>1638</v>
      </c>
      <c r="H542" s="10">
        <v>-51.122530180819503</v>
      </c>
      <c r="I542" s="10">
        <v>4.9073741850387496</v>
      </c>
      <c r="J542" s="10">
        <v>-118.189897867654</v>
      </c>
      <c r="K542" s="4">
        <f t="shared" si="106"/>
        <v>-51.122530180555557</v>
      </c>
      <c r="L542" s="4">
        <f t="shared" si="107"/>
        <v>4.9073741861111557</v>
      </c>
      <c r="M542" s="4">
        <f t="shared" si="108"/>
        <v>241.81010277777779</v>
      </c>
      <c r="N542" s="4">
        <f t="shared" si="109"/>
        <v>241.810102132346</v>
      </c>
      <c r="O542" s="5">
        <f t="shared" si="110"/>
        <v>-51.122530180820007</v>
      </c>
      <c r="P542" s="2">
        <f t="shared" si="111"/>
        <v>5.1728620328689742E-12</v>
      </c>
      <c r="Q542" s="2">
        <f t="shared" si="112"/>
        <v>9.8681606838572976E-15</v>
      </c>
      <c r="R542" s="6">
        <f t="shared" si="113"/>
        <v>4.9073741850368631</v>
      </c>
      <c r="S542" s="2">
        <f t="shared" si="114"/>
        <v>2.1891394747828062E-10</v>
      </c>
      <c r="T542" s="2">
        <f t="shared" si="115"/>
        <v>3.8441962897275378E-13</v>
      </c>
      <c r="U542" s="6">
        <f t="shared" si="116"/>
        <v>241.810102132347</v>
      </c>
      <c r="V542" s="2">
        <f t="shared" si="117"/>
        <v>2.6691638625199141E-9</v>
      </c>
      <c r="W542" s="2">
        <f t="shared" si="118"/>
        <v>4.1138059216388511E-15</v>
      </c>
    </row>
    <row r="543" spans="1:23" x14ac:dyDescent="0.45">
      <c r="A543">
        <v>57.24682</v>
      </c>
      <c r="B543">
        <v>-124.59036</v>
      </c>
      <c r="C543">
        <v>197.60433</v>
      </c>
      <c r="D543">
        <v>50.645099999999999</v>
      </c>
      <c r="E543" s="10" t="s">
        <v>1639</v>
      </c>
      <c r="F543" s="10" t="s">
        <v>1640</v>
      </c>
      <c r="G543" s="10" t="s">
        <v>1641</v>
      </c>
      <c r="H543" s="10">
        <v>57.246386527922603</v>
      </c>
      <c r="I543" s="10">
        <v>-124.590613722079</v>
      </c>
      <c r="J543" s="10">
        <v>-162.39588338202901</v>
      </c>
      <c r="K543" s="4">
        <f t="shared" si="106"/>
        <v>57.24638652777778</v>
      </c>
      <c r="L543" s="4">
        <f t="shared" si="107"/>
        <v>-124.5906137222222</v>
      </c>
      <c r="M543" s="4">
        <f t="shared" si="108"/>
        <v>197.60411666666667</v>
      </c>
      <c r="N543" s="4">
        <f t="shared" si="109"/>
        <v>197.60411661797099</v>
      </c>
      <c r="O543" s="5">
        <f t="shared" si="110"/>
        <v>57.246386527922382</v>
      </c>
      <c r="P543" s="2">
        <f t="shared" si="111"/>
        <v>2.5259682038511233E-12</v>
      </c>
      <c r="Q543" s="2">
        <f t="shared" si="112"/>
        <v>3.8477231742512278E-15</v>
      </c>
      <c r="R543" s="6">
        <f t="shared" si="113"/>
        <v>-124.59061372207908</v>
      </c>
      <c r="S543" s="2">
        <f t="shared" si="114"/>
        <v>1.1487022461891339E-12</v>
      </c>
      <c r="T543" s="2">
        <f t="shared" si="115"/>
        <v>6.8436237485281759E-16</v>
      </c>
      <c r="U543" s="6">
        <f t="shared" si="116"/>
        <v>197.60411661797045</v>
      </c>
      <c r="V543" s="2">
        <f t="shared" si="117"/>
        <v>2.4643323725835831E-10</v>
      </c>
      <c r="W543" s="2">
        <f t="shared" si="118"/>
        <v>2.7327997433458583E-15</v>
      </c>
    </row>
    <row r="544" spans="1:23" x14ac:dyDescent="0.45">
      <c r="A544">
        <v>12.58253</v>
      </c>
      <c r="B544">
        <v>134.70033000000001</v>
      </c>
      <c r="C544">
        <v>192.15662</v>
      </c>
      <c r="D544">
        <v>199.2944</v>
      </c>
      <c r="E544" s="10" t="s">
        <v>1642</v>
      </c>
      <c r="F544" s="10" t="s">
        <v>1643</v>
      </c>
      <c r="G544" s="10" t="s">
        <v>1644</v>
      </c>
      <c r="H544" s="10">
        <v>12.5807688982185</v>
      </c>
      <c r="I544" s="10">
        <v>134.69994377853399</v>
      </c>
      <c r="J544" s="10">
        <v>-167.843464130879</v>
      </c>
      <c r="K544" s="4">
        <f t="shared" si="106"/>
        <v>12.580768897222223</v>
      </c>
      <c r="L544" s="4">
        <f t="shared" si="107"/>
        <v>134.69994377777778</v>
      </c>
      <c r="M544" s="4">
        <f t="shared" si="108"/>
        <v>192.15653611111111</v>
      </c>
      <c r="N544" s="4">
        <f t="shared" si="109"/>
        <v>192.156535869121</v>
      </c>
      <c r="O544" s="5">
        <f t="shared" si="110"/>
        <v>12.580768898223816</v>
      </c>
      <c r="P544" s="2">
        <f t="shared" si="111"/>
        <v>7.9613057278753479E-11</v>
      </c>
      <c r="Q544" s="2">
        <f t="shared" si="112"/>
        <v>4.2260024513110741E-13</v>
      </c>
      <c r="R544" s="6">
        <f t="shared" si="113"/>
        <v>134.69994377853467</v>
      </c>
      <c r="S544" s="2">
        <f t="shared" si="114"/>
        <v>5.6191452098138073E-12</v>
      </c>
      <c r="T544" s="2">
        <f t="shared" si="115"/>
        <v>5.0640037938783466E-15</v>
      </c>
      <c r="U544" s="6">
        <f t="shared" si="116"/>
        <v>192.1565358691208</v>
      </c>
      <c r="V544" s="2">
        <f t="shared" si="117"/>
        <v>1.2593394521019329E-9</v>
      </c>
      <c r="W544" s="2">
        <f t="shared" si="118"/>
        <v>1.0353640333542204E-15</v>
      </c>
    </row>
    <row r="545" spans="1:23" x14ac:dyDescent="0.45">
      <c r="A545">
        <v>34.16874</v>
      </c>
      <c r="B545">
        <v>-138.63915</v>
      </c>
      <c r="C545">
        <v>156.27993000000001</v>
      </c>
      <c r="D545">
        <v>159.47839999999999</v>
      </c>
      <c r="E545" s="10" t="s">
        <v>1645</v>
      </c>
      <c r="F545" s="10" t="s">
        <v>1646</v>
      </c>
      <c r="G545" s="10" t="s">
        <v>1647</v>
      </c>
      <c r="H545" s="10">
        <v>34.167423744865303</v>
      </c>
      <c r="I545" s="10">
        <v>-138.63845421963299</v>
      </c>
      <c r="J545" s="10">
        <v>156.28032076593999</v>
      </c>
      <c r="K545" s="4">
        <f t="shared" si="106"/>
        <v>34.167423744444442</v>
      </c>
      <c r="L545" s="4">
        <f t="shared" si="107"/>
        <v>-138.63845421944444</v>
      </c>
      <c r="M545" s="4">
        <f t="shared" si="108"/>
        <v>156.28031944444444</v>
      </c>
      <c r="N545" s="4">
        <f t="shared" si="109"/>
        <v>156.28032076594002</v>
      </c>
      <c r="O545" s="5">
        <f t="shared" si="110"/>
        <v>34.167423744865395</v>
      </c>
      <c r="P545" s="2">
        <f t="shared" si="111"/>
        <v>1.2320330075871175E-11</v>
      </c>
      <c r="Q545" s="2">
        <f t="shared" si="112"/>
        <v>2.7034685535134768E-15</v>
      </c>
      <c r="R545" s="6">
        <f t="shared" si="113"/>
        <v>-138.63845421963279</v>
      </c>
      <c r="S545" s="2">
        <f t="shared" si="114"/>
        <v>1.3585744983650477E-12</v>
      </c>
      <c r="T545" s="2">
        <f t="shared" si="115"/>
        <v>1.4350417215244303E-15</v>
      </c>
      <c r="U545" s="6">
        <f t="shared" si="116"/>
        <v>156.28032076593945</v>
      </c>
      <c r="V545" s="2">
        <f t="shared" si="117"/>
        <v>8.4559272118583964E-9</v>
      </c>
      <c r="W545" s="2">
        <f t="shared" si="118"/>
        <v>3.6372729837137981E-15</v>
      </c>
    </row>
    <row r="546" spans="1:23" x14ac:dyDescent="0.4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10" t="s">
        <v>1648</v>
      </c>
      <c r="F546" s="10" t="s">
        <v>1649</v>
      </c>
      <c r="G546" s="10" t="s">
        <v>1650</v>
      </c>
      <c r="H546" s="10">
        <v>-10.688331928976501</v>
      </c>
      <c r="I546" s="10">
        <v>36.416273110908001</v>
      </c>
      <c r="J546" s="10">
        <v>-58.429225987712101</v>
      </c>
      <c r="K546" s="4">
        <f t="shared" si="106"/>
        <v>-10.688331927777778</v>
      </c>
      <c r="L546" s="4">
        <f t="shared" si="107"/>
        <v>36.416273111111082</v>
      </c>
      <c r="M546" s="4">
        <f t="shared" si="108"/>
        <v>301.57077500000003</v>
      </c>
      <c r="N546" s="4">
        <f t="shared" si="109"/>
        <v>301.57077401228787</v>
      </c>
      <c r="O546" s="5">
        <f t="shared" si="110"/>
        <v>-10.688331928976515</v>
      </c>
      <c r="P546" s="2">
        <f t="shared" si="111"/>
        <v>1.1215380638210234E-10</v>
      </c>
      <c r="Q546" s="2">
        <f t="shared" si="112"/>
        <v>1.3295671213836279E-15</v>
      </c>
      <c r="R546" s="6">
        <f t="shared" si="113"/>
        <v>36.416273110908058</v>
      </c>
      <c r="S546" s="2">
        <f t="shared" si="114"/>
        <v>5.575072860127148E-12</v>
      </c>
      <c r="T546" s="2">
        <f t="shared" si="115"/>
        <v>1.5609345494440874E-15</v>
      </c>
      <c r="U546" s="6">
        <f t="shared" si="116"/>
        <v>301.5707740122877</v>
      </c>
      <c r="V546" s="2">
        <f t="shared" si="117"/>
        <v>3.2752256121315412E-9</v>
      </c>
      <c r="W546" s="2">
        <f t="shared" si="118"/>
        <v>5.6547341877192508E-16</v>
      </c>
    </row>
    <row r="547" spans="1:23" x14ac:dyDescent="0.4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10" t="s">
        <v>1651</v>
      </c>
      <c r="F547" s="10" t="s">
        <v>1652</v>
      </c>
      <c r="G547" s="10" t="s">
        <v>1653</v>
      </c>
      <c r="H547" s="10">
        <v>81.387317842947397</v>
      </c>
      <c r="I547" s="10">
        <v>-36.882639165231502</v>
      </c>
      <c r="J547" s="10">
        <v>-49.255287596380903</v>
      </c>
      <c r="K547" s="4">
        <f t="shared" si="106"/>
        <v>81.387317841666672</v>
      </c>
      <c r="L547" s="4">
        <f t="shared" si="107"/>
        <v>-36.882639163888882</v>
      </c>
      <c r="M547" s="4">
        <f t="shared" si="108"/>
        <v>310.74471111111109</v>
      </c>
      <c r="N547" s="4">
        <f t="shared" si="109"/>
        <v>310.74471240361908</v>
      </c>
      <c r="O547" s="5">
        <f t="shared" si="110"/>
        <v>81.387317842951774</v>
      </c>
      <c r="P547" s="2">
        <f t="shared" si="111"/>
        <v>1.5789951516162604E-11</v>
      </c>
      <c r="Q547" s="2">
        <f t="shared" si="112"/>
        <v>5.3779180445881969E-14</v>
      </c>
      <c r="R547" s="6">
        <f t="shared" si="113"/>
        <v>-36.88263916526634</v>
      </c>
      <c r="S547" s="2">
        <f t="shared" si="114"/>
        <v>3.7347060263875431E-11</v>
      </c>
      <c r="T547" s="2">
        <f t="shared" si="115"/>
        <v>9.4456121152953403E-13</v>
      </c>
      <c r="U547" s="6">
        <f t="shared" si="116"/>
        <v>310.74471240358434</v>
      </c>
      <c r="V547" s="2">
        <f t="shared" si="117"/>
        <v>4.1592767667288154E-9</v>
      </c>
      <c r="W547" s="2">
        <f t="shared" si="118"/>
        <v>1.1176804475708016E-13</v>
      </c>
    </row>
    <row r="548" spans="1:23" x14ac:dyDescent="0.45">
      <c r="A548">
        <v>20.176829999999999</v>
      </c>
      <c r="B548">
        <v>111.70093</v>
      </c>
      <c r="C548">
        <v>104.68876</v>
      </c>
      <c r="D548">
        <v>18.3111</v>
      </c>
      <c r="E548" s="10" t="s">
        <v>1654</v>
      </c>
      <c r="F548" s="10" t="s">
        <v>1655</v>
      </c>
      <c r="G548" s="10" t="s">
        <v>1656</v>
      </c>
      <c r="H548" s="10">
        <v>20.176788059180598</v>
      </c>
      <c r="I548" s="10">
        <v>111.70109945076101</v>
      </c>
      <c r="J548" s="10">
        <v>104.68881844667</v>
      </c>
      <c r="K548" s="4">
        <f t="shared" si="106"/>
        <v>20.176788058333333</v>
      </c>
      <c r="L548" s="4">
        <f t="shared" si="107"/>
        <v>111.70109945000002</v>
      </c>
      <c r="M548" s="4">
        <f t="shared" si="108"/>
        <v>104.68881944444445</v>
      </c>
      <c r="N548" s="4">
        <f t="shared" si="109"/>
        <v>104.68881844666998</v>
      </c>
      <c r="O548" s="5">
        <f t="shared" si="110"/>
        <v>20.176788059181096</v>
      </c>
      <c r="P548" s="2">
        <f t="shared" si="111"/>
        <v>4.201673459814885E-11</v>
      </c>
      <c r="Q548" s="2">
        <f t="shared" si="112"/>
        <v>2.465109479136142E-14</v>
      </c>
      <c r="R548" s="6">
        <f t="shared" si="113"/>
        <v>111.7010994507591</v>
      </c>
      <c r="S548" s="2">
        <f t="shared" si="114"/>
        <v>6.7956986923572319E-12</v>
      </c>
      <c r="T548" s="2">
        <f t="shared" si="115"/>
        <v>1.7047768922601191E-14</v>
      </c>
      <c r="U548" s="6">
        <f t="shared" si="116"/>
        <v>104.68881844666892</v>
      </c>
      <c r="V548" s="2">
        <f t="shared" si="117"/>
        <v>9.5308700112298116E-9</v>
      </c>
      <c r="W548" s="2">
        <f t="shared" si="118"/>
        <v>1.0180782622769705E-14</v>
      </c>
    </row>
    <row r="549" spans="1:23" x14ac:dyDescent="0.45">
      <c r="A549">
        <v>73.634730000000005</v>
      </c>
      <c r="B549">
        <v>160.04536999999999</v>
      </c>
      <c r="C549">
        <v>269.04316999999998</v>
      </c>
      <c r="D549">
        <v>2.7016</v>
      </c>
      <c r="E549" s="10" t="s">
        <v>1657</v>
      </c>
      <c r="F549" s="10" t="s">
        <v>1658</v>
      </c>
      <c r="G549" s="10" t="s">
        <v>1659</v>
      </c>
      <c r="H549" s="10">
        <v>73.634729595749704</v>
      </c>
      <c r="I549" s="10">
        <v>160.04528414459199</v>
      </c>
      <c r="J549" s="10">
        <v>-90.956912376970806</v>
      </c>
      <c r="K549" s="4">
        <f t="shared" si="106"/>
        <v>73.634729594444451</v>
      </c>
      <c r="L549" s="4">
        <f t="shared" si="107"/>
        <v>160.04528414444439</v>
      </c>
      <c r="M549" s="4">
        <f t="shared" si="108"/>
        <v>269.04308888888886</v>
      </c>
      <c r="N549" s="4">
        <f t="shared" si="109"/>
        <v>269.04308762302918</v>
      </c>
      <c r="O549" s="5">
        <f t="shared" si="110"/>
        <v>73.634729595749576</v>
      </c>
      <c r="P549" s="2">
        <f t="shared" si="111"/>
        <v>1.7724311669674689E-11</v>
      </c>
      <c r="Q549" s="2">
        <f t="shared" si="112"/>
        <v>1.7369207864138128E-15</v>
      </c>
      <c r="R549" s="6">
        <f t="shared" si="113"/>
        <v>160.04528414459182</v>
      </c>
      <c r="S549" s="2">
        <f t="shared" si="114"/>
        <v>9.2113558736571535E-13</v>
      </c>
      <c r="T549" s="2">
        <f t="shared" si="115"/>
        <v>1.0655125359917476E-15</v>
      </c>
      <c r="U549" s="6">
        <f t="shared" si="116"/>
        <v>269.04308762302861</v>
      </c>
      <c r="V549" s="2">
        <f t="shared" si="117"/>
        <v>4.7050465182007078E-9</v>
      </c>
      <c r="W549" s="2">
        <f t="shared" si="118"/>
        <v>2.1127998255972442E-15</v>
      </c>
    </row>
    <row r="550" spans="1:23" x14ac:dyDescent="0.4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10" t="s">
        <v>1660</v>
      </c>
      <c r="F550" s="10" t="s">
        <v>1661</v>
      </c>
      <c r="G550" s="10" t="s">
        <v>1662</v>
      </c>
      <c r="H550" s="10">
        <v>-15.176783561784699</v>
      </c>
      <c r="I550" s="10">
        <v>-136.54178205634</v>
      </c>
      <c r="J550" s="10">
        <v>-26.451265280143399</v>
      </c>
      <c r="K550" s="4">
        <f t="shared" si="106"/>
        <v>-15.176783561111112</v>
      </c>
      <c r="L550" s="4">
        <f t="shared" si="107"/>
        <v>-136.54178205555559</v>
      </c>
      <c r="M550" s="4">
        <f t="shared" si="108"/>
        <v>333.5487333333333</v>
      </c>
      <c r="N550" s="4">
        <f t="shared" si="109"/>
        <v>333.54873471985661</v>
      </c>
      <c r="O550" s="5">
        <f t="shared" si="110"/>
        <v>-15.176783561788168</v>
      </c>
      <c r="P550" s="2">
        <f t="shared" si="111"/>
        <v>4.4611338776382862E-11</v>
      </c>
      <c r="Q550" s="2">
        <f t="shared" si="112"/>
        <v>2.2858762485644416E-13</v>
      </c>
      <c r="R550" s="6">
        <f t="shared" si="113"/>
        <v>-136.54178205633804</v>
      </c>
      <c r="S550" s="2">
        <f t="shared" si="114"/>
        <v>5.7304778716060864E-12</v>
      </c>
      <c r="T550" s="2">
        <f t="shared" si="115"/>
        <v>1.4362621617818686E-14</v>
      </c>
      <c r="U550" s="6">
        <f t="shared" si="116"/>
        <v>333.5487347198557</v>
      </c>
      <c r="V550" s="2">
        <f t="shared" si="117"/>
        <v>4.1568810208325625E-9</v>
      </c>
      <c r="W550" s="2">
        <f t="shared" si="118"/>
        <v>2.726722086164714E-15</v>
      </c>
    </row>
    <row r="551" spans="1:23" x14ac:dyDescent="0.45">
      <c r="A551">
        <v>-56.078150000000001</v>
      </c>
      <c r="B551">
        <v>-110.17564</v>
      </c>
      <c r="C551">
        <v>220.47939</v>
      </c>
      <c r="D551">
        <v>191.5222</v>
      </c>
      <c r="E551" s="10" t="s">
        <v>1663</v>
      </c>
      <c r="F551" s="10" t="s">
        <v>1664</v>
      </c>
      <c r="G551" s="10" t="s">
        <v>1665</v>
      </c>
      <c r="H551" s="10">
        <v>-56.079458364408403</v>
      </c>
      <c r="I551" s="10">
        <v>-110.17763681884</v>
      </c>
      <c r="J551" s="10">
        <v>-139.51895302794901</v>
      </c>
      <c r="K551" s="4">
        <f t="shared" si="106"/>
        <v>-56.079458363888889</v>
      </c>
      <c r="L551" s="4">
        <f t="shared" si="107"/>
        <v>-110.17763681944444</v>
      </c>
      <c r="M551" s="4">
        <f t="shared" si="108"/>
        <v>220.48104722222223</v>
      </c>
      <c r="N551" s="4">
        <f t="shared" si="109"/>
        <v>220.48104697205099</v>
      </c>
      <c r="O551" s="5">
        <f t="shared" si="110"/>
        <v>-56.079458364409099</v>
      </c>
      <c r="P551" s="2">
        <f t="shared" si="111"/>
        <v>9.2762959612858795E-12</v>
      </c>
      <c r="Q551" s="2">
        <f t="shared" si="112"/>
        <v>1.2416879573266969E-14</v>
      </c>
      <c r="R551" s="6">
        <f t="shared" si="113"/>
        <v>-110.17763681884171</v>
      </c>
      <c r="S551" s="2">
        <f t="shared" si="114"/>
        <v>5.4706128148158354E-12</v>
      </c>
      <c r="T551" s="2">
        <f t="shared" si="115"/>
        <v>1.5477755877340069E-14</v>
      </c>
      <c r="U551" s="6">
        <f t="shared" si="116"/>
        <v>220.48104697205176</v>
      </c>
      <c r="V551" s="2">
        <f t="shared" si="117"/>
        <v>1.1346574952078676E-9</v>
      </c>
      <c r="W551" s="2">
        <f t="shared" si="118"/>
        <v>3.4805084843332813E-15</v>
      </c>
    </row>
    <row r="552" spans="1:23" x14ac:dyDescent="0.45">
      <c r="A552">
        <v>51.039769999999997</v>
      </c>
      <c r="B552">
        <v>-16.25891</v>
      </c>
      <c r="C552">
        <v>80.054810000000003</v>
      </c>
      <c r="D552">
        <v>288.79849999999999</v>
      </c>
      <c r="E552" s="10" t="s">
        <v>1666</v>
      </c>
      <c r="F552" s="10" t="s">
        <v>1667</v>
      </c>
      <c r="G552" s="10" t="s">
        <v>1668</v>
      </c>
      <c r="H552" s="10">
        <v>51.040218268215902</v>
      </c>
      <c r="I552" s="10">
        <v>-16.254854238353101</v>
      </c>
      <c r="J552" s="10">
        <v>80.057963699648596</v>
      </c>
      <c r="K552" s="4">
        <f t="shared" si="106"/>
        <v>51.040218269444445</v>
      </c>
      <c r="L552" s="4">
        <f t="shared" si="107"/>
        <v>-16.254854238888925</v>
      </c>
      <c r="M552" s="4">
        <f t="shared" si="108"/>
        <v>80.057963888888878</v>
      </c>
      <c r="N552" s="4">
        <f t="shared" si="109"/>
        <v>80.05796369964861</v>
      </c>
      <c r="O552" s="5">
        <f t="shared" si="110"/>
        <v>51.040218268216243</v>
      </c>
      <c r="P552" s="2">
        <f t="shared" si="111"/>
        <v>2.4063406899770927E-11</v>
      </c>
      <c r="Q552" s="2">
        <f t="shared" si="112"/>
        <v>6.682191509694925E-15</v>
      </c>
      <c r="R552" s="6">
        <f t="shared" si="113"/>
        <v>-16.254854238349196</v>
      </c>
      <c r="S552" s="2">
        <f t="shared" si="114"/>
        <v>3.3204128080835034E-11</v>
      </c>
      <c r="T552" s="2">
        <f t="shared" si="115"/>
        <v>2.4020100554265799E-13</v>
      </c>
      <c r="U552" s="6">
        <f t="shared" si="116"/>
        <v>80.057963699651552</v>
      </c>
      <c r="V552" s="2">
        <f t="shared" si="117"/>
        <v>2.3637539235468478E-9</v>
      </c>
      <c r="W552" s="2">
        <f t="shared" si="118"/>
        <v>3.6743963874511165E-14</v>
      </c>
    </row>
    <row r="553" spans="1:23" x14ac:dyDescent="0.45">
      <c r="A553">
        <v>86.756280000000004</v>
      </c>
      <c r="B553">
        <v>-170.15781999999999</v>
      </c>
      <c r="C553">
        <v>110.48251999999999</v>
      </c>
      <c r="D553">
        <v>181.3706</v>
      </c>
      <c r="E553" s="10" t="s">
        <v>1669</v>
      </c>
      <c r="F553" s="10" t="s">
        <v>1670</v>
      </c>
      <c r="G553" s="10" t="s">
        <v>1671</v>
      </c>
      <c r="H553" s="10">
        <v>86.755711416657505</v>
      </c>
      <c r="I553" s="10">
        <v>-170.13094093100599</v>
      </c>
      <c r="J553" s="10">
        <v>110.509355997914</v>
      </c>
      <c r="K553" s="4">
        <f t="shared" si="106"/>
        <v>86.755711416666671</v>
      </c>
      <c r="L553" s="4">
        <f t="shared" si="107"/>
        <v>-170.13094093055554</v>
      </c>
      <c r="M553" s="4">
        <f t="shared" si="108"/>
        <v>110.50935555555554</v>
      </c>
      <c r="N553" s="4">
        <f t="shared" si="109"/>
        <v>110.50935599791399</v>
      </c>
      <c r="O553" s="5">
        <f t="shared" si="110"/>
        <v>86.755711416654776</v>
      </c>
      <c r="P553" s="2">
        <f t="shared" si="111"/>
        <v>1.3710319703907153E-13</v>
      </c>
      <c r="Q553" s="2">
        <f t="shared" si="112"/>
        <v>3.145019573656453E-14</v>
      </c>
      <c r="R553" s="6">
        <f t="shared" si="113"/>
        <v>-170.13094093088031</v>
      </c>
      <c r="S553" s="2">
        <f t="shared" si="114"/>
        <v>1.9089700667310952E-12</v>
      </c>
      <c r="T553" s="2">
        <f t="shared" si="115"/>
        <v>7.3872981841800575E-13</v>
      </c>
      <c r="U553" s="6">
        <f t="shared" si="116"/>
        <v>110.50935599803931</v>
      </c>
      <c r="V553" s="2">
        <f t="shared" si="117"/>
        <v>4.0040389769341793E-9</v>
      </c>
      <c r="W553" s="2">
        <f t="shared" si="118"/>
        <v>1.1340716503291555E-12</v>
      </c>
    </row>
    <row r="554" spans="1:23" x14ac:dyDescent="0.45">
      <c r="A554">
        <v>-3.9378600000000001</v>
      </c>
      <c r="B554">
        <v>104.93034</v>
      </c>
      <c r="C554">
        <v>187.28787</v>
      </c>
      <c r="D554">
        <v>238.00460000000001</v>
      </c>
      <c r="E554" s="10" t="s">
        <v>1672</v>
      </c>
      <c r="F554" s="10" t="s">
        <v>1673</v>
      </c>
      <c r="G554" s="10" t="s">
        <v>1674</v>
      </c>
      <c r="H554" s="10">
        <v>-3.9399949508667</v>
      </c>
      <c r="I554" s="10">
        <v>104.930068142583</v>
      </c>
      <c r="J554" s="10">
        <v>-172.71211132526699</v>
      </c>
      <c r="K554" s="4">
        <f t="shared" ref="K554:K603" si="119">ConvertDecimal(E554)</f>
        <v>-3.93999495</v>
      </c>
      <c r="L554" s="4">
        <f t="shared" ref="L554:L603" si="120">MOD(ConvertDecimal(F554)+3*180, 360) - 180</f>
        <v>104.93006814166665</v>
      </c>
      <c r="M554" s="4">
        <f t="shared" ref="M554:M603" si="121">MOD(ConvertDecimal(G554)+180, 360)</f>
        <v>187.28788888888889</v>
      </c>
      <c r="N554" s="4">
        <f t="shared" ref="N554:N603" si="122">MOD(J554+360, 360)</f>
        <v>187.28788867473301</v>
      </c>
      <c r="O554" s="5">
        <f t="shared" si="110"/>
        <v>-3.9399949508573449</v>
      </c>
      <c r="P554" s="2">
        <f t="shared" si="111"/>
        <v>2.1760049762780168E-10</v>
      </c>
      <c r="Q554" s="2">
        <f t="shared" si="112"/>
        <v>2.3744150465582484E-12</v>
      </c>
      <c r="R554" s="6">
        <f t="shared" si="113"/>
        <v>104.93006814258374</v>
      </c>
      <c r="S554" s="2">
        <f t="shared" si="114"/>
        <v>8.7399476092275769E-12</v>
      </c>
      <c r="T554" s="2">
        <f t="shared" si="115"/>
        <v>7.0424470151527113E-15</v>
      </c>
      <c r="U554" s="6">
        <f t="shared" si="116"/>
        <v>187.28788867473233</v>
      </c>
      <c r="V554" s="2">
        <f t="shared" si="117"/>
        <v>1.1434618578225634E-9</v>
      </c>
      <c r="W554" s="2">
        <f t="shared" si="118"/>
        <v>3.6420989694339007E-15</v>
      </c>
    </row>
    <row r="555" spans="1:23" x14ac:dyDescent="0.45">
      <c r="A555">
        <v>-57.820839999999997</v>
      </c>
      <c r="B555">
        <v>-51.469000000000001</v>
      </c>
      <c r="C555">
        <v>183.06056000000001</v>
      </c>
      <c r="D555">
        <v>230.9863</v>
      </c>
      <c r="E555" s="10" t="s">
        <v>1675</v>
      </c>
      <c r="F555" s="10" t="s">
        <v>1676</v>
      </c>
      <c r="G555" s="10" t="s">
        <v>1677</v>
      </c>
      <c r="H555" s="10">
        <v>-57.8229110019617</v>
      </c>
      <c r="I555" s="10">
        <v>-51.4692075354615</v>
      </c>
      <c r="J555" s="10">
        <v>-176.9392643427</v>
      </c>
      <c r="K555" s="4">
        <f t="shared" si="119"/>
        <v>-57.822911002777779</v>
      </c>
      <c r="L555" s="4">
        <f t="shared" si="120"/>
        <v>-51.469207536111128</v>
      </c>
      <c r="M555" s="4">
        <f t="shared" si="121"/>
        <v>183.06073611111111</v>
      </c>
      <c r="N555" s="4">
        <f t="shared" si="122"/>
        <v>183.0607356573</v>
      </c>
      <c r="O555" s="5">
        <f t="shared" si="110"/>
        <v>-57.822911001962431</v>
      </c>
      <c r="P555" s="2">
        <f t="shared" si="111"/>
        <v>1.4100773813437828E-11</v>
      </c>
      <c r="Q555" s="2">
        <f t="shared" si="112"/>
        <v>1.2656903728144614E-14</v>
      </c>
      <c r="R555" s="6">
        <f t="shared" si="113"/>
        <v>-51.469207535461571</v>
      </c>
      <c r="S555" s="2">
        <f t="shared" si="114"/>
        <v>1.262030025028222E-11</v>
      </c>
      <c r="T555" s="2">
        <f t="shared" si="115"/>
        <v>1.3805200619623822E-15</v>
      </c>
      <c r="U555" s="6">
        <f t="shared" si="116"/>
        <v>183.06073565729986</v>
      </c>
      <c r="V555" s="2">
        <f t="shared" si="117"/>
        <v>2.4790201498436981E-9</v>
      </c>
      <c r="W555" s="2">
        <f t="shared" si="118"/>
        <v>7.7629179540748286E-16</v>
      </c>
    </row>
    <row r="556" spans="1:23" x14ac:dyDescent="0.45">
      <c r="A556">
        <v>41.255890000000001</v>
      </c>
      <c r="B556">
        <v>-118.74885</v>
      </c>
      <c r="C556">
        <v>312.52050000000003</v>
      </c>
      <c r="D556">
        <v>190.0778</v>
      </c>
      <c r="E556" s="10" t="s">
        <v>1678</v>
      </c>
      <c r="F556" s="10" t="s">
        <v>1679</v>
      </c>
      <c r="G556" s="10" t="s">
        <v>1680</v>
      </c>
      <c r="H556" s="10">
        <v>41.257046715238602</v>
      </c>
      <c r="I556" s="10">
        <v>-118.750521618245</v>
      </c>
      <c r="J556" s="10">
        <v>-47.480602316371197</v>
      </c>
      <c r="K556" s="4">
        <f t="shared" si="119"/>
        <v>41.25704671388889</v>
      </c>
      <c r="L556" s="4">
        <f t="shared" si="120"/>
        <v>-118.75052161944444</v>
      </c>
      <c r="M556" s="4">
        <f t="shared" si="121"/>
        <v>312.51939722222221</v>
      </c>
      <c r="N556" s="4">
        <f t="shared" si="122"/>
        <v>312.51939768362882</v>
      </c>
      <c r="O556" s="5">
        <f t="shared" si="110"/>
        <v>41.257046715238666</v>
      </c>
      <c r="P556" s="2">
        <f t="shared" si="111"/>
        <v>3.2716239044442422E-11</v>
      </c>
      <c r="Q556" s="2">
        <f t="shared" si="112"/>
        <v>1.5500102724218752E-15</v>
      </c>
      <c r="R556" s="6">
        <f t="shared" si="113"/>
        <v>-118.75052161824465</v>
      </c>
      <c r="S556" s="2">
        <f t="shared" si="114"/>
        <v>1.0103484393441334E-11</v>
      </c>
      <c r="T556" s="2">
        <f t="shared" si="115"/>
        <v>2.9917457459442915E-15</v>
      </c>
      <c r="U556" s="6">
        <f t="shared" si="116"/>
        <v>312.51939768362854</v>
      </c>
      <c r="V556" s="2">
        <f t="shared" si="117"/>
        <v>1.4764086137803522E-9</v>
      </c>
      <c r="W556" s="2">
        <f t="shared" si="118"/>
        <v>9.0943825058744082E-16</v>
      </c>
    </row>
    <row r="557" spans="1:23" x14ac:dyDescent="0.45">
      <c r="A557">
        <v>88.690420000000003</v>
      </c>
      <c r="B557">
        <v>57.01623</v>
      </c>
      <c r="C557">
        <v>153.66014000000001</v>
      </c>
      <c r="D557">
        <v>99.565399999999997</v>
      </c>
      <c r="E557" s="10" t="s">
        <v>1681</v>
      </c>
      <c r="F557" s="10" t="s">
        <v>1682</v>
      </c>
      <c r="G557" s="10" t="s">
        <v>1683</v>
      </c>
      <c r="H557" s="10">
        <v>88.689621071927803</v>
      </c>
      <c r="I557" s="10">
        <v>57.0335252697868</v>
      </c>
      <c r="J557" s="10">
        <v>153.677430749541</v>
      </c>
      <c r="K557" s="4">
        <f t="shared" si="119"/>
        <v>88.689621072222224</v>
      </c>
      <c r="L557" s="4">
        <f t="shared" si="120"/>
        <v>57.033525269444453</v>
      </c>
      <c r="M557" s="4">
        <f t="shared" si="121"/>
        <v>153.67743055555547</v>
      </c>
      <c r="N557" s="4">
        <f t="shared" si="122"/>
        <v>153.67743074954103</v>
      </c>
      <c r="O557" s="5">
        <f t="shared" si="110"/>
        <v>88.689621071923966</v>
      </c>
      <c r="P557" s="2">
        <f t="shared" si="111"/>
        <v>3.3629348638188568E-12</v>
      </c>
      <c r="Q557" s="2">
        <f t="shared" si="112"/>
        <v>4.3262455366595461E-14</v>
      </c>
      <c r="R557" s="6">
        <f t="shared" si="113"/>
        <v>57.033525269868299</v>
      </c>
      <c r="S557" s="2">
        <f t="shared" si="114"/>
        <v>7.4315211150963447E-12</v>
      </c>
      <c r="T557" s="2">
        <f t="shared" si="115"/>
        <v>1.4289709676223938E-12</v>
      </c>
      <c r="U557" s="6">
        <f t="shared" si="116"/>
        <v>153.67743074962181</v>
      </c>
      <c r="V557" s="2">
        <f t="shared" si="117"/>
        <v>1.2628160836864339E-9</v>
      </c>
      <c r="W557" s="2">
        <f t="shared" si="118"/>
        <v>5.2561067560305647E-13</v>
      </c>
    </row>
    <row r="558" spans="1:23" x14ac:dyDescent="0.45">
      <c r="A558">
        <v>-87.363870000000006</v>
      </c>
      <c r="B558">
        <v>75.309780000000003</v>
      </c>
      <c r="C558">
        <v>263.39355999999998</v>
      </c>
      <c r="D558">
        <v>29.6218</v>
      </c>
      <c r="E558" s="10" t="s">
        <v>1684</v>
      </c>
      <c r="F558" s="10" t="s">
        <v>1685</v>
      </c>
      <c r="G558" s="10" t="s">
        <v>1686</v>
      </c>
      <c r="H558" s="10">
        <v>-87.363900499013695</v>
      </c>
      <c r="I558" s="10">
        <v>75.304051967964398</v>
      </c>
      <c r="J558" s="10">
        <v>-96.600718029493507</v>
      </c>
      <c r="K558" s="4">
        <f t="shared" si="119"/>
        <v>-87.3639005</v>
      </c>
      <c r="L558" s="4">
        <f t="shared" si="120"/>
        <v>75.304051966666634</v>
      </c>
      <c r="M558" s="4">
        <f t="shared" si="121"/>
        <v>263.3992833333333</v>
      </c>
      <c r="N558" s="4">
        <f t="shared" si="122"/>
        <v>263.39928197050648</v>
      </c>
      <c r="O558" s="5">
        <f t="shared" si="110"/>
        <v>-87.363900499013724</v>
      </c>
      <c r="P558" s="2">
        <f t="shared" si="111"/>
        <v>1.1289284752106102E-11</v>
      </c>
      <c r="Q558" s="2">
        <f t="shared" si="112"/>
        <v>3.2532555515564326E-16</v>
      </c>
      <c r="R558" s="6">
        <f t="shared" si="113"/>
        <v>75.304051967937497</v>
      </c>
      <c r="S558" s="2">
        <f t="shared" si="114"/>
        <v>1.687641625032804E-11</v>
      </c>
      <c r="T558" s="2">
        <f t="shared" si="115"/>
        <v>3.5723373806394363E-13</v>
      </c>
      <c r="U558" s="6">
        <f t="shared" si="116"/>
        <v>263.39928197053314</v>
      </c>
      <c r="V558" s="2">
        <f t="shared" si="117"/>
        <v>5.1738947245803163E-9</v>
      </c>
      <c r="W558" s="2">
        <f t="shared" si="118"/>
        <v>1.0121350083522286E-13</v>
      </c>
    </row>
    <row r="559" spans="1:23" x14ac:dyDescent="0.45">
      <c r="A559">
        <v>-5.7315699999999996</v>
      </c>
      <c r="B559">
        <v>-136.95232999999999</v>
      </c>
      <c r="C559">
        <v>43.299230000000001</v>
      </c>
      <c r="D559">
        <v>162.2439</v>
      </c>
      <c r="E559" s="10" t="s">
        <v>1687</v>
      </c>
      <c r="F559" s="10" t="s">
        <v>1688</v>
      </c>
      <c r="G559" s="10" t="s">
        <v>1689</v>
      </c>
      <c r="H559" s="10">
        <v>-5.7305022429728698</v>
      </c>
      <c r="I559" s="10">
        <v>-136.95132547352699</v>
      </c>
      <c r="J559" s="10">
        <v>43.299129689252801</v>
      </c>
      <c r="K559" s="4">
        <f t="shared" si="119"/>
        <v>-5.7305022416666667</v>
      </c>
      <c r="L559" s="4">
        <f t="shared" si="120"/>
        <v>-136.95132547222221</v>
      </c>
      <c r="M559" s="4">
        <f t="shared" si="121"/>
        <v>43.299130555555564</v>
      </c>
      <c r="N559" s="4">
        <f t="shared" si="122"/>
        <v>43.299129689252823</v>
      </c>
      <c r="O559" s="5">
        <f t="shared" si="110"/>
        <v>-5.730502242973559</v>
      </c>
      <c r="P559" s="2">
        <f t="shared" si="111"/>
        <v>2.2805895835741913E-10</v>
      </c>
      <c r="Q559" s="2">
        <f t="shared" si="112"/>
        <v>1.2027330667786987E-13</v>
      </c>
      <c r="R559" s="6">
        <f t="shared" si="113"/>
        <v>-136.95132547352813</v>
      </c>
      <c r="S559" s="2">
        <f t="shared" si="114"/>
        <v>9.5356558281218158E-12</v>
      </c>
      <c r="T559" s="2">
        <f t="shared" si="115"/>
        <v>8.3012586646043056E-15</v>
      </c>
      <c r="U559" s="6">
        <f t="shared" si="116"/>
        <v>43.299129689252851</v>
      </c>
      <c r="V559" s="2">
        <f t="shared" si="117"/>
        <v>2.0007392804552545E-8</v>
      </c>
      <c r="W559" s="2">
        <f t="shared" si="118"/>
        <v>6.5640371144592534E-16</v>
      </c>
    </row>
    <row r="560" spans="1:23" x14ac:dyDescent="0.45">
      <c r="A560">
        <v>34.532760000000003</v>
      </c>
      <c r="B560">
        <v>127.68576</v>
      </c>
      <c r="C560">
        <v>307.16313000000002</v>
      </c>
      <c r="D560">
        <v>56.786299999999997</v>
      </c>
      <c r="E560" s="10" t="s">
        <v>1690</v>
      </c>
      <c r="F560" s="10" t="s">
        <v>1691</v>
      </c>
      <c r="G560" s="10" t="s">
        <v>1692</v>
      </c>
      <c r="H560" s="10">
        <v>34.533069231849197</v>
      </c>
      <c r="I560" s="10">
        <v>127.685267056141</v>
      </c>
      <c r="J560" s="10">
        <v>-52.837149439807</v>
      </c>
      <c r="K560" s="4">
        <f t="shared" si="119"/>
        <v>34.533069230555554</v>
      </c>
      <c r="L560" s="4">
        <f t="shared" si="120"/>
        <v>127.68526705555553</v>
      </c>
      <c r="M560" s="4">
        <f t="shared" si="121"/>
        <v>307.16284999999999</v>
      </c>
      <c r="N560" s="4">
        <f t="shared" si="122"/>
        <v>307.16285056019302</v>
      </c>
      <c r="O560" s="5">
        <f t="shared" si="110"/>
        <v>34.533069231844721</v>
      </c>
      <c r="P560" s="2">
        <f t="shared" si="111"/>
        <v>3.7331350381630722E-11</v>
      </c>
      <c r="Q560" s="2">
        <f t="shared" si="112"/>
        <v>1.2962703098397389E-13</v>
      </c>
      <c r="R560" s="6">
        <f t="shared" si="113"/>
        <v>127.68526705614777</v>
      </c>
      <c r="S560" s="2">
        <f t="shared" si="114"/>
        <v>4.6382592441018472E-12</v>
      </c>
      <c r="T560" s="2">
        <f t="shared" si="115"/>
        <v>5.2976878228730799E-14</v>
      </c>
      <c r="U560" s="6">
        <f t="shared" si="116"/>
        <v>307.16285056019683</v>
      </c>
      <c r="V560" s="2">
        <f t="shared" si="117"/>
        <v>1.8237779674550613E-9</v>
      </c>
      <c r="W560" s="2">
        <f t="shared" si="118"/>
        <v>1.239898984114879E-14</v>
      </c>
    </row>
    <row r="561" spans="1:23" x14ac:dyDescent="0.45">
      <c r="A561">
        <v>-31.722169999999998</v>
      </c>
      <c r="B561">
        <v>-81.074830000000006</v>
      </c>
      <c r="C561">
        <v>6.0523999999999996</v>
      </c>
      <c r="D561">
        <v>144.6337</v>
      </c>
      <c r="E561" s="10" t="s">
        <v>1693</v>
      </c>
      <c r="F561" s="10" t="s">
        <v>1694</v>
      </c>
      <c r="G561" s="10" t="s">
        <v>1695</v>
      </c>
      <c r="H561" s="10">
        <v>-31.7208728771697</v>
      </c>
      <c r="I561" s="10">
        <v>-81.0746690994022</v>
      </c>
      <c r="J561" s="10">
        <v>6.0523153998823096</v>
      </c>
      <c r="K561" s="4">
        <f t="shared" si="119"/>
        <v>-31.720872877777779</v>
      </c>
      <c r="L561" s="4">
        <f t="shared" si="120"/>
        <v>-81.074669099999994</v>
      </c>
      <c r="M561" s="4">
        <f t="shared" si="121"/>
        <v>6.0523166666666839</v>
      </c>
      <c r="N561" s="4">
        <f t="shared" si="122"/>
        <v>6.0523153998823318</v>
      </c>
      <c r="O561" s="5">
        <f t="shared" si="110"/>
        <v>-31.720872877170194</v>
      </c>
      <c r="P561" s="2">
        <f t="shared" si="111"/>
        <v>1.9154110156095626E-11</v>
      </c>
      <c r="Q561" s="2">
        <f t="shared" si="112"/>
        <v>1.5567894467011636E-14</v>
      </c>
      <c r="R561" s="6">
        <f t="shared" si="113"/>
        <v>-81.074669099402328</v>
      </c>
      <c r="S561" s="2">
        <f t="shared" si="114"/>
        <v>7.3717959430715795E-12</v>
      </c>
      <c r="T561" s="2">
        <f t="shared" si="115"/>
        <v>1.577529626177174E-15</v>
      </c>
      <c r="U561" s="6">
        <f t="shared" si="116"/>
        <v>6.0523153998823416</v>
      </c>
      <c r="V561" s="2">
        <f t="shared" si="117"/>
        <v>2.0930569434509936E-7</v>
      </c>
      <c r="W561" s="2">
        <f t="shared" si="118"/>
        <v>1.6142520624241301E-15</v>
      </c>
    </row>
    <row r="562" spans="1:23" x14ac:dyDescent="0.45">
      <c r="A562">
        <v>27.26512</v>
      </c>
      <c r="B562">
        <v>-140.48827</v>
      </c>
      <c r="C562">
        <v>59.526020000000003</v>
      </c>
      <c r="D562">
        <v>173.5181</v>
      </c>
      <c r="E562" s="10" t="s">
        <v>1696</v>
      </c>
      <c r="F562" s="10" t="s">
        <v>1697</v>
      </c>
      <c r="G562" s="10" t="s">
        <v>1698</v>
      </c>
      <c r="H562" s="10">
        <v>27.265914153062599</v>
      </c>
      <c r="I562" s="10">
        <v>-140.48675972237601</v>
      </c>
      <c r="J562" s="10">
        <v>59.526711880328897</v>
      </c>
      <c r="K562" s="4">
        <f t="shared" si="119"/>
        <v>27.265914152777778</v>
      </c>
      <c r="L562" s="4">
        <f t="shared" si="120"/>
        <v>-140.48675972222225</v>
      </c>
      <c r="M562" s="4">
        <f t="shared" si="121"/>
        <v>59.526711111111126</v>
      </c>
      <c r="N562" s="4">
        <f t="shared" si="122"/>
        <v>59.526711880328889</v>
      </c>
      <c r="O562" s="5">
        <f t="shared" si="110"/>
        <v>27.265914153062575</v>
      </c>
      <c r="P562" s="2">
        <f t="shared" si="111"/>
        <v>1.0445136188645643E-11</v>
      </c>
      <c r="Q562" s="2">
        <f t="shared" si="112"/>
        <v>9.120910310212408E-16</v>
      </c>
      <c r="R562" s="6">
        <f t="shared" si="113"/>
        <v>-140.48675972237564</v>
      </c>
      <c r="S562" s="2">
        <f t="shared" si="114"/>
        <v>1.0918606571835312E-12</v>
      </c>
      <c r="T562" s="2">
        <f t="shared" si="115"/>
        <v>2.6300145531536725E-15</v>
      </c>
      <c r="U562" s="6">
        <f t="shared" si="116"/>
        <v>59.526711880328754</v>
      </c>
      <c r="V562" s="2">
        <f t="shared" si="117"/>
        <v>1.2922226239318316E-8</v>
      </c>
      <c r="W562" s="2">
        <f t="shared" si="118"/>
        <v>2.2679418286336081E-15</v>
      </c>
    </row>
    <row r="563" spans="1:23" x14ac:dyDescent="0.4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10" t="s">
        <v>1699</v>
      </c>
      <c r="F563" s="10" t="s">
        <v>1700</v>
      </c>
      <c r="G563" s="10" t="s">
        <v>1701</v>
      </c>
      <c r="H563" s="10">
        <v>-25.9031147458122</v>
      </c>
      <c r="I563" s="10">
        <v>-172.59833942189701</v>
      </c>
      <c r="J563" s="10">
        <v>-94.150218721823506</v>
      </c>
      <c r="K563" s="4">
        <f t="shared" si="119"/>
        <v>-25.903114744444444</v>
      </c>
      <c r="L563" s="4">
        <f t="shared" si="120"/>
        <v>-172.59833942222224</v>
      </c>
      <c r="M563" s="4">
        <f t="shared" si="121"/>
        <v>265.84978055555553</v>
      </c>
      <c r="N563" s="4">
        <f t="shared" si="122"/>
        <v>265.84978127817647</v>
      </c>
      <c r="O563" s="5">
        <f t="shared" si="110"/>
        <v>-25.903114745808768</v>
      </c>
      <c r="P563" s="2">
        <f t="shared" si="111"/>
        <v>5.2670259099501431E-11</v>
      </c>
      <c r="Q563" s="2">
        <f t="shared" si="112"/>
        <v>1.3249068490020601E-13</v>
      </c>
      <c r="R563" s="6">
        <f t="shared" si="113"/>
        <v>-172.59833942184483</v>
      </c>
      <c r="S563" s="2">
        <f t="shared" si="114"/>
        <v>2.1866483813791697E-12</v>
      </c>
      <c r="T563" s="2">
        <f t="shared" si="115"/>
        <v>3.0233349109268171E-13</v>
      </c>
      <c r="U563" s="6">
        <f t="shared" si="116"/>
        <v>265.84978127815361</v>
      </c>
      <c r="V563" s="2">
        <f t="shared" si="117"/>
        <v>2.718069153647831E-9</v>
      </c>
      <c r="W563" s="2">
        <f t="shared" si="118"/>
        <v>8.5954760888571993E-14</v>
      </c>
    </row>
    <row r="564" spans="1:23" x14ac:dyDescent="0.45">
      <c r="A564">
        <v>33.746499999999997</v>
      </c>
      <c r="B564">
        <v>-124.47116</v>
      </c>
      <c r="C564">
        <v>46.665370000000003</v>
      </c>
      <c r="D564">
        <v>147.19309999999999</v>
      </c>
      <c r="E564" s="10" t="s">
        <v>1702</v>
      </c>
      <c r="F564" s="10" t="s">
        <v>1703</v>
      </c>
      <c r="G564" s="10" t="s">
        <v>1704</v>
      </c>
      <c r="H564" s="10">
        <v>33.747410690940697</v>
      </c>
      <c r="I564" s="10">
        <v>-124.470004537268</v>
      </c>
      <c r="J564" s="10">
        <v>46.666011889645802</v>
      </c>
      <c r="K564" s="4">
        <f t="shared" si="119"/>
        <v>33.747410691666666</v>
      </c>
      <c r="L564" s="4">
        <f t="shared" si="120"/>
        <v>-124.47000453611111</v>
      </c>
      <c r="M564" s="4">
        <f t="shared" si="121"/>
        <v>46.666011111111118</v>
      </c>
      <c r="N564" s="4">
        <f t="shared" si="122"/>
        <v>46.666011889645802</v>
      </c>
      <c r="O564" s="5">
        <f t="shared" si="110"/>
        <v>33.747410690939759</v>
      </c>
      <c r="P564" s="2">
        <f t="shared" si="111"/>
        <v>2.1539623931626617E-11</v>
      </c>
      <c r="Q564" s="2">
        <f t="shared" si="112"/>
        <v>2.7792248116241718E-14</v>
      </c>
      <c r="R564" s="6">
        <f t="shared" si="113"/>
        <v>-124.47000453726922</v>
      </c>
      <c r="S564" s="2">
        <f t="shared" si="114"/>
        <v>9.304358984572838E-12</v>
      </c>
      <c r="T564" s="2">
        <f t="shared" si="115"/>
        <v>9.8186989712967281E-15</v>
      </c>
      <c r="U564" s="6">
        <f t="shared" si="116"/>
        <v>46.666011889645034</v>
      </c>
      <c r="V564" s="2">
        <f t="shared" si="117"/>
        <v>1.6683103996010906E-8</v>
      </c>
      <c r="W564" s="2">
        <f t="shared" si="118"/>
        <v>1.64442197553885E-14</v>
      </c>
    </row>
    <row r="565" spans="1:23" x14ac:dyDescent="0.45">
      <c r="A565">
        <v>-0.81971000000000005</v>
      </c>
      <c r="B565">
        <v>-111.59759</v>
      </c>
      <c r="C565">
        <v>307.62626</v>
      </c>
      <c r="D565">
        <v>286.26080000000002</v>
      </c>
      <c r="E565" s="10" t="s">
        <v>1705</v>
      </c>
      <c r="F565" s="10" t="s">
        <v>1706</v>
      </c>
      <c r="G565" s="10" t="s">
        <v>1707</v>
      </c>
      <c r="H565" s="10">
        <v>-0.81812948526762197</v>
      </c>
      <c r="I565" s="10">
        <v>-111.599626879176</v>
      </c>
      <c r="J565" s="10">
        <v>-52.373710888191198</v>
      </c>
      <c r="K565" s="4">
        <f t="shared" si="119"/>
        <v>-0.81812948611111114</v>
      </c>
      <c r="L565" s="4">
        <f t="shared" si="120"/>
        <v>-111.59962688055555</v>
      </c>
      <c r="M565" s="4">
        <f t="shared" si="121"/>
        <v>307.62628888888889</v>
      </c>
      <c r="N565" s="4">
        <f t="shared" si="122"/>
        <v>307.62628911180877</v>
      </c>
      <c r="O565" s="5">
        <f t="shared" si="110"/>
        <v>-0.818129485268</v>
      </c>
      <c r="P565" s="2">
        <f t="shared" si="111"/>
        <v>1.0305350812732012E-9</v>
      </c>
      <c r="Q565" s="2">
        <f t="shared" si="112"/>
        <v>4.6206737037622645E-13</v>
      </c>
      <c r="R565" s="6">
        <f t="shared" si="113"/>
        <v>-111.59962687917586</v>
      </c>
      <c r="S565" s="2">
        <f t="shared" si="114"/>
        <v>1.2362848248690747E-11</v>
      </c>
      <c r="T565" s="2">
        <f t="shared" si="115"/>
        <v>1.2733783358063974E-15</v>
      </c>
      <c r="U565" s="6">
        <f t="shared" si="116"/>
        <v>307.62628911180855</v>
      </c>
      <c r="V565" s="2">
        <f t="shared" si="117"/>
        <v>7.2464435117081494E-10</v>
      </c>
      <c r="W565" s="2">
        <f t="shared" si="118"/>
        <v>7.3912303171394962E-16</v>
      </c>
    </row>
    <row r="566" spans="1:23" x14ac:dyDescent="0.4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10" t="s">
        <v>1708</v>
      </c>
      <c r="F566" s="10" t="s">
        <v>1709</v>
      </c>
      <c r="G566" s="10" t="s">
        <v>1710</v>
      </c>
      <c r="H566" s="10">
        <v>-83.180557731047102</v>
      </c>
      <c r="I566" s="10">
        <v>-157.54972292452601</v>
      </c>
      <c r="J566" s="10">
        <v>-133.31259325126501</v>
      </c>
      <c r="K566" s="4">
        <f t="shared" si="119"/>
        <v>-83.180557730555549</v>
      </c>
      <c r="L566" s="4">
        <f t="shared" si="120"/>
        <v>-157.54972292499997</v>
      </c>
      <c r="M566" s="4">
        <f t="shared" si="121"/>
        <v>226.68740555555556</v>
      </c>
      <c r="N566" s="4">
        <f t="shared" si="122"/>
        <v>226.68740674873499</v>
      </c>
      <c r="O566" s="5">
        <f t="shared" si="110"/>
        <v>-83.180557731047486</v>
      </c>
      <c r="P566" s="2">
        <f t="shared" si="111"/>
        <v>5.9140882328496282E-12</v>
      </c>
      <c r="Q566" s="2">
        <f t="shared" si="112"/>
        <v>4.612773558829371E-15</v>
      </c>
      <c r="R566" s="6">
        <f t="shared" si="113"/>
        <v>-157.54972292453016</v>
      </c>
      <c r="S566" s="2">
        <f t="shared" si="114"/>
        <v>2.9819846595872923E-12</v>
      </c>
      <c r="T566" s="2">
        <f t="shared" si="115"/>
        <v>2.6338158517910126E-14</v>
      </c>
      <c r="U566" s="6">
        <f t="shared" si="116"/>
        <v>226.68740674873848</v>
      </c>
      <c r="V566" s="2">
        <f t="shared" si="117"/>
        <v>5.2635607257654516E-9</v>
      </c>
      <c r="W566" s="2">
        <f t="shared" si="118"/>
        <v>1.5421545952107467E-14</v>
      </c>
    </row>
    <row r="567" spans="1:23" x14ac:dyDescent="0.4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10" t="s">
        <v>1711</v>
      </c>
      <c r="F567" s="10" t="s">
        <v>1712</v>
      </c>
      <c r="G567" s="10" t="s">
        <v>1713</v>
      </c>
      <c r="H567" s="10">
        <v>79.332208678283905</v>
      </c>
      <c r="I567" s="10">
        <v>58.705209970075003</v>
      </c>
      <c r="J567" s="10">
        <v>-135.52801899242999</v>
      </c>
      <c r="K567" s="4">
        <f t="shared" si="119"/>
        <v>79.332208677777771</v>
      </c>
      <c r="L567" s="4">
        <f t="shared" si="120"/>
        <v>58.705209969444468</v>
      </c>
      <c r="M567" s="4">
        <f t="shared" si="121"/>
        <v>224.47198055555555</v>
      </c>
      <c r="N567" s="4">
        <f t="shared" si="122"/>
        <v>224.47198100757001</v>
      </c>
      <c r="O567" s="5">
        <f t="shared" si="110"/>
        <v>79.332208678312526</v>
      </c>
      <c r="P567" s="2">
        <f t="shared" si="111"/>
        <v>6.7406980323093506E-12</v>
      </c>
      <c r="Q567" s="2">
        <f t="shared" si="112"/>
        <v>3.607697538396072E-13</v>
      </c>
      <c r="R567" s="6">
        <f t="shared" si="113"/>
        <v>58.705209970227038</v>
      </c>
      <c r="S567" s="2">
        <f t="shared" si="114"/>
        <v>1.3330511095887783E-11</v>
      </c>
      <c r="T567" s="2">
        <f t="shared" si="115"/>
        <v>2.5898013012488744E-12</v>
      </c>
      <c r="U567" s="6">
        <f t="shared" si="116"/>
        <v>224.47198100771948</v>
      </c>
      <c r="V567" s="2">
        <f t="shared" si="117"/>
        <v>2.0143446414425433E-9</v>
      </c>
      <c r="W567" s="2">
        <f t="shared" si="118"/>
        <v>6.6587272595707172E-13</v>
      </c>
    </row>
    <row r="568" spans="1:23" x14ac:dyDescent="0.4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10" t="s">
        <v>1714</v>
      </c>
      <c r="F568" s="10" t="s">
        <v>1715</v>
      </c>
      <c r="G568" s="10" t="s">
        <v>1716</v>
      </c>
      <c r="H568" s="10">
        <v>28.6425059113404</v>
      </c>
      <c r="I568" s="10">
        <v>-153.45153416186</v>
      </c>
      <c r="J568" s="10">
        <v>-48.175994309449401</v>
      </c>
      <c r="K568" s="4">
        <f t="shared" si="119"/>
        <v>28.642505911111112</v>
      </c>
      <c r="L568" s="4">
        <f t="shared" si="120"/>
        <v>-153.45153416111111</v>
      </c>
      <c r="M568" s="4">
        <f t="shared" si="121"/>
        <v>311.82400555555557</v>
      </c>
      <c r="N568" s="4">
        <f t="shared" si="122"/>
        <v>311.82400569055062</v>
      </c>
      <c r="O568" s="5">
        <f t="shared" si="110"/>
        <v>28.642505911336446</v>
      </c>
      <c r="P568" s="2">
        <f t="shared" si="111"/>
        <v>7.8671335005010152E-12</v>
      </c>
      <c r="Q568" s="2">
        <f t="shared" si="112"/>
        <v>1.3805252713378637E-13</v>
      </c>
      <c r="R568" s="6">
        <f t="shared" si="113"/>
        <v>-153.45153416185482</v>
      </c>
      <c r="S568" s="2">
        <f t="shared" si="114"/>
        <v>4.8465522011956442E-12</v>
      </c>
      <c r="T568" s="2">
        <f t="shared" si="115"/>
        <v>3.3709347675060285E-14</v>
      </c>
      <c r="U568" s="6">
        <f t="shared" si="116"/>
        <v>311.82400569055272</v>
      </c>
      <c r="V568" s="2">
        <f t="shared" si="117"/>
        <v>4.3292738477566351E-10</v>
      </c>
      <c r="W568" s="2">
        <f t="shared" si="118"/>
        <v>6.7448511322668547E-15</v>
      </c>
    </row>
    <row r="569" spans="1:23" x14ac:dyDescent="0.45">
      <c r="A569">
        <v>-52.37426</v>
      </c>
      <c r="B569">
        <v>31.57901</v>
      </c>
      <c r="C569">
        <v>159.75973999999999</v>
      </c>
      <c r="D569">
        <v>41.176900000000003</v>
      </c>
      <c r="E569" s="10" t="s">
        <v>1717</v>
      </c>
      <c r="F569" s="10" t="s">
        <v>1718</v>
      </c>
      <c r="G569" s="10" t="s">
        <v>1719</v>
      </c>
      <c r="H569" s="10">
        <v>-52.374607197494903</v>
      </c>
      <c r="I569" s="10">
        <v>31.5792191743746</v>
      </c>
      <c r="J569" s="10">
        <v>159.759574330275</v>
      </c>
      <c r="K569" s="4">
        <f t="shared" si="119"/>
        <v>-52.374607197222225</v>
      </c>
      <c r="L569" s="4">
        <f t="shared" si="120"/>
        <v>31.579219175000048</v>
      </c>
      <c r="M569" s="4">
        <f t="shared" si="121"/>
        <v>159.75957500000004</v>
      </c>
      <c r="N569" s="4">
        <f t="shared" si="122"/>
        <v>159.75957433027497</v>
      </c>
      <c r="O569" s="5">
        <f t="shared" si="110"/>
        <v>-52.374607197494804</v>
      </c>
      <c r="P569" s="2">
        <f t="shared" si="111"/>
        <v>5.2043999731752887E-12</v>
      </c>
      <c r="Q569" s="2">
        <f t="shared" si="112"/>
        <v>1.8993170226806397E-15</v>
      </c>
      <c r="R569" s="6">
        <f t="shared" si="113"/>
        <v>31.579219174374614</v>
      </c>
      <c r="S569" s="2">
        <f t="shared" si="114"/>
        <v>1.9805237216437744E-11</v>
      </c>
      <c r="T569" s="2">
        <f t="shared" si="115"/>
        <v>4.5000652602372139E-16</v>
      </c>
      <c r="U569" s="6">
        <f t="shared" si="116"/>
        <v>159.75957433027494</v>
      </c>
      <c r="V569" s="2">
        <f t="shared" si="117"/>
        <v>4.1920811113424112E-9</v>
      </c>
      <c r="W569" s="2">
        <f t="shared" si="118"/>
        <v>1.7790301175719895E-16</v>
      </c>
    </row>
    <row r="570" spans="1:23" x14ac:dyDescent="0.45">
      <c r="A570">
        <v>-44.8003</v>
      </c>
      <c r="B570">
        <v>43.95102</v>
      </c>
      <c r="C570">
        <v>112.05547</v>
      </c>
      <c r="D570">
        <v>213.721</v>
      </c>
      <c r="E570" s="10" t="s">
        <v>1720</v>
      </c>
      <c r="F570" s="10" t="s">
        <v>1721</v>
      </c>
      <c r="G570" s="10" t="s">
        <v>1722</v>
      </c>
      <c r="H570" s="10">
        <v>-44.801022141477603</v>
      </c>
      <c r="I570" s="10">
        <v>43.953523575804503</v>
      </c>
      <c r="J570" s="10">
        <v>112.053705874344</v>
      </c>
      <c r="K570" s="4">
        <f t="shared" si="119"/>
        <v>-44.801022141666664</v>
      </c>
      <c r="L570" s="4">
        <f t="shared" si="120"/>
        <v>43.953523574999963</v>
      </c>
      <c r="M570" s="4">
        <f t="shared" si="121"/>
        <v>112.05370555555555</v>
      </c>
      <c r="N570" s="4">
        <f t="shared" si="122"/>
        <v>112.05370587434402</v>
      </c>
      <c r="O570" s="5">
        <f t="shared" si="110"/>
        <v>-44.801022141477823</v>
      </c>
      <c r="P570" s="2">
        <f t="shared" si="111"/>
        <v>4.2151034475468481E-12</v>
      </c>
      <c r="Q570" s="2">
        <f t="shared" si="112"/>
        <v>4.916589790966012E-15</v>
      </c>
      <c r="R570" s="6">
        <f t="shared" si="113"/>
        <v>43.953523575805427</v>
      </c>
      <c r="S570" s="2">
        <f t="shared" si="114"/>
        <v>1.8325359932882074E-11</v>
      </c>
      <c r="T570" s="2">
        <f t="shared" si="115"/>
        <v>2.1015506410881036E-14</v>
      </c>
      <c r="U570" s="6">
        <f t="shared" si="116"/>
        <v>112.05370587434358</v>
      </c>
      <c r="V570" s="2">
        <f t="shared" si="117"/>
        <v>2.8449574579465389E-9</v>
      </c>
      <c r="W570" s="2">
        <f t="shared" si="118"/>
        <v>3.9314763642469412E-15</v>
      </c>
    </row>
    <row r="571" spans="1:23" x14ac:dyDescent="0.45">
      <c r="A571">
        <v>-77.591309999999993</v>
      </c>
      <c r="B571">
        <v>156.82078000000001</v>
      </c>
      <c r="C571">
        <v>139.50046</v>
      </c>
      <c r="D571">
        <v>299.5917</v>
      </c>
      <c r="E571" s="10" t="s">
        <v>1723</v>
      </c>
      <c r="F571" s="10" t="s">
        <v>1724</v>
      </c>
      <c r="G571" s="10" t="s">
        <v>1725</v>
      </c>
      <c r="H571" s="10">
        <v>-77.593350448000507</v>
      </c>
      <c r="I571" s="10">
        <v>156.82888914770001</v>
      </c>
      <c r="J571" s="10">
        <v>139.49254025340801</v>
      </c>
      <c r="K571" s="4">
        <f t="shared" si="119"/>
        <v>-77.593350447222221</v>
      </c>
      <c r="L571" s="4">
        <f t="shared" si="120"/>
        <v>156.82888914722218</v>
      </c>
      <c r="M571" s="4">
        <f t="shared" si="121"/>
        <v>139.49253888888887</v>
      </c>
      <c r="N571" s="4">
        <f t="shared" si="122"/>
        <v>139.49254025340804</v>
      </c>
      <c r="O571" s="5">
        <f t="shared" si="110"/>
        <v>-77.593350448008067</v>
      </c>
      <c r="P571" s="2">
        <f t="shared" si="111"/>
        <v>1.0127749998764079E-11</v>
      </c>
      <c r="Q571" s="2">
        <f t="shared" si="112"/>
        <v>9.743328087828798E-14</v>
      </c>
      <c r="R571" s="6">
        <f t="shared" si="113"/>
        <v>156.82888914773031</v>
      </c>
      <c r="S571" s="2">
        <f t="shared" si="114"/>
        <v>3.2399854641561933E-12</v>
      </c>
      <c r="T571" s="2">
        <f t="shared" si="115"/>
        <v>1.9318852806689669E-13</v>
      </c>
      <c r="U571" s="6">
        <f t="shared" si="116"/>
        <v>139.49254025337794</v>
      </c>
      <c r="V571" s="2">
        <f t="shared" si="117"/>
        <v>9.7818068020320395E-9</v>
      </c>
      <c r="W571" s="2">
        <f t="shared" si="118"/>
        <v>2.1577204223336585E-13</v>
      </c>
    </row>
    <row r="572" spans="1:23" x14ac:dyDescent="0.45">
      <c r="A572">
        <v>-63.280999999999999</v>
      </c>
      <c r="B572">
        <v>77.74485</v>
      </c>
      <c r="C572">
        <v>133.05328</v>
      </c>
      <c r="D572">
        <v>26.440300000000001</v>
      </c>
      <c r="E572" s="10" t="s">
        <v>1726</v>
      </c>
      <c r="F572" s="10" t="s">
        <v>1727</v>
      </c>
      <c r="G572" s="10" t="s">
        <v>1728</v>
      </c>
      <c r="H572" s="10">
        <v>-63.281161934040597</v>
      </c>
      <c r="I572" s="10">
        <v>77.745234985340403</v>
      </c>
      <c r="J572" s="10">
        <v>133.05293612224901</v>
      </c>
      <c r="K572" s="4">
        <f t="shared" si="119"/>
        <v>-63.281161933333337</v>
      </c>
      <c r="L572" s="4">
        <f t="shared" si="120"/>
        <v>77.745234986111086</v>
      </c>
      <c r="M572" s="4">
        <f t="shared" si="121"/>
        <v>133.05293611111114</v>
      </c>
      <c r="N572" s="4">
        <f t="shared" si="122"/>
        <v>133.05293612224898</v>
      </c>
      <c r="O572" s="5">
        <f t="shared" si="110"/>
        <v>-63.281161934040803</v>
      </c>
      <c r="P572" s="2">
        <f t="shared" si="111"/>
        <v>1.117972654262534E-11</v>
      </c>
      <c r="Q572" s="2">
        <f t="shared" si="112"/>
        <v>3.2562201304901353E-15</v>
      </c>
      <c r="R572" s="6">
        <f t="shared" si="113"/>
        <v>77.745234985340957</v>
      </c>
      <c r="S572" s="2">
        <f t="shared" si="114"/>
        <v>9.9058012972566482E-12</v>
      </c>
      <c r="T572" s="2">
        <f t="shared" si="115"/>
        <v>7.1287112836868034E-15</v>
      </c>
      <c r="U572" s="6">
        <f t="shared" si="116"/>
        <v>133.05293612224841</v>
      </c>
      <c r="V572" s="2">
        <f t="shared" si="117"/>
        <v>8.3705587711936174E-11</v>
      </c>
      <c r="W572" s="2">
        <f t="shared" si="118"/>
        <v>4.2722408477014218E-15</v>
      </c>
    </row>
    <row r="573" spans="1:23" x14ac:dyDescent="0.45">
      <c r="A573">
        <v>-76.6036</v>
      </c>
      <c r="B573">
        <v>16.639379999999999</v>
      </c>
      <c r="C573">
        <v>312.82227</v>
      </c>
      <c r="D573">
        <v>113.30110000000001</v>
      </c>
      <c r="E573" s="10" t="s">
        <v>1729</v>
      </c>
      <c r="F573" s="10" t="s">
        <v>1730</v>
      </c>
      <c r="G573" s="10" t="s">
        <v>1731</v>
      </c>
      <c r="H573" s="10">
        <v>-76.6029100987313</v>
      </c>
      <c r="I573" s="10">
        <v>16.636168266359402</v>
      </c>
      <c r="J573" s="10">
        <v>-47.174605660706703</v>
      </c>
      <c r="K573" s="4">
        <f t="shared" si="119"/>
        <v>-76.602910100000003</v>
      </c>
      <c r="L573" s="4">
        <f t="shared" si="120"/>
        <v>16.636168266666687</v>
      </c>
      <c r="M573" s="4">
        <f t="shared" si="121"/>
        <v>312.82539444444444</v>
      </c>
      <c r="N573" s="4">
        <f t="shared" si="122"/>
        <v>312.82539433929333</v>
      </c>
      <c r="O573" s="5">
        <f t="shared" si="110"/>
        <v>-76.602910098728614</v>
      </c>
      <c r="P573" s="2">
        <f t="shared" si="111"/>
        <v>1.6597128311320674E-11</v>
      </c>
      <c r="Q573" s="2">
        <f t="shared" si="112"/>
        <v>3.5062004011485483E-14</v>
      </c>
      <c r="R573" s="6">
        <f t="shared" si="113"/>
        <v>16.636168266347525</v>
      </c>
      <c r="S573" s="2">
        <f t="shared" si="114"/>
        <v>1.9184801507941875E-11</v>
      </c>
      <c r="T573" s="2">
        <f t="shared" si="115"/>
        <v>7.1390969591515995E-13</v>
      </c>
      <c r="U573" s="6">
        <f t="shared" si="116"/>
        <v>312.82539433930458</v>
      </c>
      <c r="V573" s="2">
        <f t="shared" si="117"/>
        <v>3.3609759031368222E-10</v>
      </c>
      <c r="W573" s="2">
        <f t="shared" si="118"/>
        <v>3.5978527121211629E-14</v>
      </c>
    </row>
    <row r="574" spans="1:23" x14ac:dyDescent="0.45">
      <c r="A574">
        <v>57.43224</v>
      </c>
      <c r="B574">
        <v>78.881559999999993</v>
      </c>
      <c r="C574">
        <v>193.30803</v>
      </c>
      <c r="D574">
        <v>216.56450000000001</v>
      </c>
      <c r="E574" s="10" t="s">
        <v>1732</v>
      </c>
      <c r="F574" s="10" t="s">
        <v>1733</v>
      </c>
      <c r="G574" s="10" t="s">
        <v>1734</v>
      </c>
      <c r="H574" s="10">
        <v>57.430347624105003</v>
      </c>
      <c r="I574" s="10">
        <v>78.880730118285399</v>
      </c>
      <c r="J574" s="10">
        <v>-166.69266937994101</v>
      </c>
      <c r="K574" s="4">
        <f t="shared" si="119"/>
        <v>57.430347625000003</v>
      </c>
      <c r="L574" s="4">
        <f t="shared" si="120"/>
        <v>78.880730119444479</v>
      </c>
      <c r="M574" s="4">
        <f t="shared" si="121"/>
        <v>193.30733055555555</v>
      </c>
      <c r="N574" s="4">
        <f t="shared" si="122"/>
        <v>193.30733062005899</v>
      </c>
      <c r="O574" s="5">
        <f t="shared" si="110"/>
        <v>57.43034762410413</v>
      </c>
      <c r="P574" s="2">
        <f t="shared" si="111"/>
        <v>1.5599306543957334E-11</v>
      </c>
      <c r="Q574" s="2">
        <f t="shared" si="112"/>
        <v>1.521787001369458E-14</v>
      </c>
      <c r="R574" s="6">
        <f t="shared" si="113"/>
        <v>78.880730118285157</v>
      </c>
      <c r="S574" s="2">
        <f t="shared" si="114"/>
        <v>1.4697144992328121E-11</v>
      </c>
      <c r="T574" s="2">
        <f t="shared" si="115"/>
        <v>3.062655857725538E-15</v>
      </c>
      <c r="U574" s="6">
        <f t="shared" si="116"/>
        <v>193.30733062005822</v>
      </c>
      <c r="V574" s="2">
        <f t="shared" si="117"/>
        <v>3.3367938744481355E-10</v>
      </c>
      <c r="W574" s="2">
        <f t="shared" si="118"/>
        <v>3.969772652487699E-15</v>
      </c>
    </row>
    <row r="575" spans="1:23" x14ac:dyDescent="0.4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10" t="s">
        <v>1735</v>
      </c>
      <c r="F575" s="10" t="s">
        <v>1736</v>
      </c>
      <c r="G575" s="10" t="s">
        <v>1737</v>
      </c>
      <c r="H575" s="10">
        <v>-70.089586653665407</v>
      </c>
      <c r="I575" s="10">
        <v>130.12543378552999</v>
      </c>
      <c r="J575" s="10">
        <v>-133.30975316195901</v>
      </c>
      <c r="K575" s="4">
        <f t="shared" si="119"/>
        <v>-70.089586652777783</v>
      </c>
      <c r="L575" s="4">
        <f t="shared" si="120"/>
        <v>130.1254337861111</v>
      </c>
      <c r="M575" s="4">
        <f t="shared" si="121"/>
        <v>226.69024722222224</v>
      </c>
      <c r="N575" s="4">
        <f t="shared" si="122"/>
        <v>226.69024683804099</v>
      </c>
      <c r="O575" s="5">
        <f t="shared" si="110"/>
        <v>-70.089586653667581</v>
      </c>
      <c r="P575" s="2">
        <f t="shared" si="111"/>
        <v>1.2695159147473641E-11</v>
      </c>
      <c r="Q575" s="2">
        <f t="shared" si="112"/>
        <v>3.1021166984043005E-14</v>
      </c>
      <c r="R575" s="6">
        <f t="shared" si="113"/>
        <v>130.12543378552269</v>
      </c>
      <c r="S575" s="2">
        <f t="shared" si="114"/>
        <v>4.5219034681939203E-12</v>
      </c>
      <c r="T575" s="2">
        <f t="shared" si="115"/>
        <v>5.6133371556345815E-14</v>
      </c>
      <c r="U575" s="6">
        <f t="shared" si="116"/>
        <v>226.69024683804753</v>
      </c>
      <c r="V575" s="2">
        <f t="shared" si="117"/>
        <v>1.6947121294629803E-9</v>
      </c>
      <c r="W575" s="2">
        <f t="shared" si="118"/>
        <v>2.8836675861327554E-14</v>
      </c>
    </row>
    <row r="576" spans="1:23" x14ac:dyDescent="0.4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10" t="s">
        <v>1738</v>
      </c>
      <c r="F576" s="10" t="s">
        <v>1739</v>
      </c>
      <c r="G576" s="10" t="s">
        <v>1740</v>
      </c>
      <c r="H576" s="10">
        <v>72.798725545345107</v>
      </c>
      <c r="I576" s="10">
        <v>61.034623651993599</v>
      </c>
      <c r="J576" s="10">
        <v>26.695653420254398</v>
      </c>
      <c r="K576" s="4">
        <f t="shared" si="119"/>
        <v>72.798725544444451</v>
      </c>
      <c r="L576" s="4">
        <f t="shared" si="120"/>
        <v>61.034623652777782</v>
      </c>
      <c r="M576" s="4">
        <f t="shared" si="121"/>
        <v>26.695652777777809</v>
      </c>
      <c r="N576" s="4">
        <f t="shared" si="122"/>
        <v>26.695653420254416</v>
      </c>
      <c r="O576" s="5">
        <f t="shared" si="110"/>
        <v>72.798725545348006</v>
      </c>
      <c r="P576" s="2">
        <f t="shared" si="111"/>
        <v>1.2411681080190661E-11</v>
      </c>
      <c r="Q576" s="2">
        <f t="shared" si="112"/>
        <v>3.9822322989644389E-14</v>
      </c>
      <c r="R576" s="6">
        <f t="shared" si="113"/>
        <v>61.034623651998736</v>
      </c>
      <c r="S576" s="2">
        <f t="shared" si="114"/>
        <v>1.2764003680053426E-11</v>
      </c>
      <c r="T576" s="2">
        <f t="shared" si="115"/>
        <v>8.4169012146890253E-14</v>
      </c>
      <c r="U576" s="6">
        <f t="shared" si="116"/>
        <v>26.695653420259241</v>
      </c>
      <c r="V576" s="2">
        <f t="shared" si="117"/>
        <v>2.4066893473635528E-8</v>
      </c>
      <c r="W576" s="2">
        <f t="shared" si="118"/>
        <v>1.8072549489088702E-13</v>
      </c>
    </row>
    <row r="577" spans="1:23" x14ac:dyDescent="0.45">
      <c r="A577">
        <v>-12.12105</v>
      </c>
      <c r="B577">
        <v>65.601759999999999</v>
      </c>
      <c r="C577">
        <v>172.55895000000001</v>
      </c>
      <c r="D577">
        <v>211.75059999999999</v>
      </c>
      <c r="E577" s="10" t="s">
        <v>1741</v>
      </c>
      <c r="F577" s="10" t="s">
        <v>1742</v>
      </c>
      <c r="G577" s="10" t="s">
        <v>1743</v>
      </c>
      <c r="H577" s="10">
        <v>-12.122948039915499</v>
      </c>
      <c r="I577" s="10">
        <v>65.602011926658093</v>
      </c>
      <c r="J577" s="10">
        <v>172.55889709691999</v>
      </c>
      <c r="K577" s="4">
        <f t="shared" si="119"/>
        <v>-12.122948038888889</v>
      </c>
      <c r="L577" s="4">
        <f t="shared" si="120"/>
        <v>65.602011927777767</v>
      </c>
      <c r="M577" s="4">
        <f t="shared" si="121"/>
        <v>172.55889722222219</v>
      </c>
      <c r="N577" s="4">
        <f t="shared" si="122"/>
        <v>172.55889709691996</v>
      </c>
      <c r="O577" s="5">
        <f t="shared" si="110"/>
        <v>-12.122948039909023</v>
      </c>
      <c r="P577" s="2">
        <f t="shared" si="111"/>
        <v>8.4148946929878304E-11</v>
      </c>
      <c r="Q577" s="2">
        <f t="shared" si="112"/>
        <v>5.342427448446324E-13</v>
      </c>
      <c r="R577" s="6">
        <f t="shared" si="113"/>
        <v>65.602011926657227</v>
      </c>
      <c r="S577" s="2">
        <f t="shared" si="114"/>
        <v>1.7080880177608158E-11</v>
      </c>
      <c r="T577" s="2">
        <f t="shared" si="115"/>
        <v>1.3213956587131185E-14</v>
      </c>
      <c r="U577" s="6">
        <f t="shared" si="116"/>
        <v>172.55889709692028</v>
      </c>
      <c r="V577" s="2">
        <f t="shared" si="117"/>
        <v>7.2613995169119208E-10</v>
      </c>
      <c r="W577" s="2">
        <f t="shared" si="118"/>
        <v>1.8117802616624652E-15</v>
      </c>
    </row>
    <row r="578" spans="1:23" x14ac:dyDescent="0.4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10" t="s">
        <v>1744</v>
      </c>
      <c r="F578" s="10" t="s">
        <v>1745</v>
      </c>
      <c r="G578" s="10" t="s">
        <v>1746</v>
      </c>
      <c r="H578" s="10">
        <v>56.408324231553102</v>
      </c>
      <c r="I578" s="10">
        <v>-137.347842447837</v>
      </c>
      <c r="J578" s="10">
        <v>-114.86783869908599</v>
      </c>
      <c r="K578" s="4">
        <f t="shared" si="119"/>
        <v>56.408324230555557</v>
      </c>
      <c r="L578" s="4">
        <f t="shared" si="120"/>
        <v>-137.34784244722221</v>
      </c>
      <c r="M578" s="4">
        <f t="shared" si="121"/>
        <v>245.13216111111112</v>
      </c>
      <c r="N578" s="4">
        <f t="shared" si="122"/>
        <v>245.13216130091399</v>
      </c>
      <c r="O578" s="5">
        <f t="shared" si="110"/>
        <v>56.408324231559689</v>
      </c>
      <c r="P578" s="2">
        <f t="shared" si="111"/>
        <v>1.780112957521423E-11</v>
      </c>
      <c r="Q578" s="2">
        <f t="shared" si="112"/>
        <v>1.1676877925779102E-13</v>
      </c>
      <c r="R578" s="6">
        <f t="shared" si="113"/>
        <v>-137.34784244781125</v>
      </c>
      <c r="S578" s="2">
        <f t="shared" si="114"/>
        <v>4.2886725954320672E-12</v>
      </c>
      <c r="T578" s="2">
        <f t="shared" si="115"/>
        <v>1.8748069343517783E-13</v>
      </c>
      <c r="U578" s="6">
        <f t="shared" si="116"/>
        <v>245.13216130093571</v>
      </c>
      <c r="V578" s="2">
        <f t="shared" si="117"/>
        <v>7.7437651985043631E-10</v>
      </c>
      <c r="W578" s="2">
        <f t="shared" si="118"/>
        <v>8.8581546744383475E-14</v>
      </c>
    </row>
    <row r="579" spans="1:23" x14ac:dyDescent="0.4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10" t="s">
        <v>1747</v>
      </c>
      <c r="F579" s="10" t="s">
        <v>1748</v>
      </c>
      <c r="G579" s="10" t="s">
        <v>1749</v>
      </c>
      <c r="H579" s="10">
        <v>4.0328180138268701</v>
      </c>
      <c r="I579" s="10">
        <v>53.338438823035098</v>
      </c>
      <c r="J579" s="10">
        <v>115.789052909958</v>
      </c>
      <c r="K579" s="4">
        <f t="shared" si="119"/>
        <v>4.0328180138888889</v>
      </c>
      <c r="L579" s="4">
        <f t="shared" si="120"/>
        <v>53.338438822222201</v>
      </c>
      <c r="M579" s="4">
        <f t="shared" si="121"/>
        <v>115.78905277777778</v>
      </c>
      <c r="N579" s="4">
        <f t="shared" si="122"/>
        <v>115.789052909958</v>
      </c>
      <c r="O579" s="5">
        <f t="shared" si="110"/>
        <v>4.0328180138268834</v>
      </c>
      <c r="P579" s="2">
        <f t="shared" si="111"/>
        <v>1.5375231816204019E-11</v>
      </c>
      <c r="Q579" s="2">
        <f t="shared" si="112"/>
        <v>3.3035649637112102E-15</v>
      </c>
      <c r="R579" s="6">
        <f t="shared" si="113"/>
        <v>53.338438823035034</v>
      </c>
      <c r="S579" s="2">
        <f t="shared" si="114"/>
        <v>1.5239149962924612E-11</v>
      </c>
      <c r="T579" s="2">
        <f t="shared" si="115"/>
        <v>1.1989260958794999E-15</v>
      </c>
      <c r="U579" s="6">
        <f t="shared" si="116"/>
        <v>115.78905290995837</v>
      </c>
      <c r="V579" s="2">
        <f t="shared" si="117"/>
        <v>1.1415637755174998E-9</v>
      </c>
      <c r="W579" s="2">
        <f t="shared" si="118"/>
        <v>3.1909944274488161E-15</v>
      </c>
    </row>
    <row r="580" spans="1:23" x14ac:dyDescent="0.45">
      <c r="A580">
        <v>-24.675519999999999</v>
      </c>
      <c r="B580">
        <v>-116.47371</v>
      </c>
      <c r="C580">
        <v>17.108699999999999</v>
      </c>
      <c r="D580">
        <v>298.60430000000002</v>
      </c>
      <c r="E580" s="10" t="s">
        <v>1750</v>
      </c>
      <c r="F580" s="10" t="s">
        <v>1751</v>
      </c>
      <c r="G580" s="10" t="s">
        <v>1752</v>
      </c>
      <c r="H580" s="10">
        <v>-24.672943527601898</v>
      </c>
      <c r="I580" s="10">
        <v>-116.47284210042901</v>
      </c>
      <c r="J580" s="10">
        <v>17.108337688000201</v>
      </c>
      <c r="K580" s="4">
        <f t="shared" si="119"/>
        <v>-24.672943527777779</v>
      </c>
      <c r="L580" s="4">
        <f t="shared" si="120"/>
        <v>-116.47284209999998</v>
      </c>
      <c r="M580" s="4">
        <f t="shared" si="121"/>
        <v>17.108338888888852</v>
      </c>
      <c r="N580" s="4">
        <f t="shared" si="122"/>
        <v>17.108337688000177</v>
      </c>
      <c r="O580" s="5">
        <f t="shared" si="110"/>
        <v>-24.672943527604254</v>
      </c>
      <c r="P580" s="2">
        <f t="shared" si="111"/>
        <v>7.0330154980613202E-12</v>
      </c>
      <c r="Q580" s="2">
        <f t="shared" si="112"/>
        <v>9.5466889323913249E-14</v>
      </c>
      <c r="R580" s="6">
        <f t="shared" si="113"/>
        <v>-116.47284210042982</v>
      </c>
      <c r="S580" s="2">
        <f t="shared" si="114"/>
        <v>3.6904373141480603E-12</v>
      </c>
      <c r="T580" s="2">
        <f t="shared" si="115"/>
        <v>6.9545715907582431E-15</v>
      </c>
      <c r="U580" s="6">
        <f t="shared" si="116"/>
        <v>17.108337688000475</v>
      </c>
      <c r="V580" s="2">
        <f t="shared" si="117"/>
        <v>7.0193160480592012E-8</v>
      </c>
      <c r="W580" s="2">
        <f t="shared" si="118"/>
        <v>1.7443421708268015E-14</v>
      </c>
    </row>
    <row r="581" spans="1:23" x14ac:dyDescent="0.45">
      <c r="A581">
        <v>24.813469999999999</v>
      </c>
      <c r="B581">
        <v>95.51782</v>
      </c>
      <c r="C581">
        <v>34.912210000000002</v>
      </c>
      <c r="D581">
        <v>134.36859999999999</v>
      </c>
      <c r="E581" s="10" t="s">
        <v>1753</v>
      </c>
      <c r="F581" s="10" t="s">
        <v>1754</v>
      </c>
      <c r="G581" s="10" t="s">
        <v>1755</v>
      </c>
      <c r="H581" s="10">
        <v>24.814464727239798</v>
      </c>
      <c r="I581" s="10">
        <v>95.518580643351996</v>
      </c>
      <c r="J581" s="10">
        <v>34.912529221754902</v>
      </c>
      <c r="K581" s="4">
        <f t="shared" si="119"/>
        <v>24.814464727777779</v>
      </c>
      <c r="L581" s="4">
        <f t="shared" si="120"/>
        <v>95.518580644444455</v>
      </c>
      <c r="M581" s="4">
        <f t="shared" si="121"/>
        <v>34.912530555555577</v>
      </c>
      <c r="N581" s="4">
        <f t="shared" si="122"/>
        <v>34.91252922175488</v>
      </c>
      <c r="O581" s="5">
        <f t="shared" ref="O581:O603" si="123">vincentyDirLat(A581, $B581, $C581, $D581)</f>
        <v>24.814464727239521</v>
      </c>
      <c r="P581" s="2">
        <f t="shared" ref="P581:P603" si="124">ABS((K581-O581)/K581)</f>
        <v>2.1691277427306872E-11</v>
      </c>
      <c r="Q581" s="2">
        <f t="shared" ref="Q581:Q603" si="125">ABS((H581-O581)/H581)</f>
        <v>1.1167344127404968E-14</v>
      </c>
      <c r="R581" s="6">
        <f t="shared" ref="R581:R603" si="126">VincentyDirLon($A581, $B581, $C581, $D581)</f>
        <v>95.518580643351783</v>
      </c>
      <c r="S581" s="2">
        <f t="shared" ref="S581:S603" si="127">ABS((L581-R581)/L581)</f>
        <v>1.1439372441255324E-11</v>
      </c>
      <c r="T581" s="2">
        <f t="shared" ref="T581:T603" si="128">ABS((I581-R581)/I581)</f>
        <v>2.2316372300792346E-15</v>
      </c>
      <c r="U581" s="6">
        <f t="shared" ref="U581:U603" si="129">VincentyDirRevAzimuth($A581, $B581, $C581, $D581)</f>
        <v>34.912529221754838</v>
      </c>
      <c r="V581" s="2">
        <f t="shared" ref="V581:V603" si="130">ABS((M581-U581)/M581)</f>
        <v>3.8204069368932706E-8</v>
      </c>
      <c r="W581" s="2">
        <f t="shared" ref="W581:W603" si="131">ABS((N581-U581)/N581)</f>
        <v>1.2211250544128606E-15</v>
      </c>
    </row>
    <row r="582" spans="1:23" x14ac:dyDescent="0.45">
      <c r="A582">
        <v>-67.415689999999998</v>
      </c>
      <c r="B582">
        <v>65.61645</v>
      </c>
      <c r="C582">
        <v>198.33238</v>
      </c>
      <c r="D582">
        <v>113.09690000000001</v>
      </c>
      <c r="E582" s="10" t="s">
        <v>1756</v>
      </c>
      <c r="F582" s="10" t="s">
        <v>1757</v>
      </c>
      <c r="G582" s="10" t="s">
        <v>1758</v>
      </c>
      <c r="H582" s="10">
        <v>-67.416652602075104</v>
      </c>
      <c r="I582" s="10">
        <v>65.615620272359394</v>
      </c>
      <c r="J582" s="10">
        <v>-161.66685389699899</v>
      </c>
      <c r="K582" s="4">
        <f t="shared" si="119"/>
        <v>-67.416652602777773</v>
      </c>
      <c r="L582" s="4">
        <f t="shared" si="120"/>
        <v>65.615620272222259</v>
      </c>
      <c r="M582" s="4">
        <f t="shared" si="121"/>
        <v>198.33314722222224</v>
      </c>
      <c r="N582" s="4">
        <f t="shared" si="122"/>
        <v>198.33314610300101</v>
      </c>
      <c r="O582" s="5">
        <f t="shared" si="123"/>
        <v>-67.416652602076752</v>
      </c>
      <c r="P582" s="2">
        <f t="shared" si="124"/>
        <v>1.0398342783812892E-11</v>
      </c>
      <c r="Q582" s="2">
        <f t="shared" si="125"/>
        <v>2.4451809506078806E-14</v>
      </c>
      <c r="R582" s="6">
        <f t="shared" si="126"/>
        <v>65.61562027235793</v>
      </c>
      <c r="S582" s="2">
        <f t="shared" si="127"/>
        <v>2.0676636051472115E-12</v>
      </c>
      <c r="T582" s="2">
        <f t="shared" si="128"/>
        <v>2.2307463216687722E-14</v>
      </c>
      <c r="U582" s="6">
        <f t="shared" si="129"/>
        <v>198.33314610300187</v>
      </c>
      <c r="V582" s="2">
        <f t="shared" si="130"/>
        <v>5.6431332188697243E-9</v>
      </c>
      <c r="W582" s="2">
        <f t="shared" si="131"/>
        <v>4.2990861571333616E-15</v>
      </c>
    </row>
    <row r="583" spans="1:23" x14ac:dyDescent="0.45">
      <c r="A583">
        <v>1.18946</v>
      </c>
      <c r="B583">
        <v>62.518470000000001</v>
      </c>
      <c r="C583">
        <v>336.43885999999998</v>
      </c>
      <c r="D583">
        <v>258.26159999999999</v>
      </c>
      <c r="E583" s="10" t="s">
        <v>1759</v>
      </c>
      <c r="F583" s="10" t="s">
        <v>1760</v>
      </c>
      <c r="G583" s="10" t="s">
        <v>1761</v>
      </c>
      <c r="H583" s="10">
        <v>1.1916009168716799</v>
      </c>
      <c r="I583" s="10">
        <v>62.517542431739201</v>
      </c>
      <c r="J583" s="10">
        <v>-23.5611592722538</v>
      </c>
      <c r="K583" s="4">
        <f t="shared" si="119"/>
        <v>1.1916009166666666</v>
      </c>
      <c r="L583" s="4">
        <f t="shared" si="120"/>
        <v>62.517542430555523</v>
      </c>
      <c r="M583" s="4">
        <f t="shared" si="121"/>
        <v>336.43884166666669</v>
      </c>
      <c r="N583" s="4">
        <f t="shared" si="122"/>
        <v>336.4388407277462</v>
      </c>
      <c r="O583" s="5">
        <f t="shared" si="123"/>
        <v>1.1916009168656825</v>
      </c>
      <c r="P583" s="2">
        <f t="shared" si="124"/>
        <v>1.6701557717475166E-10</v>
      </c>
      <c r="Q583" s="2">
        <f t="shared" si="125"/>
        <v>5.0330817089082024E-12</v>
      </c>
      <c r="R583" s="6">
        <f t="shared" si="126"/>
        <v>62.517542431741894</v>
      </c>
      <c r="S583" s="2">
        <f t="shared" si="127"/>
        <v>1.897662389615504E-11</v>
      </c>
      <c r="T583" s="2">
        <f t="shared" si="128"/>
        <v>4.3075221190454322E-14</v>
      </c>
      <c r="U583" s="6">
        <f t="shared" si="129"/>
        <v>336.43884072774586</v>
      </c>
      <c r="V583" s="2">
        <f t="shared" si="130"/>
        <v>2.7907622965390444E-9</v>
      </c>
      <c r="W583" s="2">
        <f t="shared" si="131"/>
        <v>1.0137370359115042E-15</v>
      </c>
    </row>
    <row r="584" spans="1:23" x14ac:dyDescent="0.45">
      <c r="A584">
        <v>86.295429999999996</v>
      </c>
      <c r="B584">
        <v>128.02153000000001</v>
      </c>
      <c r="C584">
        <v>249.55179999999999</v>
      </c>
      <c r="D584">
        <v>245.2526</v>
      </c>
      <c r="E584" s="10" t="s">
        <v>1762</v>
      </c>
      <c r="F584" s="10" t="s">
        <v>1763</v>
      </c>
      <c r="G584" s="10" t="s">
        <v>1764</v>
      </c>
      <c r="H584" s="10">
        <v>86.294662287370102</v>
      </c>
      <c r="I584" s="10">
        <v>127.989693756796</v>
      </c>
      <c r="J584" s="10">
        <v>-110.479969706574</v>
      </c>
      <c r="K584" s="4">
        <f t="shared" si="119"/>
        <v>86.294662286111105</v>
      </c>
      <c r="L584" s="4">
        <f t="shared" si="120"/>
        <v>127.98969375555555</v>
      </c>
      <c r="M584" s="4">
        <f t="shared" si="121"/>
        <v>249.52003055555554</v>
      </c>
      <c r="N584" s="4">
        <f t="shared" si="122"/>
        <v>249.520030293426</v>
      </c>
      <c r="O584" s="5">
        <f t="shared" si="123"/>
        <v>86.294662287366478</v>
      </c>
      <c r="P584" s="2">
        <f t="shared" si="124"/>
        <v>1.4547512689997266E-11</v>
      </c>
      <c r="Q584" s="2">
        <f t="shared" si="125"/>
        <v>4.1992955952582452E-14</v>
      </c>
      <c r="R584" s="6">
        <f t="shared" si="126"/>
        <v>127.98969375664781</v>
      </c>
      <c r="S584" s="2">
        <f t="shared" si="127"/>
        <v>8.5339723239843304E-12</v>
      </c>
      <c r="T584" s="2">
        <f t="shared" si="128"/>
        <v>1.1578337959907639E-12</v>
      </c>
      <c r="U584" s="6">
        <f t="shared" si="129"/>
        <v>249.52003029327744</v>
      </c>
      <c r="V584" s="2">
        <f t="shared" si="130"/>
        <v>1.0511304122304553E-9</v>
      </c>
      <c r="W584" s="2">
        <f t="shared" si="131"/>
        <v>5.9538416622513449E-13</v>
      </c>
    </row>
    <row r="585" spans="1:23" x14ac:dyDescent="0.45">
      <c r="A585">
        <v>15.1288</v>
      </c>
      <c r="B585">
        <v>108.01099000000001</v>
      </c>
      <c r="C585">
        <v>122.24324</v>
      </c>
      <c r="D585">
        <v>232.00069999999999</v>
      </c>
      <c r="E585" s="10" t="s">
        <v>1765</v>
      </c>
      <c r="F585" s="10" t="s">
        <v>1766</v>
      </c>
      <c r="G585" s="10" t="s">
        <v>1767</v>
      </c>
      <c r="H585" s="10">
        <v>15.127681367662699</v>
      </c>
      <c r="I585" s="10">
        <v>108.012815570896</v>
      </c>
      <c r="J585" s="10">
        <v>122.243716438134</v>
      </c>
      <c r="K585" s="4">
        <f t="shared" si="119"/>
        <v>15.127681366666666</v>
      </c>
      <c r="L585" s="4">
        <f t="shared" si="120"/>
        <v>108.01281557222228</v>
      </c>
      <c r="M585" s="4">
        <f t="shared" si="121"/>
        <v>122.24371666666667</v>
      </c>
      <c r="N585" s="4">
        <f t="shared" si="122"/>
        <v>122.24371643813402</v>
      </c>
      <c r="O585" s="5">
        <f t="shared" si="123"/>
        <v>15.127681367662682</v>
      </c>
      <c r="P585" s="2">
        <f t="shared" si="124"/>
        <v>6.5840606382963831E-11</v>
      </c>
      <c r="Q585" s="2">
        <f t="shared" si="125"/>
        <v>1.1742426325804522E-15</v>
      </c>
      <c r="R585" s="6">
        <f t="shared" si="126"/>
        <v>108.01281557089587</v>
      </c>
      <c r="S585" s="2">
        <f t="shared" si="127"/>
        <v>1.2280142410699633E-11</v>
      </c>
      <c r="T585" s="2">
        <f t="shared" si="128"/>
        <v>1.1840973847484817E-15</v>
      </c>
      <c r="U585" s="6">
        <f t="shared" si="129"/>
        <v>122.24371643813421</v>
      </c>
      <c r="V585" s="2">
        <f t="shared" si="130"/>
        <v>1.8694822375335642E-9</v>
      </c>
      <c r="W585" s="2">
        <f t="shared" si="131"/>
        <v>1.6275025973503932E-15</v>
      </c>
    </row>
    <row r="586" spans="1:23" x14ac:dyDescent="0.4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10" t="s">
        <v>1768</v>
      </c>
      <c r="F586" s="10" t="s">
        <v>1769</v>
      </c>
      <c r="G586" s="10" t="s">
        <v>1770</v>
      </c>
      <c r="H586" s="10">
        <v>71.316080811367598</v>
      </c>
      <c r="I586" s="10">
        <v>-80.000684020583094</v>
      </c>
      <c r="J586" s="10">
        <v>-151.86306683508801</v>
      </c>
      <c r="K586" s="4">
        <f t="shared" si="119"/>
        <v>71.316080811111107</v>
      </c>
      <c r="L586" s="4">
        <f t="shared" si="120"/>
        <v>-80.000684019444464</v>
      </c>
      <c r="M586" s="4">
        <f t="shared" si="121"/>
        <v>208.13693333333333</v>
      </c>
      <c r="N586" s="4">
        <f t="shared" si="122"/>
        <v>208.13693316491199</v>
      </c>
      <c r="O586" s="5">
        <f t="shared" si="123"/>
        <v>71.316080811364372</v>
      </c>
      <c r="P586" s="2">
        <f t="shared" si="124"/>
        <v>3.5513147925940299E-12</v>
      </c>
      <c r="Q586" s="2">
        <f t="shared" si="125"/>
        <v>4.5233332842326641E-14</v>
      </c>
      <c r="R586" s="6">
        <f t="shared" si="126"/>
        <v>-80.000684020588338</v>
      </c>
      <c r="S586" s="2">
        <f t="shared" si="127"/>
        <v>1.4298306853385553E-11</v>
      </c>
      <c r="T586" s="2">
        <f t="shared" si="128"/>
        <v>6.5547006930095487E-14</v>
      </c>
      <c r="U586" s="6">
        <f t="shared" si="129"/>
        <v>208.13693316490688</v>
      </c>
      <c r="V586" s="2">
        <f t="shared" si="130"/>
        <v>8.0920983379215783E-10</v>
      </c>
      <c r="W586" s="2">
        <f t="shared" si="131"/>
        <v>2.4579528580923514E-14</v>
      </c>
    </row>
    <row r="587" spans="1:23" x14ac:dyDescent="0.45">
      <c r="A587">
        <v>15.766260000000001</v>
      </c>
      <c r="B587">
        <v>-104.24096</v>
      </c>
      <c r="C587">
        <v>121.76687</v>
      </c>
      <c r="D587">
        <v>133.05260000000001</v>
      </c>
      <c r="E587" s="10" t="s">
        <v>1771</v>
      </c>
      <c r="F587" s="10" t="s">
        <v>1772</v>
      </c>
      <c r="G587" s="10" t="s">
        <v>1773</v>
      </c>
      <c r="H587" s="10">
        <v>15.7656269793285</v>
      </c>
      <c r="I587" s="10">
        <v>-104.239904356214</v>
      </c>
      <c r="J587" s="10">
        <v>121.767156827134</v>
      </c>
      <c r="K587" s="4">
        <f t="shared" si="119"/>
        <v>15.765626980555556</v>
      </c>
      <c r="L587" s="4">
        <f t="shared" si="120"/>
        <v>-104.23990435555555</v>
      </c>
      <c r="M587" s="4">
        <f t="shared" si="121"/>
        <v>121.76715555555558</v>
      </c>
      <c r="N587" s="4">
        <f t="shared" si="122"/>
        <v>121.76715682713399</v>
      </c>
      <c r="O587" s="5">
        <f t="shared" si="123"/>
        <v>15.765626979328523</v>
      </c>
      <c r="P587" s="2">
        <f t="shared" si="124"/>
        <v>7.7829616239417039E-11</v>
      </c>
      <c r="Q587" s="2">
        <f t="shared" si="125"/>
        <v>1.4647459909131271E-15</v>
      </c>
      <c r="R587" s="6">
        <f t="shared" si="126"/>
        <v>-104.23990435621437</v>
      </c>
      <c r="S587" s="2">
        <f t="shared" si="127"/>
        <v>6.3201825507205851E-12</v>
      </c>
      <c r="T587" s="2">
        <f t="shared" si="128"/>
        <v>3.5445372372238402E-15</v>
      </c>
      <c r="U587" s="6">
        <f t="shared" si="129"/>
        <v>121.76715682713426</v>
      </c>
      <c r="V587" s="2">
        <f t="shared" si="130"/>
        <v>1.0442706627642476E-8</v>
      </c>
      <c r="W587" s="2">
        <f t="shared" si="131"/>
        <v>2.2173979143830288E-15</v>
      </c>
    </row>
    <row r="588" spans="1:23" x14ac:dyDescent="0.45">
      <c r="A588">
        <v>-57.65</v>
      </c>
      <c r="B588">
        <v>47.026119999999999</v>
      </c>
      <c r="C588">
        <v>307.18281000000002</v>
      </c>
      <c r="D588">
        <v>161.2106</v>
      </c>
      <c r="E588" s="10" t="s">
        <v>1774</v>
      </c>
      <c r="F588" s="10" t="s">
        <v>1775</v>
      </c>
      <c r="G588" s="10" t="s">
        <v>1776</v>
      </c>
      <c r="H588" s="10">
        <v>-57.649125168160701</v>
      </c>
      <c r="I588" s="10">
        <v>47.023968970789802</v>
      </c>
      <c r="J588" s="10">
        <v>-52.815372829632999</v>
      </c>
      <c r="K588" s="4">
        <f t="shared" si="119"/>
        <v>-57.649125169444446</v>
      </c>
      <c r="L588" s="4">
        <f t="shared" si="120"/>
        <v>47.023968969444468</v>
      </c>
      <c r="M588" s="4">
        <f t="shared" si="121"/>
        <v>307.18462777777779</v>
      </c>
      <c r="N588" s="4">
        <f t="shared" si="122"/>
        <v>307.18462717036698</v>
      </c>
      <c r="O588" s="5">
        <f t="shared" si="123"/>
        <v>-57.649125168159699</v>
      </c>
      <c r="P588" s="2">
        <f t="shared" si="124"/>
        <v>2.2285620598862129E-11</v>
      </c>
      <c r="Q588" s="2">
        <f t="shared" si="125"/>
        <v>1.7378672347573907E-14</v>
      </c>
      <c r="R588" s="6">
        <f t="shared" si="126"/>
        <v>47.023968970787536</v>
      </c>
      <c r="S588" s="2">
        <f t="shared" si="127"/>
        <v>2.8561346661453621E-11</v>
      </c>
      <c r="T588" s="2">
        <f t="shared" si="128"/>
        <v>4.8201616679415093E-14</v>
      </c>
      <c r="U588" s="6">
        <f t="shared" si="129"/>
        <v>307.18462717036863</v>
      </c>
      <c r="V588" s="2">
        <f t="shared" si="130"/>
        <v>1.9773423148195321E-9</v>
      </c>
      <c r="W588" s="2">
        <f t="shared" si="131"/>
        <v>5.3663464937950299E-15</v>
      </c>
    </row>
    <row r="589" spans="1:23" x14ac:dyDescent="0.45">
      <c r="A589">
        <v>12.35566</v>
      </c>
      <c r="B589">
        <v>65.927099999999996</v>
      </c>
      <c r="C589">
        <v>68.582499999999996</v>
      </c>
      <c r="D589">
        <v>106.81950000000001</v>
      </c>
      <c r="E589" s="10" t="s">
        <v>1777</v>
      </c>
      <c r="F589" s="10" t="s">
        <v>1778</v>
      </c>
      <c r="G589" s="10" t="s">
        <v>1779</v>
      </c>
      <c r="H589" s="10">
        <v>12.356012597630301</v>
      </c>
      <c r="I589" s="10">
        <v>65.928014354133694</v>
      </c>
      <c r="J589" s="10">
        <v>68.582695655730902</v>
      </c>
      <c r="K589" s="4">
        <f t="shared" si="119"/>
        <v>12.356012597222222</v>
      </c>
      <c r="L589" s="4">
        <f t="shared" si="120"/>
        <v>65.928014352777836</v>
      </c>
      <c r="M589" s="4">
        <f t="shared" si="121"/>
        <v>68.582694444444428</v>
      </c>
      <c r="N589" s="4">
        <f t="shared" si="122"/>
        <v>68.582695655730902</v>
      </c>
      <c r="O589" s="5">
        <f t="shared" si="123"/>
        <v>12.356012597623648</v>
      </c>
      <c r="P589" s="2">
        <f t="shared" si="124"/>
        <v>3.2488348848756616E-11</v>
      </c>
      <c r="Q589" s="2">
        <f t="shared" si="125"/>
        <v>5.3839831507049288E-13</v>
      </c>
      <c r="R589" s="6">
        <f t="shared" si="126"/>
        <v>65.928014354116286</v>
      </c>
      <c r="S589" s="2">
        <f t="shared" si="127"/>
        <v>2.0301678497236677E-11</v>
      </c>
      <c r="T589" s="2">
        <f t="shared" si="128"/>
        <v>2.6405007335141971E-13</v>
      </c>
      <c r="U589" s="6">
        <f t="shared" si="129"/>
        <v>68.582695655727093</v>
      </c>
      <c r="V589" s="2">
        <f t="shared" si="130"/>
        <v>1.7661637167991922E-8</v>
      </c>
      <c r="W589" s="2">
        <f t="shared" si="131"/>
        <v>5.553163268460549E-14</v>
      </c>
    </row>
    <row r="590" spans="1:23" x14ac:dyDescent="0.4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10" t="s">
        <v>1780</v>
      </c>
      <c r="F590" s="10" t="s">
        <v>1781</v>
      </c>
      <c r="G590" s="10" t="s">
        <v>1782</v>
      </c>
      <c r="H590" s="10">
        <v>25.5706678904853</v>
      </c>
      <c r="I590" s="10">
        <v>48.942980419919898</v>
      </c>
      <c r="J590" s="10">
        <v>-72.215459732872702</v>
      </c>
      <c r="K590" s="4">
        <f t="shared" si="119"/>
        <v>25.570667891666666</v>
      </c>
      <c r="L590" s="4">
        <f t="shared" si="120"/>
        <v>48.942980419444439</v>
      </c>
      <c r="M590" s="4">
        <f t="shared" si="121"/>
        <v>287.7845388888889</v>
      </c>
      <c r="N590" s="4">
        <f t="shared" si="122"/>
        <v>287.78454026712728</v>
      </c>
      <c r="O590" s="5">
        <f t="shared" si="123"/>
        <v>25.570667890480919</v>
      </c>
      <c r="P590" s="2">
        <f t="shared" si="124"/>
        <v>4.6371358661129287E-11</v>
      </c>
      <c r="Q590" s="2">
        <f t="shared" si="125"/>
        <v>1.7130940751027372E-13</v>
      </c>
      <c r="R590" s="6">
        <f t="shared" si="126"/>
        <v>48.942980419934855</v>
      </c>
      <c r="S590" s="2">
        <f t="shared" si="127"/>
        <v>1.0020162074698351E-11</v>
      </c>
      <c r="T590" s="2">
        <f t="shared" si="128"/>
        <v>3.0559897373276041E-13</v>
      </c>
      <c r="U590" s="6">
        <f t="shared" si="129"/>
        <v>287.78454026713337</v>
      </c>
      <c r="V590" s="2">
        <f t="shared" si="130"/>
        <v>4.7891539548264609E-9</v>
      </c>
      <c r="W590" s="2">
        <f t="shared" si="131"/>
        <v>2.1134720483806383E-14</v>
      </c>
    </row>
    <row r="591" spans="1:23" x14ac:dyDescent="0.45">
      <c r="A591">
        <v>76.305090000000007</v>
      </c>
      <c r="B591">
        <v>161.61292</v>
      </c>
      <c r="C591">
        <v>309.79298999999997</v>
      </c>
      <c r="D591">
        <v>169.67699999999999</v>
      </c>
      <c r="E591" s="10" t="s">
        <v>1783</v>
      </c>
      <c r="F591" s="10" t="s">
        <v>1784</v>
      </c>
      <c r="G591" s="10" t="s">
        <v>1785</v>
      </c>
      <c r="H591" s="10">
        <v>76.306062765279606</v>
      </c>
      <c r="I591" s="10">
        <v>161.60798851286299</v>
      </c>
      <c r="J591" s="10">
        <v>-50.211801295639603</v>
      </c>
      <c r="K591" s="4">
        <f t="shared" si="119"/>
        <v>76.30606276666667</v>
      </c>
      <c r="L591" s="4">
        <f t="shared" si="120"/>
        <v>161.60798851388893</v>
      </c>
      <c r="M591" s="4">
        <f t="shared" si="121"/>
        <v>309.78819999999996</v>
      </c>
      <c r="N591" s="4">
        <f t="shared" si="122"/>
        <v>309.78819870436041</v>
      </c>
      <c r="O591" s="5">
        <f t="shared" si="123"/>
        <v>76.306062765283116</v>
      </c>
      <c r="P591" s="2">
        <f t="shared" si="124"/>
        <v>1.8131647133309307E-11</v>
      </c>
      <c r="Q591" s="2">
        <f t="shared" si="125"/>
        <v>4.6000029191022997E-14</v>
      </c>
      <c r="R591" s="6">
        <f t="shared" si="126"/>
        <v>161.60798851284457</v>
      </c>
      <c r="S591" s="2">
        <f t="shared" si="127"/>
        <v>6.462277778616378E-12</v>
      </c>
      <c r="T591" s="2">
        <f t="shared" si="128"/>
        <v>1.1396260717294862E-13</v>
      </c>
      <c r="U591" s="6">
        <f t="shared" si="129"/>
        <v>309.78819870434239</v>
      </c>
      <c r="V591" s="2">
        <f t="shared" si="130"/>
        <v>4.1823980667742213E-9</v>
      </c>
      <c r="W591" s="2">
        <f t="shared" si="131"/>
        <v>5.8166721179952132E-14</v>
      </c>
    </row>
    <row r="592" spans="1:23" x14ac:dyDescent="0.4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10" t="s">
        <v>1786</v>
      </c>
      <c r="F592" s="10" t="s">
        <v>1787</v>
      </c>
      <c r="G592" s="10" t="s">
        <v>1788</v>
      </c>
      <c r="H592" s="10">
        <v>83.929047770426195</v>
      </c>
      <c r="I592" s="10">
        <v>37.096230332490897</v>
      </c>
      <c r="J592" s="10">
        <v>-159.40505587450301</v>
      </c>
      <c r="K592" s="4">
        <f t="shared" si="119"/>
        <v>83.929047769444438</v>
      </c>
      <c r="L592" s="4">
        <f t="shared" si="120"/>
        <v>37.096230333333324</v>
      </c>
      <c r="M592" s="4">
        <f t="shared" si="121"/>
        <v>200.59494444444445</v>
      </c>
      <c r="N592" s="4">
        <f t="shared" si="122"/>
        <v>200.59494412549699</v>
      </c>
      <c r="O592" s="5">
        <f t="shared" si="123"/>
        <v>83.92904777042304</v>
      </c>
      <c r="P592" s="2">
        <f t="shared" si="124"/>
        <v>1.1659873598723582E-11</v>
      </c>
      <c r="Q592" s="2">
        <f t="shared" si="125"/>
        <v>3.7589009175992283E-14</v>
      </c>
      <c r="R592" s="6">
        <f t="shared" si="126"/>
        <v>37.096230332480019</v>
      </c>
      <c r="S592" s="2">
        <f t="shared" si="127"/>
        <v>2.3002471533132322E-11</v>
      </c>
      <c r="T592" s="2">
        <f t="shared" si="128"/>
        <v>2.9324837556228002E-13</v>
      </c>
      <c r="U592" s="6">
        <f t="shared" si="129"/>
        <v>200.59494412548625</v>
      </c>
      <c r="V592" s="2">
        <f t="shared" si="130"/>
        <v>1.5900610116541324E-9</v>
      </c>
      <c r="W592" s="2">
        <f t="shared" si="131"/>
        <v>5.355771159402394E-14</v>
      </c>
    </row>
    <row r="593" spans="1:23" x14ac:dyDescent="0.45">
      <c r="A593">
        <v>25.358000000000001</v>
      </c>
      <c r="B593">
        <v>-63.579210000000003</v>
      </c>
      <c r="C593">
        <v>27.82329</v>
      </c>
      <c r="D593">
        <v>90.400300000000001</v>
      </c>
      <c r="E593" s="10" t="s">
        <v>1789</v>
      </c>
      <c r="F593" s="10" t="s">
        <v>1790</v>
      </c>
      <c r="G593" s="10" t="s">
        <v>1791</v>
      </c>
      <c r="H593" s="10">
        <v>25.3587217046185</v>
      </c>
      <c r="I593" s="10">
        <v>-63.578790805851703</v>
      </c>
      <c r="J593" s="10">
        <v>27.8234695318537</v>
      </c>
      <c r="K593" s="4">
        <f t="shared" si="119"/>
        <v>25.358721705555556</v>
      </c>
      <c r="L593" s="4">
        <f t="shared" si="120"/>
        <v>-63.57879080555557</v>
      </c>
      <c r="M593" s="4">
        <f t="shared" si="121"/>
        <v>27.823469444444413</v>
      </c>
      <c r="N593" s="4">
        <f t="shared" si="122"/>
        <v>27.823469531853675</v>
      </c>
      <c r="O593" s="5">
        <f t="shared" si="123"/>
        <v>25.358721704618215</v>
      </c>
      <c r="P593" s="2">
        <f t="shared" si="124"/>
        <v>3.6963254002744752E-11</v>
      </c>
      <c r="Q593" s="2">
        <f t="shared" si="125"/>
        <v>1.1207863614524251E-14</v>
      </c>
      <c r="R593" s="6">
        <f t="shared" si="126"/>
        <v>-63.578790805851902</v>
      </c>
      <c r="S593" s="2">
        <f t="shared" si="127"/>
        <v>4.6608600791894279E-12</v>
      </c>
      <c r="T593" s="2">
        <f t="shared" si="128"/>
        <v>3.1292190916364014E-15</v>
      </c>
      <c r="U593" s="6">
        <f t="shared" si="129"/>
        <v>27.823469531853604</v>
      </c>
      <c r="V593" s="2">
        <f t="shared" si="130"/>
        <v>3.1415633183668745E-9</v>
      </c>
      <c r="W593" s="2">
        <f t="shared" si="131"/>
        <v>2.5537531721075835E-15</v>
      </c>
    </row>
    <row r="594" spans="1:23" x14ac:dyDescent="0.45">
      <c r="A594">
        <v>-50.062719999999999</v>
      </c>
      <c r="B594">
        <v>-16.0336</v>
      </c>
      <c r="C594">
        <v>258.18344000000002</v>
      </c>
      <c r="D594">
        <v>239.33629999999999</v>
      </c>
      <c r="E594" s="10" t="s">
        <v>1792</v>
      </c>
      <c r="F594" s="10" t="s">
        <v>1793</v>
      </c>
      <c r="G594" s="10" t="s">
        <v>1794</v>
      </c>
      <c r="H594" s="10">
        <v>-50.063160580676197</v>
      </c>
      <c r="I594" s="10">
        <v>-16.036871766963799</v>
      </c>
      <c r="J594" s="10">
        <v>-101.81405137237699</v>
      </c>
      <c r="K594" s="4">
        <f t="shared" si="119"/>
        <v>-50.063160580555554</v>
      </c>
      <c r="L594" s="4">
        <f t="shared" si="120"/>
        <v>-16.03687176666665</v>
      </c>
      <c r="M594" s="4">
        <f t="shared" si="121"/>
        <v>258.18594999999999</v>
      </c>
      <c r="N594" s="4">
        <f t="shared" si="122"/>
        <v>258.18594862762302</v>
      </c>
      <c r="O594" s="5">
        <f t="shared" si="123"/>
        <v>-50.063160580676474</v>
      </c>
      <c r="P594" s="2">
        <f t="shared" si="124"/>
        <v>2.4153521545465318E-12</v>
      </c>
      <c r="Q594" s="2">
        <f t="shared" si="125"/>
        <v>5.5352411580143221E-15</v>
      </c>
      <c r="R594" s="6">
        <f t="shared" si="126"/>
        <v>-16.036871766966669</v>
      </c>
      <c r="S594" s="2">
        <f t="shared" si="127"/>
        <v>1.8708110229511763E-11</v>
      </c>
      <c r="T594" s="2">
        <f t="shared" si="128"/>
        <v>1.7899953894900312E-13</v>
      </c>
      <c r="U594" s="6">
        <f t="shared" si="129"/>
        <v>258.18594862762535</v>
      </c>
      <c r="V594" s="2">
        <f t="shared" si="130"/>
        <v>5.3154505138478997E-9</v>
      </c>
      <c r="W594" s="2">
        <f t="shared" si="131"/>
        <v>9.0267506255907157E-15</v>
      </c>
    </row>
    <row r="595" spans="1:23" x14ac:dyDescent="0.45">
      <c r="A595">
        <v>-36.636679999999998</v>
      </c>
      <c r="B595">
        <v>-143.06874999999999</v>
      </c>
      <c r="C595">
        <v>30.596160000000001</v>
      </c>
      <c r="D595">
        <v>6.0903</v>
      </c>
      <c r="E595" s="10" t="s">
        <v>1795</v>
      </c>
      <c r="F595" s="10" t="s">
        <v>1796</v>
      </c>
      <c r="G595" s="10" t="s">
        <v>1797</v>
      </c>
      <c r="H595" s="10">
        <v>-36.636632758893803</v>
      </c>
      <c r="I595" s="10">
        <v>-143.06871533887599</v>
      </c>
      <c r="J595" s="10">
        <v>30.596139316376998</v>
      </c>
      <c r="K595" s="4">
        <f t="shared" si="119"/>
        <v>-36.636632758333334</v>
      </c>
      <c r="L595" s="4">
        <f t="shared" si="120"/>
        <v>-143.06871533888886</v>
      </c>
      <c r="M595" s="4">
        <f t="shared" si="121"/>
        <v>30.596138888888902</v>
      </c>
      <c r="N595" s="4">
        <f t="shared" si="122"/>
        <v>30.596139316376991</v>
      </c>
      <c r="O595" s="5">
        <f t="shared" si="123"/>
        <v>-36.636632758895836</v>
      </c>
      <c r="P595" s="2">
        <f t="shared" si="124"/>
        <v>1.5353516805840659E-11</v>
      </c>
      <c r="Q595" s="2">
        <f t="shared" si="125"/>
        <v>5.54677674023022E-14</v>
      </c>
      <c r="R595" s="6">
        <f t="shared" si="126"/>
        <v>-143.06871533887713</v>
      </c>
      <c r="S595" s="2">
        <f t="shared" si="127"/>
        <v>8.2045651748200132E-14</v>
      </c>
      <c r="T595" s="2">
        <f t="shared" si="128"/>
        <v>7.946310096678694E-15</v>
      </c>
      <c r="U595" s="6">
        <f t="shared" si="129"/>
        <v>30.596139316377851</v>
      </c>
      <c r="V595" s="2">
        <f t="shared" si="130"/>
        <v>1.3971990082830944E-8</v>
      </c>
      <c r="W595" s="2">
        <f t="shared" si="131"/>
        <v>2.8100169808336732E-14</v>
      </c>
    </row>
    <row r="596" spans="1:23" x14ac:dyDescent="0.45">
      <c r="A596">
        <v>-21.80837</v>
      </c>
      <c r="B596">
        <v>-154.77431999999999</v>
      </c>
      <c r="C596">
        <v>168.23294999999999</v>
      </c>
      <c r="D596">
        <v>133.09180000000001</v>
      </c>
      <c r="E596" s="10" t="s">
        <v>1798</v>
      </c>
      <c r="F596" s="10" t="s">
        <v>1799</v>
      </c>
      <c r="G596" s="10" t="s">
        <v>1800</v>
      </c>
      <c r="H596" s="10">
        <v>-21.8095467139131</v>
      </c>
      <c r="I596" s="10">
        <v>-154.77405750519799</v>
      </c>
      <c r="J596" s="10">
        <v>168.23285247976801</v>
      </c>
      <c r="K596" s="4">
        <f t="shared" si="119"/>
        <v>-21.809546713888889</v>
      </c>
      <c r="L596" s="4">
        <f t="shared" si="120"/>
        <v>-154.77405750555556</v>
      </c>
      <c r="M596" s="4">
        <f t="shared" si="121"/>
        <v>168.23285277777779</v>
      </c>
      <c r="N596" s="4">
        <f t="shared" si="122"/>
        <v>168.23285247976798</v>
      </c>
      <c r="O596" s="5">
        <f t="shared" si="123"/>
        <v>-21.809546713911274</v>
      </c>
      <c r="P596" s="2">
        <f t="shared" si="124"/>
        <v>1.0264151375446144E-12</v>
      </c>
      <c r="Q596" s="2">
        <f t="shared" si="125"/>
        <v>8.3729151039096346E-14</v>
      </c>
      <c r="R596" s="6">
        <f t="shared" si="126"/>
        <v>-154.77405750519858</v>
      </c>
      <c r="S596" s="2">
        <f t="shared" si="127"/>
        <v>2.3064373719934349E-12</v>
      </c>
      <c r="T596" s="2">
        <f t="shared" si="128"/>
        <v>3.8563045232463401E-15</v>
      </c>
      <c r="U596" s="6">
        <f t="shared" si="129"/>
        <v>168.23285247976807</v>
      </c>
      <c r="V596" s="2">
        <f t="shared" si="130"/>
        <v>1.7714121745211134E-9</v>
      </c>
      <c r="W596" s="2">
        <f t="shared" si="131"/>
        <v>5.0682804835319651E-16</v>
      </c>
    </row>
    <row r="597" spans="1:23" x14ac:dyDescent="0.4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10" t="s">
        <v>1801</v>
      </c>
      <c r="F597" s="10" t="s">
        <v>1802</v>
      </c>
      <c r="G597" s="10" t="s">
        <v>1803</v>
      </c>
      <c r="H597" s="10">
        <v>-49.108757683977998</v>
      </c>
      <c r="I597" s="10">
        <v>95.639128667690002</v>
      </c>
      <c r="J597" s="10">
        <v>-4.7606660758587598</v>
      </c>
      <c r="K597" s="4">
        <f t="shared" si="119"/>
        <v>-49.10875768333333</v>
      </c>
      <c r="L597" s="4">
        <f t="shared" si="120"/>
        <v>95.639128666666693</v>
      </c>
      <c r="M597" s="4">
        <f t="shared" si="121"/>
        <v>355.23933333333332</v>
      </c>
      <c r="N597" s="4">
        <f t="shared" si="122"/>
        <v>355.23933392414125</v>
      </c>
      <c r="O597" s="5">
        <f t="shared" si="123"/>
        <v>-49.108757684010385</v>
      </c>
      <c r="P597" s="2">
        <f t="shared" si="124"/>
        <v>1.3786845535567427E-11</v>
      </c>
      <c r="Q597" s="2">
        <f t="shared" si="125"/>
        <v>6.5948599441992508E-13</v>
      </c>
      <c r="R597" s="6">
        <f t="shared" si="126"/>
        <v>95.63912866769418</v>
      </c>
      <c r="S597" s="2">
        <f t="shared" si="127"/>
        <v>1.0743379229795962E-11</v>
      </c>
      <c r="T597" s="2">
        <f t="shared" si="128"/>
        <v>4.3684957657721218E-14</v>
      </c>
      <c r="U597" s="6">
        <f t="shared" si="129"/>
        <v>355.23933392413772</v>
      </c>
      <c r="V597" s="2">
        <f t="shared" si="130"/>
        <v>1.6631165219410241E-9</v>
      </c>
      <c r="W597" s="2">
        <f t="shared" si="131"/>
        <v>9.9208945429525093E-15</v>
      </c>
    </row>
    <row r="598" spans="1:23" x14ac:dyDescent="0.45">
      <c r="A598">
        <v>-29.813839999999999</v>
      </c>
      <c r="B598">
        <v>-177.22112000000001</v>
      </c>
      <c r="C598">
        <v>181.60153</v>
      </c>
      <c r="D598">
        <v>164.04509999999999</v>
      </c>
      <c r="E598" s="10" t="s">
        <v>1804</v>
      </c>
      <c r="F598" s="10" t="s">
        <v>1805</v>
      </c>
      <c r="G598" s="10" t="s">
        <v>1806</v>
      </c>
      <c r="H598" s="10">
        <v>-29.815319314557701</v>
      </c>
      <c r="I598" s="10">
        <v>-177.221167429926</v>
      </c>
      <c r="J598" s="10">
        <v>-178.39844641809</v>
      </c>
      <c r="K598" s="4">
        <f t="shared" si="119"/>
        <v>-29.815319313888889</v>
      </c>
      <c r="L598" s="4">
        <f t="shared" si="120"/>
        <v>-177.22116743055557</v>
      </c>
      <c r="M598" s="4">
        <f t="shared" si="121"/>
        <v>181.60155277777778</v>
      </c>
      <c r="N598" s="4">
        <f t="shared" si="122"/>
        <v>181.60155358191</v>
      </c>
      <c r="O598" s="5">
        <f t="shared" si="123"/>
        <v>-29.815319314556778</v>
      </c>
      <c r="P598" s="2">
        <f t="shared" si="124"/>
        <v>2.240086206359354E-11</v>
      </c>
      <c r="Q598" s="2">
        <f t="shared" si="125"/>
        <v>3.0980904371435642E-14</v>
      </c>
      <c r="R598" s="6">
        <f t="shared" si="126"/>
        <v>-177.22116742992569</v>
      </c>
      <c r="S598" s="2">
        <f t="shared" si="127"/>
        <v>3.554213830824887E-12</v>
      </c>
      <c r="T598" s="2">
        <f t="shared" si="128"/>
        <v>1.7641166022566847E-15</v>
      </c>
      <c r="U598" s="6">
        <f t="shared" si="129"/>
        <v>181.60155358191031</v>
      </c>
      <c r="V598" s="2">
        <f t="shared" si="130"/>
        <v>4.4280046816783538E-9</v>
      </c>
      <c r="W598" s="2">
        <f t="shared" si="131"/>
        <v>1.721564587790989E-15</v>
      </c>
    </row>
    <row r="599" spans="1:23" x14ac:dyDescent="0.4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10" t="s">
        <v>1807</v>
      </c>
      <c r="F599" s="10" t="s">
        <v>1808</v>
      </c>
      <c r="G599" s="10" t="s">
        <v>1809</v>
      </c>
      <c r="H599" s="10">
        <v>-0.25542504743236299</v>
      </c>
      <c r="I599" s="10">
        <v>86.504877173611703</v>
      </c>
      <c r="J599" s="10">
        <v>56.481614475781903</v>
      </c>
      <c r="K599" s="4">
        <f t="shared" si="119"/>
        <v>-0.2554250472222222</v>
      </c>
      <c r="L599" s="4">
        <f t="shared" si="120"/>
        <v>86.504877175000047</v>
      </c>
      <c r="M599" s="4">
        <f t="shared" si="121"/>
        <v>56.481613888888887</v>
      </c>
      <c r="N599" s="4">
        <f t="shared" si="122"/>
        <v>56.481614475781896</v>
      </c>
      <c r="O599" s="5">
        <f t="shared" si="123"/>
        <v>-0.25542504743246897</v>
      </c>
      <c r="P599" s="2">
        <f t="shared" si="124"/>
        <v>8.2312508788452599E-10</v>
      </c>
      <c r="Q599" s="2">
        <f t="shared" si="125"/>
        <v>4.1488017234696782E-13</v>
      </c>
      <c r="R599" s="6">
        <f t="shared" si="126"/>
        <v>86.504877173611618</v>
      </c>
      <c r="S599" s="2">
        <f t="shared" si="127"/>
        <v>1.6050296500344872E-11</v>
      </c>
      <c r="T599" s="2">
        <f t="shared" si="128"/>
        <v>9.8566845104107195E-16</v>
      </c>
      <c r="U599" s="6">
        <f t="shared" si="129"/>
        <v>56.481614475781846</v>
      </c>
      <c r="V599" s="2">
        <f t="shared" si="130"/>
        <v>1.0390867376323887E-8</v>
      </c>
      <c r="W599" s="2">
        <f t="shared" si="131"/>
        <v>8.8060498916038589E-16</v>
      </c>
    </row>
    <row r="600" spans="1:23" x14ac:dyDescent="0.45">
      <c r="A600">
        <v>5.8987499999999997</v>
      </c>
      <c r="B600">
        <v>-31.936610000000002</v>
      </c>
      <c r="C600">
        <v>66.285300000000007</v>
      </c>
      <c r="D600">
        <v>256.2978</v>
      </c>
      <c r="E600" s="10" t="s">
        <v>1810</v>
      </c>
      <c r="F600" s="10" t="s">
        <v>1811</v>
      </c>
      <c r="G600" s="10" t="s">
        <v>1812</v>
      </c>
      <c r="H600" s="10">
        <v>5.8996821079236996</v>
      </c>
      <c r="I600" s="10">
        <v>-31.934490900956401</v>
      </c>
      <c r="J600" s="10">
        <v>66.285517798725607</v>
      </c>
      <c r="K600" s="4">
        <f t="shared" si="119"/>
        <v>5.8996821083333337</v>
      </c>
      <c r="L600" s="4">
        <f t="shared" si="120"/>
        <v>-31.934490900000014</v>
      </c>
      <c r="M600" s="4">
        <f t="shared" si="121"/>
        <v>66.285516666666695</v>
      </c>
      <c r="N600" s="4">
        <f t="shared" si="122"/>
        <v>66.285517798725607</v>
      </c>
      <c r="O600" s="5">
        <f t="shared" si="123"/>
        <v>5.8996821079236907</v>
      </c>
      <c r="P600" s="2">
        <f t="shared" si="124"/>
        <v>6.9434755750688609E-11</v>
      </c>
      <c r="Q600" s="2">
        <f t="shared" si="125"/>
        <v>1.5054682666837886E-15</v>
      </c>
      <c r="R600" s="6">
        <f t="shared" si="126"/>
        <v>-31.934490900956384</v>
      </c>
      <c r="S600" s="2">
        <f t="shared" si="127"/>
        <v>2.9947845702184705E-11</v>
      </c>
      <c r="T600" s="2">
        <f t="shared" si="128"/>
        <v>5.5625024520026109E-16</v>
      </c>
      <c r="U600" s="6">
        <f t="shared" si="129"/>
        <v>66.285517798725493</v>
      </c>
      <c r="V600" s="2">
        <f t="shared" si="130"/>
        <v>1.7078524172871269E-8</v>
      </c>
      <c r="W600" s="2">
        <f t="shared" si="131"/>
        <v>1.7151082392812167E-15</v>
      </c>
    </row>
    <row r="601" spans="1:23" x14ac:dyDescent="0.45">
      <c r="A601">
        <v>69.368719999999996</v>
      </c>
      <c r="B601">
        <v>-100.64169</v>
      </c>
      <c r="C601">
        <v>212.68315000000001</v>
      </c>
      <c r="D601">
        <v>28.553999999999998</v>
      </c>
      <c r="E601" s="10" t="s">
        <v>1813</v>
      </c>
      <c r="F601" s="10" t="s">
        <v>1814</v>
      </c>
      <c r="G601" s="10" t="s">
        <v>1815</v>
      </c>
      <c r="H601" s="10">
        <v>69.368504560868004</v>
      </c>
      <c r="I601" s="10">
        <v>-100.642081944833</v>
      </c>
      <c r="J601" s="10">
        <v>-147.31721680809801</v>
      </c>
      <c r="K601" s="4">
        <f t="shared" si="119"/>
        <v>69.368504561111109</v>
      </c>
      <c r="L601" s="4">
        <f t="shared" si="120"/>
        <v>-100.64208194444444</v>
      </c>
      <c r="M601" s="4">
        <f t="shared" si="121"/>
        <v>212.68278333333333</v>
      </c>
      <c r="N601" s="4">
        <f t="shared" si="122"/>
        <v>212.68278319190199</v>
      </c>
      <c r="O601" s="5">
        <f t="shared" si="123"/>
        <v>69.368504560867379</v>
      </c>
      <c r="P601" s="2">
        <f t="shared" si="124"/>
        <v>3.5135595146888608E-12</v>
      </c>
      <c r="Q601" s="2">
        <f t="shared" si="125"/>
        <v>9.0138545068422635E-15</v>
      </c>
      <c r="R601" s="6">
        <f t="shared" si="126"/>
        <v>-100.64208194483378</v>
      </c>
      <c r="S601" s="2">
        <f t="shared" si="127"/>
        <v>3.8685088693545357E-12</v>
      </c>
      <c r="T601" s="2">
        <f t="shared" si="128"/>
        <v>7.7661053331999136E-15</v>
      </c>
      <c r="U601" s="6">
        <f t="shared" si="129"/>
        <v>212.68278319190134</v>
      </c>
      <c r="V601" s="2">
        <f t="shared" si="130"/>
        <v>6.6499034178556547E-10</v>
      </c>
      <c r="W601" s="2">
        <f t="shared" si="131"/>
        <v>3.073588313490634E-15</v>
      </c>
    </row>
    <row r="602" spans="1:23" x14ac:dyDescent="0.4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10" t="s">
        <v>1816</v>
      </c>
      <c r="F602" s="10" t="s">
        <v>1817</v>
      </c>
      <c r="G602" s="10" t="s">
        <v>1818</v>
      </c>
      <c r="H602" s="10">
        <v>37.389206815104103</v>
      </c>
      <c r="I602" s="10">
        <v>31.747626831324698</v>
      </c>
      <c r="J602" s="10">
        <v>-100.057366574467</v>
      </c>
      <c r="K602" s="4">
        <f t="shared" si="119"/>
        <v>37.38920681388889</v>
      </c>
      <c r="L602" s="4">
        <f t="shared" si="120"/>
        <v>31.747626830555532</v>
      </c>
      <c r="M602" s="4">
        <f t="shared" si="121"/>
        <v>259.94263333333333</v>
      </c>
      <c r="N602" s="4">
        <f t="shared" si="122"/>
        <v>259.94263342553302</v>
      </c>
      <c r="O602" s="5">
        <f t="shared" si="123"/>
        <v>37.389206815108594</v>
      </c>
      <c r="P602" s="2">
        <f t="shared" si="124"/>
        <v>3.2621805951176054E-11</v>
      </c>
      <c r="Q602" s="2">
        <f t="shared" si="125"/>
        <v>1.2010498409904099E-13</v>
      </c>
      <c r="R602" s="6">
        <f t="shared" si="126"/>
        <v>31.747626831356683</v>
      </c>
      <c r="S602" s="2">
        <f t="shared" si="127"/>
        <v>2.5234993144531973E-11</v>
      </c>
      <c r="T602" s="2">
        <f t="shared" si="128"/>
        <v>1.0074794383900822E-12</v>
      </c>
      <c r="U602" s="6">
        <f t="shared" si="129"/>
        <v>259.94263342555189</v>
      </c>
      <c r="V602" s="2">
        <f t="shared" si="130"/>
        <v>3.5476503090019946E-10</v>
      </c>
      <c r="W602" s="2">
        <f t="shared" si="131"/>
        <v>7.2600691979965713E-14</v>
      </c>
    </row>
    <row r="603" spans="1:23" x14ac:dyDescent="0.45">
      <c r="A603">
        <v>69.3005</v>
      </c>
      <c r="B603">
        <v>47.158839999999998</v>
      </c>
      <c r="C603">
        <v>263.31389000000001</v>
      </c>
      <c r="D603">
        <v>123.89790000000001</v>
      </c>
      <c r="E603" s="10" t="s">
        <v>1819</v>
      </c>
      <c r="F603" s="10" t="s">
        <v>1820</v>
      </c>
      <c r="G603" s="10" t="s">
        <v>1821</v>
      </c>
      <c r="H603" s="10">
        <v>69.300370657415499</v>
      </c>
      <c r="I603" s="10">
        <v>47.155721813369503</v>
      </c>
      <c r="J603" s="10">
        <v>-96.689026897445004</v>
      </c>
      <c r="K603" s="4">
        <f t="shared" si="119"/>
        <v>69.300370658333335</v>
      </c>
      <c r="L603" s="4">
        <f t="shared" si="120"/>
        <v>47.155721813888931</v>
      </c>
      <c r="M603" s="4">
        <f t="shared" si="121"/>
        <v>263.31097222222223</v>
      </c>
      <c r="N603" s="4">
        <f t="shared" si="122"/>
        <v>263.31097310255501</v>
      </c>
      <c r="O603" s="5">
        <f t="shared" si="123"/>
        <v>69.300370657414973</v>
      </c>
      <c r="P603" s="2">
        <f t="shared" si="124"/>
        <v>1.3251910002660018E-11</v>
      </c>
      <c r="Q603" s="2">
        <f t="shared" si="125"/>
        <v>7.5872844470307407E-15</v>
      </c>
      <c r="R603" s="6">
        <f t="shared" si="126"/>
        <v>47.155721813359676</v>
      </c>
      <c r="S603" s="2">
        <f t="shared" si="127"/>
        <v>1.1223555526243371E-11</v>
      </c>
      <c r="T603" s="2">
        <f t="shared" si="128"/>
        <v>2.0839053369714527E-13</v>
      </c>
      <c r="U603" s="6">
        <f t="shared" si="129"/>
        <v>263.31097310254557</v>
      </c>
      <c r="V603" s="2">
        <f t="shared" si="130"/>
        <v>3.3432839273846737E-9</v>
      </c>
      <c r="W603" s="2">
        <f t="shared" si="131"/>
        <v>3.5835982905349603E-14</v>
      </c>
    </row>
    <row r="604" spans="1:23" s="7" customFormat="1" x14ac:dyDescent="0.45">
      <c r="O604" s="12" t="s">
        <v>3038</v>
      </c>
      <c r="P604" s="11">
        <f>MAX(P4:P603)</f>
        <v>5.0073735394032859E-9</v>
      </c>
      <c r="Q604" s="11">
        <f>MAX(Q4:Q603)</f>
        <v>2.7869624205028035E-10</v>
      </c>
      <c r="R604" s="1"/>
      <c r="S604" s="11">
        <f>MAX(S4:S603)</f>
        <v>2.4122288312680121E-9</v>
      </c>
      <c r="T604" s="11">
        <f>MAX(T4:T603)</f>
        <v>5.0571151159208529E-10</v>
      </c>
      <c r="U604" s="1"/>
      <c r="V604" s="11">
        <f>MAX(V4:V603)</f>
        <v>8.3281688134591717E-7</v>
      </c>
      <c r="W604" s="11">
        <f>MAX(W4:W603)</f>
        <v>1.2786144172725813E-10</v>
      </c>
    </row>
    <row r="605" spans="1:23" s="7" customFormat="1" x14ac:dyDescent="0.45">
      <c r="A605" s="1" t="s">
        <v>15</v>
      </c>
    </row>
    <row r="606" spans="1:23" x14ac:dyDescent="0.4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3031</v>
      </c>
      <c r="R606" s="1" t="s">
        <v>21</v>
      </c>
      <c r="S606" s="1" t="s">
        <v>3032</v>
      </c>
      <c r="T606" s="1" t="s">
        <v>3033</v>
      </c>
      <c r="U606" s="1" t="s">
        <v>20</v>
      </c>
      <c r="V606" s="1" t="s">
        <v>3034</v>
      </c>
      <c r="W606" s="1" t="s">
        <v>3035</v>
      </c>
    </row>
    <row r="607" spans="1:23" x14ac:dyDescent="0.45">
      <c r="A607" s="7">
        <v>-73.190340000000006</v>
      </c>
      <c r="B607" s="7">
        <v>-90.317070000000001</v>
      </c>
      <c r="C607" s="7">
        <v>-7.6972199999999997</v>
      </c>
      <c r="D607" s="7">
        <v>-97.150509999999997</v>
      </c>
      <c r="E607" s="10">
        <v>7288125.6960000005</v>
      </c>
      <c r="F607" s="10" t="s">
        <v>1822</v>
      </c>
      <c r="G607" s="10" t="s">
        <v>1823</v>
      </c>
      <c r="H607" s="10">
        <v>7288125.6964171799</v>
      </c>
      <c r="I607" s="10">
        <v>-7.4490987605668701</v>
      </c>
      <c r="J607" s="10">
        <v>-2.1747678297242099</v>
      </c>
      <c r="K607" s="4">
        <f t="shared" ref="K607" si="132">ConvertDecimal(F607)</f>
        <v>352.55090000000001</v>
      </c>
      <c r="L607" s="4">
        <f t="shared" ref="L607" si="133">MOD(ConvertDecimal(G607)+180,360)</f>
        <v>357.82523333333336</v>
      </c>
      <c r="M607" s="4">
        <f t="shared" ref="M607" si="134">MOD(I607+360, 360)</f>
        <v>352.55090123943313</v>
      </c>
      <c r="N607" s="4">
        <f>MOD(J607+360, 360)</f>
        <v>357.8252321702758</v>
      </c>
      <c r="O607" s="3">
        <f t="shared" ref="O607:O670" si="135">VincentyInvDistance($A607,$B607,$C607,$D607)</f>
        <v>7288125.6886785785</v>
      </c>
      <c r="P607" s="2">
        <f t="shared" ref="P607" si="136">ABS((E607-O607)/E607)</f>
        <v>1.00456856724174E-9</v>
      </c>
      <c r="Q607" s="2">
        <f t="shared" ref="Q607" si="137">ABS((H607-O607)/H607)</f>
        <v>1.061809543179762E-9</v>
      </c>
      <c r="R607" s="6">
        <f>VincentyInvFwdAzimuth($A607,$B607,$C607,$D607)</f>
        <v>352.5509012394408</v>
      </c>
      <c r="S607" s="2">
        <f t="shared" ref="S607" si="138">ABS((K607-R607)/K607)</f>
        <v>3.5156364422220424E-9</v>
      </c>
      <c r="T607" s="2">
        <f t="shared" ref="T607:T670" si="139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4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10">
        <v>8926024.1229999997</v>
      </c>
      <c r="F608" s="10" t="s">
        <v>1824</v>
      </c>
      <c r="G608" s="10" t="s">
        <v>1825</v>
      </c>
      <c r="H608" s="10">
        <v>8926024.1224153992</v>
      </c>
      <c r="I608" s="10">
        <v>112.009204964482</v>
      </c>
      <c r="J608" s="10">
        <v>64.205242492916597</v>
      </c>
      <c r="K608" s="4">
        <f t="shared" ref="K608:K624" si="140">ConvertDecimal(F608)</f>
        <v>112.00920555555555</v>
      </c>
      <c r="L608" s="4">
        <f t="shared" ref="L608:L624" si="141">MOD(ConvertDecimal(G608)+180,360)</f>
        <v>64.205241666666666</v>
      </c>
      <c r="M608" s="4">
        <f t="shared" ref="M608:M624" si="142">MOD(I608+360, 360)</f>
        <v>112.00920496448202</v>
      </c>
      <c r="N608" s="4">
        <f t="shared" ref="N608:N624" si="143">MOD(J608+360, 360)</f>
        <v>64.205242492916568</v>
      </c>
      <c r="O608" s="3">
        <f t="shared" si="135"/>
        <v>8926024.1224056967</v>
      </c>
      <c r="P608" s="2">
        <f t="shared" ref="P608:P671" si="144">ABS((E608-O608)/E608)</f>
        <v>6.6580932754020313E-11</v>
      </c>
      <c r="Q608" s="2">
        <f t="shared" ref="Q608:Q671" si="145">ABS((H608-O608)/H608)</f>
        <v>1.0869921982373642E-12</v>
      </c>
      <c r="R608" s="6">
        <f t="shared" ref="R608:R671" si="146">VincentyInvFwdAzimuth($A608,$B608,$C608,$D608)</f>
        <v>112.00920496472528</v>
      </c>
      <c r="S608" s="2">
        <f t="shared" ref="S608:S671" si="147">ABS((K608-R608)/K608)</f>
        <v>5.2748367005649066E-9</v>
      </c>
      <c r="T608" s="2">
        <f t="shared" si="139"/>
        <v>2.1717983900695105E-12</v>
      </c>
      <c r="U608" s="6">
        <f t="shared" ref="U608:U671" si="148">VincentyInvRevAzimuth($A608,$B608,$C608,$D608)</f>
        <v>64.205242492713069</v>
      </c>
      <c r="V608" s="2">
        <f t="shared" ref="V608:V652" si="149">ABS((L608-U608)/L608)</f>
        <v>1.2865715966367939E-8</v>
      </c>
      <c r="W608" s="2">
        <f t="shared" ref="W608:W652" si="150">ABS((N608-U608)/N608)</f>
        <v>3.1695143826322865E-12</v>
      </c>
    </row>
    <row r="609" spans="1:23" x14ac:dyDescent="0.45">
      <c r="A609">
        <v>-83.241240000000005</v>
      </c>
      <c r="B609">
        <v>-117.00995</v>
      </c>
      <c r="C609">
        <v>64.205719999999999</v>
      </c>
      <c r="D609">
        <v>121.59592000000001</v>
      </c>
      <c r="E609" s="10">
        <v>17441757.002999999</v>
      </c>
      <c r="F609" s="10" t="s">
        <v>1826</v>
      </c>
      <c r="G609" s="10" t="s">
        <v>1827</v>
      </c>
      <c r="H609" s="10">
        <v>17441757.0029209</v>
      </c>
      <c r="I609" s="10">
        <v>-107.84626365295701</v>
      </c>
      <c r="J609" s="10">
        <v>-14.927720331935401</v>
      </c>
      <c r="K609" s="4">
        <f t="shared" si="140"/>
        <v>252.1537361111111</v>
      </c>
      <c r="L609" s="4">
        <f t="shared" si="141"/>
        <v>345.07228055555555</v>
      </c>
      <c r="M609" s="4">
        <f t="shared" si="142"/>
        <v>252.15373634704298</v>
      </c>
      <c r="N609" s="4">
        <f t="shared" si="143"/>
        <v>345.0722796680646</v>
      </c>
      <c r="O609" s="3">
        <f t="shared" si="135"/>
        <v>17441757.001663636</v>
      </c>
      <c r="P609" s="2">
        <f t="shared" si="144"/>
        <v>7.6618554694145292E-11</v>
      </c>
      <c r="Q609" s="2">
        <f t="shared" si="145"/>
        <v>7.208351336270517E-11</v>
      </c>
      <c r="R609" s="6">
        <f t="shared" si="146"/>
        <v>252.15373634698724</v>
      </c>
      <c r="S609" s="2">
        <f t="shared" si="147"/>
        <v>9.3544576076491981E-10</v>
      </c>
      <c r="T609" s="2">
        <f>ABS((M609-R609)/M609)</f>
        <v>2.2103567847320486E-13</v>
      </c>
      <c r="U609" s="6">
        <f t="shared" si="148"/>
        <v>345.0722796680692</v>
      </c>
      <c r="V609" s="2">
        <f t="shared" si="149"/>
        <v>2.5718853732518581E-9</v>
      </c>
      <c r="W609" s="2">
        <f t="shared" si="150"/>
        <v>1.3343050714344485E-14</v>
      </c>
    </row>
    <row r="610" spans="1:23" x14ac:dyDescent="0.4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10">
        <v>1696868.6810000001</v>
      </c>
      <c r="F610" s="10" t="s">
        <v>1828</v>
      </c>
      <c r="G610" s="10" t="s">
        <v>1829</v>
      </c>
      <c r="H610" s="10">
        <v>1696868.6812084899</v>
      </c>
      <c r="I610" s="10">
        <v>3.7093984418079602</v>
      </c>
      <c r="J610" s="10">
        <v>3.2610901367110601</v>
      </c>
      <c r="K610" s="4">
        <f t="shared" si="140"/>
        <v>3.709397222222222</v>
      </c>
      <c r="L610" s="4">
        <f t="shared" si="141"/>
        <v>3.261088888888878</v>
      </c>
      <c r="M610" s="4">
        <f t="shared" si="142"/>
        <v>3.7093984418079344</v>
      </c>
      <c r="N610" s="4">
        <f t="shared" si="143"/>
        <v>3.2610901367110614</v>
      </c>
      <c r="O610" s="3">
        <f t="shared" si="135"/>
        <v>1696868.6805289367</v>
      </c>
      <c r="P610" s="2">
        <f t="shared" si="144"/>
        <v>2.7760747144215593E-10</v>
      </c>
      <c r="Q610" s="2">
        <f t="shared" si="145"/>
        <v>4.004748635540787E-10</v>
      </c>
      <c r="R610" s="6">
        <f t="shared" si="146"/>
        <v>3.7093984416246428</v>
      </c>
      <c r="S610" s="2">
        <f t="shared" si="147"/>
        <v>3.2873330834197429E-7</v>
      </c>
      <c r="T610" s="2">
        <f t="shared" si="139"/>
        <v>4.9412757079646697E-11</v>
      </c>
      <c r="U610" s="6">
        <f t="shared" si="148"/>
        <v>3.2610901365499543</v>
      </c>
      <c r="V610" s="2">
        <f t="shared" si="149"/>
        <v>3.8259033063536473E-7</v>
      </c>
      <c r="W610" s="2">
        <f t="shared" si="150"/>
        <v>4.9402844105713216E-11</v>
      </c>
    </row>
    <row r="611" spans="1:23" x14ac:dyDescent="0.45">
      <c r="A611">
        <v>4.8342999999999998</v>
      </c>
      <c r="B611">
        <v>51.63044</v>
      </c>
      <c r="C611">
        <v>31.730799999999999</v>
      </c>
      <c r="D611">
        <v>-136.5581</v>
      </c>
      <c r="E611" s="10">
        <v>15866490.843</v>
      </c>
      <c r="F611" s="10" t="s">
        <v>1830</v>
      </c>
      <c r="G611" s="10" t="s">
        <v>1831</v>
      </c>
      <c r="H611" s="10">
        <v>15866490.8425442</v>
      </c>
      <c r="I611" s="10">
        <v>11.416517018296799</v>
      </c>
      <c r="J611" s="10">
        <v>166.603493013698</v>
      </c>
      <c r="K611" s="4">
        <f t="shared" si="140"/>
        <v>11.416516666666666</v>
      </c>
      <c r="L611" s="4">
        <f t="shared" si="141"/>
        <v>166.60349166666674</v>
      </c>
      <c r="M611" s="4">
        <f t="shared" si="142"/>
        <v>11.416517018296815</v>
      </c>
      <c r="N611" s="4">
        <f t="shared" si="143"/>
        <v>166.60349301369797</v>
      </c>
      <c r="O611" s="3">
        <f t="shared" si="135"/>
        <v>15866490.845656104</v>
      </c>
      <c r="P611" s="2">
        <f t="shared" si="144"/>
        <v>1.6740337037398095E-10</v>
      </c>
      <c r="Q611" s="2">
        <f t="shared" si="145"/>
        <v>1.9613060744784204E-10</v>
      </c>
      <c r="R611" s="6">
        <f t="shared" si="146"/>
        <v>11.416517018141187</v>
      </c>
      <c r="S611" s="2">
        <f t="shared" si="147"/>
        <v>3.0786493889615481E-8</v>
      </c>
      <c r="T611" s="2">
        <f t="shared" si="139"/>
        <v>1.3631863273822976E-11</v>
      </c>
      <c r="U611" s="6">
        <f t="shared" si="148"/>
        <v>166.60349301388189</v>
      </c>
      <c r="V611" s="2">
        <f t="shared" si="149"/>
        <v>8.0863560125592567E-9</v>
      </c>
      <c r="W611" s="2">
        <f t="shared" si="150"/>
        <v>1.1039197221934768E-12</v>
      </c>
    </row>
    <row r="612" spans="1:23" x14ac:dyDescent="0.45">
      <c r="A612">
        <v>-58.147010000000002</v>
      </c>
      <c r="B612">
        <v>-142.20697000000001</v>
      </c>
      <c r="C612">
        <v>-44.846879999999999</v>
      </c>
      <c r="D612">
        <v>-115.80561</v>
      </c>
      <c r="E612" s="10">
        <v>2329780.6719999998</v>
      </c>
      <c r="F612" s="10" t="s">
        <v>1832</v>
      </c>
      <c r="G612" s="10" t="s">
        <v>1833</v>
      </c>
      <c r="H612" s="10">
        <v>2329780.6717694202</v>
      </c>
      <c r="I612" s="10">
        <v>62.125919783662503</v>
      </c>
      <c r="J612" s="10">
        <v>41.184567216970798</v>
      </c>
      <c r="K612" s="4">
        <f t="shared" si="140"/>
        <v>62.125919444444442</v>
      </c>
      <c r="L612" s="4">
        <f t="shared" si="141"/>
        <v>41.184566666666683</v>
      </c>
      <c r="M612" s="4">
        <f t="shared" si="142"/>
        <v>62.125919783662482</v>
      </c>
      <c r="N612" s="4">
        <f t="shared" si="143"/>
        <v>41.184567216970777</v>
      </c>
      <c r="O612" s="3">
        <f t="shared" si="135"/>
        <v>2329780.6721736668</v>
      </c>
      <c r="P612" s="2">
        <f t="shared" si="144"/>
        <v>7.4542201420391662E-11</v>
      </c>
      <c r="Q612" s="2">
        <f t="shared" si="145"/>
        <v>1.7351273534326583E-10</v>
      </c>
      <c r="R612" s="6">
        <f t="shared" si="146"/>
        <v>62.125919783652961</v>
      </c>
      <c r="S612" s="2">
        <f t="shared" si="147"/>
        <v>5.4600160783867416E-9</v>
      </c>
      <c r="T612" s="2">
        <f t="shared" si="139"/>
        <v>1.5325765304305712E-13</v>
      </c>
      <c r="U612" s="6">
        <f t="shared" si="148"/>
        <v>41.184567216966464</v>
      </c>
      <c r="V612" s="2">
        <f t="shared" si="149"/>
        <v>1.3361796065715318E-8</v>
      </c>
      <c r="W612" s="2">
        <f t="shared" si="150"/>
        <v>1.0472355781576765E-13</v>
      </c>
    </row>
    <row r="613" spans="1:23" x14ac:dyDescent="0.45">
      <c r="A613">
        <v>-14.643140000000001</v>
      </c>
      <c r="B613">
        <v>-168.42304999999999</v>
      </c>
      <c r="C613">
        <v>20.68601</v>
      </c>
      <c r="D613">
        <v>125.92728</v>
      </c>
      <c r="E613" s="10">
        <v>8171429.8380000005</v>
      </c>
      <c r="F613" s="10" t="s">
        <v>1834</v>
      </c>
      <c r="G613" s="10" t="s">
        <v>1835</v>
      </c>
      <c r="H613" s="10">
        <v>8171429.8378942702</v>
      </c>
      <c r="I613" s="10">
        <v>-62.8877191244069</v>
      </c>
      <c r="J613" s="10">
        <v>-66.979261936396696</v>
      </c>
      <c r="K613" s="4">
        <f t="shared" si="140"/>
        <v>297.11228055555557</v>
      </c>
      <c r="L613" s="4">
        <f t="shared" si="141"/>
        <v>293.0207388888889</v>
      </c>
      <c r="M613" s="4">
        <f t="shared" si="142"/>
        <v>297.11228087559311</v>
      </c>
      <c r="N613" s="4">
        <f t="shared" si="143"/>
        <v>293.02073806360329</v>
      </c>
      <c r="O613" s="3">
        <f t="shared" si="135"/>
        <v>8171429.8378759241</v>
      </c>
      <c r="P613" s="2">
        <f t="shared" si="144"/>
        <v>1.5184170186314671E-11</v>
      </c>
      <c r="Q613" s="2">
        <f t="shared" si="145"/>
        <v>2.2451546132442838E-12</v>
      </c>
      <c r="R613" s="6">
        <f t="shared" si="146"/>
        <v>297.11228087556606</v>
      </c>
      <c r="S613" s="2">
        <f t="shared" si="147"/>
        <v>1.0770691977713519E-9</v>
      </c>
      <c r="T613" s="2">
        <f t="shared" si="139"/>
        <v>9.1068155439438471E-14</v>
      </c>
      <c r="U613" s="6">
        <f t="shared" si="148"/>
        <v>293.02073806357066</v>
      </c>
      <c r="V613" s="2">
        <f t="shared" si="149"/>
        <v>2.816586436063464E-9</v>
      </c>
      <c r="W613" s="2">
        <f t="shared" si="150"/>
        <v>1.113508983757372E-13</v>
      </c>
    </row>
    <row r="614" spans="1:23" x14ac:dyDescent="0.45">
      <c r="A614">
        <v>57.651539999999997</v>
      </c>
      <c r="B614">
        <v>157.96238</v>
      </c>
      <c r="C614">
        <v>-69.683610000000002</v>
      </c>
      <c r="D614">
        <v>-12.811310000000001</v>
      </c>
      <c r="E614" s="10">
        <v>18591406.403999999</v>
      </c>
      <c r="F614" s="10" t="s">
        <v>1836</v>
      </c>
      <c r="G614" s="10" t="s">
        <v>1837</v>
      </c>
      <c r="H614" s="10">
        <v>18591406.404616799</v>
      </c>
      <c r="I614" s="10">
        <v>-165.40080176014101</v>
      </c>
      <c r="J614" s="10">
        <v>-22.8437978101521</v>
      </c>
      <c r="K614" s="4">
        <f t="shared" si="140"/>
        <v>194.59919722222222</v>
      </c>
      <c r="L614" s="4">
        <f t="shared" si="141"/>
        <v>337.15620277777776</v>
      </c>
      <c r="M614" s="4">
        <f t="shared" si="142"/>
        <v>194.59919823985899</v>
      </c>
      <c r="N614" s="4">
        <f t="shared" si="143"/>
        <v>337.15620218984787</v>
      </c>
      <c r="O614" s="3">
        <f t="shared" si="135"/>
        <v>18591406.404009033</v>
      </c>
      <c r="P614" s="2">
        <f t="shared" si="144"/>
        <v>4.8591423249327095E-13</v>
      </c>
      <c r="Q614" s="2">
        <f t="shared" si="145"/>
        <v>3.2690706545037978E-11</v>
      </c>
      <c r="R614" s="6">
        <f t="shared" si="146"/>
        <v>194.59919823975687</v>
      </c>
      <c r="S614" s="2">
        <f t="shared" si="147"/>
        <v>5.2288738697083155E-9</v>
      </c>
      <c r="T614" s="2">
        <f t="shared" si="139"/>
        <v>5.24766817680161E-13</v>
      </c>
      <c r="U614" s="6">
        <f t="shared" si="148"/>
        <v>337.15620219001295</v>
      </c>
      <c r="V614" s="2">
        <f t="shared" si="149"/>
        <v>1.7433012103313956E-9</v>
      </c>
      <c r="W614" s="2">
        <f t="shared" si="150"/>
        <v>4.8960478051308707E-13</v>
      </c>
    </row>
    <row r="615" spans="1:23" x14ac:dyDescent="0.45">
      <c r="A615">
        <v>-1.8526899999999999</v>
      </c>
      <c r="B615">
        <v>113.12232</v>
      </c>
      <c r="C615">
        <v>14.288539999999999</v>
      </c>
      <c r="D615">
        <v>-58.398949999999999</v>
      </c>
      <c r="E615" s="10">
        <v>18352200.136</v>
      </c>
      <c r="F615" s="10" t="s">
        <v>1838</v>
      </c>
      <c r="G615" s="10" t="s">
        <v>1839</v>
      </c>
      <c r="H615" s="10">
        <v>18352200.135696899</v>
      </c>
      <c r="I615" s="10">
        <v>-32.679470561092202</v>
      </c>
      <c r="J615" s="10">
        <v>-146.16714444865499</v>
      </c>
      <c r="K615" s="4">
        <f t="shared" si="140"/>
        <v>327.32053055555554</v>
      </c>
      <c r="L615" s="4">
        <f t="shared" si="141"/>
        <v>213.83285555555557</v>
      </c>
      <c r="M615" s="4">
        <f t="shared" si="142"/>
        <v>327.32052943890778</v>
      </c>
      <c r="N615" s="4">
        <f t="shared" si="143"/>
        <v>213.83285555134501</v>
      </c>
      <c r="O615" s="3">
        <f t="shared" si="135"/>
        <v>18352200.13555143</v>
      </c>
      <c r="P615" s="2">
        <f t="shared" si="144"/>
        <v>2.4442282238328135E-11</v>
      </c>
      <c r="Q615" s="2">
        <f t="shared" si="145"/>
        <v>7.9265079820967912E-12</v>
      </c>
      <c r="R615" s="6">
        <f t="shared" si="146"/>
        <v>327.32052944022479</v>
      </c>
      <c r="S615" s="2">
        <f t="shared" si="147"/>
        <v>3.4074573476258317E-9</v>
      </c>
      <c r="T615" s="2">
        <f t="shared" si="139"/>
        <v>4.0235947737334671E-12</v>
      </c>
      <c r="U615" s="6">
        <f t="shared" si="148"/>
        <v>213.8328555499688</v>
      </c>
      <c r="V615" s="2">
        <f t="shared" si="149"/>
        <v>2.6126808918542149E-11</v>
      </c>
      <c r="W615" s="2">
        <f t="shared" si="150"/>
        <v>6.4359033544269394E-12</v>
      </c>
    </row>
    <row r="616" spans="1:23" x14ac:dyDescent="0.45">
      <c r="A616">
        <v>-34.554499999999997</v>
      </c>
      <c r="B616">
        <v>-89.889120000000005</v>
      </c>
      <c r="C616">
        <v>8.9408600000000007</v>
      </c>
      <c r="D616">
        <v>26.80087</v>
      </c>
      <c r="E616" s="10">
        <v>13013464.103</v>
      </c>
      <c r="F616" s="10" t="s">
        <v>1840</v>
      </c>
      <c r="G616" s="10" t="s">
        <v>1841</v>
      </c>
      <c r="H616" s="10">
        <v>13013464.1025804</v>
      </c>
      <c r="I616" s="10">
        <v>98.158764755410004</v>
      </c>
      <c r="J616" s="10">
        <v>55.700402137881902</v>
      </c>
      <c r="K616" s="4">
        <f t="shared" si="140"/>
        <v>98.158763888888885</v>
      </c>
      <c r="L616" s="4">
        <f t="shared" si="141"/>
        <v>55.700402777777754</v>
      </c>
      <c r="M616" s="4">
        <f t="shared" si="142"/>
        <v>98.158764755410004</v>
      </c>
      <c r="N616" s="4">
        <f t="shared" si="143"/>
        <v>55.700402137881895</v>
      </c>
      <c r="O616" s="3">
        <f t="shared" si="135"/>
        <v>13013464.101270365</v>
      </c>
      <c r="P616" s="2">
        <f t="shared" si="144"/>
        <v>1.3291123009827873E-10</v>
      </c>
      <c r="Q616" s="2">
        <f t="shared" si="145"/>
        <v>1.0066770661759107E-10</v>
      </c>
      <c r="R616" s="6">
        <f t="shared" si="146"/>
        <v>98.15876475572874</v>
      </c>
      <c r="S616" s="2">
        <f t="shared" si="147"/>
        <v>8.8309980756109643E-9</v>
      </c>
      <c r="T616" s="2">
        <f t="shared" si="139"/>
        <v>3.2471400918856683E-12</v>
      </c>
      <c r="U616" s="6">
        <f t="shared" si="148"/>
        <v>55.70040213781494</v>
      </c>
      <c r="V616" s="2">
        <f t="shared" si="149"/>
        <v>1.1489374968476458E-8</v>
      </c>
      <c r="W616" s="2">
        <f t="shared" si="150"/>
        <v>1.2020459354123488E-12</v>
      </c>
    </row>
    <row r="617" spans="1:23" x14ac:dyDescent="0.45">
      <c r="A617">
        <v>-40.491390000000003</v>
      </c>
      <c r="B617">
        <v>-52.189729999999997</v>
      </c>
      <c r="C617">
        <v>-32.456119999999999</v>
      </c>
      <c r="D617">
        <v>-172.04351</v>
      </c>
      <c r="E617" s="10">
        <v>9843902.6370000001</v>
      </c>
      <c r="F617" s="10" t="s">
        <v>1842</v>
      </c>
      <c r="G617" s="10" t="s">
        <v>1843</v>
      </c>
      <c r="H617" s="10">
        <v>9843902.6371442191</v>
      </c>
      <c r="I617" s="10">
        <v>-132.983420732892</v>
      </c>
      <c r="J617" s="10">
        <v>-41.271577961570102</v>
      </c>
      <c r="K617" s="4">
        <f t="shared" si="140"/>
        <v>227.01658055555555</v>
      </c>
      <c r="L617" s="4">
        <f t="shared" si="141"/>
        <v>318.72842222222221</v>
      </c>
      <c r="M617" s="4">
        <f t="shared" si="142"/>
        <v>227.016579267108</v>
      </c>
      <c r="N617" s="4">
        <f t="shared" si="143"/>
        <v>318.72842203842993</v>
      </c>
      <c r="O617" s="3">
        <f t="shared" si="135"/>
        <v>9843902.6369842924</v>
      </c>
      <c r="P617" s="2">
        <f t="shared" si="144"/>
        <v>1.5956767475964889E-12</v>
      </c>
      <c r="Q617" s="2">
        <f t="shared" si="145"/>
        <v>1.6246271261310011E-11</v>
      </c>
      <c r="R617" s="6">
        <f t="shared" si="146"/>
        <v>227.0165792668657</v>
      </c>
      <c r="S617" s="2">
        <f t="shared" si="147"/>
        <v>5.676633140453309E-9</v>
      </c>
      <c r="T617" s="2">
        <f t="shared" si="139"/>
        <v>1.0673012238859852E-12</v>
      </c>
      <c r="U617" s="6">
        <f t="shared" si="148"/>
        <v>318.72842203862825</v>
      </c>
      <c r="V617" s="2">
        <f t="shared" si="149"/>
        <v>5.7602002664698551E-10</v>
      </c>
      <c r="W617" s="2">
        <f t="shared" si="150"/>
        <v>6.2224349851500348E-13</v>
      </c>
    </row>
    <row r="618" spans="1:23" x14ac:dyDescent="0.45">
      <c r="A618">
        <v>-5.8353099999999998</v>
      </c>
      <c r="B618">
        <v>-40.940559999999998</v>
      </c>
      <c r="C618">
        <v>58.066690000000001</v>
      </c>
      <c r="D618">
        <v>128.92748</v>
      </c>
      <c r="E618" s="10">
        <v>14144633.18</v>
      </c>
      <c r="F618" s="10" t="s">
        <v>1844</v>
      </c>
      <c r="G618" s="10" t="s">
        <v>1845</v>
      </c>
      <c r="H618" s="10">
        <v>14144633.180030501</v>
      </c>
      <c r="I618" s="10">
        <v>6.6962546326618302</v>
      </c>
      <c r="J618" s="10">
        <v>167.36195787053799</v>
      </c>
      <c r="K618" s="4">
        <f t="shared" si="140"/>
        <v>6.6962555555555552</v>
      </c>
      <c r="L618" s="4">
        <f t="shared" si="141"/>
        <v>167.3619583333334</v>
      </c>
      <c r="M618" s="4">
        <f t="shared" si="142"/>
        <v>6.6962546326618053</v>
      </c>
      <c r="N618" s="4">
        <f t="shared" si="143"/>
        <v>167.36195787053794</v>
      </c>
      <c r="O618" s="3">
        <f t="shared" si="135"/>
        <v>14144633.17829958</v>
      </c>
      <c r="P618" s="2">
        <f t="shared" si="144"/>
        <v>1.2021661579800941E-10</v>
      </c>
      <c r="Q618" s="2">
        <f t="shared" si="145"/>
        <v>1.223729682411432E-10</v>
      </c>
      <c r="R618" s="6">
        <f t="shared" si="146"/>
        <v>6.6962546326498265</v>
      </c>
      <c r="S618" s="2">
        <f t="shared" si="147"/>
        <v>1.3782414979112643E-7</v>
      </c>
      <c r="T618" s="2">
        <f t="shared" si="139"/>
        <v>1.7888899099008594E-12</v>
      </c>
      <c r="U618" s="6">
        <f t="shared" si="148"/>
        <v>167.36195787056118</v>
      </c>
      <c r="V618" s="2">
        <f t="shared" si="149"/>
        <v>2.7650980255766318E-9</v>
      </c>
      <c r="W618" s="2">
        <f t="shared" si="150"/>
        <v>1.3891423481108295E-13</v>
      </c>
    </row>
    <row r="619" spans="1:23" x14ac:dyDescent="0.45">
      <c r="A619">
        <v>22.30837</v>
      </c>
      <c r="B619">
        <v>-15.412610000000001</v>
      </c>
      <c r="C619">
        <v>-77.917240000000007</v>
      </c>
      <c r="D619">
        <v>-21.18674</v>
      </c>
      <c r="E619" s="10">
        <v>11126939.108999999</v>
      </c>
      <c r="F619" s="10" t="s">
        <v>1846</v>
      </c>
      <c r="G619" s="10" t="s">
        <v>1847</v>
      </c>
      <c r="H619" s="10">
        <v>11126939.108771799</v>
      </c>
      <c r="I619" s="10">
        <v>-178.768639660914</v>
      </c>
      <c r="J619" s="10">
        <v>-174.564833962488</v>
      </c>
      <c r="K619" s="4">
        <f t="shared" si="140"/>
        <v>181.23136111111111</v>
      </c>
      <c r="L619" s="4">
        <f t="shared" si="141"/>
        <v>185.43516666666667</v>
      </c>
      <c r="M619" s="4">
        <f t="shared" si="142"/>
        <v>181.231360339086</v>
      </c>
      <c r="N619" s="4">
        <f t="shared" si="143"/>
        <v>185.435166037512</v>
      </c>
      <c r="O619" s="3">
        <f t="shared" si="135"/>
        <v>11126939.108325338</v>
      </c>
      <c r="P619" s="2">
        <f t="shared" si="144"/>
        <v>6.0633139294943188E-11</v>
      </c>
      <c r="Q619" s="2">
        <f t="shared" si="145"/>
        <v>4.0124344776678418E-11</v>
      </c>
      <c r="R619" s="6">
        <f t="shared" si="146"/>
        <v>181.23136033908511</v>
      </c>
      <c r="S619" s="2">
        <f t="shared" si="147"/>
        <v>4.2598918528901865E-9</v>
      </c>
      <c r="T619" s="2">
        <f t="shared" si="139"/>
        <v>4.8615923353112085E-15</v>
      </c>
      <c r="U619" s="6">
        <f t="shared" si="148"/>
        <v>185.43516603750612</v>
      </c>
      <c r="V619" s="2">
        <f t="shared" si="149"/>
        <v>3.3928869280794124E-9</v>
      </c>
      <c r="W619" s="2">
        <f t="shared" si="150"/>
        <v>3.1726958687563541E-14</v>
      </c>
    </row>
    <row r="620" spans="1:23" x14ac:dyDescent="0.4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10">
        <v>8628113.1860000007</v>
      </c>
      <c r="F620" s="10" t="s">
        <v>1848</v>
      </c>
      <c r="G620" s="10" t="s">
        <v>1849</v>
      </c>
      <c r="H620" s="10">
        <v>8628113.1866634097</v>
      </c>
      <c r="I620" s="10">
        <v>-163.71265574985901</v>
      </c>
      <c r="J620" s="10">
        <v>-174.206462031272</v>
      </c>
      <c r="K620" s="4">
        <f t="shared" si="140"/>
        <v>196.28734444444444</v>
      </c>
      <c r="L620" s="4">
        <f t="shared" si="141"/>
        <v>185.79353888888889</v>
      </c>
      <c r="M620" s="4">
        <f t="shared" si="142"/>
        <v>196.28734425014099</v>
      </c>
      <c r="N620" s="4">
        <f t="shared" si="143"/>
        <v>185.793537968728</v>
      </c>
      <c r="O620" s="3">
        <f t="shared" si="135"/>
        <v>8628113.1861266177</v>
      </c>
      <c r="P620" s="2">
        <f t="shared" si="144"/>
        <v>1.4674938376413734E-11</v>
      </c>
      <c r="Q620" s="2">
        <f t="shared" si="145"/>
        <v>6.2214295136542434E-11</v>
      </c>
      <c r="R620" s="6">
        <f t="shared" si="146"/>
        <v>196.2873442501573</v>
      </c>
      <c r="S620" s="2">
        <f t="shared" si="147"/>
        <v>9.8980981079355686E-10</v>
      </c>
      <c r="T620" s="2">
        <f t="shared" si="139"/>
        <v>8.3113158799794516E-14</v>
      </c>
      <c r="U620" s="6">
        <f t="shared" si="148"/>
        <v>185.79353796873374</v>
      </c>
      <c r="V620" s="2">
        <f t="shared" si="149"/>
        <v>4.9525680519928032E-9</v>
      </c>
      <c r="W620" s="2">
        <f t="shared" si="150"/>
        <v>3.0900887984101699E-14</v>
      </c>
    </row>
    <row r="621" spans="1:23" x14ac:dyDescent="0.45">
      <c r="A621">
        <v>-63.510779999999997</v>
      </c>
      <c r="B621">
        <v>97.623270000000005</v>
      </c>
      <c r="C621">
        <v>71.74239</v>
      </c>
      <c r="D621">
        <v>116.67794000000001</v>
      </c>
      <c r="E621" s="10">
        <v>15078802.085999999</v>
      </c>
      <c r="F621" s="10" t="s">
        <v>1850</v>
      </c>
      <c r="G621" s="10" t="s">
        <v>1851</v>
      </c>
      <c r="H621" s="10">
        <v>15078802.086486099</v>
      </c>
      <c r="I621" s="10">
        <v>8.4671747155981798</v>
      </c>
      <c r="J621" s="10">
        <v>12.0964352730872</v>
      </c>
      <c r="K621" s="4">
        <f t="shared" si="140"/>
        <v>8.4671749999999992</v>
      </c>
      <c r="L621" s="4">
        <f t="shared" si="141"/>
        <v>12.096436111111075</v>
      </c>
      <c r="M621" s="4">
        <f t="shared" si="142"/>
        <v>8.467174715598162</v>
      </c>
      <c r="N621" s="4">
        <f t="shared" si="143"/>
        <v>12.096435273087195</v>
      </c>
      <c r="O621" s="3">
        <f t="shared" si="135"/>
        <v>15078802.08633193</v>
      </c>
      <c r="P621" s="2">
        <f t="shared" si="144"/>
        <v>2.2013075991078665E-11</v>
      </c>
      <c r="Q621" s="2">
        <f t="shared" si="145"/>
        <v>1.022423899938752E-11</v>
      </c>
      <c r="R621" s="6">
        <f t="shared" si="146"/>
        <v>8.4671747156079977</v>
      </c>
      <c r="S621" s="2">
        <f t="shared" si="147"/>
        <v>3.3587589899095603E-8</v>
      </c>
      <c r="T621" s="2">
        <f t="shared" si="139"/>
        <v>1.1616257075267338E-12</v>
      </c>
      <c r="U621" s="6">
        <f t="shared" si="148"/>
        <v>12.096435273101353</v>
      </c>
      <c r="V621" s="2">
        <f t="shared" si="149"/>
        <v>6.9277406532139644E-8</v>
      </c>
      <c r="W621" s="2">
        <f t="shared" si="150"/>
        <v>1.1703914161817995E-12</v>
      </c>
    </row>
    <row r="622" spans="1:23" x14ac:dyDescent="0.45">
      <c r="A622">
        <v>-19.57667</v>
      </c>
      <c r="B622">
        <v>78.649979999999999</v>
      </c>
      <c r="C622">
        <v>69.278580000000005</v>
      </c>
      <c r="D622">
        <v>136.25335999999999</v>
      </c>
      <c r="E622" s="10">
        <v>10848297.534</v>
      </c>
      <c r="F622" s="10" t="s">
        <v>1852</v>
      </c>
      <c r="G622" s="10" t="s">
        <v>1853</v>
      </c>
      <c r="H622" s="10">
        <v>10848297.5345449</v>
      </c>
      <c r="I622" s="10">
        <v>17.6171834755663</v>
      </c>
      <c r="J622" s="10">
        <v>53.5018586808226</v>
      </c>
      <c r="K622" s="4">
        <f t="shared" si="140"/>
        <v>17.617183333333333</v>
      </c>
      <c r="L622" s="4">
        <f t="shared" si="141"/>
        <v>53.501858333333303</v>
      </c>
      <c r="M622" s="4">
        <f t="shared" si="142"/>
        <v>17.617183475566321</v>
      </c>
      <c r="N622" s="4">
        <f t="shared" si="143"/>
        <v>53.501858680822579</v>
      </c>
      <c r="O622" s="3">
        <f t="shared" si="135"/>
        <v>10848297.534325013</v>
      </c>
      <c r="P622" s="2">
        <f t="shared" si="144"/>
        <v>2.9959811764995946E-11</v>
      </c>
      <c r="Q622" s="2">
        <f t="shared" si="145"/>
        <v>2.026927467758546E-11</v>
      </c>
      <c r="R622" s="6">
        <f t="shared" si="146"/>
        <v>17.617183475579441</v>
      </c>
      <c r="S622" s="2">
        <f t="shared" si="147"/>
        <v>8.0742821104960888E-9</v>
      </c>
      <c r="T622" s="2">
        <f t="shared" si="139"/>
        <v>7.4473718423872463E-13</v>
      </c>
      <c r="U622" s="6">
        <f t="shared" si="148"/>
        <v>53.50185868087803</v>
      </c>
      <c r="V622" s="2">
        <f t="shared" si="149"/>
        <v>6.4959374878927839E-9</v>
      </c>
      <c r="W622" s="2">
        <f t="shared" si="150"/>
        <v>1.0364267049023889E-12</v>
      </c>
    </row>
    <row r="623" spans="1:23" x14ac:dyDescent="0.45">
      <c r="A623">
        <v>39.893880000000003</v>
      </c>
      <c r="B623">
        <v>-26.36665</v>
      </c>
      <c r="C623">
        <v>43.53266</v>
      </c>
      <c r="D623">
        <v>-1.8880399999999999</v>
      </c>
      <c r="E623" s="10">
        <v>2068921.0109999999</v>
      </c>
      <c r="F623" s="10" t="s">
        <v>1854</v>
      </c>
      <c r="G623" s="10" t="s">
        <v>1855</v>
      </c>
      <c r="H623" s="10">
        <v>2068921.0111378899</v>
      </c>
      <c r="I623" s="10">
        <v>70.729945893312703</v>
      </c>
      <c r="J623" s="10">
        <v>87.165704715533906</v>
      </c>
      <c r="K623" s="4">
        <f t="shared" si="140"/>
        <v>70.729947222222222</v>
      </c>
      <c r="L623" s="4">
        <f t="shared" si="141"/>
        <v>87.165705555555576</v>
      </c>
      <c r="M623" s="4">
        <f t="shared" si="142"/>
        <v>70.729945893312674</v>
      </c>
      <c r="N623" s="4">
        <f t="shared" si="143"/>
        <v>87.165704715533934</v>
      </c>
      <c r="O623" s="3">
        <f t="shared" si="135"/>
        <v>2068921.0111691356</v>
      </c>
      <c r="P623" s="2">
        <f t="shared" si="144"/>
        <v>8.1750646463306575E-11</v>
      </c>
      <c r="Q623" s="2">
        <f t="shared" si="145"/>
        <v>1.5102383986385639E-11</v>
      </c>
      <c r="R623" s="6">
        <f t="shared" si="146"/>
        <v>70.729945893328122</v>
      </c>
      <c r="S623" s="2">
        <f t="shared" si="147"/>
        <v>1.8788280674992134E-8</v>
      </c>
      <c r="T623" s="2">
        <f t="shared" si="139"/>
        <v>2.1839687391709244E-13</v>
      </c>
      <c r="U623" s="6">
        <f t="shared" si="148"/>
        <v>87.165704715642718</v>
      </c>
      <c r="V623" s="2">
        <f t="shared" si="149"/>
        <v>9.6358178039550326E-9</v>
      </c>
      <c r="W623" s="2">
        <f t="shared" si="150"/>
        <v>1.2480148379444555E-12</v>
      </c>
    </row>
    <row r="624" spans="1:23" x14ac:dyDescent="0.4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10">
        <v>13329277.574999999</v>
      </c>
      <c r="F624" s="10" t="s">
        <v>1856</v>
      </c>
      <c r="G624" s="10" t="s">
        <v>1857</v>
      </c>
      <c r="H624" s="10">
        <v>13329277.5754636</v>
      </c>
      <c r="I624" s="10">
        <v>6.8190588723243399</v>
      </c>
      <c r="J624" s="10">
        <v>1.3707664483302</v>
      </c>
      <c r="K624" s="4">
        <f t="shared" si="140"/>
        <v>6.8190583333333334</v>
      </c>
      <c r="L624" s="4">
        <f t="shared" si="141"/>
        <v>1.3707666666666682</v>
      </c>
      <c r="M624" s="4">
        <f t="shared" si="142"/>
        <v>6.8190588723243195</v>
      </c>
      <c r="N624" s="4">
        <f t="shared" si="143"/>
        <v>1.3707664483301869</v>
      </c>
      <c r="O624" s="3">
        <f t="shared" si="135"/>
        <v>13329294.487942792</v>
      </c>
      <c r="P624" s="2">
        <f t="shared" si="144"/>
        <v>1.2688566726933274E-6</v>
      </c>
      <c r="Q624" s="2">
        <f t="shared" si="145"/>
        <v>1.2688218919794146E-6</v>
      </c>
      <c r="R624" s="6">
        <f t="shared" si="146"/>
        <v>6.8190588723230725</v>
      </c>
      <c r="S624" s="2">
        <f t="shared" si="147"/>
        <v>7.9041667150453007E-8</v>
      </c>
      <c r="T624" s="2">
        <f t="shared" si="139"/>
        <v>1.8287017675122772E-13</v>
      </c>
      <c r="U624" s="6">
        <f t="shared" si="148"/>
        <v>1.3707664483299566</v>
      </c>
      <c r="V624" s="2">
        <f t="shared" si="149"/>
        <v>1.5928072728107414E-7</v>
      </c>
      <c r="W624" s="2">
        <f t="shared" si="150"/>
        <v>1.6797920286694452E-13</v>
      </c>
    </row>
    <row r="625" spans="1:23" x14ac:dyDescent="0.4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10">
        <v>10971195.91</v>
      </c>
      <c r="F625" s="10" t="s">
        <v>1858</v>
      </c>
      <c r="G625" s="10" t="s">
        <v>1859</v>
      </c>
      <c r="H625" s="10">
        <v>10971195.9105135</v>
      </c>
      <c r="I625" s="10">
        <v>69.582145989826202</v>
      </c>
      <c r="J625" s="10">
        <v>41.528057891924298</v>
      </c>
      <c r="K625" s="4">
        <f t="shared" ref="K625:K688" si="151">ConvertDecimal(F625)</f>
        <v>69.582147222222218</v>
      </c>
      <c r="L625" s="4">
        <f t="shared" ref="L625:L688" si="152">MOD(ConvertDecimal(G625)+180,360)</f>
        <v>41.52805833333332</v>
      </c>
      <c r="M625" s="4">
        <f t="shared" ref="M625:M688" si="153">MOD(I625+360, 360)</f>
        <v>69.582145989826188</v>
      </c>
      <c r="N625" s="4">
        <f t="shared" ref="N625:N688" si="154">MOD(J625+360, 360)</f>
        <v>41.528057891924277</v>
      </c>
      <c r="O625" s="3">
        <f t="shared" si="135"/>
        <v>10971195.910251163</v>
      </c>
      <c r="P625" s="2">
        <f t="shared" si="144"/>
        <v>2.289292792444545E-11</v>
      </c>
      <c r="Q625" s="2">
        <f t="shared" si="145"/>
        <v>2.3911413815101468E-11</v>
      </c>
      <c r="R625" s="6">
        <f t="shared" si="146"/>
        <v>69.582145989964062</v>
      </c>
      <c r="S625" s="2">
        <f t="shared" si="147"/>
        <v>1.770940113290106E-8</v>
      </c>
      <c r="T625" s="2">
        <f t="shared" si="139"/>
        <v>1.9814524327411338E-12</v>
      </c>
      <c r="U625" s="6">
        <f t="shared" si="148"/>
        <v>41.528057891969894</v>
      </c>
      <c r="V625" s="2">
        <f t="shared" si="149"/>
        <v>1.0628077582256492E-8</v>
      </c>
      <c r="W625" s="2">
        <f t="shared" si="150"/>
        <v>1.0984583905781271E-12</v>
      </c>
    </row>
    <row r="626" spans="1:23" x14ac:dyDescent="0.45">
      <c r="A626">
        <v>-11.96942</v>
      </c>
      <c r="B626">
        <v>19.343589999999999</v>
      </c>
      <c r="C626">
        <v>-63.417520000000003</v>
      </c>
      <c r="D626">
        <v>71.231399999999994</v>
      </c>
      <c r="E626" s="10">
        <v>6990777.0190000003</v>
      </c>
      <c r="F626" s="10" t="s">
        <v>1860</v>
      </c>
      <c r="G626" s="10" t="s">
        <v>1861</v>
      </c>
      <c r="H626" s="10">
        <v>6990777.0187480999</v>
      </c>
      <c r="I626" s="10">
        <v>156.61335933907199</v>
      </c>
      <c r="J626" s="10">
        <v>120.055039909795</v>
      </c>
      <c r="K626" s="4">
        <f t="shared" si="151"/>
        <v>156.61335833333334</v>
      </c>
      <c r="L626" s="4">
        <f t="shared" si="152"/>
        <v>120.05503888888887</v>
      </c>
      <c r="M626" s="4">
        <f t="shared" si="153"/>
        <v>156.61335933907196</v>
      </c>
      <c r="N626" s="4">
        <f t="shared" si="154"/>
        <v>120.05503990979503</v>
      </c>
      <c r="O626" s="3">
        <f t="shared" si="135"/>
        <v>6990776.9521898227</v>
      </c>
      <c r="P626" s="2">
        <f t="shared" si="144"/>
        <v>9.5569029676594777E-9</v>
      </c>
      <c r="Q626" s="2">
        <f t="shared" si="145"/>
        <v>9.5208697196229918E-9</v>
      </c>
      <c r="R626" s="6">
        <f t="shared" si="146"/>
        <v>156.61335933904897</v>
      </c>
      <c r="S626" s="2">
        <f t="shared" si="147"/>
        <v>6.4216465464130944E-9</v>
      </c>
      <c r="T626" s="2">
        <f t="shared" si="139"/>
        <v>1.4681482490530104E-13</v>
      </c>
      <c r="U626" s="6">
        <f t="shared" si="148"/>
        <v>120.05503990970278</v>
      </c>
      <c r="V626" s="2">
        <f t="shared" si="149"/>
        <v>8.5028826867298218E-9</v>
      </c>
      <c r="W626" s="2">
        <f t="shared" si="150"/>
        <v>7.6833640658221407E-13</v>
      </c>
    </row>
    <row r="627" spans="1:23" x14ac:dyDescent="0.45">
      <c r="A627">
        <v>-69.891480000000001</v>
      </c>
      <c r="B627">
        <v>-112.86902000000001</v>
      </c>
      <c r="C627">
        <v>14.28862</v>
      </c>
      <c r="D627">
        <v>105.75986</v>
      </c>
      <c r="E627" s="10">
        <v>13278834.888</v>
      </c>
      <c r="F627" s="10" t="s">
        <v>1862</v>
      </c>
      <c r="G627" s="10" t="s">
        <v>1863</v>
      </c>
      <c r="H627" s="10">
        <v>13278834.8877271</v>
      </c>
      <c r="I627" s="10">
        <v>-136.07293861162</v>
      </c>
      <c r="J627" s="10">
        <v>-14.2883065562329</v>
      </c>
      <c r="K627" s="4">
        <f t="shared" si="151"/>
        <v>223.9270611111111</v>
      </c>
      <c r="L627" s="4">
        <f t="shared" si="152"/>
        <v>345.71169444444445</v>
      </c>
      <c r="M627" s="4">
        <f t="shared" si="153"/>
        <v>223.92706138838</v>
      </c>
      <c r="N627" s="4">
        <f t="shared" si="154"/>
        <v>345.7116934437671</v>
      </c>
      <c r="O627" s="3">
        <f t="shared" si="135"/>
        <v>13278838.982651755</v>
      </c>
      <c r="P627" s="2">
        <f t="shared" si="144"/>
        <v>3.0835926415847131E-7</v>
      </c>
      <c r="Q627" s="2">
        <f t="shared" si="145"/>
        <v>3.0837981565659313E-7</v>
      </c>
      <c r="R627" s="6">
        <f t="shared" si="146"/>
        <v>223.92706138829112</v>
      </c>
      <c r="S627" s="2">
        <f t="shared" si="147"/>
        <v>1.2378138657394532E-9</v>
      </c>
      <c r="T627" s="2">
        <f t="shared" si="139"/>
        <v>3.9689122358788389E-13</v>
      </c>
      <c r="U627" s="6">
        <f t="shared" si="148"/>
        <v>345.71169344379047</v>
      </c>
      <c r="V627" s="2">
        <f t="shared" si="149"/>
        <v>2.8944753593518963E-9</v>
      </c>
      <c r="W627" s="2">
        <f t="shared" si="150"/>
        <v>6.7578405922772825E-14</v>
      </c>
    </row>
    <row r="628" spans="1:23" x14ac:dyDescent="0.4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10">
        <v>16293897.99</v>
      </c>
      <c r="F628" s="10" t="s">
        <v>1864</v>
      </c>
      <c r="G628" s="10" t="s">
        <v>1865</v>
      </c>
      <c r="H628" s="10">
        <v>16293897.9904579</v>
      </c>
      <c r="I628" s="10">
        <v>129.772134826101</v>
      </c>
      <c r="J628" s="10">
        <v>1.1402578593469399</v>
      </c>
      <c r="K628" s="4">
        <f t="shared" si="151"/>
        <v>129.77213611111111</v>
      </c>
      <c r="L628" s="4">
        <f t="shared" si="152"/>
        <v>1.1402583333333496</v>
      </c>
      <c r="M628" s="4">
        <f t="shared" si="153"/>
        <v>129.77213482610102</v>
      </c>
      <c r="N628" s="4">
        <f t="shared" si="154"/>
        <v>1.1402578593469457</v>
      </c>
      <c r="O628" s="3">
        <f t="shared" si="135"/>
        <v>16293897.991794882</v>
      </c>
      <c r="P628" s="2">
        <f t="shared" si="144"/>
        <v>1.1015670527724562E-10</v>
      </c>
      <c r="Q628" s="2">
        <f t="shared" si="145"/>
        <v>8.2054182155430831E-11</v>
      </c>
      <c r="R628" s="6">
        <f t="shared" si="146"/>
        <v>129.77213482607075</v>
      </c>
      <c r="S628" s="2">
        <f t="shared" si="147"/>
        <v>9.90228252014277E-9</v>
      </c>
      <c r="T628" s="2">
        <f t="shared" si="139"/>
        <v>2.3324822839619536E-13</v>
      </c>
      <c r="U628" s="6">
        <f t="shared" si="148"/>
        <v>1.1402578593475774</v>
      </c>
      <c r="V628" s="2">
        <f t="shared" si="149"/>
        <v>4.1568279602159935E-7</v>
      </c>
      <c r="W628" s="2">
        <f t="shared" si="150"/>
        <v>5.540123190850131E-13</v>
      </c>
    </row>
    <row r="629" spans="1:23" x14ac:dyDescent="0.4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10">
        <v>11321064.525</v>
      </c>
      <c r="F629" s="10" t="s">
        <v>1866</v>
      </c>
      <c r="G629" s="10" t="s">
        <v>1867</v>
      </c>
      <c r="H629" s="10">
        <v>11321064.524782</v>
      </c>
      <c r="I629" s="10">
        <v>-65.124153972149699</v>
      </c>
      <c r="J629" s="10">
        <v>-161.983980597608</v>
      </c>
      <c r="K629" s="4">
        <f t="shared" si="151"/>
        <v>294.87584722222221</v>
      </c>
      <c r="L629" s="4">
        <f t="shared" si="152"/>
        <v>198.01601944444445</v>
      </c>
      <c r="M629" s="4">
        <f t="shared" si="153"/>
        <v>294.87584602785029</v>
      </c>
      <c r="N629" s="4">
        <f t="shared" si="154"/>
        <v>198.016019402392</v>
      </c>
      <c r="O629" s="3">
        <f t="shared" si="135"/>
        <v>11321064.52843315</v>
      </c>
      <c r="P629" s="2">
        <f t="shared" si="144"/>
        <v>3.0325322326225608E-10</v>
      </c>
      <c r="Q629" s="2">
        <f t="shared" si="145"/>
        <v>3.225093861932769E-10</v>
      </c>
      <c r="R629" s="6">
        <f t="shared" si="146"/>
        <v>294.87584602796466</v>
      </c>
      <c r="S629" s="2">
        <f t="shared" si="147"/>
        <v>4.0500351622269126E-9</v>
      </c>
      <c r="T629" s="2">
        <f t="shared" si="139"/>
        <v>3.878546184387848E-13</v>
      </c>
      <c r="U629" s="6">
        <f t="shared" si="148"/>
        <v>198.01601940237524</v>
      </c>
      <c r="V629" s="2">
        <f t="shared" si="149"/>
        <v>2.1245360633455695E-10</v>
      </c>
      <c r="W629" s="2">
        <f t="shared" si="150"/>
        <v>8.4684100885101423E-14</v>
      </c>
    </row>
    <row r="630" spans="1:23" x14ac:dyDescent="0.45">
      <c r="A630">
        <v>16.067440000000001</v>
      </c>
      <c r="B630">
        <v>-33.326090000000001</v>
      </c>
      <c r="C630">
        <v>-64.480180000000004</v>
      </c>
      <c r="D630">
        <v>108.66274</v>
      </c>
      <c r="E630" s="10">
        <v>13912911.091</v>
      </c>
      <c r="F630" s="10" t="s">
        <v>1868</v>
      </c>
      <c r="G630" s="10" t="s">
        <v>1869</v>
      </c>
      <c r="H630" s="10">
        <v>13912911.09127</v>
      </c>
      <c r="I630" s="10">
        <v>161.055419375306</v>
      </c>
      <c r="J630" s="10">
        <v>46.247766004057702</v>
      </c>
      <c r="K630" s="4">
        <f t="shared" si="151"/>
        <v>161.05541944444445</v>
      </c>
      <c r="L630" s="4">
        <f t="shared" si="152"/>
        <v>46.247766666666678</v>
      </c>
      <c r="M630" s="4">
        <f t="shared" si="153"/>
        <v>161.05541937530597</v>
      </c>
      <c r="N630" s="4">
        <f t="shared" si="154"/>
        <v>46.247766004057723</v>
      </c>
      <c r="O630" s="3">
        <f t="shared" si="135"/>
        <v>13912911.060931575</v>
      </c>
      <c r="P630" s="2">
        <f t="shared" si="144"/>
        <v>2.1611886444886859E-9</v>
      </c>
      <c r="Q630" s="2">
        <f t="shared" si="145"/>
        <v>2.1805950595266339E-9</v>
      </c>
      <c r="R630" s="6">
        <f t="shared" si="146"/>
        <v>161.05541937534827</v>
      </c>
      <c r="S630" s="2">
        <f t="shared" si="147"/>
        <v>4.2902119385275496E-10</v>
      </c>
      <c r="T630" s="2">
        <f t="shared" si="139"/>
        <v>2.6258975821167281E-13</v>
      </c>
      <c r="U630" s="6">
        <f t="shared" si="148"/>
        <v>46.247766003927964</v>
      </c>
      <c r="V630" s="2">
        <f t="shared" si="149"/>
        <v>1.4330177681068698E-8</v>
      </c>
      <c r="W630" s="2">
        <f t="shared" si="150"/>
        <v>2.8057423226264499E-12</v>
      </c>
    </row>
    <row r="631" spans="1:23" x14ac:dyDescent="0.45">
      <c r="A631">
        <v>-65.584879999999998</v>
      </c>
      <c r="B631">
        <v>-9.0929599999999997</v>
      </c>
      <c r="C631">
        <v>-23.258849999999999</v>
      </c>
      <c r="D631">
        <v>-108.1495</v>
      </c>
      <c r="E631" s="10">
        <v>8079548.193</v>
      </c>
      <c r="F631" s="10" t="s">
        <v>1870</v>
      </c>
      <c r="G631" s="10" t="s">
        <v>1871</v>
      </c>
      <c r="H631" s="10">
        <v>8079548.1933564199</v>
      </c>
      <c r="I631" s="10">
        <v>-108.080377026009</v>
      </c>
      <c r="J631" s="10">
        <v>-25.382626143567101</v>
      </c>
      <c r="K631" s="4">
        <f t="shared" si="151"/>
        <v>251.91962222222222</v>
      </c>
      <c r="L631" s="4">
        <f t="shared" si="152"/>
        <v>334.61737500000004</v>
      </c>
      <c r="M631" s="4">
        <f t="shared" si="153"/>
        <v>251.91962297399101</v>
      </c>
      <c r="N631" s="4">
        <f t="shared" si="154"/>
        <v>334.61737385643289</v>
      </c>
      <c r="O631" s="3">
        <f t="shared" si="135"/>
        <v>8079548.1940186508</v>
      </c>
      <c r="P631" s="2">
        <f t="shared" si="144"/>
        <v>1.260776971012521E-10</v>
      </c>
      <c r="Q631" s="2">
        <f t="shared" si="145"/>
        <v>8.1963851278650537E-11</v>
      </c>
      <c r="R631" s="6">
        <f t="shared" si="146"/>
        <v>251.91962297387079</v>
      </c>
      <c r="S631" s="2">
        <f t="shared" si="147"/>
        <v>2.9836840985621689E-9</v>
      </c>
      <c r="T631" s="2">
        <f t="shared" si="139"/>
        <v>4.7723090988835453E-13</v>
      </c>
      <c r="U631" s="6">
        <f t="shared" si="148"/>
        <v>334.61737385645148</v>
      </c>
      <c r="V631" s="2">
        <f t="shared" si="149"/>
        <v>3.4174811124415264E-9</v>
      </c>
      <c r="W631" s="2">
        <f t="shared" si="150"/>
        <v>5.554941081887544E-14</v>
      </c>
    </row>
    <row r="632" spans="1:23" x14ac:dyDescent="0.45">
      <c r="A632">
        <v>51.177770000000002</v>
      </c>
      <c r="B632">
        <v>117.54172</v>
      </c>
      <c r="C632">
        <v>-9.3270400000000002</v>
      </c>
      <c r="D632">
        <v>-118.73787</v>
      </c>
      <c r="E632" s="10">
        <v>13124386.158</v>
      </c>
      <c r="F632" s="10" t="s">
        <v>1872</v>
      </c>
      <c r="G632" s="10" t="s">
        <v>1873</v>
      </c>
      <c r="H632" s="10">
        <v>13124386.157580599</v>
      </c>
      <c r="I632" s="10">
        <v>68.204056750898005</v>
      </c>
      <c r="J632" s="10">
        <v>143.76923798912401</v>
      </c>
      <c r="K632" s="4">
        <f t="shared" si="151"/>
        <v>68.204055555555556</v>
      </c>
      <c r="L632" s="4">
        <f t="shared" si="152"/>
        <v>143.76923888888888</v>
      </c>
      <c r="M632" s="4">
        <f t="shared" si="153"/>
        <v>68.204056750898019</v>
      </c>
      <c r="N632" s="4">
        <f t="shared" si="154"/>
        <v>143.76923798912401</v>
      </c>
      <c r="O632" s="3">
        <f t="shared" si="135"/>
        <v>13124386.168363847</v>
      </c>
      <c r="P632" s="2">
        <f t="shared" si="144"/>
        <v>7.8966337111095295E-10</v>
      </c>
      <c r="Q632" s="2">
        <f t="shared" si="145"/>
        <v>8.2161919957233817E-10</v>
      </c>
      <c r="R632" s="6">
        <f t="shared" si="146"/>
        <v>68.204056750594319</v>
      </c>
      <c r="S632" s="2">
        <f t="shared" si="147"/>
        <v>1.752152058002316E-8</v>
      </c>
      <c r="T632" s="2">
        <f t="shared" si="139"/>
        <v>4.45281689368988E-12</v>
      </c>
      <c r="U632" s="6">
        <f t="shared" si="148"/>
        <v>143.769237989213</v>
      </c>
      <c r="V632" s="2">
        <f t="shared" si="149"/>
        <v>6.2577773186448088E-9</v>
      </c>
      <c r="W632" s="2">
        <f t="shared" si="150"/>
        <v>6.1896670992529589E-13</v>
      </c>
    </row>
    <row r="633" spans="1:23" x14ac:dyDescent="0.4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10">
        <v>7776083.7750000004</v>
      </c>
      <c r="F633" s="10" t="s">
        <v>1874</v>
      </c>
      <c r="G633" s="10" t="s">
        <v>1875</v>
      </c>
      <c r="H633" s="10">
        <v>7776083.7753266301</v>
      </c>
      <c r="I633" s="10">
        <v>-148.02754482329101</v>
      </c>
      <c r="J633" s="10">
        <v>-171.280905841037</v>
      </c>
      <c r="K633" s="4">
        <f t="shared" si="151"/>
        <v>211.97245555555557</v>
      </c>
      <c r="L633" s="4">
        <f t="shared" si="152"/>
        <v>188.71909444444444</v>
      </c>
      <c r="M633" s="4">
        <f t="shared" si="153"/>
        <v>211.97245517670899</v>
      </c>
      <c r="N633" s="4">
        <f t="shared" si="154"/>
        <v>188.719094158963</v>
      </c>
      <c r="O633" s="3">
        <f t="shared" si="135"/>
        <v>7776083.7706039725</v>
      </c>
      <c r="P633" s="2">
        <f t="shared" si="144"/>
        <v>5.6532671362293898E-10</v>
      </c>
      <c r="Q633" s="2">
        <f t="shared" si="145"/>
        <v>6.0733111292359718E-10</v>
      </c>
      <c r="R633" s="6">
        <f t="shared" si="146"/>
        <v>211.97245517669091</v>
      </c>
      <c r="S633" s="2">
        <f t="shared" si="147"/>
        <v>1.787329651915901E-9</v>
      </c>
      <c r="T633" s="2">
        <f t="shared" si="139"/>
        <v>8.5276208093489678E-14</v>
      </c>
      <c r="U633" s="6">
        <f t="shared" si="148"/>
        <v>188.71909415895823</v>
      </c>
      <c r="V633" s="2">
        <f t="shared" si="149"/>
        <v>1.512757411938928E-9</v>
      </c>
      <c r="W633" s="2">
        <f t="shared" si="150"/>
        <v>2.5301346456686015E-14</v>
      </c>
    </row>
    <row r="634" spans="1:23" x14ac:dyDescent="0.4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10">
        <v>9368637.2489999998</v>
      </c>
      <c r="F634" s="10" t="s">
        <v>1876</v>
      </c>
      <c r="G634" s="10" t="s">
        <v>1877</v>
      </c>
      <c r="H634" s="10">
        <v>9368637.2487851307</v>
      </c>
      <c r="I634" s="10">
        <v>-159.104105442622</v>
      </c>
      <c r="J634" s="10">
        <v>-9.8605551978343602</v>
      </c>
      <c r="K634" s="4">
        <f t="shared" si="151"/>
        <v>200.89589444444445</v>
      </c>
      <c r="L634" s="4">
        <f t="shared" si="152"/>
        <v>350.13944444444445</v>
      </c>
      <c r="M634" s="4">
        <f t="shared" si="153"/>
        <v>200.895894557378</v>
      </c>
      <c r="N634" s="4">
        <f t="shared" si="154"/>
        <v>350.13944480216566</v>
      </c>
      <c r="O634" s="3">
        <f t="shared" si="135"/>
        <v>9368637.2515687812</v>
      </c>
      <c r="P634" s="2">
        <f t="shared" si="144"/>
        <v>2.7418943733350326E-10</v>
      </c>
      <c r="Q634" s="2">
        <f t="shared" si="145"/>
        <v>2.9712437982651238E-10</v>
      </c>
      <c r="R634" s="6">
        <f t="shared" si="146"/>
        <v>200.89589455733392</v>
      </c>
      <c r="S634" s="2">
        <f t="shared" si="147"/>
        <v>5.6193018267361547E-10</v>
      </c>
      <c r="T634" s="2">
        <f t="shared" si="139"/>
        <v>2.1942743739826056E-13</v>
      </c>
      <c r="U634" s="6">
        <f t="shared" si="148"/>
        <v>350.13944480218555</v>
      </c>
      <c r="V634" s="2">
        <f t="shared" si="149"/>
        <v>1.0217103683086359E-9</v>
      </c>
      <c r="W634" s="2">
        <f t="shared" si="150"/>
        <v>5.682078068217623E-14</v>
      </c>
    </row>
    <row r="635" spans="1:23" x14ac:dyDescent="0.45">
      <c r="A635">
        <v>-56.731380000000001</v>
      </c>
      <c r="B635">
        <v>-169.91386</v>
      </c>
      <c r="C635">
        <v>-69.354529999999997</v>
      </c>
      <c r="D635">
        <v>13.248900000000001</v>
      </c>
      <c r="E635" s="10">
        <v>6014625.4720000001</v>
      </c>
      <c r="F635" s="10" t="s">
        <v>1878</v>
      </c>
      <c r="G635" s="10" t="s">
        <v>1879</v>
      </c>
      <c r="H635" s="10">
        <v>6014625.47188891</v>
      </c>
      <c r="I635" s="10">
        <v>-178.61995535805301</v>
      </c>
      <c r="J635" s="10">
        <v>-2.1461476781893398</v>
      </c>
      <c r="K635" s="4">
        <f t="shared" si="151"/>
        <v>181.38004444444445</v>
      </c>
      <c r="L635" s="4">
        <f t="shared" si="152"/>
        <v>357.85385277777777</v>
      </c>
      <c r="M635" s="4">
        <f t="shared" si="153"/>
        <v>181.38004464194699</v>
      </c>
      <c r="N635" s="4">
        <f t="shared" si="154"/>
        <v>357.85385232181068</v>
      </c>
      <c r="O635" s="3">
        <f t="shared" si="135"/>
        <v>6014625.4749815846</v>
      </c>
      <c r="P635" s="2">
        <f t="shared" si="144"/>
        <v>4.9572239086674633E-10</v>
      </c>
      <c r="Q635" s="2">
        <f t="shared" si="145"/>
        <v>5.1419237206832983E-10</v>
      </c>
      <c r="R635" s="6">
        <f t="shared" si="146"/>
        <v>181.38004464194486</v>
      </c>
      <c r="S635" s="2">
        <f t="shared" si="147"/>
        <v>1.0888761940362827E-9</v>
      </c>
      <c r="T635" s="2">
        <f t="shared" si="139"/>
        <v>1.1752275237820334E-14</v>
      </c>
      <c r="U635" s="6">
        <f t="shared" si="148"/>
        <v>357.85385232181341</v>
      </c>
      <c r="V635" s="2">
        <f t="shared" si="149"/>
        <v>1.2741636423498883E-9</v>
      </c>
      <c r="W635" s="2">
        <f t="shared" si="150"/>
        <v>7.62457659073938E-15</v>
      </c>
    </row>
    <row r="636" spans="1:23" x14ac:dyDescent="0.45">
      <c r="A636">
        <v>-6.88687</v>
      </c>
      <c r="B636">
        <v>-8.0862300000000005</v>
      </c>
      <c r="C636">
        <v>-41.409059999999997</v>
      </c>
      <c r="D636">
        <v>-68.357510000000005</v>
      </c>
      <c r="E636" s="10">
        <v>7044804.2750000004</v>
      </c>
      <c r="F636" s="10" t="s">
        <v>1880</v>
      </c>
      <c r="G636" s="10" t="s">
        <v>1881</v>
      </c>
      <c r="H636" s="10">
        <v>7044804.2746508401</v>
      </c>
      <c r="I636" s="10">
        <v>-133.092710804376</v>
      </c>
      <c r="J636" s="10">
        <v>-105.14625643742301</v>
      </c>
      <c r="K636" s="4">
        <f t="shared" si="151"/>
        <v>226.9072888888889</v>
      </c>
      <c r="L636" s="4">
        <f t="shared" si="152"/>
        <v>254.85374444444443</v>
      </c>
      <c r="M636" s="4">
        <f t="shared" si="153"/>
        <v>226.907289195624</v>
      </c>
      <c r="N636" s="4">
        <f t="shared" si="154"/>
        <v>254.85374356257699</v>
      </c>
      <c r="O636" s="3">
        <f t="shared" si="135"/>
        <v>7044804.272859022</v>
      </c>
      <c r="P636" s="2">
        <f t="shared" si="144"/>
        <v>3.0390884794814115E-10</v>
      </c>
      <c r="Q636" s="2">
        <f t="shared" si="145"/>
        <v>2.5434603965917242E-10</v>
      </c>
      <c r="R636" s="6">
        <f t="shared" si="146"/>
        <v>226.90728919567655</v>
      </c>
      <c r="S636" s="2">
        <f t="shared" si="147"/>
        <v>1.3520396649132892E-9</v>
      </c>
      <c r="T636" s="2">
        <f t="shared" si="139"/>
        <v>2.3160005534908346E-13</v>
      </c>
      <c r="U636" s="6">
        <f t="shared" si="148"/>
        <v>254.85374356275781</v>
      </c>
      <c r="V636" s="2">
        <f t="shared" si="149"/>
        <v>3.4595788222422036E-9</v>
      </c>
      <c r="W636" s="2">
        <f t="shared" si="150"/>
        <v>7.0950072331125824E-13</v>
      </c>
    </row>
    <row r="637" spans="1:23" x14ac:dyDescent="0.45">
      <c r="A637">
        <v>18.230799999999999</v>
      </c>
      <c r="B637">
        <v>77.88579</v>
      </c>
      <c r="C637">
        <v>34.195740000000001</v>
      </c>
      <c r="D637">
        <v>92.443370000000002</v>
      </c>
      <c r="E637" s="10">
        <v>2284594.0219999999</v>
      </c>
      <c r="F637" s="10" t="s">
        <v>1882</v>
      </c>
      <c r="G637" s="10" t="s">
        <v>1883</v>
      </c>
      <c r="H637" s="10">
        <v>2284594.0220705001</v>
      </c>
      <c r="I637" s="10">
        <v>36.417644074668203</v>
      </c>
      <c r="J637" s="10">
        <v>42.939324481717001</v>
      </c>
      <c r="K637" s="4">
        <f t="shared" si="151"/>
        <v>36.417644444444441</v>
      </c>
      <c r="L637" s="4">
        <f t="shared" si="152"/>
        <v>42.939324999999997</v>
      </c>
      <c r="M637" s="4">
        <f t="shared" si="153"/>
        <v>36.417644074668203</v>
      </c>
      <c r="N637" s="4">
        <f t="shared" si="154"/>
        <v>42.939324481716994</v>
      </c>
      <c r="O637" s="3">
        <f t="shared" si="135"/>
        <v>2284594.0217782357</v>
      </c>
      <c r="P637" s="2">
        <f t="shared" si="144"/>
        <v>9.7069414095228346E-11</v>
      </c>
      <c r="Q637" s="2">
        <f t="shared" si="145"/>
        <v>1.279283706047443E-10</v>
      </c>
      <c r="R637" s="6">
        <f t="shared" si="146"/>
        <v>36.417644074744921</v>
      </c>
      <c r="S637" s="2">
        <f t="shared" si="147"/>
        <v>1.0151659351243417E-8</v>
      </c>
      <c r="T637" s="2">
        <f t="shared" si="139"/>
        <v>2.1065969842179305E-12</v>
      </c>
      <c r="U637" s="6">
        <f t="shared" si="148"/>
        <v>42.939324481813792</v>
      </c>
      <c r="V637" s="2">
        <f t="shared" si="149"/>
        <v>1.2067870304348784E-8</v>
      </c>
      <c r="W637" s="2">
        <f t="shared" si="150"/>
        <v>2.2542794527150387E-12</v>
      </c>
    </row>
    <row r="638" spans="1:23" x14ac:dyDescent="0.45">
      <c r="A638">
        <v>-43.999510000000001</v>
      </c>
      <c r="B638">
        <v>-106.45717</v>
      </c>
      <c r="C638">
        <v>-24.05743</v>
      </c>
      <c r="D638">
        <v>-127.96366999999999</v>
      </c>
      <c r="E638" s="10">
        <v>2954440.679</v>
      </c>
      <c r="F638" s="10" t="s">
        <v>1884</v>
      </c>
      <c r="G638" s="10" t="s">
        <v>1885</v>
      </c>
      <c r="H638" s="10">
        <v>2954440.6790862898</v>
      </c>
      <c r="I638" s="10">
        <v>-48.5584137837104</v>
      </c>
      <c r="J638" s="10">
        <v>-36.239842648555097</v>
      </c>
      <c r="K638" s="4">
        <f t="shared" si="151"/>
        <v>311.44158611111112</v>
      </c>
      <c r="L638" s="4">
        <f t="shared" si="152"/>
        <v>323.76015833333332</v>
      </c>
      <c r="M638" s="4">
        <f t="shared" si="153"/>
        <v>311.44158621628958</v>
      </c>
      <c r="N638" s="4">
        <f t="shared" si="154"/>
        <v>323.76015735144489</v>
      </c>
      <c r="O638" s="3">
        <f t="shared" si="135"/>
        <v>2954440.679261609</v>
      </c>
      <c r="P638" s="2">
        <f t="shared" si="144"/>
        <v>8.8547716909761395E-11</v>
      </c>
      <c r="Q638" s="2">
        <f t="shared" si="145"/>
        <v>5.9340892374643202E-11</v>
      </c>
      <c r="R638" s="6">
        <f t="shared" si="146"/>
        <v>311.44158621617783</v>
      </c>
      <c r="S638" s="2">
        <f t="shared" si="147"/>
        <v>3.3735605155872492E-10</v>
      </c>
      <c r="T638" s="2">
        <f t="shared" si="139"/>
        <v>3.5882864211569247E-13</v>
      </c>
      <c r="U638" s="6">
        <f t="shared" si="148"/>
        <v>323.76015735137247</v>
      </c>
      <c r="V638" s="2">
        <f t="shared" si="149"/>
        <v>3.0329885469589092E-9</v>
      </c>
      <c r="W638" s="2">
        <f t="shared" si="150"/>
        <v>2.236795170261126E-13</v>
      </c>
    </row>
    <row r="639" spans="1:23" x14ac:dyDescent="0.4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10">
        <v>9276811.591</v>
      </c>
      <c r="F639" s="10" t="s">
        <v>1886</v>
      </c>
      <c r="G639" s="10" t="s">
        <v>1887</v>
      </c>
      <c r="H639" s="10">
        <v>9276811.5911209192</v>
      </c>
      <c r="I639" s="10">
        <v>147.970051226588</v>
      </c>
      <c r="J639" s="10">
        <v>167.72036949640699</v>
      </c>
      <c r="K639" s="4">
        <f t="shared" si="151"/>
        <v>147.97004999999999</v>
      </c>
      <c r="L639" s="4">
        <f t="shared" si="152"/>
        <v>167.72036944444449</v>
      </c>
      <c r="M639" s="4">
        <f t="shared" si="153"/>
        <v>147.970051226588</v>
      </c>
      <c r="N639" s="4">
        <f t="shared" si="154"/>
        <v>167.72036949640699</v>
      </c>
      <c r="O639" s="3">
        <f t="shared" si="135"/>
        <v>9276811.590932915</v>
      </c>
      <c r="P639" s="2">
        <f t="shared" si="144"/>
        <v>7.2314746329208E-12</v>
      </c>
      <c r="Q639" s="2">
        <f t="shared" si="145"/>
        <v>2.0266038999048037E-11</v>
      </c>
      <c r="R639" s="6">
        <f t="shared" si="146"/>
        <v>147.97005122655511</v>
      </c>
      <c r="S639" s="2">
        <f t="shared" si="147"/>
        <v>8.2892120918177647E-9</v>
      </c>
      <c r="T639" s="2">
        <f t="shared" si="139"/>
        <v>2.2223360428943808E-13</v>
      </c>
      <c r="U639" s="6">
        <f t="shared" si="148"/>
        <v>167.72036949639536</v>
      </c>
      <c r="V639" s="2">
        <f t="shared" si="149"/>
        <v>3.0974697676752368E-10</v>
      </c>
      <c r="W639" s="2">
        <f t="shared" si="150"/>
        <v>6.9308690363243366E-14</v>
      </c>
    </row>
    <row r="640" spans="1:23" x14ac:dyDescent="0.45">
      <c r="A640">
        <v>-63.16404</v>
      </c>
      <c r="B640">
        <v>171.13804999999999</v>
      </c>
      <c r="C640">
        <v>66.351709999999997</v>
      </c>
      <c r="D640">
        <v>-36.604999999999997</v>
      </c>
      <c r="E640" s="10">
        <v>18654328.232000001</v>
      </c>
      <c r="F640" s="10" t="s">
        <v>1888</v>
      </c>
      <c r="G640" s="10" t="s">
        <v>1889</v>
      </c>
      <c r="H640" s="10">
        <v>18654328.232122</v>
      </c>
      <c r="I640" s="10">
        <v>62.607587672562602</v>
      </c>
      <c r="J640" s="10">
        <v>92.421820570645806</v>
      </c>
      <c r="K640" s="4">
        <f t="shared" si="151"/>
        <v>62.607588888888891</v>
      </c>
      <c r="L640" s="4">
        <f t="shared" si="152"/>
        <v>92.421819444444452</v>
      </c>
      <c r="M640" s="4">
        <f t="shared" si="153"/>
        <v>62.607587672562602</v>
      </c>
      <c r="N640" s="4">
        <f t="shared" si="154"/>
        <v>92.421820570645821</v>
      </c>
      <c r="O640" s="3">
        <f t="shared" si="135"/>
        <v>18654328.23229786</v>
      </c>
      <c r="P640" s="2">
        <f t="shared" si="144"/>
        <v>1.5967302997964145E-11</v>
      </c>
      <c r="Q640" s="2">
        <f t="shared" si="145"/>
        <v>9.4272909177543123E-12</v>
      </c>
      <c r="R640" s="6">
        <f t="shared" si="146"/>
        <v>62.607587672545094</v>
      </c>
      <c r="S640" s="2">
        <f t="shared" si="147"/>
        <v>1.942805686699864E-8</v>
      </c>
      <c r="T640" s="2">
        <f t="shared" si="139"/>
        <v>2.7964298993109974E-13</v>
      </c>
      <c r="U640" s="6">
        <f t="shared" si="148"/>
        <v>92.421820570860305</v>
      </c>
      <c r="V640" s="2">
        <f t="shared" si="149"/>
        <v>1.2187769725889581E-8</v>
      </c>
      <c r="W640" s="2">
        <f t="shared" si="150"/>
        <v>2.3207120233321443E-12</v>
      </c>
    </row>
    <row r="641" spans="1:23" x14ac:dyDescent="0.45">
      <c r="A641">
        <v>68.749970000000005</v>
      </c>
      <c r="B641">
        <v>-16.916160000000001</v>
      </c>
      <c r="C641">
        <v>-81.489639999999994</v>
      </c>
      <c r="D641">
        <v>-54.97925</v>
      </c>
      <c r="E641" s="10">
        <v>16831309.186000001</v>
      </c>
      <c r="F641" s="10" t="s">
        <v>1890</v>
      </c>
      <c r="G641" s="10" t="s">
        <v>1891</v>
      </c>
      <c r="H641" s="10">
        <v>16831309.185820099</v>
      </c>
      <c r="I641" s="10">
        <v>-168.93168304221001</v>
      </c>
      <c r="J641" s="10">
        <v>-151.96544989931201</v>
      </c>
      <c r="K641" s="4">
        <f t="shared" si="151"/>
        <v>191.06831666666668</v>
      </c>
      <c r="L641" s="4">
        <f t="shared" si="152"/>
        <v>208.03455</v>
      </c>
      <c r="M641" s="4">
        <f t="shared" si="153"/>
        <v>191.06831695778999</v>
      </c>
      <c r="N641" s="4">
        <f t="shared" si="154"/>
        <v>208.03455010068799</v>
      </c>
      <c r="O641" s="3">
        <f t="shared" si="135"/>
        <v>16831309.186319906</v>
      </c>
      <c r="P641" s="2">
        <f t="shared" si="144"/>
        <v>1.9006577299180654E-11</v>
      </c>
      <c r="Q641" s="2">
        <f t="shared" si="145"/>
        <v>2.9695093392052632E-11</v>
      </c>
      <c r="R641" s="6">
        <f t="shared" si="146"/>
        <v>191.06831695779121</v>
      </c>
      <c r="S641" s="2">
        <f t="shared" si="147"/>
        <v>1.5236672469441282E-9</v>
      </c>
      <c r="T641" s="2">
        <f t="shared" si="139"/>
        <v>6.3963169036411251E-15</v>
      </c>
      <c r="U641" s="6">
        <f t="shared" si="148"/>
        <v>208.03455010069055</v>
      </c>
      <c r="V641" s="2">
        <f t="shared" si="149"/>
        <v>4.840088165028978E-10</v>
      </c>
      <c r="W641" s="2">
        <f t="shared" si="150"/>
        <v>1.2295812630634287E-14</v>
      </c>
    </row>
    <row r="642" spans="1:23" x14ac:dyDescent="0.45">
      <c r="A642">
        <v>68.798839999999998</v>
      </c>
      <c r="B642">
        <v>-132.99173999999999</v>
      </c>
      <c r="C642">
        <v>45.924790000000002</v>
      </c>
      <c r="D642">
        <v>49.90748</v>
      </c>
      <c r="E642" s="10">
        <v>7278952.7180000003</v>
      </c>
      <c r="F642" s="10" t="s">
        <v>1892</v>
      </c>
      <c r="G642" s="10" t="s">
        <v>1893</v>
      </c>
      <c r="H642" s="10">
        <v>7278952.7179896804</v>
      </c>
      <c r="I642" s="10">
        <v>-2.2188097350192701</v>
      </c>
      <c r="J642" s="10">
        <v>-178.84528098713</v>
      </c>
      <c r="K642" s="4">
        <f t="shared" si="151"/>
        <v>357.78118888888889</v>
      </c>
      <c r="L642" s="4">
        <f t="shared" si="152"/>
        <v>181.15471944444445</v>
      </c>
      <c r="M642" s="4">
        <f t="shared" si="153"/>
        <v>357.78119026498075</v>
      </c>
      <c r="N642" s="4">
        <f t="shared" si="154"/>
        <v>181.15471901287</v>
      </c>
      <c r="O642" s="3">
        <f t="shared" si="135"/>
        <v>7278952.7078759158</v>
      </c>
      <c r="P642" s="2">
        <f t="shared" si="144"/>
        <v>1.390871040373129E-9</v>
      </c>
      <c r="Q642" s="2">
        <f t="shared" si="145"/>
        <v>1.3894532559974379E-9</v>
      </c>
      <c r="R642" s="6">
        <f t="shared" si="146"/>
        <v>357.78119026498632</v>
      </c>
      <c r="S642" s="2">
        <f t="shared" si="147"/>
        <v>3.846198381914359E-9</v>
      </c>
      <c r="T642" s="2">
        <f t="shared" si="139"/>
        <v>1.5570005355042374E-14</v>
      </c>
      <c r="U642" s="6">
        <f t="shared" si="148"/>
        <v>181.15471901286708</v>
      </c>
      <c r="V642" s="2">
        <f t="shared" si="149"/>
        <v>2.3823689375934505E-9</v>
      </c>
      <c r="W642" s="2">
        <f t="shared" si="150"/>
        <v>1.6159866479236653E-14</v>
      </c>
    </row>
    <row r="643" spans="1:23" x14ac:dyDescent="0.45">
      <c r="A643">
        <v>46.28192</v>
      </c>
      <c r="B643">
        <v>-68.099469999999997</v>
      </c>
      <c r="C643">
        <v>3.9421900000000001</v>
      </c>
      <c r="D643">
        <v>169.94654</v>
      </c>
      <c r="E643" s="10">
        <v>12060516.677999999</v>
      </c>
      <c r="F643" s="10" t="s">
        <v>1894</v>
      </c>
      <c r="G643" s="10" t="s">
        <v>1895</v>
      </c>
      <c r="H643" s="10">
        <v>12060516.6776457</v>
      </c>
      <c r="I643" s="10">
        <v>-62.969012172953299</v>
      </c>
      <c r="J643" s="10">
        <v>-141.81911201023499</v>
      </c>
      <c r="K643" s="4">
        <f t="shared" si="151"/>
        <v>297.03098888888888</v>
      </c>
      <c r="L643" s="4">
        <f t="shared" si="152"/>
        <v>218.18088888888889</v>
      </c>
      <c r="M643" s="4">
        <f t="shared" si="153"/>
        <v>297.03098782704672</v>
      </c>
      <c r="N643" s="4">
        <f t="shared" si="154"/>
        <v>218.18088798976501</v>
      </c>
      <c r="O643" s="3">
        <f t="shared" si="135"/>
        <v>12060516.677932471</v>
      </c>
      <c r="P643" s="2">
        <f t="shared" si="144"/>
        <v>5.5991247342993074E-12</v>
      </c>
      <c r="Q643" s="2">
        <f t="shared" si="145"/>
        <v>2.3777669912101035E-11</v>
      </c>
      <c r="R643" s="6">
        <f t="shared" si="146"/>
        <v>297.0309878273909</v>
      </c>
      <c r="S643" s="2">
        <f t="shared" si="147"/>
        <v>3.5736944041321101E-9</v>
      </c>
      <c r="T643" s="2">
        <f t="shared" si="139"/>
        <v>1.158757554961247E-12</v>
      </c>
      <c r="U643" s="6">
        <f t="shared" si="148"/>
        <v>218.18088798962674</v>
      </c>
      <c r="V643" s="2">
        <f t="shared" si="149"/>
        <v>4.1216357307605302E-9</v>
      </c>
      <c r="W643" s="2">
        <f t="shared" si="150"/>
        <v>6.3374761031040398E-13</v>
      </c>
    </row>
    <row r="644" spans="1:23" x14ac:dyDescent="0.45">
      <c r="A644">
        <v>29.880749999999999</v>
      </c>
      <c r="B644">
        <v>43.055280000000003</v>
      </c>
      <c r="C644">
        <v>56.306449999999998</v>
      </c>
      <c r="D644">
        <v>37.67671</v>
      </c>
      <c r="E644" s="10">
        <v>2966149.7009999999</v>
      </c>
      <c r="F644" s="10" t="s">
        <v>1896</v>
      </c>
      <c r="G644" s="10" t="s">
        <v>1897</v>
      </c>
      <c r="H644" s="10">
        <v>2966149.7010675799</v>
      </c>
      <c r="I644" s="10">
        <v>-6.6741085913402696</v>
      </c>
      <c r="J644" s="10">
        <v>-10.45025933298</v>
      </c>
      <c r="K644" s="4">
        <f t="shared" si="151"/>
        <v>353.32589166666668</v>
      </c>
      <c r="L644" s="4">
        <f t="shared" si="152"/>
        <v>349.5497416666667</v>
      </c>
      <c r="M644" s="4">
        <f t="shared" si="153"/>
        <v>353.32589140865974</v>
      </c>
      <c r="N644" s="4">
        <f t="shared" si="154"/>
        <v>349.54974066701999</v>
      </c>
      <c r="O644" s="3">
        <f t="shared" si="135"/>
        <v>2966149.7022643303</v>
      </c>
      <c r="P644" s="2">
        <f t="shared" si="144"/>
        <v>4.2625308659246758E-10</v>
      </c>
      <c r="Q644" s="2">
        <f t="shared" si="145"/>
        <v>4.0346933240514759E-10</v>
      </c>
      <c r="R644" s="6">
        <f t="shared" si="146"/>
        <v>353.32589140869777</v>
      </c>
      <c r="S644" s="2">
        <f t="shared" si="147"/>
        <v>7.3011605649321844E-10</v>
      </c>
      <c r="T644" s="2">
        <f t="shared" si="139"/>
        <v>1.0762938166310821E-13</v>
      </c>
      <c r="U644" s="6">
        <f t="shared" si="148"/>
        <v>349.54974066708002</v>
      </c>
      <c r="V644" s="2">
        <f t="shared" si="149"/>
        <v>2.8596407601694619E-9</v>
      </c>
      <c r="W644" s="2">
        <f t="shared" si="150"/>
        <v>1.7172563253077755E-13</v>
      </c>
    </row>
    <row r="645" spans="1:23" x14ac:dyDescent="0.4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10">
        <v>12533853.741</v>
      </c>
      <c r="F645" s="10" t="s">
        <v>1898</v>
      </c>
      <c r="G645" s="10" t="s">
        <v>1899</v>
      </c>
      <c r="H645" s="10">
        <v>12533853.7411057</v>
      </c>
      <c r="I645" s="10">
        <v>119.40456392591101</v>
      </c>
      <c r="J645" s="10">
        <v>61.985368830474698</v>
      </c>
      <c r="K645" s="4">
        <f t="shared" si="151"/>
        <v>119.40456388888889</v>
      </c>
      <c r="L645" s="4">
        <f t="shared" si="152"/>
        <v>61.985369444444473</v>
      </c>
      <c r="M645" s="4">
        <f t="shared" si="153"/>
        <v>119.40456392591102</v>
      </c>
      <c r="N645" s="4">
        <f t="shared" si="154"/>
        <v>61.985368830474727</v>
      </c>
      <c r="O645" s="3">
        <f t="shared" si="135"/>
        <v>12533853.741033085</v>
      </c>
      <c r="P645" s="2">
        <f t="shared" si="144"/>
        <v>2.6395954368301622E-12</v>
      </c>
      <c r="Q645" s="2">
        <f t="shared" si="145"/>
        <v>5.7935270861364745E-12</v>
      </c>
      <c r="R645" s="6">
        <f t="shared" si="146"/>
        <v>119.4045639262667</v>
      </c>
      <c r="S645" s="2">
        <f t="shared" si="147"/>
        <v>3.1303507320161936E-10</v>
      </c>
      <c r="T645" s="2">
        <f t="shared" si="139"/>
        <v>2.9788097788916002E-12</v>
      </c>
      <c r="U645" s="6">
        <f t="shared" si="148"/>
        <v>61.985368830097698</v>
      </c>
      <c r="V645" s="2">
        <f t="shared" si="149"/>
        <v>9.9111577433119321E-9</v>
      </c>
      <c r="W645" s="2">
        <f t="shared" si="150"/>
        <v>6.0825351782638864E-12</v>
      </c>
    </row>
    <row r="646" spans="1:23" x14ac:dyDescent="0.4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10">
        <v>2549123.5150000001</v>
      </c>
      <c r="F646" s="10" t="s">
        <v>1900</v>
      </c>
      <c r="G646" s="10" t="s">
        <v>1901</v>
      </c>
      <c r="H646" s="10">
        <v>2549123.51472829</v>
      </c>
      <c r="I646" s="10">
        <v>117.64300573897199</v>
      </c>
      <c r="J646" s="10">
        <v>75.203345563631004</v>
      </c>
      <c r="K646" s="4">
        <f t="shared" si="151"/>
        <v>117.64300555555556</v>
      </c>
      <c r="L646" s="4">
        <f t="shared" si="152"/>
        <v>75.20334444444444</v>
      </c>
      <c r="M646" s="4">
        <f t="shared" si="153"/>
        <v>117.64300573897197</v>
      </c>
      <c r="N646" s="4">
        <f t="shared" si="154"/>
        <v>75.20334556363099</v>
      </c>
      <c r="O646" s="3">
        <f t="shared" si="135"/>
        <v>2549123.514291951</v>
      </c>
      <c r="P646" s="2">
        <f t="shared" si="144"/>
        <v>2.7776181069920143E-10</v>
      </c>
      <c r="Q646" s="2">
        <f t="shared" si="145"/>
        <v>1.7117219278947629E-10</v>
      </c>
      <c r="R646" s="6">
        <f t="shared" si="146"/>
        <v>117.64300573899122</v>
      </c>
      <c r="S646" s="2">
        <f t="shared" si="147"/>
        <v>1.5592568269118053E-9</v>
      </c>
      <c r="T646" s="2">
        <f t="shared" si="139"/>
        <v>1.6367915812881867E-13</v>
      </c>
      <c r="U646" s="6">
        <f t="shared" si="148"/>
        <v>75.203345563593089</v>
      </c>
      <c r="V646" s="2">
        <f t="shared" si="149"/>
        <v>1.488163402274897E-8</v>
      </c>
      <c r="W646" s="2">
        <f t="shared" si="150"/>
        <v>5.0397158851630521E-13</v>
      </c>
    </row>
    <row r="647" spans="1:23" x14ac:dyDescent="0.45">
      <c r="A647">
        <v>-9.3298799999999993</v>
      </c>
      <c r="B647">
        <v>58.546340000000001</v>
      </c>
      <c r="C647">
        <v>36.548920000000003</v>
      </c>
      <c r="D647">
        <v>-49.88832</v>
      </c>
      <c r="E647" s="10">
        <v>12271081.063999999</v>
      </c>
      <c r="F647" s="10" t="s">
        <v>1902</v>
      </c>
      <c r="G647" s="10" t="s">
        <v>1903</v>
      </c>
      <c r="H647" s="10">
        <v>12271081.0643405</v>
      </c>
      <c r="I647" s="10">
        <v>-54.432488473542897</v>
      </c>
      <c r="J647" s="10">
        <v>-93.572863989313305</v>
      </c>
      <c r="K647" s="4">
        <f t="shared" si="151"/>
        <v>305.56751111111112</v>
      </c>
      <c r="L647" s="4">
        <f t="shared" si="152"/>
        <v>266.42713611111111</v>
      </c>
      <c r="M647" s="4">
        <f t="shared" si="153"/>
        <v>305.56751152645711</v>
      </c>
      <c r="N647" s="4">
        <f t="shared" si="154"/>
        <v>266.4271360106867</v>
      </c>
      <c r="O647" s="3">
        <f t="shared" si="135"/>
        <v>12271081.064127954</v>
      </c>
      <c r="P647" s="2">
        <f t="shared" si="144"/>
        <v>1.0427313441991992E-11</v>
      </c>
      <c r="Q647" s="2">
        <f t="shared" si="145"/>
        <v>1.7320922000621439E-11</v>
      </c>
      <c r="R647" s="6">
        <f t="shared" si="146"/>
        <v>305.5675115264811</v>
      </c>
      <c r="S647" s="2">
        <f t="shared" si="147"/>
        <v>1.3593394810036051E-9</v>
      </c>
      <c r="T647" s="2">
        <f t="shared" si="139"/>
        <v>7.8502857320890356E-14</v>
      </c>
      <c r="U647" s="6">
        <f t="shared" si="148"/>
        <v>266.42713601041243</v>
      </c>
      <c r="V647" s="2">
        <f t="shared" si="149"/>
        <v>3.7795956679170436E-10</v>
      </c>
      <c r="W647" s="2">
        <f t="shared" si="150"/>
        <v>1.0294352899263136E-12</v>
      </c>
    </row>
    <row r="648" spans="1:23" x14ac:dyDescent="0.4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10">
        <v>591727.50899999996</v>
      </c>
      <c r="F648" s="10" t="s">
        <v>1904</v>
      </c>
      <c r="G648" s="10" t="s">
        <v>1905</v>
      </c>
      <c r="H648" s="10">
        <v>591727.50880262</v>
      </c>
      <c r="I648" s="10">
        <v>-167.83952934158199</v>
      </c>
      <c r="J648" s="10">
        <v>-111.66673916374</v>
      </c>
      <c r="K648" s="4">
        <f t="shared" si="151"/>
        <v>192.16046944444443</v>
      </c>
      <c r="L648" s="4">
        <f t="shared" si="152"/>
        <v>248.33326111111111</v>
      </c>
      <c r="M648" s="4">
        <f t="shared" si="153"/>
        <v>192.16047065841801</v>
      </c>
      <c r="N648" s="4">
        <f t="shared" si="154"/>
        <v>248.33326083626</v>
      </c>
      <c r="O648" s="3">
        <f t="shared" si="135"/>
        <v>591727.50851831166</v>
      </c>
      <c r="P648" s="2">
        <f t="shared" si="144"/>
        <v>8.1403736306431419E-10</v>
      </c>
      <c r="Q648" s="2">
        <f t="shared" si="145"/>
        <v>4.8047172149868305E-10</v>
      </c>
      <c r="R648" s="6">
        <f t="shared" si="146"/>
        <v>192.16047065841843</v>
      </c>
      <c r="S648" s="2">
        <f t="shared" si="147"/>
        <v>6.3175012307258039E-9</v>
      </c>
      <c r="T648" s="2">
        <f t="shared" si="139"/>
        <v>2.2185917842275227E-15</v>
      </c>
      <c r="U648" s="6">
        <f t="shared" si="148"/>
        <v>248.33326083626173</v>
      </c>
      <c r="V648" s="2">
        <f t="shared" si="149"/>
        <v>1.1067763654017013E-9</v>
      </c>
      <c r="W648" s="2">
        <f t="shared" si="150"/>
        <v>6.9814420727064261E-15</v>
      </c>
    </row>
    <row r="649" spans="1:23" x14ac:dyDescent="0.45">
      <c r="A649">
        <v>-70.928510000000003</v>
      </c>
      <c r="B649">
        <v>-35.97439</v>
      </c>
      <c r="C649">
        <v>54.71416</v>
      </c>
      <c r="D649">
        <v>-101.14644</v>
      </c>
      <c r="E649" s="10">
        <v>14851083.606000001</v>
      </c>
      <c r="F649" s="10" t="s">
        <v>1906</v>
      </c>
      <c r="G649" s="10" t="s">
        <v>1907</v>
      </c>
      <c r="H649" s="10">
        <v>14851083.606228599</v>
      </c>
      <c r="I649" s="10">
        <v>-46.677488705216398</v>
      </c>
      <c r="J649" s="10">
        <v>-24.3193568034675</v>
      </c>
      <c r="K649" s="4">
        <f t="shared" si="151"/>
        <v>313.32251111111111</v>
      </c>
      <c r="L649" s="4">
        <f t="shared" si="152"/>
        <v>335.68064444444445</v>
      </c>
      <c r="M649" s="4">
        <f t="shared" si="153"/>
        <v>313.32251129478362</v>
      </c>
      <c r="N649" s="4">
        <f t="shared" si="154"/>
        <v>335.68064319653251</v>
      </c>
      <c r="O649" s="3">
        <f t="shared" si="135"/>
        <v>14851083.604916055</v>
      </c>
      <c r="P649" s="2">
        <f t="shared" si="144"/>
        <v>7.298766098524877E-11</v>
      </c>
      <c r="Q649" s="2">
        <f t="shared" si="145"/>
        <v>8.8380390561039246E-11</v>
      </c>
      <c r="R649" s="6">
        <f t="shared" si="146"/>
        <v>313.32251129472274</v>
      </c>
      <c r="S649" s="2">
        <f t="shared" si="147"/>
        <v>5.860148123852775E-10</v>
      </c>
      <c r="T649" s="2">
        <f t="shared" si="139"/>
        <v>1.9430235430051252E-13</v>
      </c>
      <c r="U649" s="6">
        <f t="shared" si="148"/>
        <v>335.68064319650648</v>
      </c>
      <c r="V649" s="2">
        <f t="shared" si="149"/>
        <v>3.7176345853021126E-9</v>
      </c>
      <c r="W649" s="2">
        <f t="shared" si="150"/>
        <v>7.7556708633353209E-14</v>
      </c>
    </row>
    <row r="650" spans="1:23" x14ac:dyDescent="0.45">
      <c r="A650">
        <v>44.042279999999998</v>
      </c>
      <c r="B650">
        <v>149.45542</v>
      </c>
      <c r="C650">
        <v>44.364550000000001</v>
      </c>
      <c r="D650">
        <v>-13.95912</v>
      </c>
      <c r="E650" s="10">
        <v>10074604.48</v>
      </c>
      <c r="F650" s="10" t="s">
        <v>1908</v>
      </c>
      <c r="G650" s="10" t="s">
        <v>1909</v>
      </c>
      <c r="H650" s="10">
        <v>10074604.4794716</v>
      </c>
      <c r="I650" s="10">
        <v>-11.763807687380901</v>
      </c>
      <c r="J650" s="10">
        <v>-168.17095928763899</v>
      </c>
      <c r="K650" s="4">
        <f t="shared" si="151"/>
        <v>348.23619166666668</v>
      </c>
      <c r="L650" s="4">
        <f t="shared" si="152"/>
        <v>191.82904166666665</v>
      </c>
      <c r="M650" s="4">
        <f t="shared" si="153"/>
        <v>348.2361923126191</v>
      </c>
      <c r="N650" s="4">
        <f t="shared" si="154"/>
        <v>191.82904071236101</v>
      </c>
      <c r="O650" s="3">
        <f t="shared" si="135"/>
        <v>10074604.479453392</v>
      </c>
      <c r="P650" s="2">
        <f t="shared" si="144"/>
        <v>5.4256037672559646E-11</v>
      </c>
      <c r="Q650" s="2">
        <f t="shared" si="145"/>
        <v>1.8072527185392351E-12</v>
      </c>
      <c r="R650" s="6">
        <f t="shared" si="146"/>
        <v>348.23619231265025</v>
      </c>
      <c r="S650" s="2">
        <f t="shared" si="147"/>
        <v>1.8550155819867257E-9</v>
      </c>
      <c r="T650" s="2">
        <f t="shared" si="139"/>
        <v>8.9451338555179806E-14</v>
      </c>
      <c r="U650" s="6">
        <f t="shared" si="148"/>
        <v>191.82904071232926</v>
      </c>
      <c r="V650" s="2">
        <f t="shared" si="149"/>
        <v>4.9749369886629244E-9</v>
      </c>
      <c r="W650" s="2">
        <f t="shared" si="150"/>
        <v>1.6549657609644488E-13</v>
      </c>
    </row>
    <row r="651" spans="1:23" x14ac:dyDescent="0.45">
      <c r="A651">
        <v>-46.165430000000001</v>
      </c>
      <c r="B651">
        <v>-161.16449</v>
      </c>
      <c r="C651">
        <v>-31.393419999999999</v>
      </c>
      <c r="D651">
        <v>-53.703870000000002</v>
      </c>
      <c r="E651" s="10">
        <v>8754736.1899999995</v>
      </c>
      <c r="F651" s="10" t="s">
        <v>1910</v>
      </c>
      <c r="G651" s="10" t="s">
        <v>1911</v>
      </c>
      <c r="H651" s="10">
        <v>8754736.1896679904</v>
      </c>
      <c r="I651" s="10">
        <v>123.875128955078</v>
      </c>
      <c r="J651" s="10">
        <v>42.391394999247197</v>
      </c>
      <c r="K651" s="4">
        <f t="shared" si="151"/>
        <v>123.87512777777778</v>
      </c>
      <c r="L651" s="4">
        <f t="shared" si="152"/>
        <v>42.391394444444472</v>
      </c>
      <c r="M651" s="4">
        <f t="shared" si="153"/>
        <v>123.87512895507803</v>
      </c>
      <c r="N651" s="4">
        <f t="shared" si="154"/>
        <v>42.391394999247211</v>
      </c>
      <c r="O651" s="3">
        <f t="shared" si="135"/>
        <v>8754736.1886764076</v>
      </c>
      <c r="P651" s="2">
        <f t="shared" si="144"/>
        <v>1.5118581405857527E-10</v>
      </c>
      <c r="Q651" s="2">
        <f t="shared" si="145"/>
        <v>1.1326245006144527E-10</v>
      </c>
      <c r="R651" s="6">
        <f t="shared" si="146"/>
        <v>123.87512895528673</v>
      </c>
      <c r="S651" s="2">
        <f t="shared" si="147"/>
        <v>9.505612386735745E-9</v>
      </c>
      <c r="T651" s="2">
        <f t="shared" si="139"/>
        <v>1.6847660552033787E-12</v>
      </c>
      <c r="U651" s="6">
        <f t="shared" si="148"/>
        <v>42.391394999119335</v>
      </c>
      <c r="V651" s="2">
        <f t="shared" si="149"/>
        <v>1.3084609972245524E-8</v>
      </c>
      <c r="W651" s="2">
        <f t="shared" si="150"/>
        <v>3.0165644739225039E-12</v>
      </c>
    </row>
    <row r="652" spans="1:23" x14ac:dyDescent="0.45">
      <c r="A652">
        <v>-89.398070000000004</v>
      </c>
      <c r="B652">
        <v>81.868600000000001</v>
      </c>
      <c r="C652">
        <v>-13.23263</v>
      </c>
      <c r="D652">
        <v>-96.450230000000005</v>
      </c>
      <c r="E652" s="10">
        <v>8605721.7860000003</v>
      </c>
      <c r="F652" s="10" t="s">
        <v>1912</v>
      </c>
      <c r="G652" s="10" t="s">
        <v>1913</v>
      </c>
      <c r="H652" s="10">
        <v>8605721.7856206894</v>
      </c>
      <c r="I652" s="10">
        <v>-178.32295915487501</v>
      </c>
      <c r="J652" s="10">
        <v>-1.8153741317127301E-2</v>
      </c>
      <c r="K652" s="4">
        <f t="shared" si="151"/>
        <v>181.67704166666667</v>
      </c>
      <c r="L652" s="4">
        <f t="shared" si="152"/>
        <v>359.9818472222222</v>
      </c>
      <c r="M652" s="4">
        <f t="shared" si="153"/>
        <v>181.67704084512499</v>
      </c>
      <c r="N652" s="4">
        <f t="shared" si="154"/>
        <v>359.98184625868288</v>
      </c>
      <c r="O652" s="3">
        <f t="shared" si="135"/>
        <v>8605721.7872259915</v>
      </c>
      <c r="P652" s="2">
        <f t="shared" si="144"/>
        <v>1.4246232972266653E-10</v>
      </c>
      <c r="Q652" s="2">
        <f t="shared" si="145"/>
        <v>1.8653892554317862E-10</v>
      </c>
      <c r="R652" s="6">
        <f t="shared" si="146"/>
        <v>181.67704084512559</v>
      </c>
      <c r="S652" s="2">
        <f t="shared" si="147"/>
        <v>4.5219862189791418E-9</v>
      </c>
      <c r="T652" s="2">
        <f t="shared" si="139"/>
        <v>3.2852577037914683E-15</v>
      </c>
      <c r="U652" s="6">
        <f t="shared" si="148"/>
        <v>359.98184625868288</v>
      </c>
      <c r="V652" s="2">
        <f t="shared" si="149"/>
        <v>2.6766330820689393E-9</v>
      </c>
      <c r="W652" s="2">
        <f t="shared" si="150"/>
        <v>0</v>
      </c>
    </row>
    <row r="653" spans="1:23" x14ac:dyDescent="0.45">
      <c r="A653">
        <v>78.9649</v>
      </c>
      <c r="B653">
        <v>64.746480000000005</v>
      </c>
      <c r="C653">
        <v>86.207070000000002</v>
      </c>
      <c r="D653">
        <v>-24.311129999999999</v>
      </c>
      <c r="E653" s="10">
        <v>1295718.6769999999</v>
      </c>
      <c r="F653" s="10" t="s">
        <v>1914</v>
      </c>
      <c r="G653" s="10" t="s">
        <v>1915</v>
      </c>
      <c r="H653" s="10">
        <v>1295718.6771784199</v>
      </c>
      <c r="I653" s="10">
        <v>-19.2029105985055</v>
      </c>
      <c r="J653" s="10">
        <v>-107.894083400708</v>
      </c>
      <c r="K653" s="4">
        <f t="shared" si="151"/>
        <v>340.79708888888888</v>
      </c>
      <c r="L653" s="4">
        <f t="shared" si="152"/>
        <v>252.10591666666667</v>
      </c>
      <c r="M653" s="4">
        <f t="shared" si="153"/>
        <v>340.79708940149447</v>
      </c>
      <c r="N653" s="4">
        <f t="shared" si="154"/>
        <v>252.10591659929202</v>
      </c>
      <c r="O653" s="3">
        <f t="shared" si="135"/>
        <v>1295718.6766506955</v>
      </c>
      <c r="P653" s="2">
        <f t="shared" si="144"/>
        <v>2.6958352316191979E-10</v>
      </c>
      <c r="Q653" s="2">
        <f t="shared" si="145"/>
        <v>4.0728315501220769E-10</v>
      </c>
      <c r="R653" s="6">
        <f t="shared" si="146"/>
        <v>340.79708940149459</v>
      </c>
      <c r="S653" s="2">
        <f t="shared" si="147"/>
        <v>1.5041375812871403E-9</v>
      </c>
      <c r="T653" s="2">
        <f t="shared" si="139"/>
        <v>3.3359098788452708E-16</v>
      </c>
      <c r="U653" s="6">
        <f t="shared" si="148"/>
        <v>252.10591659928795</v>
      </c>
      <c r="V653" s="2">
        <f t="shared" ref="V653:V716" si="155">ABS((L653-U653)/L653)</f>
        <v>2.6726354605211096E-10</v>
      </c>
      <c r="W653" s="2">
        <f t="shared" ref="W653:W716" si="156">ABS((N653-U653)/N653)</f>
        <v>1.6121416360916883E-14</v>
      </c>
    </row>
    <row r="654" spans="1:23" x14ac:dyDescent="0.4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10">
        <v>17177097.931000002</v>
      </c>
      <c r="F654" s="10" t="s">
        <v>1916</v>
      </c>
      <c r="G654" s="10" t="s">
        <v>1917</v>
      </c>
      <c r="H654" s="10">
        <v>17177097.930962998</v>
      </c>
      <c r="I654" s="10">
        <v>11.4173827241528</v>
      </c>
      <c r="J654" s="10">
        <v>143.08101160340999</v>
      </c>
      <c r="K654" s="4">
        <f t="shared" si="151"/>
        <v>11.417383333333333</v>
      </c>
      <c r="L654" s="4">
        <f t="shared" si="152"/>
        <v>143.08101111111114</v>
      </c>
      <c r="M654" s="4">
        <f t="shared" si="153"/>
        <v>11.417382724152787</v>
      </c>
      <c r="N654" s="4">
        <f t="shared" si="154"/>
        <v>143.08101160340999</v>
      </c>
      <c r="O654" s="3">
        <f t="shared" si="135"/>
        <v>17177097.930540245</v>
      </c>
      <c r="P654" s="2">
        <f t="shared" si="144"/>
        <v>2.6765679745874941E-11</v>
      </c>
      <c r="Q654" s="2">
        <f t="shared" si="145"/>
        <v>2.4611456216245378E-11</v>
      </c>
      <c r="R654" s="6">
        <f t="shared" si="146"/>
        <v>11.417382724134944</v>
      </c>
      <c r="S654" s="2">
        <f t="shared" si="147"/>
        <v>5.3357093453560361E-8</v>
      </c>
      <c r="T654" s="2">
        <f t="shared" si="139"/>
        <v>1.5628366748211615E-12</v>
      </c>
      <c r="U654" s="6">
        <f t="shared" si="148"/>
        <v>143.08101160347721</v>
      </c>
      <c r="V654" s="2">
        <f t="shared" si="155"/>
        <v>3.4411699069613767E-9</v>
      </c>
      <c r="W654" s="2">
        <f t="shared" si="156"/>
        <v>4.6978520804156458E-13</v>
      </c>
    </row>
    <row r="655" spans="1:23" x14ac:dyDescent="0.45">
      <c r="A655">
        <v>22.121279999999999</v>
      </c>
      <c r="B655">
        <v>-121.46489</v>
      </c>
      <c r="C655">
        <v>36.995260000000002</v>
      </c>
      <c r="D655">
        <v>133.47765000000001</v>
      </c>
      <c r="E655" s="10">
        <v>9805356.2540000007</v>
      </c>
      <c r="F655" s="10" t="s">
        <v>1918</v>
      </c>
      <c r="G655" s="10" t="s">
        <v>1919</v>
      </c>
      <c r="H655" s="10">
        <v>9805356.2540363595</v>
      </c>
      <c r="I655" s="10">
        <v>-50.51411043393</v>
      </c>
      <c r="J655" s="10">
        <v>-116.552897363434</v>
      </c>
      <c r="K655" s="4">
        <f t="shared" si="151"/>
        <v>309.48588888888889</v>
      </c>
      <c r="L655" s="4">
        <f t="shared" si="152"/>
        <v>243.44710277777779</v>
      </c>
      <c r="M655" s="4">
        <f t="shared" si="153"/>
        <v>309.48588956607</v>
      </c>
      <c r="N655" s="4">
        <f t="shared" si="154"/>
        <v>243.447102636566</v>
      </c>
      <c r="O655" s="3">
        <f t="shared" si="135"/>
        <v>9805356.2531917598</v>
      </c>
      <c r="P655" s="2">
        <f t="shared" si="144"/>
        <v>8.2428503856729535E-11</v>
      </c>
      <c r="Q655" s="2">
        <f t="shared" si="145"/>
        <v>8.6136562224830565E-11</v>
      </c>
      <c r="R655" s="6">
        <f t="shared" si="146"/>
        <v>309.48588956624536</v>
      </c>
      <c r="S655" s="2">
        <f t="shared" si="147"/>
        <v>2.1886505721990623E-9</v>
      </c>
      <c r="T655" s="2">
        <f t="shared" si="139"/>
        <v>5.6662340060630108E-13</v>
      </c>
      <c r="U655" s="6">
        <f t="shared" si="148"/>
        <v>243.44710263627644</v>
      </c>
      <c r="V655" s="2">
        <f t="shared" si="155"/>
        <v>5.8124062326966145E-10</v>
      </c>
      <c r="W655" s="2">
        <f t="shared" si="156"/>
        <v>1.1894180400628181E-12</v>
      </c>
    </row>
    <row r="656" spans="1:23" x14ac:dyDescent="0.4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10">
        <v>3435870.1129999999</v>
      </c>
      <c r="F656" s="10" t="s">
        <v>1920</v>
      </c>
      <c r="G656" s="10" t="s">
        <v>1921</v>
      </c>
      <c r="H656" s="10">
        <v>3435870.1126317801</v>
      </c>
      <c r="I656" s="10">
        <v>139.054071847941</v>
      </c>
      <c r="J656" s="10">
        <v>160.106531472608</v>
      </c>
      <c r="K656" s="4">
        <f t="shared" si="151"/>
        <v>139.05407222222223</v>
      </c>
      <c r="L656" s="4">
        <f t="shared" si="152"/>
        <v>160.10653055555554</v>
      </c>
      <c r="M656" s="4">
        <f t="shared" si="153"/>
        <v>139.05407184794103</v>
      </c>
      <c r="N656" s="4">
        <f t="shared" si="154"/>
        <v>160.10653147260803</v>
      </c>
      <c r="O656" s="3">
        <f t="shared" si="135"/>
        <v>3435870.1132572298</v>
      </c>
      <c r="P656" s="2">
        <f t="shared" si="144"/>
        <v>7.4866013459494605E-11</v>
      </c>
      <c r="Q656" s="2">
        <f t="shared" si="145"/>
        <v>1.8203531504842071E-10</v>
      </c>
      <c r="R656" s="6">
        <f t="shared" si="146"/>
        <v>139.05407184794478</v>
      </c>
      <c r="S656" s="2">
        <f t="shared" si="147"/>
        <v>2.6915964571471807E-9</v>
      </c>
      <c r="T656" s="2">
        <f t="shared" si="139"/>
        <v>2.6979904974777476E-14</v>
      </c>
      <c r="U656" s="6">
        <f t="shared" si="148"/>
        <v>160.10653147260996</v>
      </c>
      <c r="V656" s="2">
        <f t="shared" si="155"/>
        <v>5.7277764907650355E-9</v>
      </c>
      <c r="W656" s="2">
        <f t="shared" si="156"/>
        <v>1.207118924812962E-14</v>
      </c>
    </row>
    <row r="657" spans="1:23" x14ac:dyDescent="0.45">
      <c r="A657">
        <v>-28.940200000000001</v>
      </c>
      <c r="B657">
        <v>154.92586</v>
      </c>
      <c r="C657">
        <v>-39.298279999999998</v>
      </c>
      <c r="D657">
        <v>38.95881</v>
      </c>
      <c r="E657" s="10">
        <v>9964216.6490000002</v>
      </c>
      <c r="F657" s="10" t="s">
        <v>1922</v>
      </c>
      <c r="G657" s="10" t="s">
        <v>1923</v>
      </c>
      <c r="H657" s="10">
        <v>9964216.6492688302</v>
      </c>
      <c r="I657" s="10">
        <v>-135.92523870827699</v>
      </c>
      <c r="J657" s="10">
        <v>-51.829998578129398</v>
      </c>
      <c r="K657" s="4">
        <f t="shared" si="151"/>
        <v>224.07476111111112</v>
      </c>
      <c r="L657" s="4">
        <f t="shared" si="152"/>
        <v>308.17000277777777</v>
      </c>
      <c r="M657" s="4">
        <f t="shared" si="153"/>
        <v>224.07476129172301</v>
      </c>
      <c r="N657" s="4">
        <f t="shared" si="154"/>
        <v>308.17000142187061</v>
      </c>
      <c r="O657" s="3">
        <f t="shared" si="135"/>
        <v>9964216.6490273476</v>
      </c>
      <c r="P657" s="2">
        <f t="shared" si="144"/>
        <v>2.7445565511417764E-12</v>
      </c>
      <c r="Q657" s="2">
        <f t="shared" si="145"/>
        <v>2.4234983930198598E-11</v>
      </c>
      <c r="R657" s="6">
        <f t="shared" si="146"/>
        <v>224.07476129152471</v>
      </c>
      <c r="S657" s="2">
        <f t="shared" si="147"/>
        <v>8.0514910516219316E-10</v>
      </c>
      <c r="T657" s="2">
        <f t="shared" si="139"/>
        <v>8.8496475708731955E-13</v>
      </c>
      <c r="U657" s="6">
        <f t="shared" si="148"/>
        <v>308.17000142213129</v>
      </c>
      <c r="V657" s="2">
        <f t="shared" si="155"/>
        <v>4.3990215233697346E-9</v>
      </c>
      <c r="W657" s="2">
        <f t="shared" si="156"/>
        <v>8.4590945806824726E-13</v>
      </c>
    </row>
    <row r="658" spans="1:23" x14ac:dyDescent="0.45">
      <c r="A658">
        <v>32.50235</v>
      </c>
      <c r="B658">
        <v>-149.48728</v>
      </c>
      <c r="C658">
        <v>76.772989999999993</v>
      </c>
      <c r="D658">
        <v>-106.60453</v>
      </c>
      <c r="E658" s="10">
        <v>5384030.2019999996</v>
      </c>
      <c r="F658" s="10" t="s">
        <v>1924</v>
      </c>
      <c r="G658" s="10" t="s">
        <v>1925</v>
      </c>
      <c r="H658" s="10">
        <v>5384030.2016943702</v>
      </c>
      <c r="I658" s="10">
        <v>12.0595294532935</v>
      </c>
      <c r="J658" s="10">
        <v>50.208903903800497</v>
      </c>
      <c r="K658" s="4">
        <f t="shared" si="151"/>
        <v>12.059530555555556</v>
      </c>
      <c r="L658" s="4">
        <f t="shared" si="152"/>
        <v>50.20890277777778</v>
      </c>
      <c r="M658" s="4">
        <f t="shared" si="153"/>
        <v>12.059529453293521</v>
      </c>
      <c r="N658" s="4">
        <f t="shared" si="154"/>
        <v>50.20890390380049</v>
      </c>
      <c r="O658" s="3">
        <f t="shared" si="135"/>
        <v>5384030.2011314314</v>
      </c>
      <c r="P658" s="2">
        <f t="shared" si="144"/>
        <v>1.6132305434878361E-10</v>
      </c>
      <c r="Q658" s="2">
        <f t="shared" si="145"/>
        <v>1.0455715151295809E-10</v>
      </c>
      <c r="R658" s="6">
        <f t="shared" si="146"/>
        <v>12.059529453298424</v>
      </c>
      <c r="S658" s="2">
        <f t="shared" si="147"/>
        <v>9.1401329986524372E-8</v>
      </c>
      <c r="T658" s="2">
        <f t="shared" si="139"/>
        <v>4.0654528816675561E-13</v>
      </c>
      <c r="U658" s="6">
        <f t="shared" si="148"/>
        <v>50.208903903827718</v>
      </c>
      <c r="V658" s="2">
        <f t="shared" si="155"/>
        <v>2.2427296265015289E-8</v>
      </c>
      <c r="W658" s="2">
        <f t="shared" si="156"/>
        <v>5.4229420515722626E-13</v>
      </c>
    </row>
    <row r="659" spans="1:23" x14ac:dyDescent="0.45">
      <c r="A659">
        <v>-38.189250000000001</v>
      </c>
      <c r="B659">
        <v>-115.41135</v>
      </c>
      <c r="C659">
        <v>-41.625279999999997</v>
      </c>
      <c r="D659">
        <v>170.0462</v>
      </c>
      <c r="E659" s="10">
        <v>6179877.6030000001</v>
      </c>
      <c r="F659" s="10" t="s">
        <v>1926</v>
      </c>
      <c r="G659" s="10" t="s">
        <v>1927</v>
      </c>
      <c r="H659" s="10">
        <v>6179877.6031595701</v>
      </c>
      <c r="I659" s="10">
        <v>-118.96792211059901</v>
      </c>
      <c r="J659" s="10">
        <v>-66.886961291809399</v>
      </c>
      <c r="K659" s="4">
        <f t="shared" si="151"/>
        <v>241.03207777777777</v>
      </c>
      <c r="L659" s="4">
        <f t="shared" si="152"/>
        <v>293.11303888888892</v>
      </c>
      <c r="M659" s="4">
        <f t="shared" si="153"/>
        <v>241.03207788940099</v>
      </c>
      <c r="N659" s="4">
        <f t="shared" si="154"/>
        <v>293.11303870819063</v>
      </c>
      <c r="O659" s="3">
        <f t="shared" si="135"/>
        <v>6179877.6037241947</v>
      </c>
      <c r="P659" s="2">
        <f t="shared" si="144"/>
        <v>1.1718590850800817E-10</v>
      </c>
      <c r="Q659" s="2">
        <f t="shared" si="145"/>
        <v>9.1365006180750327E-11</v>
      </c>
      <c r="R659" s="6">
        <f t="shared" si="146"/>
        <v>241.03207788927108</v>
      </c>
      <c r="S659" s="2">
        <f t="shared" si="147"/>
        <v>4.6256626113470597E-10</v>
      </c>
      <c r="T659" s="2">
        <f t="shared" si="139"/>
        <v>5.3899727764032009E-13</v>
      </c>
      <c r="U659" s="6">
        <f t="shared" si="148"/>
        <v>293.11303870835894</v>
      </c>
      <c r="V659" s="2">
        <f t="shared" si="155"/>
        <v>6.1590566213806253E-10</v>
      </c>
      <c r="W659" s="2">
        <f t="shared" si="156"/>
        <v>5.7422680338153528E-13</v>
      </c>
    </row>
    <row r="660" spans="1:23" x14ac:dyDescent="0.4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10">
        <v>6233671.1720000003</v>
      </c>
      <c r="F660" s="10" t="s">
        <v>1928</v>
      </c>
      <c r="G660" s="10" t="s">
        <v>1929</v>
      </c>
      <c r="H660" s="10">
        <v>6233671.1722831996</v>
      </c>
      <c r="I660" s="10">
        <v>-24.475331803885201</v>
      </c>
      <c r="J660" s="10">
        <v>-64.659243515056104</v>
      </c>
      <c r="K660" s="4">
        <f t="shared" si="151"/>
        <v>335.52466944444444</v>
      </c>
      <c r="L660" s="4">
        <f t="shared" si="152"/>
        <v>295.34075555555557</v>
      </c>
      <c r="M660" s="4">
        <f t="shared" si="153"/>
        <v>335.52466819611482</v>
      </c>
      <c r="N660" s="4">
        <f t="shared" si="154"/>
        <v>295.34075648494388</v>
      </c>
      <c r="O660" s="3">
        <f t="shared" si="135"/>
        <v>6233671.1675133547</v>
      </c>
      <c r="P660" s="2">
        <f t="shared" si="144"/>
        <v>7.1974370288255122E-10</v>
      </c>
      <c r="Q660" s="2">
        <f t="shared" si="145"/>
        <v>7.6517429336864521E-10</v>
      </c>
      <c r="R660" s="6">
        <f t="shared" si="146"/>
        <v>335.52466819609452</v>
      </c>
      <c r="S660" s="2">
        <f t="shared" si="147"/>
        <v>3.7205905596349957E-9</v>
      </c>
      <c r="T660" s="2">
        <f t="shared" si="139"/>
        <v>6.0481694661708464E-14</v>
      </c>
      <c r="U660" s="6">
        <f t="shared" si="148"/>
        <v>295.34075648485003</v>
      </c>
      <c r="V660" s="2">
        <f t="shared" si="155"/>
        <v>3.1465161539452255E-9</v>
      </c>
      <c r="W660" s="2">
        <f t="shared" si="156"/>
        <v>3.1776340541735668E-13</v>
      </c>
    </row>
    <row r="661" spans="1:23" x14ac:dyDescent="0.4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10">
        <v>3527724.8939999999</v>
      </c>
      <c r="F661" s="10" t="s">
        <v>1930</v>
      </c>
      <c r="G661" s="10" t="s">
        <v>1931</v>
      </c>
      <c r="H661" s="10">
        <v>3527724.8938067998</v>
      </c>
      <c r="I661" s="10">
        <v>168.100321961307</v>
      </c>
      <c r="J661" s="10">
        <v>1.16120984841915</v>
      </c>
      <c r="K661" s="4">
        <f t="shared" si="151"/>
        <v>168.10032222222222</v>
      </c>
      <c r="L661" s="4">
        <f t="shared" si="152"/>
        <v>1.161211111111129</v>
      </c>
      <c r="M661" s="4">
        <f t="shared" si="153"/>
        <v>168.10032196130703</v>
      </c>
      <c r="N661" s="4">
        <f t="shared" si="154"/>
        <v>1.161209848419162</v>
      </c>
      <c r="O661" s="3">
        <f t="shared" si="135"/>
        <v>3527724.8953980678</v>
      </c>
      <c r="P661" s="2">
        <f t="shared" si="144"/>
        <v>3.9630865881234734E-10</v>
      </c>
      <c r="Q661" s="2">
        <f t="shared" si="145"/>
        <v>4.5107485516513042E-10</v>
      </c>
      <c r="R661" s="6">
        <f t="shared" si="146"/>
        <v>168.10032196130197</v>
      </c>
      <c r="S661" s="2">
        <f t="shared" si="147"/>
        <v>1.5521698112193548E-9</v>
      </c>
      <c r="T661" s="2">
        <f t="shared" si="139"/>
        <v>3.0095506180983985E-14</v>
      </c>
      <c r="U661" s="6">
        <f t="shared" si="148"/>
        <v>1.1612098484196773</v>
      </c>
      <c r="V661" s="2">
        <f t="shared" si="155"/>
        <v>1.08739180975613E-6</v>
      </c>
      <c r="W661" s="2">
        <f t="shared" si="156"/>
        <v>4.4381773779528447E-13</v>
      </c>
    </row>
    <row r="662" spans="1:23" x14ac:dyDescent="0.45">
      <c r="A662">
        <v>-65.268349999999998</v>
      </c>
      <c r="B662">
        <v>22.998069999999998</v>
      </c>
      <c r="C662">
        <v>-13.56738</v>
      </c>
      <c r="D662">
        <v>116.74199</v>
      </c>
      <c r="E662" s="10">
        <v>8818419.3640000001</v>
      </c>
      <c r="F662" s="10" t="s">
        <v>1932</v>
      </c>
      <c r="G662" s="10" t="s">
        <v>1933</v>
      </c>
      <c r="H662" s="10">
        <v>8818419.3637484703</v>
      </c>
      <c r="I662" s="10">
        <v>99.217750851321895</v>
      </c>
      <c r="J662" s="10">
        <v>25.208946007102298</v>
      </c>
      <c r="K662" s="4">
        <f t="shared" si="151"/>
        <v>99.217749999999995</v>
      </c>
      <c r="L662" s="4">
        <f t="shared" si="152"/>
        <v>25.208947222222264</v>
      </c>
      <c r="M662" s="4">
        <f t="shared" si="153"/>
        <v>99.21775085132191</v>
      </c>
      <c r="N662" s="4">
        <f t="shared" si="154"/>
        <v>25.208946007102327</v>
      </c>
      <c r="O662" s="3">
        <f t="shared" si="135"/>
        <v>8818419.3641796652</v>
      </c>
      <c r="P662" s="2">
        <f t="shared" si="144"/>
        <v>2.0373851111326035E-11</v>
      </c>
      <c r="Q662" s="2">
        <f t="shared" si="145"/>
        <v>4.8897073690888794E-11</v>
      </c>
      <c r="R662" s="6">
        <f t="shared" si="146"/>
        <v>99.217750851452664</v>
      </c>
      <c r="S662" s="2">
        <f t="shared" si="147"/>
        <v>8.5816566931941764E-9</v>
      </c>
      <c r="T662" s="2">
        <f t="shared" si="139"/>
        <v>1.3178496096984601E-12</v>
      </c>
      <c r="U662" s="6">
        <f t="shared" si="148"/>
        <v>25.208946007092369</v>
      </c>
      <c r="V662" s="2">
        <f t="shared" si="155"/>
        <v>4.8202326128872498E-8</v>
      </c>
      <c r="W662" s="2">
        <f t="shared" si="156"/>
        <v>3.9502867112620184E-13</v>
      </c>
    </row>
    <row r="663" spans="1:23" x14ac:dyDescent="0.45">
      <c r="A663">
        <v>12.131449999999999</v>
      </c>
      <c r="B663">
        <v>-7.6449400000000001</v>
      </c>
      <c r="C663">
        <v>3.0405899999999999</v>
      </c>
      <c r="D663">
        <v>-160.11855</v>
      </c>
      <c r="E663" s="10">
        <v>16552270.062000001</v>
      </c>
      <c r="F663" s="10" t="s">
        <v>1934</v>
      </c>
      <c r="G663" s="10" t="s">
        <v>1935</v>
      </c>
      <c r="H663" s="10">
        <v>16552270.061924599</v>
      </c>
      <c r="I663" s="10">
        <v>-62.384102905255702</v>
      </c>
      <c r="J663" s="10">
        <v>-119.815777264861</v>
      </c>
      <c r="K663" s="4">
        <f t="shared" si="151"/>
        <v>297.6158972222222</v>
      </c>
      <c r="L663" s="4">
        <f t="shared" si="152"/>
        <v>240.18422222222222</v>
      </c>
      <c r="M663" s="4">
        <f t="shared" si="153"/>
        <v>297.6158970947443</v>
      </c>
      <c r="N663" s="4">
        <f t="shared" si="154"/>
        <v>240.184222735139</v>
      </c>
      <c r="O663" s="3">
        <f t="shared" si="135"/>
        <v>16552270.061895937</v>
      </c>
      <c r="P663" s="2">
        <f t="shared" si="144"/>
        <v>6.2869999977399069E-12</v>
      </c>
      <c r="Q663" s="2">
        <f t="shared" si="145"/>
        <v>1.7316285590517532E-12</v>
      </c>
      <c r="R663" s="6">
        <f t="shared" si="146"/>
        <v>297.61589709547673</v>
      </c>
      <c r="S663" s="2">
        <f t="shared" si="147"/>
        <v>4.2586930845925826E-10</v>
      </c>
      <c r="T663" s="2">
        <f t="shared" si="139"/>
        <v>2.460982290164249E-12</v>
      </c>
      <c r="U663" s="6">
        <f t="shared" si="148"/>
        <v>240.18422273447027</v>
      </c>
      <c r="V663" s="2">
        <f t="shared" si="155"/>
        <v>2.1327298082287008E-9</v>
      </c>
      <c r="W663" s="2">
        <f t="shared" si="156"/>
        <v>2.7842561579301433E-12</v>
      </c>
    </row>
    <row r="664" spans="1:23" x14ac:dyDescent="0.4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10">
        <v>6949214.2649999997</v>
      </c>
      <c r="F664" s="10" t="s">
        <v>1936</v>
      </c>
      <c r="G664" s="10" t="s">
        <v>1937</v>
      </c>
      <c r="H664" s="10">
        <v>6949214.2646151399</v>
      </c>
      <c r="I664" s="10">
        <v>52.912935299569</v>
      </c>
      <c r="J664" s="10">
        <v>130.96687850952699</v>
      </c>
      <c r="K664" s="4">
        <f t="shared" si="151"/>
        <v>52.912936111111108</v>
      </c>
      <c r="L664" s="4">
        <f t="shared" si="152"/>
        <v>130.96687777777777</v>
      </c>
      <c r="M664" s="4">
        <f t="shared" si="153"/>
        <v>52.912935299568971</v>
      </c>
      <c r="N664" s="4">
        <f t="shared" si="154"/>
        <v>130.96687850952696</v>
      </c>
      <c r="O664" s="3">
        <f t="shared" si="135"/>
        <v>6949214.2618571203</v>
      </c>
      <c r="P664" s="2">
        <f t="shared" si="144"/>
        <v>4.5226398621095805E-10</v>
      </c>
      <c r="Q664" s="2">
        <f t="shared" si="145"/>
        <v>3.9688222276185592E-10</v>
      </c>
      <c r="R664" s="6">
        <f t="shared" si="146"/>
        <v>52.912935299445394</v>
      </c>
      <c r="S664" s="2">
        <f t="shared" si="147"/>
        <v>1.5339646102628606E-8</v>
      </c>
      <c r="T664" s="2">
        <f t="shared" si="139"/>
        <v>2.335489269377261E-12</v>
      </c>
      <c r="U664" s="6">
        <f t="shared" si="148"/>
        <v>130.96687850963451</v>
      </c>
      <c r="V664" s="2">
        <f t="shared" si="155"/>
        <v>5.5881056074189232E-9</v>
      </c>
      <c r="W664" s="2">
        <f t="shared" si="156"/>
        <v>8.2118280368746347E-13</v>
      </c>
    </row>
    <row r="665" spans="1:23" x14ac:dyDescent="0.4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10">
        <v>16197045.795</v>
      </c>
      <c r="F665" s="10" t="s">
        <v>1938</v>
      </c>
      <c r="G665" s="10" t="s">
        <v>1939</v>
      </c>
      <c r="H665" s="10">
        <v>16197045.795119099</v>
      </c>
      <c r="I665" s="10">
        <v>17.7643659031807</v>
      </c>
      <c r="J665" s="10">
        <v>175.90002856249299</v>
      </c>
      <c r="K665" s="4">
        <f t="shared" si="151"/>
        <v>17.764366666666668</v>
      </c>
      <c r="L665" s="4">
        <f t="shared" si="152"/>
        <v>175.90002777777772</v>
      </c>
      <c r="M665" s="4">
        <f t="shared" si="153"/>
        <v>17.764365903180703</v>
      </c>
      <c r="N665" s="4">
        <f t="shared" si="154"/>
        <v>175.90002856249293</v>
      </c>
      <c r="O665" s="3">
        <f t="shared" si="135"/>
        <v>16197045.794393312</v>
      </c>
      <c r="P665" s="2">
        <f t="shared" si="144"/>
        <v>3.7456691002179306E-11</v>
      </c>
      <c r="Q665" s="2">
        <f t="shared" si="145"/>
        <v>4.4809846323775397E-11</v>
      </c>
      <c r="R665" s="6">
        <f t="shared" si="146"/>
        <v>17.764365903154804</v>
      </c>
      <c r="S665" s="2">
        <f t="shared" si="147"/>
        <v>4.2979965333828811E-8</v>
      </c>
      <c r="T665" s="2">
        <f t="shared" si="139"/>
        <v>1.4579345448980195E-12</v>
      </c>
      <c r="U665" s="6">
        <f t="shared" si="148"/>
        <v>175.90002856249916</v>
      </c>
      <c r="V665" s="2">
        <f t="shared" si="155"/>
        <v>4.4611785807497271E-9</v>
      </c>
      <c r="W665" s="2">
        <f t="shared" si="156"/>
        <v>3.5385749599506851E-14</v>
      </c>
    </row>
    <row r="666" spans="1:23" x14ac:dyDescent="0.45">
      <c r="A666">
        <v>55.425759999999997</v>
      </c>
      <c r="B666">
        <v>-86.433049999999994</v>
      </c>
      <c r="C666">
        <v>-82.724689999999995</v>
      </c>
      <c r="D666">
        <v>134.173</v>
      </c>
      <c r="E666" s="10">
        <v>16726146.300000001</v>
      </c>
      <c r="F666" s="10" t="s">
        <v>1940</v>
      </c>
      <c r="G666" s="10" t="s">
        <v>1941</v>
      </c>
      <c r="H666" s="10">
        <v>16726146.3002315</v>
      </c>
      <c r="I666" s="10">
        <v>-170.32842115198201</v>
      </c>
      <c r="J666" s="10">
        <v>-48.768389756501797</v>
      </c>
      <c r="K666" s="4">
        <f t="shared" si="151"/>
        <v>189.67157777777777</v>
      </c>
      <c r="L666" s="4">
        <f t="shared" si="152"/>
        <v>311.23161111111108</v>
      </c>
      <c r="M666" s="4">
        <f t="shared" si="153"/>
        <v>189.67157884801799</v>
      </c>
      <c r="N666" s="4">
        <f t="shared" si="154"/>
        <v>311.23161024349821</v>
      </c>
      <c r="O666" s="3">
        <f t="shared" si="135"/>
        <v>16726146.300247215</v>
      </c>
      <c r="P666" s="2">
        <f t="shared" si="144"/>
        <v>1.4780092500818975E-11</v>
      </c>
      <c r="Q666" s="2">
        <f t="shared" si="145"/>
        <v>9.3955516363288516E-13</v>
      </c>
      <c r="R666" s="6">
        <f t="shared" si="146"/>
        <v>189.67157884800702</v>
      </c>
      <c r="S666" s="2">
        <f t="shared" si="147"/>
        <v>5.642538846404307E-9</v>
      </c>
      <c r="T666" s="2">
        <f t="shared" si="139"/>
        <v>5.7840926441207765E-14</v>
      </c>
      <c r="U666" s="6">
        <f t="shared" si="148"/>
        <v>311.23161024357563</v>
      </c>
      <c r="V666" s="2">
        <f t="shared" si="155"/>
        <v>2.7874271666254829E-9</v>
      </c>
      <c r="W666" s="2">
        <f t="shared" si="156"/>
        <v>2.487560194411129E-13</v>
      </c>
    </row>
    <row r="667" spans="1:23" x14ac:dyDescent="0.4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10">
        <v>11673348.671</v>
      </c>
      <c r="F667" s="10" t="s">
        <v>1942</v>
      </c>
      <c r="G667" s="10" t="s">
        <v>1943</v>
      </c>
      <c r="H667" s="10">
        <v>11673348.671267301</v>
      </c>
      <c r="I667" s="10">
        <v>0.40121749586021399</v>
      </c>
      <c r="J667" s="10">
        <v>179.316655331699</v>
      </c>
      <c r="K667" s="4">
        <f t="shared" si="151"/>
        <v>0.40121666666666667</v>
      </c>
      <c r="L667" s="4">
        <f t="shared" si="152"/>
        <v>179.3166555555556</v>
      </c>
      <c r="M667" s="4">
        <f t="shared" si="153"/>
        <v>0.40121749586023725</v>
      </c>
      <c r="N667" s="4">
        <f t="shared" si="154"/>
        <v>179.31665533169894</v>
      </c>
      <c r="O667" s="3">
        <f t="shared" si="135"/>
        <v>11673348.675262203</v>
      </c>
      <c r="P667" s="2">
        <f t="shared" si="144"/>
        <v>3.6512259427765921E-10</v>
      </c>
      <c r="Q667" s="2">
        <f t="shared" si="145"/>
        <v>3.4222421589365124E-10</v>
      </c>
      <c r="R667" s="6">
        <f t="shared" si="146"/>
        <v>0.40121749585878014</v>
      </c>
      <c r="S667" s="2">
        <f t="shared" si="147"/>
        <v>2.0666940891582259E-6</v>
      </c>
      <c r="T667" s="2">
        <f t="shared" si="139"/>
        <v>3.6317264917501674E-12</v>
      </c>
      <c r="U667" s="6">
        <f t="shared" si="148"/>
        <v>179.31665533170138</v>
      </c>
      <c r="V667" s="2">
        <f t="shared" si="155"/>
        <v>1.2483738025947678E-9</v>
      </c>
      <c r="W667" s="2">
        <f t="shared" si="156"/>
        <v>1.3631009381104914E-14</v>
      </c>
    </row>
    <row r="668" spans="1:23" x14ac:dyDescent="0.45">
      <c r="A668">
        <v>17.267710000000001</v>
      </c>
      <c r="B668">
        <v>157.71124</v>
      </c>
      <c r="C668">
        <v>-81.171559999999999</v>
      </c>
      <c r="D668">
        <v>59.534210000000002</v>
      </c>
      <c r="E668" s="10">
        <v>12028828.323999999</v>
      </c>
      <c r="F668" s="10" t="s">
        <v>1944</v>
      </c>
      <c r="G668" s="10" t="s">
        <v>1945</v>
      </c>
      <c r="H668" s="10">
        <v>12028828.3237129</v>
      </c>
      <c r="I668" s="10">
        <v>-170.76514101750399</v>
      </c>
      <c r="J668" s="10">
        <v>-84.586954018244398</v>
      </c>
      <c r="K668" s="4">
        <f t="shared" si="151"/>
        <v>189.23485833333334</v>
      </c>
      <c r="L668" s="4">
        <f t="shared" si="152"/>
        <v>275.41304722222219</v>
      </c>
      <c r="M668" s="4">
        <f t="shared" si="153"/>
        <v>189.23485898249601</v>
      </c>
      <c r="N668" s="4">
        <f t="shared" si="154"/>
        <v>275.4130459817556</v>
      </c>
      <c r="O668" s="3">
        <f t="shared" si="135"/>
        <v>12028828.321780954</v>
      </c>
      <c r="P668" s="2">
        <f t="shared" si="144"/>
        <v>1.8447728032683806E-10</v>
      </c>
      <c r="Q668" s="2">
        <f t="shared" si="145"/>
        <v>1.6060971797599952E-10</v>
      </c>
      <c r="R668" s="6">
        <f t="shared" si="146"/>
        <v>189.23485898249604</v>
      </c>
      <c r="S668" s="2">
        <f t="shared" si="147"/>
        <v>3.4304604669608127E-9</v>
      </c>
      <c r="T668" s="2">
        <f t="shared" si="139"/>
        <v>1.5019277940240904E-16</v>
      </c>
      <c r="U668" s="6">
        <f t="shared" si="148"/>
        <v>275.4130459817876</v>
      </c>
      <c r="V668" s="2">
        <f t="shared" si="155"/>
        <v>4.5039063972494186E-9</v>
      </c>
      <c r="W668" s="2">
        <f t="shared" si="156"/>
        <v>1.1619945128073164E-13</v>
      </c>
    </row>
    <row r="669" spans="1:23" x14ac:dyDescent="0.45">
      <c r="A669">
        <v>-26.748480000000001</v>
      </c>
      <c r="B669">
        <v>-149.95332999999999</v>
      </c>
      <c r="C669">
        <v>14.54387</v>
      </c>
      <c r="D669">
        <v>83.499619999999993</v>
      </c>
      <c r="E669" s="10">
        <v>14339963.471999999</v>
      </c>
      <c r="F669" s="10" t="s">
        <v>1946</v>
      </c>
      <c r="G669" s="10" t="s">
        <v>1947</v>
      </c>
      <c r="H669" s="10">
        <v>14339963.472031601</v>
      </c>
      <c r="I669" s="10">
        <v>-92.769616291088298</v>
      </c>
      <c r="J669" s="10">
        <v>-67.206432159358897</v>
      </c>
      <c r="K669" s="4">
        <f t="shared" si="151"/>
        <v>267.23038333333335</v>
      </c>
      <c r="L669" s="4">
        <f t="shared" si="152"/>
        <v>292.79356666666666</v>
      </c>
      <c r="M669" s="4">
        <f t="shared" si="153"/>
        <v>267.23038370891169</v>
      </c>
      <c r="N669" s="4">
        <f t="shared" si="154"/>
        <v>292.79356784064112</v>
      </c>
      <c r="O669" s="3">
        <f t="shared" si="135"/>
        <v>14339963.471988479</v>
      </c>
      <c r="P669" s="2">
        <f t="shared" si="144"/>
        <v>8.0338142216946021E-13</v>
      </c>
      <c r="Q669" s="2">
        <f t="shared" si="145"/>
        <v>3.0071274542609839E-12</v>
      </c>
      <c r="R669" s="6">
        <f t="shared" si="146"/>
        <v>267.23038370871063</v>
      </c>
      <c r="S669" s="2">
        <f t="shared" si="147"/>
        <v>1.404695373156046E-9</v>
      </c>
      <c r="T669" s="2">
        <f t="shared" si="139"/>
        <v>7.5236644022366495E-13</v>
      </c>
      <c r="U669" s="6">
        <f t="shared" si="148"/>
        <v>292.79356784066425</v>
      </c>
      <c r="V669" s="2">
        <f t="shared" si="155"/>
        <v>4.0096427059064652E-9</v>
      </c>
      <c r="W669" s="2">
        <f t="shared" si="156"/>
        <v>7.9015641111831758E-14</v>
      </c>
    </row>
    <row r="670" spans="1:23" x14ac:dyDescent="0.4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10">
        <v>4818719.41</v>
      </c>
      <c r="F670" s="10" t="s">
        <v>1948</v>
      </c>
      <c r="G670" s="10" t="s">
        <v>1949</v>
      </c>
      <c r="H670" s="10">
        <v>4818719.4102579597</v>
      </c>
      <c r="I670" s="10">
        <v>30.599144143464301</v>
      </c>
      <c r="J670" s="10">
        <v>39.953293830988997</v>
      </c>
      <c r="K670" s="4">
        <f t="shared" si="151"/>
        <v>30.599144444444445</v>
      </c>
      <c r="L670" s="4">
        <f t="shared" si="152"/>
        <v>39.953294444444452</v>
      </c>
      <c r="M670" s="4">
        <f t="shared" si="153"/>
        <v>30.599144143464287</v>
      </c>
      <c r="N670" s="4">
        <f t="shared" si="154"/>
        <v>39.953293830988969</v>
      </c>
      <c r="O670" s="3">
        <f t="shared" si="135"/>
        <v>4818719.410340691</v>
      </c>
      <c r="P670" s="2">
        <f t="shared" si="144"/>
        <v>7.0701530286941242E-11</v>
      </c>
      <c r="Q670" s="2">
        <f t="shared" si="145"/>
        <v>1.7168720546817093E-11</v>
      </c>
      <c r="R670" s="6">
        <f t="shared" si="146"/>
        <v>30.599144143507953</v>
      </c>
      <c r="S670" s="2">
        <f t="shared" si="147"/>
        <v>9.8348008478639486E-9</v>
      </c>
      <c r="T670" s="2">
        <f t="shared" si="139"/>
        <v>1.4270465742900108E-12</v>
      </c>
      <c r="U670" s="6">
        <f t="shared" si="148"/>
        <v>39.953293831050843</v>
      </c>
      <c r="V670" s="2">
        <f t="shared" si="155"/>
        <v>1.5352766729561571E-8</v>
      </c>
      <c r="W670" s="2">
        <f t="shared" si="156"/>
        <v>1.5486598349495319E-12</v>
      </c>
    </row>
    <row r="671" spans="1:23" x14ac:dyDescent="0.45">
      <c r="A671">
        <v>19.722549999999998</v>
      </c>
      <c r="B671">
        <v>66.421509999999998</v>
      </c>
      <c r="C671">
        <v>80.064130000000006</v>
      </c>
      <c r="D671">
        <v>-12.07429</v>
      </c>
      <c r="E671" s="10">
        <v>7633895.7520000003</v>
      </c>
      <c r="F671" s="10" t="s">
        <v>1950</v>
      </c>
      <c r="G671" s="10" t="s">
        <v>1951</v>
      </c>
      <c r="H671" s="10">
        <v>7633895.7516946699</v>
      </c>
      <c r="I671" s="10">
        <v>-10.4940932007845</v>
      </c>
      <c r="J671" s="10">
        <v>-82.219298319101298</v>
      </c>
      <c r="K671" s="4">
        <f t="shared" si="151"/>
        <v>349.50590555555556</v>
      </c>
      <c r="L671" s="4">
        <f t="shared" si="152"/>
        <v>277.78070277777778</v>
      </c>
      <c r="M671" s="4">
        <f t="shared" si="153"/>
        <v>349.5059067992155</v>
      </c>
      <c r="N671" s="4">
        <f t="shared" si="154"/>
        <v>277.78070168089869</v>
      </c>
      <c r="O671" s="3">
        <f t="shared" ref="O671:O734" si="157">VincentyInvDistance($A671,$B671,$C671,$D671)</f>
        <v>7633895.7540038321</v>
      </c>
      <c r="P671" s="2">
        <f t="shared" si="144"/>
        <v>2.6249137452165646E-10</v>
      </c>
      <c r="Q671" s="2">
        <f t="shared" si="145"/>
        <v>3.024880408122266E-10</v>
      </c>
      <c r="R671" s="6">
        <f t="shared" si="146"/>
        <v>349.50590679921424</v>
      </c>
      <c r="S671" s="2">
        <f t="shared" si="147"/>
        <v>3.5583338289166721E-9</v>
      </c>
      <c r="T671" s="2">
        <f t="shared" ref="T671:T734" si="158">ABS((M671-R671)/M671)</f>
        <v>3.5780660372535462E-15</v>
      </c>
      <c r="U671" s="6">
        <f t="shared" si="148"/>
        <v>277.78070168085389</v>
      </c>
      <c r="V671" s="2">
        <f t="shared" si="155"/>
        <v>3.9488843916655828E-9</v>
      </c>
      <c r="W671" s="2">
        <f t="shared" si="156"/>
        <v>1.6125171328054442E-13</v>
      </c>
    </row>
    <row r="672" spans="1:23" x14ac:dyDescent="0.45">
      <c r="A672">
        <v>-88.287170000000003</v>
      </c>
      <c r="B672">
        <v>104.3566</v>
      </c>
      <c r="C672">
        <v>-27.904769999999999</v>
      </c>
      <c r="D672">
        <v>-58.987259999999999</v>
      </c>
      <c r="E672" s="10">
        <v>7097483.6339999996</v>
      </c>
      <c r="F672" s="10" t="s">
        <v>1952</v>
      </c>
      <c r="G672" s="10" t="s">
        <v>1953</v>
      </c>
      <c r="H672" s="10">
        <v>7097483.6344005996</v>
      </c>
      <c r="I672" s="10">
        <v>-163.594843083369</v>
      </c>
      <c r="J672" s="10">
        <v>-0.548762355204228</v>
      </c>
      <c r="K672" s="4">
        <f t="shared" si="151"/>
        <v>196.40515555555555</v>
      </c>
      <c r="L672" s="4">
        <f t="shared" si="152"/>
        <v>359.45123888888889</v>
      </c>
      <c r="M672" s="4">
        <f t="shared" si="153"/>
        <v>196.405156916631</v>
      </c>
      <c r="N672" s="4">
        <f t="shared" si="154"/>
        <v>359.45123764479575</v>
      </c>
      <c r="O672" s="3">
        <f t="shared" si="157"/>
        <v>7097483.6392238513</v>
      </c>
      <c r="P672" s="2">
        <f t="shared" ref="P672:P735" si="159">ABS((E672-O672)/E672)</f>
        <v>7.3601461029494964E-10</v>
      </c>
      <c r="Q672" s="2">
        <f t="shared" ref="Q672:Q735" si="160">ABS((H672-O672)/H672)</f>
        <v>6.795720674871203E-10</v>
      </c>
      <c r="R672" s="6">
        <f t="shared" ref="R672:R735" si="161">VincentyInvFwdAzimuth($A672,$B672,$C672,$D672)</f>
        <v>196.40515691664916</v>
      </c>
      <c r="S672" s="2">
        <f t="shared" ref="S672:S735" si="162">ABS((K672-R672)/K672)</f>
        <v>6.9300299451178521E-9</v>
      </c>
      <c r="T672" s="2">
        <f t="shared" si="158"/>
        <v>9.2469427031069475E-14</v>
      </c>
      <c r="U672" s="6">
        <f t="shared" ref="U672:U735" si="163">VincentyInvRevAzimuth($A672,$B672,$C672,$D672)</f>
        <v>359.45123764479519</v>
      </c>
      <c r="V672" s="2">
        <f t="shared" si="155"/>
        <v>3.4610917288105281E-9</v>
      </c>
      <c r="W672" s="2">
        <f t="shared" si="156"/>
        <v>1.5813944398483283E-15</v>
      </c>
    </row>
    <row r="673" spans="1:23" x14ac:dyDescent="0.45">
      <c r="A673">
        <v>43.514180000000003</v>
      </c>
      <c r="B673">
        <v>-6.9319800000000003</v>
      </c>
      <c r="C673">
        <v>-34.248049999999999</v>
      </c>
      <c r="D673">
        <v>-108.17846</v>
      </c>
      <c r="E673" s="10">
        <v>13364872.9</v>
      </c>
      <c r="F673" s="10" t="s">
        <v>1954</v>
      </c>
      <c r="G673" s="10" t="s">
        <v>1955</v>
      </c>
      <c r="H673" s="10">
        <v>13364872.8995921</v>
      </c>
      <c r="I673" s="10">
        <v>-109.945333961735</v>
      </c>
      <c r="J673" s="10">
        <v>-124.39765308780601</v>
      </c>
      <c r="K673" s="4">
        <f t="shared" si="151"/>
        <v>250.05466666666666</v>
      </c>
      <c r="L673" s="4">
        <f t="shared" si="152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7"/>
        <v>13364872.885828497</v>
      </c>
      <c r="P673" s="2">
        <f t="shared" si="159"/>
        <v>1.0603545271462412E-9</v>
      </c>
      <c r="Q673" s="2">
        <f t="shared" si="160"/>
        <v>1.0298341724925118E-9</v>
      </c>
      <c r="R673" s="6">
        <f t="shared" si="161"/>
        <v>250.05466603841933</v>
      </c>
      <c r="S673" s="2">
        <f t="shared" si="162"/>
        <v>2.5124399533056193E-9</v>
      </c>
      <c r="T673" s="2">
        <f t="shared" si="158"/>
        <v>6.1718457268650681E-13</v>
      </c>
      <c r="U673" s="6">
        <f t="shared" si="163"/>
        <v>235.60234691227566</v>
      </c>
      <c r="V673" s="2">
        <f t="shared" si="155"/>
        <v>1.3155495306517669E-9</v>
      </c>
      <c r="W673" s="2">
        <f t="shared" si="156"/>
        <v>3.4670279805584326E-13</v>
      </c>
    </row>
    <row r="674" spans="1:23" x14ac:dyDescent="0.4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10">
        <v>7924499.6140000001</v>
      </c>
      <c r="F674" s="10" t="s">
        <v>1956</v>
      </c>
      <c r="G674" s="10" t="s">
        <v>1957</v>
      </c>
      <c r="H674" s="10">
        <v>7924499.6142119896</v>
      </c>
      <c r="I674" s="10">
        <v>-47.732584102967898</v>
      </c>
      <c r="J674" s="10">
        <v>-34.404535837845401</v>
      </c>
      <c r="K674" s="4">
        <f t="shared" si="151"/>
        <v>312.26741666666669</v>
      </c>
      <c r="L674" s="4">
        <f t="shared" si="152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7"/>
        <v>7924499.6119533805</v>
      </c>
      <c r="P674" s="2">
        <f t="shared" si="159"/>
        <v>2.5826482953287871E-10</v>
      </c>
      <c r="Q674" s="2">
        <f t="shared" si="160"/>
        <v>2.8501598321382384E-10</v>
      </c>
      <c r="R674" s="6">
        <f t="shared" si="161"/>
        <v>312.2674158969686</v>
      </c>
      <c r="S674" s="2">
        <f t="shared" si="162"/>
        <v>2.4648684078827147E-9</v>
      </c>
      <c r="T674" s="2">
        <f t="shared" si="158"/>
        <v>2.0333245044196116E-13</v>
      </c>
      <c r="U674" s="6">
        <f t="shared" si="163"/>
        <v>325.59546416211498</v>
      </c>
      <c r="V674" s="2">
        <f t="shared" si="155"/>
        <v>8.3915812260833418E-10</v>
      </c>
      <c r="W674" s="2">
        <f t="shared" si="156"/>
        <v>1.216843209039654E-13</v>
      </c>
    </row>
    <row r="675" spans="1:23" x14ac:dyDescent="0.4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10">
        <v>3610421.0929999999</v>
      </c>
      <c r="F675" s="10" t="s">
        <v>1958</v>
      </c>
      <c r="G675" s="10" t="s">
        <v>1959</v>
      </c>
      <c r="H675" s="10">
        <v>3610421.0933511299</v>
      </c>
      <c r="I675" s="10">
        <v>-39.340212603200797</v>
      </c>
      <c r="J675" s="10">
        <v>-96.875939144400405</v>
      </c>
      <c r="K675" s="4">
        <f t="shared" si="151"/>
        <v>320.65978611111109</v>
      </c>
      <c r="L675" s="4">
        <f t="shared" si="152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7"/>
        <v>3610421.0946269217</v>
      </c>
      <c r="P675" s="2">
        <f t="shared" si="159"/>
        <v>4.50618300678184E-10</v>
      </c>
      <c r="Q675" s="2">
        <f t="shared" si="160"/>
        <v>3.5336370844956274E-10</v>
      </c>
      <c r="R675" s="6">
        <f t="shared" si="161"/>
        <v>320.65978739680418</v>
      </c>
      <c r="S675" s="2">
        <f t="shared" si="162"/>
        <v>4.0095239368366568E-9</v>
      </c>
      <c r="T675" s="2">
        <f t="shared" si="158"/>
        <v>1.5599776012952715E-14</v>
      </c>
      <c r="U675" s="6">
        <f t="shared" si="163"/>
        <v>263.12406085554824</v>
      </c>
      <c r="V675" s="2">
        <f t="shared" si="155"/>
        <v>9.7126387534197095E-10</v>
      </c>
      <c r="W675" s="2">
        <f t="shared" si="156"/>
        <v>1.952936211271493E-13</v>
      </c>
    </row>
    <row r="676" spans="1:23" x14ac:dyDescent="0.45">
      <c r="A676">
        <v>33.103380000000001</v>
      </c>
      <c r="B676">
        <v>50.5702</v>
      </c>
      <c r="C676">
        <v>26.746690000000001</v>
      </c>
      <c r="D676">
        <v>114.93257</v>
      </c>
      <c r="E676" s="10">
        <v>6159231.5669999998</v>
      </c>
      <c r="F676" s="10" t="s">
        <v>1960</v>
      </c>
      <c r="G676" s="10" t="s">
        <v>1961</v>
      </c>
      <c r="H676" s="10">
        <v>6159231.5668900302</v>
      </c>
      <c r="I676" s="10">
        <v>78.312659144653395</v>
      </c>
      <c r="J676" s="10">
        <v>113.23414619277</v>
      </c>
      <c r="K676" s="4">
        <f t="shared" si="151"/>
        <v>78.312658333333331</v>
      </c>
      <c r="L676" s="4">
        <f t="shared" si="152"/>
        <v>113.23414722222225</v>
      </c>
      <c r="M676" s="4">
        <f t="shared" si="153"/>
        <v>78.312659144653367</v>
      </c>
      <c r="N676" s="4">
        <f t="shared" si="154"/>
        <v>113.23414619277003</v>
      </c>
      <c r="O676" s="3">
        <f t="shared" si="157"/>
        <v>6159231.5671667829</v>
      </c>
      <c r="P676" s="2">
        <f t="shared" si="159"/>
        <v>2.7078558013775866E-11</v>
      </c>
      <c r="Q676" s="2">
        <f t="shared" si="160"/>
        <v>4.4932999285664213E-11</v>
      </c>
      <c r="R676" s="6">
        <f t="shared" si="161"/>
        <v>78.31265914446594</v>
      </c>
      <c r="S676" s="2">
        <f t="shared" si="162"/>
        <v>1.0357618109949947E-8</v>
      </c>
      <c r="T676" s="2">
        <f t="shared" si="158"/>
        <v>2.3933162899321037E-12</v>
      </c>
      <c r="U676" s="6">
        <f t="shared" si="163"/>
        <v>113.23414619286056</v>
      </c>
      <c r="V676" s="2">
        <f t="shared" si="155"/>
        <v>9.0905588918390428E-9</v>
      </c>
      <c r="W676" s="2">
        <f t="shared" si="156"/>
        <v>7.9955877652330245E-13</v>
      </c>
    </row>
    <row r="677" spans="1:23" x14ac:dyDescent="0.4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10">
        <v>10584894.541999999</v>
      </c>
      <c r="F677" s="10" t="s">
        <v>1962</v>
      </c>
      <c r="G677" s="10" t="s">
        <v>1963</v>
      </c>
      <c r="H677" s="10">
        <v>10584894.541978201</v>
      </c>
      <c r="I677" s="10">
        <v>24.0981030070771</v>
      </c>
      <c r="J677" s="10">
        <v>25.3450946552685</v>
      </c>
      <c r="K677" s="4">
        <f t="shared" si="151"/>
        <v>24.098102777777779</v>
      </c>
      <c r="L677" s="4">
        <f t="shared" si="152"/>
        <v>25.345094444444442</v>
      </c>
      <c r="M677" s="4">
        <f t="shared" si="153"/>
        <v>24.0981030070771</v>
      </c>
      <c r="N677" s="4">
        <f t="shared" si="154"/>
        <v>25.345094655268497</v>
      </c>
      <c r="O677" s="3">
        <f t="shared" si="157"/>
        <v>10584894.542010725</v>
      </c>
      <c r="P677" s="2">
        <f t="shared" si="159"/>
        <v>1.0132468232645572E-12</v>
      </c>
      <c r="Q677" s="2">
        <f t="shared" si="160"/>
        <v>3.0726472353349895E-12</v>
      </c>
      <c r="R677" s="6">
        <f t="shared" si="161"/>
        <v>24.098103007117977</v>
      </c>
      <c r="S677" s="2">
        <f t="shared" si="162"/>
        <v>9.5169400057171721E-9</v>
      </c>
      <c r="T677" s="2">
        <f t="shared" si="158"/>
        <v>1.6962963257428896E-12</v>
      </c>
      <c r="U677" s="6">
        <f t="shared" si="163"/>
        <v>25.34509465531179</v>
      </c>
      <c r="V677" s="2">
        <f t="shared" si="155"/>
        <v>8.3198485976655035E-9</v>
      </c>
      <c r="W677" s="2">
        <f t="shared" si="156"/>
        <v>1.7081557389592741E-12</v>
      </c>
    </row>
    <row r="678" spans="1:23" x14ac:dyDescent="0.45">
      <c r="A678">
        <v>-83.630170000000007</v>
      </c>
      <c r="B678">
        <v>15.75479</v>
      </c>
      <c r="C678">
        <v>-89.423559999999995</v>
      </c>
      <c r="D678">
        <v>-12.167199999999999</v>
      </c>
      <c r="E678" s="10">
        <v>655243.68099999998</v>
      </c>
      <c r="F678" s="10" t="s">
        <v>1964</v>
      </c>
      <c r="G678" s="10" t="s">
        <v>1965</v>
      </c>
      <c r="H678" s="10">
        <v>655243.68049479497</v>
      </c>
      <c r="I678" s="10">
        <v>-177.35817172800699</v>
      </c>
      <c r="J678" s="10">
        <v>-149.45119804733801</v>
      </c>
      <c r="K678" s="4">
        <f t="shared" si="151"/>
        <v>182.64182777777779</v>
      </c>
      <c r="L678" s="4">
        <f t="shared" si="152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7"/>
        <v>655243.68018506386</v>
      </c>
      <c r="P678" s="2">
        <f t="shared" si="159"/>
        <v>1.2437145865254926E-9</v>
      </c>
      <c r="Q678" s="2">
        <f t="shared" si="160"/>
        <v>4.7269607019971614E-10</v>
      </c>
      <c r="R678" s="6">
        <f t="shared" si="161"/>
        <v>182.64182827199363</v>
      </c>
      <c r="S678" s="2">
        <f t="shared" si="162"/>
        <v>2.7059291172301371E-9</v>
      </c>
      <c r="T678" s="2">
        <f t="shared" si="158"/>
        <v>3.4235181140308954E-15</v>
      </c>
      <c r="U678" s="6">
        <f t="shared" si="163"/>
        <v>210.5488019526629</v>
      </c>
      <c r="V678" s="2">
        <f t="shared" si="155"/>
        <v>3.918877098435109E-9</v>
      </c>
      <c r="W678" s="2">
        <f t="shared" si="156"/>
        <v>4.3196384559690411E-15</v>
      </c>
    </row>
    <row r="679" spans="1:23" x14ac:dyDescent="0.45">
      <c r="A679">
        <v>52.384459999999997</v>
      </c>
      <c r="B679">
        <v>175.12577999999999</v>
      </c>
      <c r="C679">
        <v>51.062179999999998</v>
      </c>
      <c r="D679">
        <v>133.12858</v>
      </c>
      <c r="E679" s="10">
        <v>2864739.09</v>
      </c>
      <c r="F679" s="10" t="s">
        <v>1966</v>
      </c>
      <c r="G679" s="10" t="s">
        <v>1967</v>
      </c>
      <c r="H679" s="10">
        <v>2864739.0899358802</v>
      </c>
      <c r="I679" s="10">
        <v>-76.000582294052293</v>
      </c>
      <c r="J679" s="10">
        <v>-109.541535640329</v>
      </c>
      <c r="K679" s="4">
        <f t="shared" si="151"/>
        <v>283.99941666666666</v>
      </c>
      <c r="L679" s="4">
        <f t="shared" si="152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7"/>
        <v>2864739.0896812906</v>
      </c>
      <c r="P679" s="2">
        <f t="shared" si="159"/>
        <v>1.1125246845534713E-10</v>
      </c>
      <c r="Q679" s="2">
        <f t="shared" si="160"/>
        <v>8.8870082277404435E-11</v>
      </c>
      <c r="R679" s="6">
        <f t="shared" si="161"/>
        <v>283.99941770601259</v>
      </c>
      <c r="S679" s="2">
        <f t="shared" si="162"/>
        <v>3.6596762915384006E-9</v>
      </c>
      <c r="T679" s="2">
        <f t="shared" si="158"/>
        <v>2.2837490810398809E-13</v>
      </c>
      <c r="U679" s="6">
        <f t="shared" si="163"/>
        <v>250.45846435962508</v>
      </c>
      <c r="V679" s="2">
        <f t="shared" si="155"/>
        <v>1.8794980020612801E-9</v>
      </c>
      <c r="W679" s="2">
        <f t="shared" si="156"/>
        <v>1.8326815525062964E-13</v>
      </c>
    </row>
    <row r="680" spans="1:23" x14ac:dyDescent="0.45">
      <c r="A680">
        <v>80.156049999999993</v>
      </c>
      <c r="B680">
        <v>20.961569999999998</v>
      </c>
      <c r="C680">
        <v>18.229130000000001</v>
      </c>
      <c r="D680">
        <v>6.37317</v>
      </c>
      <c r="E680" s="10">
        <v>6924158.0889999997</v>
      </c>
      <c r="F680" s="10" t="s">
        <v>1968</v>
      </c>
      <c r="G680" s="10" t="s">
        <v>1969</v>
      </c>
      <c r="H680" s="10">
        <v>6924158.0895025702</v>
      </c>
      <c r="I680" s="10">
        <v>-164.307067555515</v>
      </c>
      <c r="J680" s="10">
        <v>-177.20116946418901</v>
      </c>
      <c r="K680" s="4">
        <f t="shared" si="151"/>
        <v>195.69293333333334</v>
      </c>
      <c r="L680" s="4">
        <f t="shared" si="152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7"/>
        <v>6924158.108028261</v>
      </c>
      <c r="P680" s="2">
        <f t="shared" si="159"/>
        <v>2.748097466770833E-9</v>
      </c>
      <c r="Q680" s="2">
        <f t="shared" si="160"/>
        <v>2.6755152802945647E-9</v>
      </c>
      <c r="R680" s="6">
        <f t="shared" si="161"/>
        <v>195.69293244449304</v>
      </c>
      <c r="S680" s="2">
        <f t="shared" si="162"/>
        <v>4.5420153366260563E-9</v>
      </c>
      <c r="T680" s="2">
        <f t="shared" si="158"/>
        <v>4.11018613106332E-14</v>
      </c>
      <c r="U680" s="6">
        <f t="shared" si="163"/>
        <v>182.79883053581227</v>
      </c>
      <c r="V680" s="2">
        <f t="shared" si="155"/>
        <v>1.0800551898704292E-10</v>
      </c>
      <c r="W680" s="2">
        <f t="shared" si="156"/>
        <v>6.9966362510050292E-15</v>
      </c>
    </row>
    <row r="681" spans="1:23" x14ac:dyDescent="0.4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10">
        <v>4871626.5669999998</v>
      </c>
      <c r="F681" s="10" t="s">
        <v>1970</v>
      </c>
      <c r="G681" s="10" t="s">
        <v>1971</v>
      </c>
      <c r="H681" s="10">
        <v>4871626.5673586903</v>
      </c>
      <c r="I681" s="10">
        <v>6.1606160520073097</v>
      </c>
      <c r="J681" s="10">
        <v>85.530710625348405</v>
      </c>
      <c r="K681" s="4">
        <f t="shared" si="151"/>
        <v>6.1606166666666669</v>
      </c>
      <c r="L681" s="4">
        <f t="shared" si="152"/>
        <v>85.530711111111088</v>
      </c>
      <c r="M681" s="4">
        <f t="shared" si="153"/>
        <v>6.160616052007299</v>
      </c>
      <c r="N681" s="4">
        <f t="shared" si="154"/>
        <v>85.530710625348433</v>
      </c>
      <c r="O681" s="3">
        <f t="shared" si="157"/>
        <v>4871626.5668399865</v>
      </c>
      <c r="P681" s="2">
        <f t="shared" si="159"/>
        <v>3.2845975222388023E-11</v>
      </c>
      <c r="Q681" s="2">
        <f t="shared" si="160"/>
        <v>1.064744651607443E-10</v>
      </c>
      <c r="R681" s="6">
        <f t="shared" si="161"/>
        <v>6.1606160520074278</v>
      </c>
      <c r="S681" s="2">
        <f t="shared" si="162"/>
        <v>9.9772355970120009E-8</v>
      </c>
      <c r="T681" s="2">
        <f t="shared" si="158"/>
        <v>2.0904706569817181E-14</v>
      </c>
      <c r="U681" s="6">
        <f t="shared" si="163"/>
        <v>85.53071062534687</v>
      </c>
      <c r="V681" s="2">
        <f t="shared" si="155"/>
        <v>5.6794128316342784E-9</v>
      </c>
      <c r="W681" s="2">
        <f t="shared" si="156"/>
        <v>1.8276406301819526E-14</v>
      </c>
    </row>
    <row r="682" spans="1:23" x14ac:dyDescent="0.45">
      <c r="A682">
        <v>56.180599999999998</v>
      </c>
      <c r="B682">
        <v>79.643960000000007</v>
      </c>
      <c r="C682">
        <v>-61.49727</v>
      </c>
      <c r="D682">
        <v>-72.038340000000005</v>
      </c>
      <c r="E682" s="10">
        <v>18288955.127</v>
      </c>
      <c r="F682" s="10" t="s">
        <v>1972</v>
      </c>
      <c r="G682" s="10" t="s">
        <v>1973</v>
      </c>
      <c r="H682" s="10">
        <v>18288955.126983501</v>
      </c>
      <c r="I682" s="10">
        <v>-121.789345214335</v>
      </c>
      <c r="J682" s="10">
        <v>-82.351108331329797</v>
      </c>
      <c r="K682" s="4">
        <f t="shared" si="151"/>
        <v>238.21065555555555</v>
      </c>
      <c r="L682" s="4">
        <f t="shared" si="152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7"/>
        <v>18288955.12687771</v>
      </c>
      <c r="P682" s="2">
        <f t="shared" si="159"/>
        <v>6.686555015221852E-12</v>
      </c>
      <c r="Q682" s="2">
        <f t="shared" si="160"/>
        <v>5.7844088501063595E-12</v>
      </c>
      <c r="R682" s="6">
        <f t="shared" si="161"/>
        <v>238.21065478559498</v>
      </c>
      <c r="S682" s="2">
        <f t="shared" si="162"/>
        <v>3.2322675190314246E-9</v>
      </c>
      <c r="T682" s="2">
        <f t="shared" si="158"/>
        <v>2.938687624618279E-13</v>
      </c>
      <c r="U682" s="6">
        <f t="shared" si="163"/>
        <v>277.64889166899201</v>
      </c>
      <c r="V682" s="2">
        <f t="shared" si="155"/>
        <v>8.3751480684808579E-12</v>
      </c>
      <c r="W682" s="2">
        <f t="shared" si="156"/>
        <v>1.1589838959452432E-12</v>
      </c>
    </row>
    <row r="683" spans="1:23" x14ac:dyDescent="0.4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10">
        <v>5243855.9639999997</v>
      </c>
      <c r="F683" s="10" t="s">
        <v>1974</v>
      </c>
      <c r="G683" s="10" t="s">
        <v>1975</v>
      </c>
      <c r="H683" s="10">
        <v>5243855.96425399</v>
      </c>
      <c r="I683" s="10">
        <v>7.2549717919675203</v>
      </c>
      <c r="J683" s="10">
        <v>136.99701410497599</v>
      </c>
      <c r="K683" s="4">
        <f t="shared" si="151"/>
        <v>7.2549722222222224</v>
      </c>
      <c r="L683" s="4">
        <f t="shared" si="152"/>
        <v>136.99701388888889</v>
      </c>
      <c r="M683" s="4">
        <f t="shared" si="153"/>
        <v>7.2549717919675345</v>
      </c>
      <c r="N683" s="4">
        <f t="shared" si="154"/>
        <v>136.99701410497596</v>
      </c>
      <c r="O683" s="3">
        <f t="shared" si="157"/>
        <v>5243855.9614165062</v>
      </c>
      <c r="P683" s="2">
        <f t="shared" si="159"/>
        <v>4.9267056462502998E-10</v>
      </c>
      <c r="Q683" s="2">
        <f t="shared" si="160"/>
        <v>5.4110635198368083E-10</v>
      </c>
      <c r="R683" s="6">
        <f t="shared" si="161"/>
        <v>7.254971791965791</v>
      </c>
      <c r="S683" s="2">
        <f t="shared" si="162"/>
        <v>5.9305041865488482E-8</v>
      </c>
      <c r="T683" s="2">
        <f t="shared" si="158"/>
        <v>2.4031716288706803E-13</v>
      </c>
      <c r="U683" s="6">
        <f t="shared" si="163"/>
        <v>136.99701410498903</v>
      </c>
      <c r="V683" s="2">
        <f t="shared" si="155"/>
        <v>1.5774077216712984E-9</v>
      </c>
      <c r="W683" s="2">
        <f t="shared" si="156"/>
        <v>9.5432637151987195E-14</v>
      </c>
    </row>
    <row r="684" spans="1:23" x14ac:dyDescent="0.4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10">
        <v>8771186.4159999993</v>
      </c>
      <c r="F684" s="10" t="s">
        <v>1976</v>
      </c>
      <c r="G684" s="10" t="s">
        <v>1977</v>
      </c>
      <c r="H684" s="10">
        <v>8771186.4161026608</v>
      </c>
      <c r="I684" s="10">
        <v>161.07259321814499</v>
      </c>
      <c r="J684" s="10">
        <v>51.822705546526997</v>
      </c>
      <c r="K684" s="4">
        <f t="shared" si="151"/>
        <v>161.07259444444443</v>
      </c>
      <c r="L684" s="4">
        <f t="shared" si="152"/>
        <v>51.822705555555558</v>
      </c>
      <c r="M684" s="4">
        <f t="shared" si="153"/>
        <v>161.07259321814502</v>
      </c>
      <c r="N684" s="4">
        <f t="shared" si="154"/>
        <v>51.822705546527004</v>
      </c>
      <c r="O684" s="3">
        <f t="shared" si="157"/>
        <v>8771186.4166275561</v>
      </c>
      <c r="P684" s="2">
        <f t="shared" si="159"/>
        <v>7.1547540546930544E-11</v>
      </c>
      <c r="Q684" s="2">
        <f t="shared" si="160"/>
        <v>5.9843131909133662E-11</v>
      </c>
      <c r="R684" s="6">
        <f t="shared" si="161"/>
        <v>161.07259321817423</v>
      </c>
      <c r="S684" s="2">
        <f t="shared" si="162"/>
        <v>7.6131523446267719E-9</v>
      </c>
      <c r="T684" s="2">
        <f t="shared" si="158"/>
        <v>1.813934742758207E-13</v>
      </c>
      <c r="U684" s="6">
        <f t="shared" si="163"/>
        <v>51.822705546416806</v>
      </c>
      <c r="V684" s="2">
        <f t="shared" si="155"/>
        <v>1.7634648518286768E-10</v>
      </c>
      <c r="W684" s="2">
        <f t="shared" si="156"/>
        <v>2.126443838214832E-12</v>
      </c>
    </row>
    <row r="685" spans="1:23" x14ac:dyDescent="0.45">
      <c r="A685">
        <v>9.0889999999999999E-2</v>
      </c>
      <c r="B685">
        <v>-41.97739</v>
      </c>
      <c r="C685">
        <v>83.372619999999998</v>
      </c>
      <c r="D685">
        <v>61.270099999999999</v>
      </c>
      <c r="E685" s="10">
        <v>10161458.526000001</v>
      </c>
      <c r="F685" s="10" t="s">
        <v>1978</v>
      </c>
      <c r="G685" s="10" t="s">
        <v>1979</v>
      </c>
      <c r="H685" s="10">
        <v>10161458.526116701</v>
      </c>
      <c r="I685" s="10">
        <v>6.4728754219795999</v>
      </c>
      <c r="J685" s="10">
        <v>103.206025885394</v>
      </c>
      <c r="K685" s="4">
        <f t="shared" si="151"/>
        <v>6.4728750000000002</v>
      </c>
      <c r="L685" s="4">
        <f t="shared" si="152"/>
        <v>103.20602500000001</v>
      </c>
      <c r="M685" s="4">
        <f t="shared" si="153"/>
        <v>6.4728754219796087</v>
      </c>
      <c r="N685" s="4">
        <f t="shared" si="154"/>
        <v>103.20602588539401</v>
      </c>
      <c r="O685" s="3">
        <f t="shared" si="157"/>
        <v>10161458.540309869</v>
      </c>
      <c r="P685" s="2">
        <f t="shared" si="159"/>
        <v>1.4082494338681895E-9</v>
      </c>
      <c r="Q685" s="2">
        <f t="shared" si="160"/>
        <v>1.3967648318891358E-9</v>
      </c>
      <c r="R685" s="6">
        <f t="shared" si="161"/>
        <v>6.4728754219788573</v>
      </c>
      <c r="S685" s="2">
        <f t="shared" si="162"/>
        <v>6.5191874891790312E-8</v>
      </c>
      <c r="T685" s="2">
        <f t="shared" si="158"/>
        <v>1.1608425839848845E-13</v>
      </c>
      <c r="U685" s="6">
        <f t="shared" si="163"/>
        <v>103.20602588542502</v>
      </c>
      <c r="V685" s="2">
        <f t="shared" si="155"/>
        <v>8.5791988380100468E-9</v>
      </c>
      <c r="W685" s="2">
        <f t="shared" si="156"/>
        <v>3.0044839652099344E-13</v>
      </c>
    </row>
    <row r="686" spans="1:23" x14ac:dyDescent="0.45">
      <c r="A686">
        <v>-73.711309999999997</v>
      </c>
      <c r="B686">
        <v>22.66018</v>
      </c>
      <c r="C686">
        <v>-46.219499999999996</v>
      </c>
      <c r="D686">
        <v>5.2844899999999999</v>
      </c>
      <c r="E686" s="10">
        <v>3183285.9840000002</v>
      </c>
      <c r="F686" s="10" t="s">
        <v>1980</v>
      </c>
      <c r="G686" s="10" t="s">
        <v>1981</v>
      </c>
      <c r="H686" s="10">
        <v>3183285.9839629699</v>
      </c>
      <c r="I686" s="10">
        <v>-25.619661107647499</v>
      </c>
      <c r="J686" s="10">
        <v>-10.1087905026248</v>
      </c>
      <c r="K686" s="4">
        <f t="shared" si="151"/>
        <v>334.3803388888889</v>
      </c>
      <c r="L686" s="4">
        <f t="shared" si="152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7"/>
        <v>3183285.9848708725</v>
      </c>
      <c r="P686" s="2">
        <f t="shared" si="159"/>
        <v>2.7357651600250851E-10</v>
      </c>
      <c r="Q686" s="2">
        <f t="shared" si="160"/>
        <v>2.8520924931204186E-10</v>
      </c>
      <c r="R686" s="6">
        <f t="shared" si="161"/>
        <v>334.38033889234441</v>
      </c>
      <c r="S686" s="2">
        <f t="shared" si="162"/>
        <v>1.0334074796475249E-11</v>
      </c>
      <c r="T686" s="2">
        <f t="shared" si="158"/>
        <v>2.4139473944469243E-14</v>
      </c>
      <c r="U686" s="6">
        <f t="shared" si="163"/>
        <v>349.89120949737213</v>
      </c>
      <c r="V686" s="2">
        <f t="shared" si="155"/>
        <v>3.3268592200757107E-9</v>
      </c>
      <c r="W686" s="2">
        <f t="shared" si="156"/>
        <v>8.7728543477645155E-15</v>
      </c>
    </row>
    <row r="687" spans="1:23" x14ac:dyDescent="0.45">
      <c r="A687">
        <v>-22.004090000000001</v>
      </c>
      <c r="B687">
        <v>-44.460140000000003</v>
      </c>
      <c r="C687">
        <v>29.549019999999999</v>
      </c>
      <c r="D687">
        <v>118.34869</v>
      </c>
      <c r="E687" s="10">
        <v>18112446.324000001</v>
      </c>
      <c r="F687" s="10" t="s">
        <v>1982</v>
      </c>
      <c r="G687" s="10" t="s">
        <v>1983</v>
      </c>
      <c r="H687" s="10">
        <v>18112446.3237142</v>
      </c>
      <c r="I687" s="10">
        <v>60.0079786106539</v>
      </c>
      <c r="J687" s="10">
        <v>112.668896542382</v>
      </c>
      <c r="K687" s="4">
        <f t="shared" si="151"/>
        <v>60.007977777777775</v>
      </c>
      <c r="L687" s="4">
        <f t="shared" si="152"/>
        <v>112.6688972222222</v>
      </c>
      <c r="M687" s="4">
        <f t="shared" si="153"/>
        <v>60.007978610653879</v>
      </c>
      <c r="N687" s="4">
        <f t="shared" si="154"/>
        <v>112.66889654238202</v>
      </c>
      <c r="O687" s="3">
        <f t="shared" si="157"/>
        <v>18112446.323685985</v>
      </c>
      <c r="P687" s="2">
        <f t="shared" si="159"/>
        <v>1.7337022813542396E-11</v>
      </c>
      <c r="Q687" s="2">
        <f t="shared" si="160"/>
        <v>1.5577878446827386E-12</v>
      </c>
      <c r="R687" s="6">
        <f t="shared" si="161"/>
        <v>60.007978609851271</v>
      </c>
      <c r="S687" s="2">
        <f t="shared" si="162"/>
        <v>1.3866047934620396E-8</v>
      </c>
      <c r="T687" s="2">
        <f t="shared" si="158"/>
        <v>1.3375017399603601E-11</v>
      </c>
      <c r="U687" s="6">
        <f t="shared" si="163"/>
        <v>112.66889654349134</v>
      </c>
      <c r="V687" s="2">
        <f t="shared" si="155"/>
        <v>6.0241191059892523E-9</v>
      </c>
      <c r="W687" s="2">
        <f t="shared" si="156"/>
        <v>9.8459093398576889E-12</v>
      </c>
    </row>
    <row r="688" spans="1:23" x14ac:dyDescent="0.45">
      <c r="A688">
        <v>51.163550000000001</v>
      </c>
      <c r="B688">
        <v>160.15751</v>
      </c>
      <c r="C688">
        <v>-16.799499999999998</v>
      </c>
      <c r="D688">
        <v>-174.80132</v>
      </c>
      <c r="E688" s="10">
        <v>7914420.6540000001</v>
      </c>
      <c r="F688" s="10" t="s">
        <v>1984</v>
      </c>
      <c r="G688" s="10" t="s">
        <v>1985</v>
      </c>
      <c r="H688" s="10">
        <v>7914420.6538154399</v>
      </c>
      <c r="I688" s="10">
        <v>154.59866990049099</v>
      </c>
      <c r="J688" s="10">
        <v>163.65121073214601</v>
      </c>
      <c r="K688" s="4">
        <f t="shared" si="151"/>
        <v>154.59866944444445</v>
      </c>
      <c r="L688" s="4">
        <f t="shared" si="152"/>
        <v>163.65121111111114</v>
      </c>
      <c r="M688" s="4">
        <f t="shared" si="153"/>
        <v>154.59866990049102</v>
      </c>
      <c r="N688" s="4">
        <f t="shared" si="154"/>
        <v>163.65121073214596</v>
      </c>
      <c r="O688" s="3">
        <f t="shared" si="157"/>
        <v>7914420.649104571</v>
      </c>
      <c r="P688" s="2">
        <f t="shared" si="159"/>
        <v>6.1854548057717068E-10</v>
      </c>
      <c r="Q688" s="2">
        <f t="shared" si="160"/>
        <v>5.9522599800602177E-10</v>
      </c>
      <c r="R688" s="6">
        <f t="shared" si="161"/>
        <v>154.59866990045887</v>
      </c>
      <c r="S688" s="2">
        <f t="shared" si="162"/>
        <v>2.9496658719850836E-9</v>
      </c>
      <c r="T688" s="2">
        <f t="shared" si="158"/>
        <v>2.0792516123506983E-13</v>
      </c>
      <c r="U688" s="6">
        <f t="shared" si="163"/>
        <v>163.65121073212586</v>
      </c>
      <c r="V688" s="2">
        <f t="shared" si="155"/>
        <v>2.3158110127359837E-9</v>
      </c>
      <c r="W688" s="2">
        <f t="shared" si="156"/>
        <v>1.2278643388825564E-13</v>
      </c>
    </row>
    <row r="689" spans="1:23" x14ac:dyDescent="0.4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10">
        <v>8958543.5519999992</v>
      </c>
      <c r="F689" s="10" t="s">
        <v>1986</v>
      </c>
      <c r="G689" s="10" t="s">
        <v>1987</v>
      </c>
      <c r="H689" s="10">
        <v>8958543.5518247802</v>
      </c>
      <c r="I689" s="10">
        <v>176.596898175657</v>
      </c>
      <c r="J689" s="10">
        <v>16.478989154711599</v>
      </c>
      <c r="K689" s="4">
        <f t="shared" ref="K689:K752" si="164">ConvertDecimal(F689)</f>
        <v>176.59689722222222</v>
      </c>
      <c r="L689" s="4">
        <f t="shared" ref="L689:L752" si="165">MOD(ConvertDecimal(G689)+180,360)</f>
        <v>16.478988888888921</v>
      </c>
      <c r="M689" s="4">
        <f t="shared" ref="M689:M752" si="166">MOD(I689+360, 360)</f>
        <v>176.59689817565697</v>
      </c>
      <c r="N689" s="4">
        <f t="shared" ref="N689:N752" si="167">MOD(J689+360, 360)</f>
        <v>16.478989154711599</v>
      </c>
      <c r="O689" s="3">
        <f t="shared" si="157"/>
        <v>8958543.552087171</v>
      </c>
      <c r="P689" s="2">
        <f t="shared" si="159"/>
        <v>9.7305764578827823E-12</v>
      </c>
      <c r="Q689" s="2">
        <f t="shared" si="160"/>
        <v>2.9289450975400808E-11</v>
      </c>
      <c r="R689" s="6">
        <f t="shared" si="161"/>
        <v>176.59689817566209</v>
      </c>
      <c r="S689" s="2">
        <f t="shared" si="162"/>
        <v>5.3989615940159432E-9</v>
      </c>
      <c r="T689" s="2">
        <f t="shared" si="158"/>
        <v>2.8969408581480532E-14</v>
      </c>
      <c r="U689" s="6">
        <f t="shared" si="163"/>
        <v>16.478989154686271</v>
      </c>
      <c r="V689" s="2">
        <f t="shared" si="155"/>
        <v>1.61294696017982E-8</v>
      </c>
      <c r="W689" s="2">
        <f t="shared" si="156"/>
        <v>1.5369447469371812E-12</v>
      </c>
    </row>
    <row r="690" spans="1:23" x14ac:dyDescent="0.4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10">
        <v>4511895.8569999998</v>
      </c>
      <c r="F690" s="10" t="s">
        <v>1988</v>
      </c>
      <c r="G690" s="10" t="s">
        <v>1989</v>
      </c>
      <c r="H690" s="10">
        <v>4511895.8568567298</v>
      </c>
      <c r="I690" s="10">
        <v>-33.689959891284701</v>
      </c>
      <c r="J690" s="10">
        <v>-126.955328488761</v>
      </c>
      <c r="K690" s="4">
        <f t="shared" si="164"/>
        <v>326.31003888888887</v>
      </c>
      <c r="L690" s="4">
        <f t="shared" si="165"/>
        <v>233.04467222222223</v>
      </c>
      <c r="M690" s="4">
        <f t="shared" si="166"/>
        <v>326.31004010871527</v>
      </c>
      <c r="N690" s="4">
        <f t="shared" si="167"/>
        <v>233.04467151123902</v>
      </c>
      <c r="O690" s="3">
        <f t="shared" si="157"/>
        <v>4511895.8568870565</v>
      </c>
      <c r="P690" s="2">
        <f t="shared" si="159"/>
        <v>2.5032348894654089E-11</v>
      </c>
      <c r="Q690" s="2">
        <f t="shared" si="160"/>
        <v>6.7214886955150779E-12</v>
      </c>
      <c r="R690" s="6">
        <f t="shared" si="161"/>
        <v>326.31004010873477</v>
      </c>
      <c r="S690" s="2">
        <f t="shared" si="162"/>
        <v>3.7383033115144369E-9</v>
      </c>
      <c r="T690" s="2">
        <f t="shared" si="158"/>
        <v>5.9750820608404582E-14</v>
      </c>
      <c r="U690" s="6">
        <f t="shared" si="163"/>
        <v>233.04467151120042</v>
      </c>
      <c r="V690" s="2">
        <f t="shared" si="155"/>
        <v>3.0510108011233858E-9</v>
      </c>
      <c r="W690" s="2">
        <f t="shared" si="156"/>
        <v>1.6561924010619246E-13</v>
      </c>
    </row>
    <row r="691" spans="1:23" x14ac:dyDescent="0.4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10">
        <v>909274.86100000003</v>
      </c>
      <c r="F691" s="10" t="s">
        <v>1990</v>
      </c>
      <c r="G691" s="10" t="s">
        <v>1991</v>
      </c>
      <c r="H691" s="10">
        <v>909274.86052937503</v>
      </c>
      <c r="I691" s="10">
        <v>84.089583881688995</v>
      </c>
      <c r="J691" s="10">
        <v>3.7390115547993199</v>
      </c>
      <c r="K691" s="4">
        <f t="shared" si="164"/>
        <v>84.089583333333337</v>
      </c>
      <c r="L691" s="4">
        <f t="shared" si="165"/>
        <v>3.7390111111110969</v>
      </c>
      <c r="M691" s="4">
        <f t="shared" si="166"/>
        <v>84.089583881689009</v>
      </c>
      <c r="N691" s="4">
        <f t="shared" si="167"/>
        <v>3.7390115547993332</v>
      </c>
      <c r="O691" s="3">
        <f t="shared" si="157"/>
        <v>909274.86012435867</v>
      </c>
      <c r="P691" s="2">
        <f t="shared" si="159"/>
        <v>9.6301063250917182E-10</v>
      </c>
      <c r="Q691" s="2">
        <f t="shared" si="160"/>
        <v>4.4542785993302925E-10</v>
      </c>
      <c r="R691" s="6">
        <f t="shared" si="161"/>
        <v>84.089583881690317</v>
      </c>
      <c r="S691" s="2">
        <f t="shared" si="162"/>
        <v>6.5211047271563168E-9</v>
      </c>
      <c r="T691" s="2">
        <f t="shared" si="158"/>
        <v>1.5547688232564532E-14</v>
      </c>
      <c r="U691" s="6">
        <f t="shared" si="163"/>
        <v>3.739011554799955</v>
      </c>
      <c r="V691" s="2">
        <f t="shared" si="155"/>
        <v>1.1866476052446504E-7</v>
      </c>
      <c r="W691" s="2">
        <f t="shared" si="156"/>
        <v>1.6628054893065304E-13</v>
      </c>
    </row>
    <row r="692" spans="1:23" x14ac:dyDescent="0.45">
      <c r="A692">
        <v>76.639799999999994</v>
      </c>
      <c r="B692">
        <v>-84.536469999999994</v>
      </c>
      <c r="C692">
        <v>-1.82647</v>
      </c>
      <c r="D692">
        <v>75.829409999999996</v>
      </c>
      <c r="E692" s="10">
        <v>11607157.092</v>
      </c>
      <c r="F692" s="10" t="s">
        <v>1992</v>
      </c>
      <c r="G692" s="10" t="s">
        <v>1993</v>
      </c>
      <c r="H692" s="10">
        <v>11607157.092438299</v>
      </c>
      <c r="I692" s="10">
        <v>20.261353797729299</v>
      </c>
      <c r="J692" s="10">
        <v>175.393256165938</v>
      </c>
      <c r="K692" s="4">
        <f t="shared" si="164"/>
        <v>20.261352777777777</v>
      </c>
      <c r="L692" s="4">
        <f t="shared" si="165"/>
        <v>175.39325555555558</v>
      </c>
      <c r="M692" s="4">
        <f t="shared" si="166"/>
        <v>20.261353797729271</v>
      </c>
      <c r="N692" s="4">
        <f t="shared" si="167"/>
        <v>175.39325616593806</v>
      </c>
      <c r="O692" s="3">
        <f t="shared" si="157"/>
        <v>11607157.094890136</v>
      </c>
      <c r="P692" s="2">
        <f t="shared" si="159"/>
        <v>2.489960349458179E-10</v>
      </c>
      <c r="Q692" s="2">
        <f t="shared" si="160"/>
        <v>2.1123493404194459E-10</v>
      </c>
      <c r="R692" s="6">
        <f t="shared" si="161"/>
        <v>20.261353797702295</v>
      </c>
      <c r="S692" s="2">
        <f t="shared" si="162"/>
        <v>5.0338421593145643E-8</v>
      </c>
      <c r="T692" s="2">
        <f t="shared" si="158"/>
        <v>1.3313895622391939E-12</v>
      </c>
      <c r="U692" s="6">
        <f t="shared" si="163"/>
        <v>175.39325616594351</v>
      </c>
      <c r="V692" s="2">
        <f t="shared" si="155"/>
        <v>3.480110604665245E-9</v>
      </c>
      <c r="W692" s="2">
        <f t="shared" si="156"/>
        <v>3.11127595776817E-14</v>
      </c>
    </row>
    <row r="693" spans="1:23" x14ac:dyDescent="0.45">
      <c r="A693">
        <v>24.83473</v>
      </c>
      <c r="B693">
        <v>-104.82879</v>
      </c>
      <c r="C693">
        <v>27.559429999999999</v>
      </c>
      <c r="D693">
        <v>163.46987999999999</v>
      </c>
      <c r="E693" s="10">
        <v>8931844.8570000008</v>
      </c>
      <c r="F693" s="10" t="s">
        <v>1994</v>
      </c>
      <c r="G693" s="10" t="s">
        <v>1995</v>
      </c>
      <c r="H693" s="10">
        <v>8931844.8564209603</v>
      </c>
      <c r="I693" s="10">
        <v>-64.050988760283701</v>
      </c>
      <c r="J693" s="10">
        <v>-113.02139702358301</v>
      </c>
      <c r="K693" s="4">
        <f t="shared" si="164"/>
        <v>295.94901111111113</v>
      </c>
      <c r="L693" s="4">
        <f t="shared" si="165"/>
        <v>246.97860277777778</v>
      </c>
      <c r="M693" s="4">
        <f t="shared" si="166"/>
        <v>295.9490112397163</v>
      </c>
      <c r="N693" s="4">
        <f t="shared" si="167"/>
        <v>246.97860297641699</v>
      </c>
      <c r="O693" s="3">
        <f t="shared" si="157"/>
        <v>8931844.8564139493</v>
      </c>
      <c r="P693" s="2">
        <f t="shared" si="159"/>
        <v>6.5613711754502414E-11</v>
      </c>
      <c r="Q693" s="2">
        <f t="shared" si="160"/>
        <v>7.8494381109466191E-13</v>
      </c>
      <c r="R693" s="6">
        <f t="shared" si="161"/>
        <v>295.94901123992906</v>
      </c>
      <c r="S693" s="2">
        <f t="shared" si="162"/>
        <v>4.3527069092449925E-10</v>
      </c>
      <c r="T693" s="2">
        <f t="shared" si="158"/>
        <v>7.1892423598491617E-13</v>
      </c>
      <c r="U693" s="6">
        <f t="shared" si="163"/>
        <v>246.97860297617365</v>
      </c>
      <c r="V693" s="2">
        <f t="shared" si="155"/>
        <v>8.0329172088086529E-10</v>
      </c>
      <c r="W693" s="2">
        <f t="shared" si="156"/>
        <v>9.8529456888358598E-13</v>
      </c>
    </row>
    <row r="694" spans="1:23" x14ac:dyDescent="0.45">
      <c r="A694">
        <v>73.392750000000007</v>
      </c>
      <c r="B694">
        <v>101.94213999999999</v>
      </c>
      <c r="C694">
        <v>12.9153</v>
      </c>
      <c r="D694">
        <v>154.44694000000001</v>
      </c>
      <c r="E694" s="10">
        <v>7496752.5369999995</v>
      </c>
      <c r="F694" s="10" t="s">
        <v>1996</v>
      </c>
      <c r="G694" s="10" t="s">
        <v>1997</v>
      </c>
      <c r="H694" s="10">
        <v>7496752.5366564197</v>
      </c>
      <c r="I694" s="10">
        <v>123.065146530543</v>
      </c>
      <c r="J694" s="10">
        <v>165.73201976132901</v>
      </c>
      <c r="K694" s="4">
        <f t="shared" si="164"/>
        <v>123.06514722222222</v>
      </c>
      <c r="L694" s="4">
        <f t="shared" si="165"/>
        <v>165.7320194444444</v>
      </c>
      <c r="M694" s="4">
        <f t="shared" si="166"/>
        <v>123.06514653054302</v>
      </c>
      <c r="N694" s="4">
        <f t="shared" si="167"/>
        <v>165.73201976132896</v>
      </c>
      <c r="O694" s="3">
        <f t="shared" si="157"/>
        <v>7496752.5478897896</v>
      </c>
      <c r="P694" s="2">
        <f t="shared" si="159"/>
        <v>1.4526009718390528E-9</v>
      </c>
      <c r="Q694" s="2">
        <f t="shared" si="160"/>
        <v>1.4984314561395477E-9</v>
      </c>
      <c r="R694" s="6">
        <f t="shared" si="161"/>
        <v>123.06514653051649</v>
      </c>
      <c r="S694" s="2">
        <f t="shared" si="162"/>
        <v>5.6206468838435433E-9</v>
      </c>
      <c r="T694" s="2">
        <f t="shared" si="158"/>
        <v>2.1559041289320173E-13</v>
      </c>
      <c r="U694" s="6">
        <f t="shared" si="163"/>
        <v>165.73201976132489</v>
      </c>
      <c r="V694" s="2">
        <f t="shared" si="155"/>
        <v>1.9120052306957473E-9</v>
      </c>
      <c r="W694" s="2">
        <f t="shared" si="156"/>
        <v>2.452335073452183E-14</v>
      </c>
    </row>
    <row r="695" spans="1:23" x14ac:dyDescent="0.45">
      <c r="A695">
        <v>70.475589999999997</v>
      </c>
      <c r="B695">
        <v>-168.26902999999999</v>
      </c>
      <c r="C695">
        <v>-56.33708</v>
      </c>
      <c r="D695">
        <v>100.75642999999999</v>
      </c>
      <c r="E695" s="10">
        <v>15762230.514</v>
      </c>
      <c r="F695" s="10" t="s">
        <v>1998</v>
      </c>
      <c r="G695" s="10" t="s">
        <v>1999</v>
      </c>
      <c r="H695" s="10">
        <v>15762230.514601</v>
      </c>
      <c r="I695" s="10">
        <v>-115.796681618527</v>
      </c>
      <c r="J695" s="10">
        <v>-147.09805237010701</v>
      </c>
      <c r="K695" s="4">
        <f t="shared" si="164"/>
        <v>244.20331944444445</v>
      </c>
      <c r="L695" s="4">
        <f t="shared" si="165"/>
        <v>212.90194722222222</v>
      </c>
      <c r="M695" s="4">
        <f t="shared" si="166"/>
        <v>244.203318381473</v>
      </c>
      <c r="N695" s="4">
        <f t="shared" si="167"/>
        <v>212.90194762989299</v>
      </c>
      <c r="O695" s="3">
        <f t="shared" si="157"/>
        <v>15762230.514116574</v>
      </c>
      <c r="P695" s="2">
        <f t="shared" si="159"/>
        <v>7.3957582691788972E-12</v>
      </c>
      <c r="Q695" s="2">
        <f t="shared" si="160"/>
        <v>3.0733313669810554E-11</v>
      </c>
      <c r="R695" s="6">
        <f t="shared" si="161"/>
        <v>244.20331838156326</v>
      </c>
      <c r="S695" s="2">
        <f t="shared" si="162"/>
        <v>4.3524436301558997E-9</v>
      </c>
      <c r="T695" s="2">
        <f t="shared" si="158"/>
        <v>3.696401414576824E-13</v>
      </c>
      <c r="U695" s="6">
        <f t="shared" si="163"/>
        <v>212.90194762992164</v>
      </c>
      <c r="V695" s="2">
        <f t="shared" si="155"/>
        <v>1.9149633089634383E-9</v>
      </c>
      <c r="W695" s="2">
        <f t="shared" si="156"/>
        <v>1.3456468306081714E-13</v>
      </c>
    </row>
    <row r="696" spans="1:23" x14ac:dyDescent="0.45">
      <c r="A696">
        <v>-23.364439999999998</v>
      </c>
      <c r="B696">
        <v>-58.086649999999999</v>
      </c>
      <c r="C696">
        <v>-80.319149999999993</v>
      </c>
      <c r="D696">
        <v>-108.47099</v>
      </c>
      <c r="E696" s="10">
        <v>6754537.3039999995</v>
      </c>
      <c r="F696" s="10" t="s">
        <v>2000</v>
      </c>
      <c r="G696" s="10" t="s">
        <v>2001</v>
      </c>
      <c r="H696" s="10">
        <v>6754537.30398193</v>
      </c>
      <c r="I696" s="10">
        <v>-171.43056758137499</v>
      </c>
      <c r="J696" s="10">
        <v>-125.78422240667101</v>
      </c>
      <c r="K696" s="4">
        <f t="shared" si="164"/>
        <v>188.56943333333334</v>
      </c>
      <c r="L696" s="4">
        <f t="shared" si="165"/>
        <v>234.21577777777779</v>
      </c>
      <c r="M696" s="4">
        <f t="shared" si="166"/>
        <v>188.56943241862501</v>
      </c>
      <c r="N696" s="4">
        <f t="shared" si="167"/>
        <v>234.21577759332899</v>
      </c>
      <c r="O696" s="3">
        <f t="shared" si="157"/>
        <v>6754537.3323728014</v>
      </c>
      <c r="P696" s="2">
        <f t="shared" si="159"/>
        <v>4.2005544663293387E-9</v>
      </c>
      <c r="Q696" s="2">
        <f t="shared" si="160"/>
        <v>4.2032296341247613E-9</v>
      </c>
      <c r="R696" s="6">
        <f t="shared" si="161"/>
        <v>188.56943241862817</v>
      </c>
      <c r="S696" s="2">
        <f t="shared" si="162"/>
        <v>4.8507605518480593E-9</v>
      </c>
      <c r="T696" s="2">
        <f t="shared" si="158"/>
        <v>1.6730228787936068E-14</v>
      </c>
      <c r="U696" s="6">
        <f t="shared" si="163"/>
        <v>234.2157775933585</v>
      </c>
      <c r="V696" s="2">
        <f t="shared" si="155"/>
        <v>7.8739055938717013E-10</v>
      </c>
      <c r="W696" s="2">
        <f t="shared" si="156"/>
        <v>1.2595963727082252E-13</v>
      </c>
    </row>
    <row r="697" spans="1:23" x14ac:dyDescent="0.45">
      <c r="A697">
        <v>28.44896</v>
      </c>
      <c r="B697">
        <v>-71.63758</v>
      </c>
      <c r="C697">
        <v>89.665139999999994</v>
      </c>
      <c r="D697">
        <v>-169.04756</v>
      </c>
      <c r="E697" s="10">
        <v>6858651.0719999997</v>
      </c>
      <c r="F697" s="10" t="s">
        <v>2002</v>
      </c>
      <c r="G697" s="10" t="s">
        <v>2003</v>
      </c>
      <c r="H697" s="10">
        <v>6858651.0723510599</v>
      </c>
      <c r="I697" s="10">
        <v>-0.37849600114167598</v>
      </c>
      <c r="J697" s="10">
        <v>-97.590892026651503</v>
      </c>
      <c r="K697" s="4">
        <f t="shared" si="164"/>
        <v>359.62150277777778</v>
      </c>
      <c r="L697" s="4">
        <f t="shared" si="165"/>
        <v>262.40910833333334</v>
      </c>
      <c r="M697" s="4">
        <f t="shared" si="166"/>
        <v>359.62150399885832</v>
      </c>
      <c r="N697" s="4">
        <f t="shared" si="167"/>
        <v>262.40910797334851</v>
      </c>
      <c r="O697" s="3">
        <f t="shared" si="157"/>
        <v>6858651.0833725324</v>
      </c>
      <c r="P697" s="2">
        <f t="shared" si="159"/>
        <v>1.6581296491316604E-9</v>
      </c>
      <c r="Q697" s="2">
        <f t="shared" si="160"/>
        <v>1.6069446305711636E-9</v>
      </c>
      <c r="R697" s="6">
        <f t="shared" si="161"/>
        <v>359.6215039988582</v>
      </c>
      <c r="S697" s="2">
        <f t="shared" si="162"/>
        <v>3.3954599902890226E-9</v>
      </c>
      <c r="T697" s="2">
        <f t="shared" si="158"/>
        <v>3.1612914260537922E-16</v>
      </c>
      <c r="U697" s="6">
        <f t="shared" si="163"/>
        <v>262.4091079733472</v>
      </c>
      <c r="V697" s="2">
        <f t="shared" si="155"/>
        <v>1.3718507480820312E-9</v>
      </c>
      <c r="W697" s="2">
        <f t="shared" si="156"/>
        <v>4.9822913689846844E-15</v>
      </c>
    </row>
    <row r="698" spans="1:23" x14ac:dyDescent="0.4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10">
        <v>13273425.584000001</v>
      </c>
      <c r="F698" s="10" t="s">
        <v>2004</v>
      </c>
      <c r="G698" s="10" t="s">
        <v>2005</v>
      </c>
      <c r="H698" s="10">
        <v>13273425.5839104</v>
      </c>
      <c r="I698" s="10">
        <v>-171.22172859398901</v>
      </c>
      <c r="J698" s="10">
        <v>-23.384084890681802</v>
      </c>
      <c r="K698" s="4">
        <f t="shared" si="164"/>
        <v>188.77827222222223</v>
      </c>
      <c r="L698" s="4">
        <f t="shared" si="165"/>
        <v>336.61591388888888</v>
      </c>
      <c r="M698" s="4">
        <f t="shared" si="166"/>
        <v>188.77827140601099</v>
      </c>
      <c r="N698" s="4">
        <f t="shared" si="167"/>
        <v>336.61591510931822</v>
      </c>
      <c r="O698" s="3">
        <f t="shared" si="157"/>
        <v>13273425.63445171</v>
      </c>
      <c r="P698" s="2">
        <f t="shared" si="159"/>
        <v>3.8009561765553726E-9</v>
      </c>
      <c r="Q698" s="2">
        <f t="shared" si="160"/>
        <v>3.8077065577612454E-9</v>
      </c>
      <c r="R698" s="6">
        <f t="shared" si="161"/>
        <v>188.77827140599086</v>
      </c>
      <c r="S698" s="2">
        <f t="shared" si="162"/>
        <v>4.3237569333543449E-9</v>
      </c>
      <c r="T698" s="2">
        <f t="shared" si="158"/>
        <v>1.0659367800570561E-13</v>
      </c>
      <c r="U698" s="6">
        <f t="shared" si="163"/>
        <v>336.61591510937467</v>
      </c>
      <c r="V698" s="2">
        <f t="shared" si="155"/>
        <v>3.6257518880337765E-9</v>
      </c>
      <c r="W698" s="2">
        <f t="shared" si="156"/>
        <v>1.6768522341093501E-13</v>
      </c>
    </row>
    <row r="699" spans="1:23" x14ac:dyDescent="0.4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10">
        <v>6324868.2450000001</v>
      </c>
      <c r="F699" s="10" t="s">
        <v>2006</v>
      </c>
      <c r="G699" s="10" t="s">
        <v>2007</v>
      </c>
      <c r="H699" s="10">
        <v>6324868.2451032503</v>
      </c>
      <c r="I699" s="10">
        <v>-123.26923831720001</v>
      </c>
      <c r="J699" s="10">
        <v>-25.448526157089599</v>
      </c>
      <c r="K699" s="4">
        <f t="shared" si="164"/>
        <v>236.73076111111112</v>
      </c>
      <c r="L699" s="4">
        <f t="shared" si="165"/>
        <v>334.55147499999998</v>
      </c>
      <c r="M699" s="4">
        <f t="shared" si="166"/>
        <v>236.73076168279999</v>
      </c>
      <c r="N699" s="4">
        <f t="shared" si="167"/>
        <v>334.55147384291041</v>
      </c>
      <c r="O699" s="3">
        <f t="shared" si="157"/>
        <v>6324868.2003925228</v>
      </c>
      <c r="P699" s="2">
        <f t="shared" si="159"/>
        <v>7.0527124889723545E-9</v>
      </c>
      <c r="Q699" s="2">
        <f t="shared" si="160"/>
        <v>7.0690369626503499E-9</v>
      </c>
      <c r="R699" s="6">
        <f t="shared" si="161"/>
        <v>236.73076168273568</v>
      </c>
      <c r="S699" s="2">
        <f t="shared" si="162"/>
        <v>2.4146610741687968E-9</v>
      </c>
      <c r="T699" s="2">
        <f t="shared" si="158"/>
        <v>2.7169400370191689E-13</v>
      </c>
      <c r="U699" s="6">
        <f t="shared" si="163"/>
        <v>334.55147384293025</v>
      </c>
      <c r="V699" s="2">
        <f t="shared" si="155"/>
        <v>3.4585701123315255E-9</v>
      </c>
      <c r="W699" s="2">
        <f t="shared" si="156"/>
        <v>5.9298358349893716E-14</v>
      </c>
    </row>
    <row r="700" spans="1:23" x14ac:dyDescent="0.4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10">
        <v>13576996.58</v>
      </c>
      <c r="F700" s="10" t="s">
        <v>2008</v>
      </c>
      <c r="G700" s="10" t="s">
        <v>2009</v>
      </c>
      <c r="H700" s="10">
        <v>13576996.580401599</v>
      </c>
      <c r="I700" s="10">
        <v>10.901360160069601</v>
      </c>
      <c r="J700" s="10">
        <v>163.83716370245199</v>
      </c>
      <c r="K700" s="4">
        <f t="shared" si="164"/>
        <v>10.901361111111111</v>
      </c>
      <c r="L700" s="4">
        <f t="shared" si="165"/>
        <v>163.83716388888888</v>
      </c>
      <c r="M700" s="4">
        <f t="shared" si="166"/>
        <v>10.901360160069601</v>
      </c>
      <c r="N700" s="4">
        <f t="shared" si="167"/>
        <v>163.83716370245202</v>
      </c>
      <c r="O700" s="3">
        <f t="shared" si="157"/>
        <v>13576996.565835658</v>
      </c>
      <c r="P700" s="2">
        <f t="shared" si="159"/>
        <v>1.0432603065184186E-9</v>
      </c>
      <c r="Q700" s="2">
        <f t="shared" si="160"/>
        <v>1.0728397005981797E-9</v>
      </c>
      <c r="R700" s="6">
        <f t="shared" si="161"/>
        <v>10.901360160049823</v>
      </c>
      <c r="S700" s="2">
        <f t="shared" si="162"/>
        <v>8.7242435022238133E-8</v>
      </c>
      <c r="T700" s="2">
        <f t="shared" si="158"/>
        <v>1.8142650788042686E-12</v>
      </c>
      <c r="U700" s="6">
        <f t="shared" si="163"/>
        <v>163.83716370248172</v>
      </c>
      <c r="V700" s="2">
        <f t="shared" si="155"/>
        <v>1.1377587298150775E-9</v>
      </c>
      <c r="W700" s="2">
        <f t="shared" si="156"/>
        <v>1.8128174147785056E-13</v>
      </c>
    </row>
    <row r="701" spans="1:23" x14ac:dyDescent="0.45">
      <c r="A701">
        <v>-1.9326099999999999</v>
      </c>
      <c r="B701">
        <v>-49.472799999999999</v>
      </c>
      <c r="C701">
        <v>52.702039999999997</v>
      </c>
      <c r="D701">
        <v>-178.83775</v>
      </c>
      <c r="E701" s="10">
        <v>12711428.208000001</v>
      </c>
      <c r="F701" s="10" t="s">
        <v>2010</v>
      </c>
      <c r="G701" s="10" t="s">
        <v>2011</v>
      </c>
      <c r="H701" s="10">
        <v>12711428.208059199</v>
      </c>
      <c r="I701" s="10">
        <v>-30.937381632318001</v>
      </c>
      <c r="J701" s="10">
        <v>-122.206787601004</v>
      </c>
      <c r="K701" s="4">
        <f t="shared" si="164"/>
        <v>329.06261944444446</v>
      </c>
      <c r="L701" s="4">
        <f t="shared" si="165"/>
        <v>237.79321111111111</v>
      </c>
      <c r="M701" s="4">
        <f t="shared" si="166"/>
        <v>329.06261836768198</v>
      </c>
      <c r="N701" s="4">
        <f t="shared" si="167"/>
        <v>237.79321239899599</v>
      </c>
      <c r="O701" s="3">
        <f t="shared" si="157"/>
        <v>12711428.209567459</v>
      </c>
      <c r="P701" s="2">
        <f t="shared" si="159"/>
        <v>1.2331098506537563E-10</v>
      </c>
      <c r="Q701" s="2">
        <f t="shared" si="160"/>
        <v>1.1865386965936441E-10</v>
      </c>
      <c r="R701" s="6">
        <f t="shared" si="161"/>
        <v>329.06261836777941</v>
      </c>
      <c r="S701" s="2">
        <f t="shared" si="162"/>
        <v>3.2719154164974992E-9</v>
      </c>
      <c r="T701" s="2">
        <f t="shared" si="158"/>
        <v>2.9608230922954855E-13</v>
      </c>
      <c r="U701" s="6">
        <f t="shared" si="163"/>
        <v>237.79321239873747</v>
      </c>
      <c r="V701" s="2">
        <f t="shared" si="155"/>
        <v>5.4148995889076605E-9</v>
      </c>
      <c r="W701" s="2">
        <f t="shared" si="156"/>
        <v>1.0871793453262016E-12</v>
      </c>
    </row>
    <row r="702" spans="1:23" x14ac:dyDescent="0.4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10">
        <v>9916507.9189999998</v>
      </c>
      <c r="F702" s="10" t="s">
        <v>2012</v>
      </c>
      <c r="G702" s="10" t="s">
        <v>2013</v>
      </c>
      <c r="H702" s="10">
        <v>9916507.9193755891</v>
      </c>
      <c r="I702" s="10">
        <v>168.75700336108901</v>
      </c>
      <c r="J702" s="10">
        <v>174.45474216808799</v>
      </c>
      <c r="K702" s="4">
        <f t="shared" si="164"/>
        <v>168.75700277777779</v>
      </c>
      <c r="L702" s="4">
        <f t="shared" si="165"/>
        <v>174.45474166666668</v>
      </c>
      <c r="M702" s="4">
        <f t="shared" si="166"/>
        <v>168.75700336108901</v>
      </c>
      <c r="N702" s="4">
        <f t="shared" si="167"/>
        <v>174.45474216808793</v>
      </c>
      <c r="O702" s="3">
        <f t="shared" si="157"/>
        <v>9916507.9169484563</v>
      </c>
      <c r="P702" s="2">
        <f t="shared" si="159"/>
        <v>2.0688164232333383E-10</v>
      </c>
      <c r="Q702" s="2">
        <f t="shared" si="160"/>
        <v>2.4475680551609662E-10</v>
      </c>
      <c r="R702" s="6">
        <f t="shared" si="161"/>
        <v>168.75700336107511</v>
      </c>
      <c r="S702" s="2">
        <f t="shared" si="162"/>
        <v>3.4564332854548632E-9</v>
      </c>
      <c r="T702" s="2">
        <f t="shared" si="158"/>
        <v>8.2356380088887784E-14</v>
      </c>
      <c r="U702" s="6">
        <f t="shared" si="163"/>
        <v>174.45474216808137</v>
      </c>
      <c r="V702" s="2">
        <f t="shared" si="155"/>
        <v>2.8741820631197309E-9</v>
      </c>
      <c r="W702" s="2">
        <f t="shared" si="156"/>
        <v>3.7633914657920385E-14</v>
      </c>
    </row>
    <row r="703" spans="1:23" x14ac:dyDescent="0.45">
      <c r="A703">
        <v>-19.58109</v>
      </c>
      <c r="B703">
        <v>-91.320509999999999</v>
      </c>
      <c r="C703">
        <v>-64.3446</v>
      </c>
      <c r="D703">
        <v>-136.74340000000001</v>
      </c>
      <c r="E703" s="10">
        <v>5999956.6229999997</v>
      </c>
      <c r="F703" s="10" t="s">
        <v>2014</v>
      </c>
      <c r="G703" s="10" t="s">
        <v>2015</v>
      </c>
      <c r="H703" s="10">
        <v>5999956.6226570597</v>
      </c>
      <c r="I703" s="10">
        <v>-157.498869749769</v>
      </c>
      <c r="J703" s="10">
        <v>-123.81389587339601</v>
      </c>
      <c r="K703" s="4">
        <f t="shared" si="164"/>
        <v>202.50113055555556</v>
      </c>
      <c r="L703" s="4">
        <f t="shared" si="165"/>
        <v>236.18610277777776</v>
      </c>
      <c r="M703" s="4">
        <f t="shared" si="166"/>
        <v>202.501130250231</v>
      </c>
      <c r="N703" s="4">
        <f t="shared" si="167"/>
        <v>236.18610412660399</v>
      </c>
      <c r="O703" s="3">
        <f t="shared" si="157"/>
        <v>5999956.6170298299</v>
      </c>
      <c r="P703" s="2">
        <f t="shared" si="159"/>
        <v>9.9503549195727753E-10</v>
      </c>
      <c r="Q703" s="2">
        <f t="shared" si="160"/>
        <v>9.3787841540578476E-10</v>
      </c>
      <c r="R703" s="6">
        <f t="shared" si="161"/>
        <v>202.50113025025436</v>
      </c>
      <c r="S703" s="2">
        <f t="shared" si="162"/>
        <v>1.5076518269054685E-9</v>
      </c>
      <c r="T703" s="2">
        <f t="shared" si="158"/>
        <v>1.1537044323121967E-13</v>
      </c>
      <c r="U703" s="6">
        <f t="shared" si="163"/>
        <v>236.1861041266863</v>
      </c>
      <c r="V703" s="2">
        <f t="shared" si="155"/>
        <v>5.7112104588594161E-9</v>
      </c>
      <c r="W703" s="2">
        <f t="shared" si="156"/>
        <v>3.4849328166372297E-13</v>
      </c>
    </row>
    <row r="704" spans="1:23" x14ac:dyDescent="0.45">
      <c r="A704">
        <v>-2.5715300000000001</v>
      </c>
      <c r="B704">
        <v>-1.34456</v>
      </c>
      <c r="C704">
        <v>-55.965530000000001</v>
      </c>
      <c r="D704">
        <v>-109.17691000000001</v>
      </c>
      <c r="E704" s="10">
        <v>10868721.918</v>
      </c>
      <c r="F704" s="10" t="s">
        <v>2016</v>
      </c>
      <c r="G704" s="10" t="s">
        <v>2017</v>
      </c>
      <c r="H704" s="10">
        <v>10868721.9176831</v>
      </c>
      <c r="I704" s="10">
        <v>-147.41696673128399</v>
      </c>
      <c r="J704" s="10">
        <v>-73.536527532951993</v>
      </c>
      <c r="K704" s="4">
        <f t="shared" si="164"/>
        <v>212.58303333333333</v>
      </c>
      <c r="L704" s="4">
        <f t="shared" si="165"/>
        <v>286.46347222222221</v>
      </c>
      <c r="M704" s="4">
        <f t="shared" si="166"/>
        <v>212.58303326871601</v>
      </c>
      <c r="N704" s="4">
        <f t="shared" si="167"/>
        <v>286.46347246704801</v>
      </c>
      <c r="O704" s="3">
        <f t="shared" si="157"/>
        <v>10868721.918103013</v>
      </c>
      <c r="P704" s="2">
        <f t="shared" si="159"/>
        <v>9.477985613709956E-12</v>
      </c>
      <c r="Q704" s="2">
        <f t="shared" si="160"/>
        <v>3.8634980541207103E-11</v>
      </c>
      <c r="R704" s="6">
        <f t="shared" si="161"/>
        <v>212.58303326867406</v>
      </c>
      <c r="S704" s="2">
        <f t="shared" si="162"/>
        <v>3.041600933689976E-10</v>
      </c>
      <c r="T704" s="2">
        <f t="shared" si="158"/>
        <v>1.9733674166860144E-13</v>
      </c>
      <c r="U704" s="6">
        <f t="shared" si="163"/>
        <v>286.46347246726816</v>
      </c>
      <c r="V704" s="2">
        <f t="shared" si="155"/>
        <v>8.5541780041139512E-10</v>
      </c>
      <c r="W704" s="2">
        <f t="shared" si="156"/>
        <v>7.6852577172202605E-13</v>
      </c>
    </row>
    <row r="705" spans="1:23" x14ac:dyDescent="0.45">
      <c r="A705">
        <v>-67.837190000000007</v>
      </c>
      <c r="B705">
        <v>-47.37088</v>
      </c>
      <c r="C705">
        <v>-5.5324999999999998</v>
      </c>
      <c r="D705">
        <v>-50.833849999999998</v>
      </c>
      <c r="E705" s="10">
        <v>6920914.5089999996</v>
      </c>
      <c r="F705" s="10" t="s">
        <v>2018</v>
      </c>
      <c r="G705" s="10" t="s">
        <v>2019</v>
      </c>
      <c r="H705" s="10">
        <v>6920914.5095706005</v>
      </c>
      <c r="I705" s="10">
        <v>-3.8997736050221001</v>
      </c>
      <c r="J705" s="10">
        <v>-1.4812709973287901</v>
      </c>
      <c r="K705" s="4">
        <f t="shared" si="164"/>
        <v>356.10022777777777</v>
      </c>
      <c r="L705" s="4">
        <f t="shared" si="165"/>
        <v>358.51872777777777</v>
      </c>
      <c r="M705" s="4">
        <f t="shared" si="166"/>
        <v>356.10022639497788</v>
      </c>
      <c r="N705" s="4">
        <f t="shared" si="167"/>
        <v>358.51872900267119</v>
      </c>
      <c r="O705" s="3">
        <f t="shared" si="157"/>
        <v>6920914.4989771396</v>
      </c>
      <c r="P705" s="2">
        <f t="shared" si="159"/>
        <v>1.4481987904005035E-9</v>
      </c>
      <c r="Q705" s="2">
        <f t="shared" si="160"/>
        <v>1.5306446652563282E-9</v>
      </c>
      <c r="R705" s="6">
        <f t="shared" si="161"/>
        <v>356.1002263949951</v>
      </c>
      <c r="S705" s="2">
        <f t="shared" si="162"/>
        <v>3.883127734060702E-9</v>
      </c>
      <c r="T705" s="2">
        <f t="shared" si="158"/>
        <v>4.8367158002648591E-14</v>
      </c>
      <c r="U705" s="6">
        <f t="shared" si="163"/>
        <v>358.51872900267773</v>
      </c>
      <c r="V705" s="2">
        <f t="shared" si="155"/>
        <v>3.4165578144518166E-9</v>
      </c>
      <c r="W705" s="2">
        <f t="shared" si="156"/>
        <v>1.8233338010478714E-14</v>
      </c>
    </row>
    <row r="706" spans="1:23" x14ac:dyDescent="0.45">
      <c r="A706">
        <v>-43.765349999999998</v>
      </c>
      <c r="B706">
        <v>120.7183</v>
      </c>
      <c r="C706">
        <v>-13.83961</v>
      </c>
      <c r="D706">
        <v>139.33964</v>
      </c>
      <c r="E706" s="10">
        <v>3762439.1460000002</v>
      </c>
      <c r="F706" s="10" t="s">
        <v>2020</v>
      </c>
      <c r="G706" s="10" t="s">
        <v>2021</v>
      </c>
      <c r="H706" s="10">
        <v>3762439.14588576</v>
      </c>
      <c r="I706" s="10">
        <v>33.885840618494903</v>
      </c>
      <c r="J706" s="10">
        <v>24.5362078289292</v>
      </c>
      <c r="K706" s="4">
        <f t="shared" si="164"/>
        <v>33.885841666666664</v>
      </c>
      <c r="L706" s="4">
        <f t="shared" si="165"/>
        <v>24.53620833333332</v>
      </c>
      <c r="M706" s="4">
        <f t="shared" si="166"/>
        <v>33.88584061849491</v>
      </c>
      <c r="N706" s="4">
        <f t="shared" si="167"/>
        <v>24.536207828929207</v>
      </c>
      <c r="O706" s="3">
        <f t="shared" si="157"/>
        <v>3762439.1454005223</v>
      </c>
      <c r="P706" s="2">
        <f t="shared" si="159"/>
        <v>1.5933225296611267E-10</v>
      </c>
      <c r="Q706" s="2">
        <f t="shared" si="160"/>
        <v>1.289689132531926E-10</v>
      </c>
      <c r="R706" s="6">
        <f t="shared" si="161"/>
        <v>33.885840618573418</v>
      </c>
      <c r="S706" s="2">
        <f t="shared" si="162"/>
        <v>3.093012286016193E-8</v>
      </c>
      <c r="T706" s="2">
        <f t="shared" si="158"/>
        <v>2.3168339767048255E-12</v>
      </c>
      <c r="U706" s="6">
        <f t="shared" si="163"/>
        <v>24.536207828982526</v>
      </c>
      <c r="V706" s="2">
        <f t="shared" si="155"/>
        <v>2.0555368097851082E-8</v>
      </c>
      <c r="W706" s="2">
        <f t="shared" si="156"/>
        <v>2.1730793634936712E-12</v>
      </c>
    </row>
    <row r="707" spans="1:23" x14ac:dyDescent="0.45">
      <c r="A707">
        <v>-46.864579999999997</v>
      </c>
      <c r="B707">
        <v>-124.83391</v>
      </c>
      <c r="C707">
        <v>-45.47589</v>
      </c>
      <c r="D707">
        <v>-124.42449000000001</v>
      </c>
      <c r="E707" s="10">
        <v>157563.53899999999</v>
      </c>
      <c r="F707" s="10" t="s">
        <v>2022</v>
      </c>
      <c r="G707" s="10" t="s">
        <v>2023</v>
      </c>
      <c r="H707" s="10">
        <v>157563.53948582901</v>
      </c>
      <c r="I707" s="10">
        <v>11.7238519784151</v>
      </c>
      <c r="J707" s="10">
        <v>11.428473818809699</v>
      </c>
      <c r="K707" s="4">
        <f t="shared" si="164"/>
        <v>11.723852777777777</v>
      </c>
      <c r="L707" s="4">
        <f t="shared" si="165"/>
        <v>11.428474999999992</v>
      </c>
      <c r="M707" s="4">
        <f t="shared" si="166"/>
        <v>11.723851978415098</v>
      </c>
      <c r="N707" s="4">
        <f t="shared" si="167"/>
        <v>11.428473818809721</v>
      </c>
      <c r="O707" s="3">
        <f t="shared" si="157"/>
        <v>157563.53944400442</v>
      </c>
      <c r="P707" s="2">
        <f t="shared" si="159"/>
        <v>2.8179389177908273E-9</v>
      </c>
      <c r="Q707" s="2">
        <f t="shared" si="160"/>
        <v>2.6544587038923062E-10</v>
      </c>
      <c r="R707" s="6">
        <f t="shared" si="161"/>
        <v>11.723851978357709</v>
      </c>
      <c r="S707" s="2">
        <f t="shared" si="162"/>
        <v>6.8187487771591753E-8</v>
      </c>
      <c r="T707" s="2">
        <f t="shared" si="158"/>
        <v>4.8950430725467118E-12</v>
      </c>
      <c r="U707" s="6">
        <f t="shared" si="163"/>
        <v>11.428473818753845</v>
      </c>
      <c r="V707" s="2">
        <f t="shared" si="155"/>
        <v>1.0335990989447629E-7</v>
      </c>
      <c r="W707" s="2">
        <f t="shared" si="156"/>
        <v>4.8891308908956587E-12</v>
      </c>
    </row>
    <row r="708" spans="1:23" x14ac:dyDescent="0.45">
      <c r="A708">
        <v>-51.325029999999998</v>
      </c>
      <c r="B708">
        <v>-26.173100000000002</v>
      </c>
      <c r="C708">
        <v>-43.870429999999999</v>
      </c>
      <c r="D708">
        <v>-21.44997</v>
      </c>
      <c r="E708" s="10">
        <v>901247.91</v>
      </c>
      <c r="F708" s="10" t="s">
        <v>2024</v>
      </c>
      <c r="G708" s="10" t="s">
        <v>2025</v>
      </c>
      <c r="H708" s="10">
        <v>901247.91021313099</v>
      </c>
      <c r="I708" s="10">
        <v>24.9717758323936</v>
      </c>
      <c r="J708" s="10">
        <v>21.475775290135601</v>
      </c>
      <c r="K708" s="4">
        <f t="shared" si="164"/>
        <v>24.971775000000001</v>
      </c>
      <c r="L708" s="4">
        <f t="shared" si="165"/>
        <v>21.475774999999999</v>
      </c>
      <c r="M708" s="4">
        <f t="shared" si="166"/>
        <v>24.971775832393575</v>
      </c>
      <c r="N708" s="4">
        <f t="shared" si="167"/>
        <v>21.47577529013563</v>
      </c>
      <c r="O708" s="3">
        <f t="shared" si="157"/>
        <v>901247.91031400173</v>
      </c>
      <c r="P708" s="2">
        <f t="shared" si="159"/>
        <v>3.4840767892486677E-10</v>
      </c>
      <c r="Q708" s="2">
        <f t="shared" si="160"/>
        <v>1.1192340310170078E-10</v>
      </c>
      <c r="R708" s="6">
        <f t="shared" si="161"/>
        <v>24.971775832308644</v>
      </c>
      <c r="S708" s="2">
        <f t="shared" si="162"/>
        <v>3.3329975275657201E-8</v>
      </c>
      <c r="T708" s="2">
        <f t="shared" si="158"/>
        <v>3.4010866417930687E-12</v>
      </c>
      <c r="U708" s="6">
        <f t="shared" si="163"/>
        <v>21.475775290063922</v>
      </c>
      <c r="V708" s="2">
        <f t="shared" si="155"/>
        <v>1.350656370272712E-8</v>
      </c>
      <c r="W708" s="2">
        <f t="shared" si="156"/>
        <v>3.3390167257824965E-12</v>
      </c>
    </row>
    <row r="709" spans="1:23" x14ac:dyDescent="0.45">
      <c r="A709">
        <v>17.041810000000002</v>
      </c>
      <c r="B709">
        <v>-23.13026</v>
      </c>
      <c r="C709">
        <v>17.16122</v>
      </c>
      <c r="D709">
        <v>-31.748380000000001</v>
      </c>
      <c r="E709" s="10">
        <v>917232.23899999994</v>
      </c>
      <c r="F709" s="10" t="s">
        <v>2026</v>
      </c>
      <c r="G709" s="10" t="s">
        <v>2027</v>
      </c>
      <c r="H709" s="10">
        <v>917232.23891029903</v>
      </c>
      <c r="I709" s="10">
        <v>-87.906760666756199</v>
      </c>
      <c r="J709" s="10">
        <v>-90.445455160614898</v>
      </c>
      <c r="K709" s="4">
        <f t="shared" si="164"/>
        <v>272.09323888888889</v>
      </c>
      <c r="L709" s="4">
        <f t="shared" si="165"/>
        <v>269.55454444444445</v>
      </c>
      <c r="M709" s="4">
        <f t="shared" si="166"/>
        <v>272.09323933324379</v>
      </c>
      <c r="N709" s="4">
        <f t="shared" si="167"/>
        <v>269.55454483938513</v>
      </c>
      <c r="O709" s="3">
        <f t="shared" si="157"/>
        <v>917232.23890773638</v>
      </c>
      <c r="P709" s="2">
        <f t="shared" si="159"/>
        <v>1.0058910100092466E-10</v>
      </c>
      <c r="Q709" s="2">
        <f t="shared" si="160"/>
        <v>2.7938949054176573E-12</v>
      </c>
      <c r="R709" s="6">
        <f t="shared" si="161"/>
        <v>272.09323933324561</v>
      </c>
      <c r="S709" s="2">
        <f t="shared" si="162"/>
        <v>1.6331045813331571E-9</v>
      </c>
      <c r="T709" s="2">
        <f t="shared" si="158"/>
        <v>6.6851694220820578E-15</v>
      </c>
      <c r="U709" s="6">
        <f t="shared" si="163"/>
        <v>269.55454483937672</v>
      </c>
      <c r="V709" s="2">
        <f t="shared" si="155"/>
        <v>1.465129339920466E-9</v>
      </c>
      <c r="W709" s="2">
        <f t="shared" si="156"/>
        <v>3.121010627519708E-14</v>
      </c>
    </row>
    <row r="710" spans="1:23" x14ac:dyDescent="0.45">
      <c r="A710">
        <v>15.507440000000001</v>
      </c>
      <c r="B710">
        <v>-166.73916</v>
      </c>
      <c r="C710">
        <v>9.9468399999999892</v>
      </c>
      <c r="D710">
        <v>-157.50865999999999</v>
      </c>
      <c r="E710" s="10">
        <v>1175722.2879999999</v>
      </c>
      <c r="F710" s="10" t="s">
        <v>2028</v>
      </c>
      <c r="G710" s="10" t="s">
        <v>2029</v>
      </c>
      <c r="H710" s="10">
        <v>1175722.28779217</v>
      </c>
      <c r="I710" s="10">
        <v>120.450094224024</v>
      </c>
      <c r="J710" s="10">
        <v>122.490282766329</v>
      </c>
      <c r="K710" s="4">
        <f t="shared" si="164"/>
        <v>120.45009444444445</v>
      </c>
      <c r="L710" s="4">
        <f t="shared" si="165"/>
        <v>122.49028333333331</v>
      </c>
      <c r="M710" s="4">
        <f t="shared" si="166"/>
        <v>120.45009422402399</v>
      </c>
      <c r="N710" s="4">
        <f t="shared" si="167"/>
        <v>122.49028276632902</v>
      </c>
      <c r="O710" s="3">
        <f t="shared" si="157"/>
        <v>1175722.2877735144</v>
      </c>
      <c r="P710" s="2">
        <f t="shared" si="159"/>
        <v>1.9263523815499395E-10</v>
      </c>
      <c r="Q710" s="2">
        <f t="shared" si="160"/>
        <v>1.5867314515061747E-11</v>
      </c>
      <c r="R710" s="6">
        <f t="shared" si="161"/>
        <v>120.45009422398481</v>
      </c>
      <c r="S710" s="2">
        <f t="shared" si="162"/>
        <v>1.8302986053582437E-9</v>
      </c>
      <c r="T710" s="2">
        <f t="shared" si="158"/>
        <v>3.252743528530801E-13</v>
      </c>
      <c r="U710" s="6">
        <f t="shared" si="163"/>
        <v>122.49028276629267</v>
      </c>
      <c r="V710" s="2">
        <f t="shared" si="155"/>
        <v>4.6292704069424671E-9</v>
      </c>
      <c r="W710" s="2">
        <f t="shared" si="156"/>
        <v>2.9676938888967313E-13</v>
      </c>
    </row>
    <row r="711" spans="1:23" x14ac:dyDescent="0.4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10">
        <v>435337.99300000002</v>
      </c>
      <c r="F711" s="10" t="s">
        <v>2030</v>
      </c>
      <c r="G711" s="10" t="s">
        <v>2031</v>
      </c>
      <c r="H711" s="10">
        <v>435337.99301334698</v>
      </c>
      <c r="I711" s="10">
        <v>-32.489816550976101</v>
      </c>
      <c r="J711" s="10">
        <v>-30.1252245078581</v>
      </c>
      <c r="K711" s="4">
        <f t="shared" si="164"/>
        <v>327.51018333333332</v>
      </c>
      <c r="L711" s="4">
        <f t="shared" si="165"/>
        <v>329.874775</v>
      </c>
      <c r="M711" s="4">
        <f t="shared" si="166"/>
        <v>327.51018344902388</v>
      </c>
      <c r="N711" s="4">
        <f t="shared" si="167"/>
        <v>329.87477549214191</v>
      </c>
      <c r="O711" s="3">
        <f t="shared" si="157"/>
        <v>435337.99312613846</v>
      </c>
      <c r="P711" s="2">
        <f t="shared" si="159"/>
        <v>2.8974830579797851E-10</v>
      </c>
      <c r="Q711" s="2">
        <f t="shared" si="160"/>
        <v>2.5908946448877253E-10</v>
      </c>
      <c r="R711" s="6">
        <f t="shared" si="161"/>
        <v>327.5101834490959</v>
      </c>
      <c r="S711" s="2">
        <f t="shared" si="162"/>
        <v>3.5346256311772543E-10</v>
      </c>
      <c r="T711" s="2">
        <f t="shared" si="158"/>
        <v>2.1990342693528362E-13</v>
      </c>
      <c r="U711" s="6">
        <f t="shared" si="163"/>
        <v>329.87477549220739</v>
      </c>
      <c r="V711" s="2">
        <f t="shared" si="155"/>
        <v>1.4921037575225691E-9</v>
      </c>
      <c r="W711" s="2">
        <f t="shared" si="156"/>
        <v>1.9851053609647929E-13</v>
      </c>
    </row>
    <row r="712" spans="1:23" x14ac:dyDescent="0.45">
      <c r="A712">
        <v>-12.569459999999999</v>
      </c>
      <c r="B712">
        <v>153.40758</v>
      </c>
      <c r="C712">
        <v>-21.151199999999999</v>
      </c>
      <c r="D712">
        <v>155.96993000000001</v>
      </c>
      <c r="E712" s="10">
        <v>988119.73800000001</v>
      </c>
      <c r="F712" s="10" t="s">
        <v>2032</v>
      </c>
      <c r="G712" s="10" t="s">
        <v>2033</v>
      </c>
      <c r="H712" s="10">
        <v>988119.73769886605</v>
      </c>
      <c r="I712" s="10">
        <v>164.31579719067</v>
      </c>
      <c r="J712" s="10">
        <v>163.57040219639799</v>
      </c>
      <c r="K712" s="4">
        <f t="shared" si="164"/>
        <v>164.31579722222222</v>
      </c>
      <c r="L712" s="4">
        <f t="shared" si="165"/>
        <v>163.57040277777776</v>
      </c>
      <c r="M712" s="4">
        <f t="shared" si="166"/>
        <v>164.31579719066997</v>
      </c>
      <c r="N712" s="4">
        <f t="shared" si="167"/>
        <v>163.57040219639794</v>
      </c>
      <c r="O712" s="3">
        <f t="shared" si="157"/>
        <v>988119.73778980144</v>
      </c>
      <c r="P712" s="2">
        <f t="shared" si="159"/>
        <v>2.1272581215065142E-10</v>
      </c>
      <c r="Q712" s="2">
        <f t="shared" si="160"/>
        <v>9.2028709127015472E-11</v>
      </c>
      <c r="R712" s="6">
        <f t="shared" si="161"/>
        <v>164.31579719064922</v>
      </c>
      <c r="S712" s="2">
        <f t="shared" si="162"/>
        <v>1.9214826218144971E-10</v>
      </c>
      <c r="T712" s="2">
        <f t="shared" si="158"/>
        <v>1.2626812661304491E-13</v>
      </c>
      <c r="U712" s="6">
        <f t="shared" si="163"/>
        <v>163.57040219637611</v>
      </c>
      <c r="V712" s="2">
        <f t="shared" si="155"/>
        <v>3.5544428607233859E-9</v>
      </c>
      <c r="W712" s="2">
        <f t="shared" si="156"/>
        <v>1.3344634817454132E-13</v>
      </c>
    </row>
    <row r="713" spans="1:23" x14ac:dyDescent="0.45">
      <c r="A713">
        <v>70.036860000000004</v>
      </c>
      <c r="B713">
        <v>88.461129999999997</v>
      </c>
      <c r="C713">
        <v>79.338890000000006</v>
      </c>
      <c r="D713">
        <v>96.5669800000001</v>
      </c>
      <c r="E713" s="10">
        <v>1062926.9680000001</v>
      </c>
      <c r="F713" s="10" t="s">
        <v>2034</v>
      </c>
      <c r="G713" s="10" t="s">
        <v>2035</v>
      </c>
      <c r="H713" s="10">
        <v>1062926.9684588499</v>
      </c>
      <c r="I713" s="10">
        <v>9.0768933419801296</v>
      </c>
      <c r="J713" s="10">
        <v>16.921666578628901</v>
      </c>
      <c r="K713" s="4">
        <f t="shared" si="164"/>
        <v>9.076894444444445</v>
      </c>
      <c r="L713" s="4">
        <f t="shared" si="165"/>
        <v>16.921666666666624</v>
      </c>
      <c r="M713" s="4">
        <f t="shared" si="166"/>
        <v>9.0768933419801101</v>
      </c>
      <c r="N713" s="4">
        <f t="shared" si="167"/>
        <v>16.921666578628901</v>
      </c>
      <c r="O713" s="3">
        <f t="shared" si="157"/>
        <v>1062926.9314105944</v>
      </c>
      <c r="P713" s="2">
        <f t="shared" si="159"/>
        <v>3.4423254686138839E-8</v>
      </c>
      <c r="Q713" s="2">
        <f t="shared" si="160"/>
        <v>3.485493985797885E-8</v>
      </c>
      <c r="R713" s="6">
        <f t="shared" si="161"/>
        <v>9.0768933419822897</v>
      </c>
      <c r="S713" s="2">
        <f t="shared" si="162"/>
        <v>1.2145807821080963E-7</v>
      </c>
      <c r="T713" s="2">
        <f t="shared" si="158"/>
        <v>2.4012509124279663E-13</v>
      </c>
      <c r="U713" s="6">
        <f t="shared" si="163"/>
        <v>16.921666578632927</v>
      </c>
      <c r="V713" s="2">
        <f t="shared" si="155"/>
        <v>5.2024247610540097E-9</v>
      </c>
      <c r="W713" s="2">
        <f t="shared" si="156"/>
        <v>2.3787400486690809E-13</v>
      </c>
    </row>
    <row r="714" spans="1:23" x14ac:dyDescent="0.45">
      <c r="A714">
        <v>-25.377770000000002</v>
      </c>
      <c r="B714">
        <v>162.96798999999999</v>
      </c>
      <c r="C714">
        <v>-18.867429999999999</v>
      </c>
      <c r="D714">
        <v>160.58103</v>
      </c>
      <c r="E714" s="10">
        <v>761747.22400000005</v>
      </c>
      <c r="F714" s="10" t="s">
        <v>2036</v>
      </c>
      <c r="G714" s="10" t="s">
        <v>2037</v>
      </c>
      <c r="H714" s="10">
        <v>761747.22448313504</v>
      </c>
      <c r="I714" s="10">
        <v>-19.322819115863599</v>
      </c>
      <c r="J714" s="10">
        <v>-18.422343978554999</v>
      </c>
      <c r="K714" s="4">
        <f t="shared" si="164"/>
        <v>340.67718055555554</v>
      </c>
      <c r="L714" s="4">
        <f t="shared" si="165"/>
        <v>341.57765555555557</v>
      </c>
      <c r="M714" s="4">
        <f t="shared" si="166"/>
        <v>340.67718088413642</v>
      </c>
      <c r="N714" s="4">
        <f t="shared" si="167"/>
        <v>341.57765602144502</v>
      </c>
      <c r="O714" s="3">
        <f t="shared" si="157"/>
        <v>761747.22427733836</v>
      </c>
      <c r="P714" s="2">
        <f t="shared" si="159"/>
        <v>3.6408182127369285E-10</v>
      </c>
      <c r="Q714" s="2">
        <f t="shared" si="160"/>
        <v>2.7016400060906969E-10</v>
      </c>
      <c r="R714" s="6">
        <f t="shared" si="161"/>
        <v>340.67718088408844</v>
      </c>
      <c r="S714" s="2">
        <f t="shared" si="162"/>
        <v>9.6435254405123619E-10</v>
      </c>
      <c r="T714" s="2">
        <f t="shared" si="158"/>
        <v>1.40824945756606E-13</v>
      </c>
      <c r="U714" s="6">
        <f t="shared" si="163"/>
        <v>341.57765602139938</v>
      </c>
      <c r="V714" s="2">
        <f t="shared" si="155"/>
        <v>1.3638005998022157E-9</v>
      </c>
      <c r="W714" s="2">
        <f t="shared" si="156"/>
        <v>1.3363071190570826E-13</v>
      </c>
    </row>
    <row r="715" spans="1:23" x14ac:dyDescent="0.45">
      <c r="A715">
        <v>-24.747730000000001</v>
      </c>
      <c r="B715">
        <v>121.9104</v>
      </c>
      <c r="C715">
        <v>-16.02477</v>
      </c>
      <c r="D715">
        <v>125.33676</v>
      </c>
      <c r="E715" s="10">
        <v>1029662.387</v>
      </c>
      <c r="F715" s="10" t="s">
        <v>2038</v>
      </c>
      <c r="G715" s="10" t="s">
        <v>2039</v>
      </c>
      <c r="H715" s="10">
        <v>1029662.38690791</v>
      </c>
      <c r="I715" s="10">
        <v>20.945191855311499</v>
      </c>
      <c r="J715" s="10">
        <v>19.7478340997788</v>
      </c>
      <c r="K715" s="4">
        <f t="shared" si="164"/>
        <v>20.945191666666666</v>
      </c>
      <c r="L715" s="4">
        <f t="shared" si="165"/>
        <v>19.747833333333347</v>
      </c>
      <c r="M715" s="4">
        <f t="shared" si="166"/>
        <v>20.945191855311521</v>
      </c>
      <c r="N715" s="4">
        <f t="shared" si="167"/>
        <v>19.7478340997788</v>
      </c>
      <c r="O715" s="3">
        <f t="shared" si="157"/>
        <v>1029662.3867143227</v>
      </c>
      <c r="P715" s="2">
        <f t="shared" si="159"/>
        <v>2.7744750724966012E-10</v>
      </c>
      <c r="Q715" s="2">
        <f t="shared" si="160"/>
        <v>1.8801043328192139E-10</v>
      </c>
      <c r="R715" s="6">
        <f t="shared" si="161"/>
        <v>20.945191855354881</v>
      </c>
      <c r="S715" s="2">
        <f t="shared" si="162"/>
        <v>9.0086650090155397E-9</v>
      </c>
      <c r="T715" s="2">
        <f t="shared" si="158"/>
        <v>2.0702064105831607E-12</v>
      </c>
      <c r="U715" s="6">
        <f t="shared" si="163"/>
        <v>19.747834099819464</v>
      </c>
      <c r="V715" s="2">
        <f t="shared" si="155"/>
        <v>3.8813681698901033E-8</v>
      </c>
      <c r="W715" s="2">
        <f t="shared" si="156"/>
        <v>2.0591807973516461E-12</v>
      </c>
    </row>
    <row r="716" spans="1:23" x14ac:dyDescent="0.4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10">
        <v>1029995.487</v>
      </c>
      <c r="F716" s="10" t="s">
        <v>2040</v>
      </c>
      <c r="G716" s="10" t="s">
        <v>2041</v>
      </c>
      <c r="H716" s="10">
        <v>1029995.48665897</v>
      </c>
      <c r="I716" s="10">
        <v>-17.746221493736801</v>
      </c>
      <c r="J716" s="10">
        <v>-19.718412444725701</v>
      </c>
      <c r="K716" s="4">
        <f t="shared" si="164"/>
        <v>342.25377777777777</v>
      </c>
      <c r="L716" s="4">
        <f t="shared" si="165"/>
        <v>340.2815888888889</v>
      </c>
      <c r="M716" s="4">
        <f t="shared" si="166"/>
        <v>342.25377850626319</v>
      </c>
      <c r="N716" s="4">
        <f t="shared" si="167"/>
        <v>340.28158755527431</v>
      </c>
      <c r="O716" s="3">
        <f t="shared" si="157"/>
        <v>1029995.4863085371</v>
      </c>
      <c r="P716" s="2">
        <f t="shared" si="159"/>
        <v>6.7132613586395297E-10</v>
      </c>
      <c r="Q716" s="2">
        <f t="shared" si="160"/>
        <v>3.4022764239371827E-10</v>
      </c>
      <c r="R716" s="6">
        <f t="shared" si="161"/>
        <v>342.25377850620907</v>
      </c>
      <c r="S716" s="2">
        <f t="shared" si="162"/>
        <v>2.1283367785209409E-9</v>
      </c>
      <c r="T716" s="2">
        <f t="shared" si="158"/>
        <v>1.5811347647254371E-13</v>
      </c>
      <c r="U716" s="6">
        <f t="shared" si="163"/>
        <v>340.28158755521366</v>
      </c>
      <c r="V716" s="2">
        <f t="shared" si="155"/>
        <v>3.9193282466037823E-9</v>
      </c>
      <c r="W716" s="2">
        <f t="shared" si="156"/>
        <v>1.7824040483715574E-13</v>
      </c>
    </row>
    <row r="717" spans="1:23" x14ac:dyDescent="0.45">
      <c r="A717">
        <v>-22.446539999999999</v>
      </c>
      <c r="B717">
        <v>123.52539</v>
      </c>
      <c r="C717">
        <v>-28.32085</v>
      </c>
      <c r="D717">
        <v>123.92205</v>
      </c>
      <c r="E717" s="10">
        <v>651973.02</v>
      </c>
      <c r="F717" s="10" t="s">
        <v>2042</v>
      </c>
      <c r="G717" s="10" t="s">
        <v>2043</v>
      </c>
      <c r="H717" s="10">
        <v>651973.01978631597</v>
      </c>
      <c r="I717" s="10">
        <v>176.57344005792299</v>
      </c>
      <c r="J717" s="10">
        <v>176.40317558302999</v>
      </c>
      <c r="K717" s="4">
        <f t="shared" si="164"/>
        <v>176.57343888888889</v>
      </c>
      <c r="L717" s="4">
        <f t="shared" si="165"/>
        <v>176.40317499999992</v>
      </c>
      <c r="M717" s="4">
        <f t="shared" si="166"/>
        <v>176.57344005792299</v>
      </c>
      <c r="N717" s="4">
        <f t="shared" si="167"/>
        <v>176.40317558303002</v>
      </c>
      <c r="O717" s="3">
        <f t="shared" si="157"/>
        <v>651973.01949781331</v>
      </c>
      <c r="P717" s="2">
        <f t="shared" si="159"/>
        <v>7.7025689030239602E-10</v>
      </c>
      <c r="Q717" s="2">
        <f t="shared" si="160"/>
        <v>4.4250705732758891E-10</v>
      </c>
      <c r="R717" s="6">
        <f t="shared" si="161"/>
        <v>176.57344005810251</v>
      </c>
      <c r="S717" s="2">
        <f t="shared" si="162"/>
        <v>6.6216845847582212E-9</v>
      </c>
      <c r="T717" s="2">
        <f t="shared" si="158"/>
        <v>1.0166394034320502E-12</v>
      </c>
      <c r="U717" s="6">
        <f t="shared" si="163"/>
        <v>176.40317558321831</v>
      </c>
      <c r="V717" s="2">
        <f t="shared" ref="V717:V780" si="168">ABS((L717-U717)/L717)</f>
        <v>3.3061672187454788E-9</v>
      </c>
      <c r="W717" s="2">
        <f t="shared" ref="W717:W780" si="169">ABS((N717-U717)/N717)</f>
        <v>1.0674060960302827E-12</v>
      </c>
    </row>
    <row r="718" spans="1:23" x14ac:dyDescent="0.4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10">
        <v>855080.93400000001</v>
      </c>
      <c r="F718" s="10" t="s">
        <v>2044</v>
      </c>
      <c r="G718" s="10" t="s">
        <v>2045</v>
      </c>
      <c r="H718" s="10">
        <v>855080.934465489</v>
      </c>
      <c r="I718" s="10">
        <v>37.4662324576773</v>
      </c>
      <c r="J718" s="10">
        <v>34.788593612891901</v>
      </c>
      <c r="K718" s="4">
        <f t="shared" si="164"/>
        <v>37.466233333333335</v>
      </c>
      <c r="L718" s="4">
        <f t="shared" si="165"/>
        <v>34.78859444444447</v>
      </c>
      <c r="M718" s="4">
        <f t="shared" si="166"/>
        <v>37.466232457677279</v>
      </c>
      <c r="N718" s="4">
        <f t="shared" si="167"/>
        <v>34.788593612891873</v>
      </c>
      <c r="O718" s="3">
        <f t="shared" si="157"/>
        <v>855080.93432829529</v>
      </c>
      <c r="P718" s="2">
        <f t="shared" si="159"/>
        <v>3.8393474703322073E-10</v>
      </c>
      <c r="Q718" s="2">
        <f t="shared" si="160"/>
        <v>1.6044529238507118E-10</v>
      </c>
      <c r="R718" s="6">
        <f t="shared" si="161"/>
        <v>37.466232457770822</v>
      </c>
      <c r="S718" s="2">
        <f t="shared" si="162"/>
        <v>2.3369376509473592E-8</v>
      </c>
      <c r="T718" s="2">
        <f t="shared" si="158"/>
        <v>2.496726919860049E-12</v>
      </c>
      <c r="U718" s="6">
        <f t="shared" si="163"/>
        <v>34.788593612976712</v>
      </c>
      <c r="V718" s="2">
        <f t="shared" si="168"/>
        <v>2.3900585002704732E-8</v>
      </c>
      <c r="W718" s="2">
        <f t="shared" si="169"/>
        <v>2.4386959586177867E-12</v>
      </c>
    </row>
    <row r="719" spans="1:23" x14ac:dyDescent="0.45">
      <c r="A719">
        <v>-20.674800000000001</v>
      </c>
      <c r="B719">
        <v>105.92502</v>
      </c>
      <c r="C719">
        <v>-17.067240000000002</v>
      </c>
      <c r="D719">
        <v>115.33927</v>
      </c>
      <c r="E719" s="10">
        <v>1069049.1969999999</v>
      </c>
      <c r="F719" s="10" t="s">
        <v>2046</v>
      </c>
      <c r="G719" s="10" t="s">
        <v>2047</v>
      </c>
      <c r="H719" s="10">
        <v>1069049.1970041599</v>
      </c>
      <c r="I719" s="10">
        <v>69.647649460764796</v>
      </c>
      <c r="J719" s="10">
        <v>66.595012320961303</v>
      </c>
      <c r="K719" s="4">
        <f t="shared" si="164"/>
        <v>69.647649999999999</v>
      </c>
      <c r="L719" s="4">
        <f t="shared" si="165"/>
        <v>66.595011111111148</v>
      </c>
      <c r="M719" s="4">
        <f t="shared" si="166"/>
        <v>69.647649460764796</v>
      </c>
      <c r="N719" s="4">
        <f t="shared" si="167"/>
        <v>66.595012320961303</v>
      </c>
      <c r="O719" s="3">
        <f t="shared" si="157"/>
        <v>1069049.197002166</v>
      </c>
      <c r="P719" s="2">
        <f t="shared" si="159"/>
        <v>2.026121420782424E-12</v>
      </c>
      <c r="Q719" s="2">
        <f t="shared" si="160"/>
        <v>1.8651729385696179E-12</v>
      </c>
      <c r="R719" s="6">
        <f t="shared" si="161"/>
        <v>69.64764946084513</v>
      </c>
      <c r="S719" s="2">
        <f t="shared" si="162"/>
        <v>7.7411781776767546E-9</v>
      </c>
      <c r="T719" s="2">
        <f t="shared" si="158"/>
        <v>1.1534339252940925E-12</v>
      </c>
      <c r="U719" s="6">
        <f t="shared" si="163"/>
        <v>66.595012321030197</v>
      </c>
      <c r="V719" s="2">
        <f t="shared" si="168"/>
        <v>1.8168313636696877E-8</v>
      </c>
      <c r="W719" s="2">
        <f t="shared" si="169"/>
        <v>1.0345252783685472E-12</v>
      </c>
    </row>
    <row r="720" spans="1:23" x14ac:dyDescent="0.4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10">
        <v>978958.29799999995</v>
      </c>
      <c r="F720" s="10" t="s">
        <v>2048</v>
      </c>
      <c r="G720" s="10" t="s">
        <v>2049</v>
      </c>
      <c r="H720" s="10">
        <v>978958.29756683204</v>
      </c>
      <c r="I720" s="10">
        <v>-139.84755464080999</v>
      </c>
      <c r="J720" s="10">
        <v>-147.314851762442</v>
      </c>
      <c r="K720" s="4">
        <f t="shared" si="164"/>
        <v>220.15244444444446</v>
      </c>
      <c r="L720" s="4">
        <f t="shared" si="165"/>
        <v>212.68514722222221</v>
      </c>
      <c r="M720" s="4">
        <f t="shared" si="166"/>
        <v>220.15244535919001</v>
      </c>
      <c r="N720" s="4">
        <f t="shared" si="167"/>
        <v>212.685148237558</v>
      </c>
      <c r="O720" s="3">
        <f t="shared" si="157"/>
        <v>978958.29790679191</v>
      </c>
      <c r="P720" s="2">
        <f t="shared" si="159"/>
        <v>9.5211454896986009E-11</v>
      </c>
      <c r="Q720" s="2">
        <f t="shared" si="160"/>
        <v>3.4726695238152039E-10</v>
      </c>
      <c r="R720" s="6">
        <f t="shared" si="161"/>
        <v>220.15244535917867</v>
      </c>
      <c r="S720" s="2">
        <f t="shared" si="162"/>
        <v>4.1550036738999157E-9</v>
      </c>
      <c r="T720" s="2">
        <f t="shared" si="158"/>
        <v>5.1510952077906652E-14</v>
      </c>
      <c r="U720" s="6">
        <f t="shared" si="163"/>
        <v>212.68514823754879</v>
      </c>
      <c r="V720" s="2">
        <f t="shared" si="168"/>
        <v>4.7738480475789389E-9</v>
      </c>
      <c r="W720" s="2">
        <f t="shared" si="169"/>
        <v>4.3297023472298801E-14</v>
      </c>
    </row>
    <row r="721" spans="1:23" x14ac:dyDescent="0.45">
      <c r="A721">
        <v>11.13489</v>
      </c>
      <c r="B721">
        <v>69.087900000000005</v>
      </c>
      <c r="C721">
        <v>20.037389999999998</v>
      </c>
      <c r="D721">
        <v>78.127560000000003</v>
      </c>
      <c r="E721" s="10">
        <v>1381289.97</v>
      </c>
      <c r="F721" s="10" t="s">
        <v>2050</v>
      </c>
      <c r="G721" s="10" t="s">
        <v>2051</v>
      </c>
      <c r="H721" s="10">
        <v>1381289.96991873</v>
      </c>
      <c r="I721" s="10">
        <v>43.410696060606597</v>
      </c>
      <c r="J721" s="10">
        <v>45.851638337458503</v>
      </c>
      <c r="K721" s="4">
        <f t="shared" si="164"/>
        <v>43.410697222222225</v>
      </c>
      <c r="L721" s="4">
        <f t="shared" si="165"/>
        <v>45.851638888888886</v>
      </c>
      <c r="M721" s="4">
        <f t="shared" si="166"/>
        <v>43.410696060606597</v>
      </c>
      <c r="N721" s="4">
        <f t="shared" si="167"/>
        <v>45.851638337458496</v>
      </c>
      <c r="O721" s="3">
        <f t="shared" si="157"/>
        <v>1381289.9698597535</v>
      </c>
      <c r="P721" s="2">
        <f t="shared" si="159"/>
        <v>1.0153296742427152E-10</v>
      </c>
      <c r="Q721" s="2">
        <f t="shared" si="160"/>
        <v>4.2696659632070189E-11</v>
      </c>
      <c r="R721" s="6">
        <f t="shared" si="161"/>
        <v>43.410696060650636</v>
      </c>
      <c r="S721" s="2">
        <f t="shared" si="162"/>
        <v>2.675772709179248E-8</v>
      </c>
      <c r="T721" s="2">
        <f t="shared" si="158"/>
        <v>1.0144835895035318E-12</v>
      </c>
      <c r="U721" s="6">
        <f t="shared" si="163"/>
        <v>45.851638337506301</v>
      </c>
      <c r="V721" s="2">
        <f t="shared" si="168"/>
        <v>1.2025362612914681E-8</v>
      </c>
      <c r="W721" s="2">
        <f t="shared" si="169"/>
        <v>1.0426086612238889E-12</v>
      </c>
    </row>
    <row r="722" spans="1:23" x14ac:dyDescent="0.4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10">
        <v>883720.91</v>
      </c>
      <c r="F722" s="10" t="s">
        <v>2052</v>
      </c>
      <c r="G722" s="10" t="s">
        <v>2053</v>
      </c>
      <c r="H722" s="10">
        <v>883720.90995340503</v>
      </c>
      <c r="I722" s="10">
        <v>177.32593825208099</v>
      </c>
      <c r="J722" s="10">
        <v>177.37910794724201</v>
      </c>
      <c r="K722" s="4">
        <f t="shared" si="164"/>
        <v>177.32593888888889</v>
      </c>
      <c r="L722" s="4">
        <f t="shared" si="165"/>
        <v>177.37910833333331</v>
      </c>
      <c r="M722" s="4">
        <f t="shared" si="166"/>
        <v>177.32593825208096</v>
      </c>
      <c r="N722" s="4">
        <f t="shared" si="167"/>
        <v>177.37910794724201</v>
      </c>
      <c r="O722" s="3">
        <f t="shared" si="157"/>
        <v>883720.91018677095</v>
      </c>
      <c r="P722" s="2">
        <f t="shared" si="159"/>
        <v>2.1134604767136592E-10</v>
      </c>
      <c r="Q722" s="2">
        <f t="shared" si="160"/>
        <v>2.6407196964020496E-10</v>
      </c>
      <c r="R722" s="6">
        <f t="shared" si="161"/>
        <v>177.32593825239223</v>
      </c>
      <c r="S722" s="2">
        <f t="shared" si="162"/>
        <v>3.589416500085319E-9</v>
      </c>
      <c r="T722" s="2">
        <f t="shared" si="158"/>
        <v>1.7553808808234618E-12</v>
      </c>
      <c r="U722" s="6">
        <f t="shared" si="163"/>
        <v>177.37910794754683</v>
      </c>
      <c r="V722" s="2">
        <f t="shared" si="168"/>
        <v>2.1749262466331442E-9</v>
      </c>
      <c r="W722" s="2">
        <f t="shared" si="169"/>
        <v>1.7184821660719291E-12</v>
      </c>
    </row>
    <row r="723" spans="1:23" x14ac:dyDescent="0.4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10">
        <v>829495.27800000005</v>
      </c>
      <c r="F723" s="10" t="s">
        <v>2054</v>
      </c>
      <c r="G723" s="10" t="s">
        <v>2055</v>
      </c>
      <c r="H723" s="10">
        <v>829495.27785864705</v>
      </c>
      <c r="I723" s="10">
        <v>59.111134138473901</v>
      </c>
      <c r="J723" s="10">
        <v>54.517860769829099</v>
      </c>
      <c r="K723" s="4">
        <f t="shared" si="164"/>
        <v>59.111133333333335</v>
      </c>
      <c r="L723" s="4">
        <f t="shared" si="165"/>
        <v>54.517861111111074</v>
      </c>
      <c r="M723" s="4">
        <f t="shared" si="166"/>
        <v>59.111134138473915</v>
      </c>
      <c r="N723" s="4">
        <f t="shared" si="167"/>
        <v>54.517860769829099</v>
      </c>
      <c r="O723" s="3">
        <f t="shared" si="157"/>
        <v>829495.27790506906</v>
      </c>
      <c r="P723" s="2">
        <f t="shared" si="159"/>
        <v>1.1444428089811961E-10</v>
      </c>
      <c r="Q723" s="2">
        <f t="shared" si="160"/>
        <v>5.5964160136259243E-11</v>
      </c>
      <c r="R723" s="6">
        <f t="shared" si="161"/>
        <v>59.111134138599297</v>
      </c>
      <c r="S723" s="2">
        <f t="shared" si="162"/>
        <v>1.3622915294397916E-8</v>
      </c>
      <c r="T723" s="2">
        <f t="shared" si="158"/>
        <v>2.1211295127328493E-12</v>
      </c>
      <c r="U723" s="6">
        <f t="shared" si="163"/>
        <v>54.517860769934266</v>
      </c>
      <c r="V723" s="2">
        <f t="shared" si="168"/>
        <v>6.2580739732079476E-9</v>
      </c>
      <c r="W723" s="2">
        <f t="shared" si="169"/>
        <v>1.9290454327227282E-12</v>
      </c>
    </row>
    <row r="724" spans="1:23" x14ac:dyDescent="0.45">
      <c r="A724">
        <v>15.40639</v>
      </c>
      <c r="B724">
        <v>164.11287999999999</v>
      </c>
      <c r="C724">
        <v>13.30926</v>
      </c>
      <c r="D724">
        <v>162.2586</v>
      </c>
      <c r="E724" s="10">
        <v>306329.78700000001</v>
      </c>
      <c r="F724" s="10" t="s">
        <v>2056</v>
      </c>
      <c r="G724" s="10" t="s">
        <v>2057</v>
      </c>
      <c r="H724" s="10">
        <v>306329.78677053499</v>
      </c>
      <c r="I724" s="10">
        <v>-139.00467822528299</v>
      </c>
      <c r="J724" s="10">
        <v>-139.46461199280199</v>
      </c>
      <c r="K724" s="4">
        <f t="shared" si="164"/>
        <v>220.99532222222223</v>
      </c>
      <c r="L724" s="4">
        <f t="shared" si="165"/>
        <v>220.53538888888889</v>
      </c>
      <c r="M724" s="4">
        <f t="shared" si="166"/>
        <v>220.99532177471701</v>
      </c>
      <c r="N724" s="4">
        <f t="shared" si="167"/>
        <v>220.53538800719801</v>
      </c>
      <c r="O724" s="3">
        <f t="shared" si="157"/>
        <v>306329.78676600731</v>
      </c>
      <c r="P724" s="2">
        <f t="shared" si="159"/>
        <v>7.6385879312593939E-10</v>
      </c>
      <c r="Q724" s="2">
        <f t="shared" si="160"/>
        <v>1.4780419990778277E-11</v>
      </c>
      <c r="R724" s="6">
        <f t="shared" si="161"/>
        <v>220.99532177475101</v>
      </c>
      <c r="S724" s="2">
        <f t="shared" si="162"/>
        <v>2.0247995217386032E-9</v>
      </c>
      <c r="T724" s="2">
        <f t="shared" si="158"/>
        <v>1.5381485999696892E-13</v>
      </c>
      <c r="U724" s="6">
        <f t="shared" si="163"/>
        <v>220.53538800723118</v>
      </c>
      <c r="V724" s="2">
        <f t="shared" si="168"/>
        <v>3.9978060510498682E-9</v>
      </c>
      <c r="W724" s="2">
        <f t="shared" si="169"/>
        <v>1.5039824313456174E-13</v>
      </c>
    </row>
    <row r="725" spans="1:23" x14ac:dyDescent="0.45">
      <c r="A725">
        <v>9.2408199999999994</v>
      </c>
      <c r="B725">
        <v>131.63160999999999</v>
      </c>
      <c r="C725">
        <v>12.18455</v>
      </c>
      <c r="D725">
        <v>138.36069000000001</v>
      </c>
      <c r="E725" s="10">
        <v>804814.54700000002</v>
      </c>
      <c r="F725" s="10" t="s">
        <v>2058</v>
      </c>
      <c r="G725" s="10" t="s">
        <v>2059</v>
      </c>
      <c r="H725" s="10">
        <v>804814.54728179099</v>
      </c>
      <c r="I725" s="10">
        <v>65.538495356246401</v>
      </c>
      <c r="J725" s="10">
        <v>66.791138701138607</v>
      </c>
      <c r="K725" s="4">
        <f t="shared" si="164"/>
        <v>65.538494444444439</v>
      </c>
      <c r="L725" s="4">
        <f t="shared" si="165"/>
        <v>66.791138888888895</v>
      </c>
      <c r="M725" s="4">
        <f t="shared" si="166"/>
        <v>65.538495356246415</v>
      </c>
      <c r="N725" s="4">
        <f t="shared" si="167"/>
        <v>66.791138701138607</v>
      </c>
      <c r="O725" s="3">
        <f t="shared" si="157"/>
        <v>804814.54727462819</v>
      </c>
      <c r="P725" s="2">
        <f t="shared" si="159"/>
        <v>3.4123161540216128E-10</v>
      </c>
      <c r="Q725" s="2">
        <f t="shared" si="160"/>
        <v>8.8999409187614025E-12</v>
      </c>
      <c r="R725" s="6">
        <f t="shared" si="161"/>
        <v>65.538495356271426</v>
      </c>
      <c r="S725" s="2">
        <f t="shared" si="162"/>
        <v>1.3912846106370709E-8</v>
      </c>
      <c r="T725" s="2">
        <f t="shared" si="158"/>
        <v>3.8162463393160185E-13</v>
      </c>
      <c r="U725" s="6">
        <f t="shared" si="163"/>
        <v>66.791138701165167</v>
      </c>
      <c r="V725" s="2">
        <f t="shared" si="168"/>
        <v>2.8106082818876107E-9</v>
      </c>
      <c r="W725" s="2">
        <f t="shared" si="169"/>
        <v>3.9765885084782614E-13</v>
      </c>
    </row>
    <row r="726" spans="1:23" x14ac:dyDescent="0.4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10">
        <v>1027495.907</v>
      </c>
      <c r="F726" s="10" t="s">
        <v>2060</v>
      </c>
      <c r="G726" s="10" t="s">
        <v>2061</v>
      </c>
      <c r="H726" s="10">
        <v>1027495.9071954</v>
      </c>
      <c r="I726" s="10">
        <v>-120.209899487027</v>
      </c>
      <c r="J726" s="10">
        <v>-126.371574793458</v>
      </c>
      <c r="K726" s="4">
        <f t="shared" si="164"/>
        <v>239.7901</v>
      </c>
      <c r="L726" s="4">
        <f t="shared" si="165"/>
        <v>233.62842499999999</v>
      </c>
      <c r="M726" s="4">
        <f t="shared" si="166"/>
        <v>239.790100512973</v>
      </c>
      <c r="N726" s="4">
        <f t="shared" si="167"/>
        <v>233.628425206542</v>
      </c>
      <c r="O726" s="3">
        <f t="shared" si="157"/>
        <v>1027495.9072773166</v>
      </c>
      <c r="P726" s="2">
        <f t="shared" si="159"/>
        <v>2.6989552475065777E-10</v>
      </c>
      <c r="Q726" s="2">
        <f t="shared" si="160"/>
        <v>7.9724475739949727E-11</v>
      </c>
      <c r="R726" s="6">
        <f t="shared" si="161"/>
        <v>239.79010051309496</v>
      </c>
      <c r="S726" s="2">
        <f t="shared" si="162"/>
        <v>2.1397670725237065E-9</v>
      </c>
      <c r="T726" s="2">
        <f t="shared" si="158"/>
        <v>5.0860129298484331E-13</v>
      </c>
      <c r="U726" s="6">
        <f t="shared" si="163"/>
        <v>233.6284252066383</v>
      </c>
      <c r="V726" s="2">
        <f t="shared" si="168"/>
        <v>8.8447415886777086E-10</v>
      </c>
      <c r="W726" s="2">
        <f t="shared" si="169"/>
        <v>4.1216196815554452E-13</v>
      </c>
    </row>
    <row r="727" spans="1:23" x14ac:dyDescent="0.45">
      <c r="A727">
        <v>71.454030000000003</v>
      </c>
      <c r="B727">
        <v>-99.237170000000006</v>
      </c>
      <c r="C727">
        <v>61.921500000000002</v>
      </c>
      <c r="D727">
        <v>-107.97436</v>
      </c>
      <c r="E727" s="10">
        <v>1128214.537</v>
      </c>
      <c r="F727" s="10" t="s">
        <v>2062</v>
      </c>
      <c r="G727" s="10" t="s">
        <v>2063</v>
      </c>
      <c r="H727" s="10">
        <v>1128214.53673154</v>
      </c>
      <c r="I727" s="10">
        <v>-155.9605449044</v>
      </c>
      <c r="J727" s="10">
        <v>-164.014662284736</v>
      </c>
      <c r="K727" s="4">
        <f t="shared" si="164"/>
        <v>204.03945555555555</v>
      </c>
      <c r="L727" s="4">
        <f t="shared" si="165"/>
        <v>195.98533888888889</v>
      </c>
      <c r="M727" s="4">
        <f t="shared" si="166"/>
        <v>204.0394550956</v>
      </c>
      <c r="N727" s="4">
        <f t="shared" si="167"/>
        <v>195.985337715264</v>
      </c>
      <c r="O727" s="3">
        <f t="shared" si="157"/>
        <v>1128214.5370339481</v>
      </c>
      <c r="P727" s="2">
        <f t="shared" si="159"/>
        <v>3.0090114703597474E-11</v>
      </c>
      <c r="Q727" s="2">
        <f t="shared" si="160"/>
        <v>2.6804132861553868E-10</v>
      </c>
      <c r="R727" s="6">
        <f t="shared" si="161"/>
        <v>204.03945509560754</v>
      </c>
      <c r="S727" s="2">
        <f t="shared" si="162"/>
        <v>2.2542111322004796E-9</v>
      </c>
      <c r="T727" s="2">
        <f t="shared" si="158"/>
        <v>3.6913218551422607E-14</v>
      </c>
      <c r="U727" s="6">
        <f t="shared" si="163"/>
        <v>195.98533771526829</v>
      </c>
      <c r="V727" s="2">
        <f t="shared" si="168"/>
        <v>5.988308156217854E-9</v>
      </c>
      <c r="W727" s="2">
        <f t="shared" si="169"/>
        <v>2.1897955092059701E-14</v>
      </c>
    </row>
    <row r="728" spans="1:23" x14ac:dyDescent="0.4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10">
        <v>853871.61100000003</v>
      </c>
      <c r="F728" s="10" t="s">
        <v>2064</v>
      </c>
      <c r="G728" s="10" t="s">
        <v>2065</v>
      </c>
      <c r="H728" s="10">
        <v>853871.61089836305</v>
      </c>
      <c r="I728" s="10">
        <v>-173.206741618493</v>
      </c>
      <c r="J728" s="10">
        <v>-179.812770720803</v>
      </c>
      <c r="K728" s="4">
        <f t="shared" si="164"/>
        <v>186.79325833333334</v>
      </c>
      <c r="L728" s="4">
        <f t="shared" si="165"/>
        <v>180.18723055555554</v>
      </c>
      <c r="M728" s="4">
        <f t="shared" si="166"/>
        <v>186.793258381507</v>
      </c>
      <c r="N728" s="4">
        <f t="shared" si="167"/>
        <v>180.187229279197</v>
      </c>
      <c r="O728" s="3">
        <f t="shared" si="157"/>
        <v>853871.6105139635</v>
      </c>
      <c r="P728" s="2">
        <f t="shared" si="159"/>
        <v>5.6921500083053233E-10</v>
      </c>
      <c r="Q728" s="2">
        <f t="shared" si="160"/>
        <v>4.5018425025571415E-10</v>
      </c>
      <c r="R728" s="6">
        <f t="shared" si="161"/>
        <v>186.79325838148685</v>
      </c>
      <c r="S728" s="2">
        <f t="shared" si="162"/>
        <v>2.5779040450293599E-10</v>
      </c>
      <c r="T728" s="2">
        <f t="shared" si="158"/>
        <v>1.0787858277518778E-13</v>
      </c>
      <c r="U728" s="6">
        <f t="shared" si="163"/>
        <v>180.18722927919691</v>
      </c>
      <c r="V728" s="2">
        <f t="shared" si="168"/>
        <v>7.0835132284071303E-9</v>
      </c>
      <c r="W728" s="2">
        <f t="shared" si="169"/>
        <v>4.7320294913406535E-16</v>
      </c>
    </row>
    <row r="729" spans="1:23" x14ac:dyDescent="0.45">
      <c r="A729">
        <v>-53.711570000000002</v>
      </c>
      <c r="B729">
        <v>136.44644</v>
      </c>
      <c r="C729">
        <v>-61.274990000000003</v>
      </c>
      <c r="D729">
        <v>132.93423999999999</v>
      </c>
      <c r="E729" s="10">
        <v>867936.53200000001</v>
      </c>
      <c r="F729" s="10" t="s">
        <v>2066</v>
      </c>
      <c r="G729" s="10" t="s">
        <v>2067</v>
      </c>
      <c r="H729" s="10">
        <v>867936.53154360596</v>
      </c>
      <c r="I729" s="10">
        <v>-167.432506452317</v>
      </c>
      <c r="J729" s="10">
        <v>-164.463830575358</v>
      </c>
      <c r="K729" s="4">
        <f t="shared" si="164"/>
        <v>192.56749444444443</v>
      </c>
      <c r="L729" s="4">
        <f t="shared" si="165"/>
        <v>195.53616944444445</v>
      </c>
      <c r="M729" s="4">
        <f t="shared" si="166"/>
        <v>192.567493547683</v>
      </c>
      <c r="N729" s="4">
        <f t="shared" si="167"/>
        <v>195.536169424642</v>
      </c>
      <c r="O729" s="3">
        <f t="shared" si="157"/>
        <v>867936.53195090592</v>
      </c>
      <c r="P729" s="2">
        <f t="shared" si="159"/>
        <v>5.6564144536141978E-11</v>
      </c>
      <c r="Q729" s="2">
        <f t="shared" si="160"/>
        <v>4.6927389661210166E-10</v>
      </c>
      <c r="R729" s="6">
        <f t="shared" si="161"/>
        <v>192.56749354767967</v>
      </c>
      <c r="S729" s="2">
        <f t="shared" si="162"/>
        <v>4.6568854354924025E-9</v>
      </c>
      <c r="T729" s="2">
        <f t="shared" si="158"/>
        <v>1.7268438935846968E-14</v>
      </c>
      <c r="U729" s="6">
        <f t="shared" si="163"/>
        <v>195.5361694246379</v>
      </c>
      <c r="V729" s="2">
        <f t="shared" si="168"/>
        <v>1.0129353226998135E-10</v>
      </c>
      <c r="W729" s="2">
        <f t="shared" si="169"/>
        <v>2.0930788252735407E-14</v>
      </c>
    </row>
    <row r="730" spans="1:23" x14ac:dyDescent="0.4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10">
        <v>142494.05499999999</v>
      </c>
      <c r="F730" s="10" t="s">
        <v>2068</v>
      </c>
      <c r="G730" s="10" t="s">
        <v>2069</v>
      </c>
      <c r="H730" s="10">
        <v>142494.05520348001</v>
      </c>
      <c r="I730" s="10">
        <v>-171.31752739817699</v>
      </c>
      <c r="J730" s="10">
        <v>-171.716615613274</v>
      </c>
      <c r="K730" s="4">
        <f t="shared" si="164"/>
        <v>188.68247222222223</v>
      </c>
      <c r="L730" s="4">
        <f t="shared" si="165"/>
        <v>188.28338333333335</v>
      </c>
      <c r="M730" s="4">
        <f t="shared" si="166"/>
        <v>188.68247260182301</v>
      </c>
      <c r="N730" s="4">
        <f t="shared" si="167"/>
        <v>188.283384386726</v>
      </c>
      <c r="O730" s="3">
        <f t="shared" si="157"/>
        <v>142494.05526496412</v>
      </c>
      <c r="P730" s="2">
        <f t="shared" si="159"/>
        <v>1.859474941979077E-9</v>
      </c>
      <c r="Q730" s="2">
        <f t="shared" si="160"/>
        <v>4.3148545285504658E-10</v>
      </c>
      <c r="R730" s="6">
        <f t="shared" si="161"/>
        <v>188.68247260182571</v>
      </c>
      <c r="S730" s="2">
        <f t="shared" si="162"/>
        <v>2.0118640225014242E-9</v>
      </c>
      <c r="T730" s="2">
        <f t="shared" si="158"/>
        <v>1.4310085927198587E-14</v>
      </c>
      <c r="U730" s="6">
        <f t="shared" si="163"/>
        <v>188.2833843867281</v>
      </c>
      <c r="V730" s="2">
        <f t="shared" si="168"/>
        <v>5.5947303255676298E-9</v>
      </c>
      <c r="W730" s="2">
        <f t="shared" si="169"/>
        <v>1.1170430703168159E-14</v>
      </c>
    </row>
    <row r="731" spans="1:23" x14ac:dyDescent="0.45">
      <c r="A731">
        <v>82.492410000000007</v>
      </c>
      <c r="B731">
        <v>173.25789</v>
      </c>
      <c r="C731">
        <v>87.595039999999997</v>
      </c>
      <c r="D731">
        <v>174.79836</v>
      </c>
      <c r="E731" s="10">
        <v>570028.86300000001</v>
      </c>
      <c r="F731" s="10" t="s">
        <v>2070</v>
      </c>
      <c r="G731" s="10" t="s">
        <v>2071</v>
      </c>
      <c r="H731" s="10">
        <v>570028.86260307604</v>
      </c>
      <c r="I731" s="10">
        <v>0.726603886046568</v>
      </c>
      <c r="J731" s="10">
        <v>2.2628372757481099</v>
      </c>
      <c r="K731" s="4">
        <f t="shared" si="164"/>
        <v>0.72660277777777782</v>
      </c>
      <c r="L731" s="4">
        <f t="shared" si="165"/>
        <v>2.2628361111111417</v>
      </c>
      <c r="M731" s="4">
        <f t="shared" si="166"/>
        <v>0.72660388604657555</v>
      </c>
      <c r="N731" s="4">
        <f t="shared" si="167"/>
        <v>2.2628372757480975</v>
      </c>
      <c r="O731" s="3">
        <f t="shared" si="157"/>
        <v>570028.86235811422</v>
      </c>
      <c r="P731" s="2">
        <f t="shared" si="159"/>
        <v>1.1260584108887738E-9</v>
      </c>
      <c r="Q731" s="2">
        <f t="shared" si="160"/>
        <v>4.2973581646643678E-10</v>
      </c>
      <c r="R731" s="6">
        <f t="shared" si="161"/>
        <v>0.72660388604660253</v>
      </c>
      <c r="S731" s="2">
        <f t="shared" si="162"/>
        <v>1.5252746873630934E-6</v>
      </c>
      <c r="T731" s="2">
        <f t="shared" si="158"/>
        <v>3.7129473178542809E-14</v>
      </c>
      <c r="U731" s="6">
        <f t="shared" si="163"/>
        <v>2.2628372757481814</v>
      </c>
      <c r="V731" s="2">
        <f t="shared" si="168"/>
        <v>5.1468024307108643E-7</v>
      </c>
      <c r="W731" s="2">
        <f t="shared" si="169"/>
        <v>3.7091867612934518E-14</v>
      </c>
    </row>
    <row r="732" spans="1:23" x14ac:dyDescent="0.45">
      <c r="A732">
        <v>-3.4873099999999999</v>
      </c>
      <c r="B732">
        <v>-153.85941</v>
      </c>
      <c r="C732">
        <v>2.7094800000000001</v>
      </c>
      <c r="D732">
        <v>-161.7517</v>
      </c>
      <c r="E732" s="10">
        <v>1113827.0789999999</v>
      </c>
      <c r="F732" s="10" t="s">
        <v>2072</v>
      </c>
      <c r="G732" s="10" t="s">
        <v>2073</v>
      </c>
      <c r="H732" s="10">
        <v>1113827.0793449599</v>
      </c>
      <c r="I732" s="10">
        <v>-52.1325020460297</v>
      </c>
      <c r="J732" s="10">
        <v>-52.078766462415203</v>
      </c>
      <c r="K732" s="4">
        <f t="shared" si="164"/>
        <v>307.8674972222222</v>
      </c>
      <c r="L732" s="4">
        <f t="shared" si="165"/>
        <v>307.92123333333336</v>
      </c>
      <c r="M732" s="4">
        <f t="shared" si="166"/>
        <v>307.86749795397031</v>
      </c>
      <c r="N732" s="4">
        <f t="shared" si="167"/>
        <v>307.92123353758478</v>
      </c>
      <c r="O732" s="3">
        <f t="shared" si="157"/>
        <v>1113827.079367002</v>
      </c>
      <c r="P732" s="2">
        <f t="shared" si="159"/>
        <v>3.2949647476395741E-10</v>
      </c>
      <c r="Q732" s="2">
        <f t="shared" si="160"/>
        <v>1.9789496451886187E-11</v>
      </c>
      <c r="R732" s="6">
        <f t="shared" si="161"/>
        <v>307.86749795398407</v>
      </c>
      <c r="S732" s="2">
        <f t="shared" si="162"/>
        <v>2.3768727749193875E-9</v>
      </c>
      <c r="T732" s="2">
        <f t="shared" si="158"/>
        <v>4.4681908469507338E-14</v>
      </c>
      <c r="U732" s="6">
        <f t="shared" si="163"/>
        <v>307.9212335375986</v>
      </c>
      <c r="V732" s="2">
        <f t="shared" si="168"/>
        <v>6.6336845903531004E-10</v>
      </c>
      <c r="W732" s="2">
        <f t="shared" si="169"/>
        <v>4.4858714757942608E-14</v>
      </c>
    </row>
    <row r="733" spans="1:23" x14ac:dyDescent="0.45">
      <c r="A733">
        <v>-5.1490299999999998</v>
      </c>
      <c r="B733">
        <v>-176.71262999999999</v>
      </c>
      <c r="C733">
        <v>-8.3758099999999995</v>
      </c>
      <c r="D733">
        <v>-172.6439</v>
      </c>
      <c r="E733" s="10">
        <v>574111.40500000003</v>
      </c>
      <c r="F733" s="10" t="s">
        <v>2074</v>
      </c>
      <c r="G733" s="10" t="s">
        <v>2075</v>
      </c>
      <c r="H733" s="10">
        <v>574111.40482354502</v>
      </c>
      <c r="I733" s="10">
        <v>128.651136719606</v>
      </c>
      <c r="J733" s="10">
        <v>128.171642044972</v>
      </c>
      <c r="K733" s="4">
        <f t="shared" si="164"/>
        <v>128.6511361111111</v>
      </c>
      <c r="L733" s="4">
        <f t="shared" si="165"/>
        <v>128.17164166666669</v>
      </c>
      <c r="M733" s="4">
        <f t="shared" si="166"/>
        <v>128.65113671960603</v>
      </c>
      <c r="N733" s="4">
        <f t="shared" si="167"/>
        <v>128.17164204497203</v>
      </c>
      <c r="O733" s="3">
        <f t="shared" si="157"/>
        <v>574111.40482294769</v>
      </c>
      <c r="P733" s="2">
        <f t="shared" si="159"/>
        <v>3.08393695255517E-10</v>
      </c>
      <c r="Q733" s="2">
        <f t="shared" si="160"/>
        <v>1.0404374678423134E-12</v>
      </c>
      <c r="R733" s="6">
        <f t="shared" si="161"/>
        <v>128.65113671960572</v>
      </c>
      <c r="S733" s="2">
        <f t="shared" si="162"/>
        <v>4.7298036757826244E-9</v>
      </c>
      <c r="T733" s="2">
        <f t="shared" si="158"/>
        <v>2.4301285764449752E-15</v>
      </c>
      <c r="U733" s="6">
        <f t="shared" si="163"/>
        <v>128.17164204497087</v>
      </c>
      <c r="V733" s="2">
        <f t="shared" si="168"/>
        <v>2.9515435253435399E-9</v>
      </c>
      <c r="W733" s="2">
        <f t="shared" si="169"/>
        <v>9.0916373392305838E-15</v>
      </c>
    </row>
    <row r="734" spans="1:23" x14ac:dyDescent="0.45">
      <c r="A734">
        <v>-17.81653</v>
      </c>
      <c r="B734">
        <v>-105.12562</v>
      </c>
      <c r="C734">
        <v>-21.096530000000001</v>
      </c>
      <c r="D734">
        <v>-101.88431</v>
      </c>
      <c r="E734" s="10">
        <v>497614.05900000001</v>
      </c>
      <c r="F734" s="10" t="s">
        <v>2076</v>
      </c>
      <c r="G734" s="10" t="s">
        <v>2077</v>
      </c>
      <c r="H734" s="10">
        <v>497614.05855003803</v>
      </c>
      <c r="I734" s="10">
        <v>137.380741008196</v>
      </c>
      <c r="J734" s="10">
        <v>136.30038605968801</v>
      </c>
      <c r="K734" s="4">
        <f t="shared" si="164"/>
        <v>137.38074166666667</v>
      </c>
      <c r="L734" s="4">
        <f t="shared" si="165"/>
        <v>136.3003861111111</v>
      </c>
      <c r="M734" s="4">
        <f t="shared" si="166"/>
        <v>137.38074100819597</v>
      </c>
      <c r="N734" s="4">
        <f t="shared" si="167"/>
        <v>136.30038605968798</v>
      </c>
      <c r="O734" s="3">
        <f t="shared" si="157"/>
        <v>497614.05850191822</v>
      </c>
      <c r="P734" s="2">
        <f t="shared" si="159"/>
        <v>1.0009399478870478E-9</v>
      </c>
      <c r="Q734" s="2">
        <f t="shared" si="160"/>
        <v>9.6701061372922344E-11</v>
      </c>
      <c r="R734" s="6">
        <f t="shared" si="161"/>
        <v>137.38074100812975</v>
      </c>
      <c r="S734" s="2">
        <f t="shared" si="162"/>
        <v>4.7935169895636563E-9</v>
      </c>
      <c r="T734" s="2">
        <f t="shared" si="158"/>
        <v>4.8203687421434548E-13</v>
      </c>
      <c r="U734" s="6">
        <f t="shared" si="163"/>
        <v>136.30038605962</v>
      </c>
      <c r="V734" s="2">
        <f t="shared" si="168"/>
        <v>3.7777662157404323E-10</v>
      </c>
      <c r="W734" s="2">
        <f t="shared" si="169"/>
        <v>4.9878603372227318E-13</v>
      </c>
    </row>
    <row r="735" spans="1:23" x14ac:dyDescent="0.45">
      <c r="A735">
        <v>-70.740750000000006</v>
      </c>
      <c r="B735">
        <v>-12.84168</v>
      </c>
      <c r="C735">
        <v>-72.590199999999996</v>
      </c>
      <c r="D735">
        <v>-7.2013899999999502</v>
      </c>
      <c r="E735" s="10">
        <v>285845.26699999999</v>
      </c>
      <c r="F735" s="10" t="s">
        <v>2078</v>
      </c>
      <c r="G735" s="10" t="s">
        <v>2079</v>
      </c>
      <c r="H735" s="10">
        <v>285845.26670333598</v>
      </c>
      <c r="I735" s="10">
        <v>138.82322774864701</v>
      </c>
      <c r="J735" s="10">
        <v>133.46813615627599</v>
      </c>
      <c r="K735" s="4">
        <f t="shared" si="164"/>
        <v>138.82322777777779</v>
      </c>
      <c r="L735" s="4">
        <f t="shared" si="165"/>
        <v>133.46813611111111</v>
      </c>
      <c r="M735" s="4">
        <f t="shared" si="166"/>
        <v>138.82322774864701</v>
      </c>
      <c r="N735" s="4">
        <f t="shared" si="167"/>
        <v>133.46813615627599</v>
      </c>
      <c r="O735" s="3">
        <f t="shared" ref="O735:O798" si="170">VincentyInvDistance($A735,$B735,$C735,$D735)</f>
        <v>285845.26678411185</v>
      </c>
      <c r="P735" s="2">
        <f t="shared" si="159"/>
        <v>7.5526225099884781E-10</v>
      </c>
      <c r="Q735" s="2">
        <f t="shared" si="160"/>
        <v>2.82586022594557E-10</v>
      </c>
      <c r="R735" s="6">
        <f t="shared" si="161"/>
        <v>138.82322774863601</v>
      </c>
      <c r="S735" s="2">
        <f t="shared" si="162"/>
        <v>2.0992001054371233E-10</v>
      </c>
      <c r="T735" s="2">
        <f t="shared" ref="T735:T798" si="171">ABS((M735-R735)/M735)</f>
        <v>7.9231708756127446E-14</v>
      </c>
      <c r="U735" s="6">
        <f t="shared" si="163"/>
        <v>133.46813615626237</v>
      </c>
      <c r="V735" s="2">
        <f t="shared" si="168"/>
        <v>3.382924863506817E-10</v>
      </c>
      <c r="W735" s="2">
        <f t="shared" si="169"/>
        <v>1.0200186508353632E-13</v>
      </c>
    </row>
    <row r="736" spans="1:23" x14ac:dyDescent="0.45">
      <c r="A736">
        <v>-83.232919999999993</v>
      </c>
      <c r="B736">
        <v>-152.45443</v>
      </c>
      <c r="C736">
        <v>-79.934169999999995</v>
      </c>
      <c r="D736">
        <v>-160.65608</v>
      </c>
      <c r="E736" s="10">
        <v>391097.70799999998</v>
      </c>
      <c r="F736" s="10" t="s">
        <v>2080</v>
      </c>
      <c r="G736" s="10" t="s">
        <v>2081</v>
      </c>
      <c r="H736" s="10">
        <v>391097.70754434599</v>
      </c>
      <c r="I736" s="10">
        <v>-24.092101918128201</v>
      </c>
      <c r="J736" s="10">
        <v>-15.9751322788424</v>
      </c>
      <c r="K736" s="4">
        <f t="shared" si="164"/>
        <v>335.90789722222223</v>
      </c>
      <c r="L736" s="4">
        <f t="shared" si="165"/>
        <v>344.02486666666664</v>
      </c>
      <c r="M736" s="4">
        <f t="shared" si="166"/>
        <v>335.90789808187179</v>
      </c>
      <c r="N736" s="4">
        <f t="shared" si="167"/>
        <v>344.02486772115759</v>
      </c>
      <c r="O736" s="3">
        <f t="shared" si="170"/>
        <v>391097.70742903266</v>
      </c>
      <c r="P736" s="2">
        <f t="shared" ref="P736:P799" si="172">ABS((E736-O736)/E736)</f>
        <v>1.4599096750609782E-9</v>
      </c>
      <c r="Q736" s="2">
        <f t="shared" ref="Q736:Q799" si="173">ABS((H736-O736)/H736)</f>
        <v>2.9484533446784739E-10</v>
      </c>
      <c r="R736" s="6">
        <f t="shared" ref="R736:R799" si="174">VincentyInvFwdAzimuth($A736,$B736,$C736,$D736)</f>
        <v>335.90789808187651</v>
      </c>
      <c r="S736" s="2">
        <f t="shared" ref="S736:S799" si="175">ABS((K736-R736)/K736)</f>
        <v>2.5591963914448362E-9</v>
      </c>
      <c r="T736" s="2">
        <f t="shared" si="171"/>
        <v>1.4045527933067929E-14</v>
      </c>
      <c r="U736" s="6">
        <f t="shared" ref="U736:U799" si="176">VincentyInvRevAzimuth($A736,$B736,$C736,$D736)</f>
        <v>344.02486772116055</v>
      </c>
      <c r="V736" s="2">
        <f t="shared" si="168"/>
        <v>3.0651676941888028E-9</v>
      </c>
      <c r="W736" s="2">
        <f t="shared" si="169"/>
        <v>8.5919887139025876E-15</v>
      </c>
    </row>
    <row r="737" spans="1:23" x14ac:dyDescent="0.45">
      <c r="A737">
        <v>87.3874</v>
      </c>
      <c r="B737">
        <v>114.24518</v>
      </c>
      <c r="C737">
        <v>89.519850000000005</v>
      </c>
      <c r="D737">
        <v>121.92308</v>
      </c>
      <c r="E737" s="10">
        <v>238768.057</v>
      </c>
      <c r="F737" s="10" t="s">
        <v>2082</v>
      </c>
      <c r="G737" s="10" t="s">
        <v>2083</v>
      </c>
      <c r="H737" s="10">
        <v>238768.05651611299</v>
      </c>
      <c r="I737" s="10">
        <v>1.7200186994547</v>
      </c>
      <c r="J737" s="10">
        <v>9.3964560088270801</v>
      </c>
      <c r="K737" s="4">
        <f t="shared" si="164"/>
        <v>1.7200194444444445</v>
      </c>
      <c r="L737" s="4">
        <f t="shared" si="165"/>
        <v>9.3964555555555762</v>
      </c>
      <c r="M737" s="4">
        <f t="shared" si="166"/>
        <v>1.7200186994547266</v>
      </c>
      <c r="N737" s="4">
        <f t="shared" si="167"/>
        <v>9.3964560088271014</v>
      </c>
      <c r="O737" s="3">
        <f t="shared" si="170"/>
        <v>238768.05639321406</v>
      </c>
      <c r="P737" s="2">
        <f t="shared" si="172"/>
        <v>2.5413195694574159E-9</v>
      </c>
      <c r="Q737" s="2">
        <f t="shared" si="173"/>
        <v>5.1472097838447654E-10</v>
      </c>
      <c r="R737" s="6">
        <f t="shared" si="174"/>
        <v>1.7200186994522799</v>
      </c>
      <c r="S737" s="2">
        <f t="shared" si="175"/>
        <v>4.3313008293684146E-7</v>
      </c>
      <c r="T737" s="2">
        <f t="shared" si="171"/>
        <v>1.4224900592328246E-12</v>
      </c>
      <c r="U737" s="6">
        <f t="shared" si="176"/>
        <v>9.3964560088120734</v>
      </c>
      <c r="V737" s="2">
        <f t="shared" si="168"/>
        <v>4.8236964943205153E-8</v>
      </c>
      <c r="W737" s="2">
        <f t="shared" si="169"/>
        <v>1.5993241331847585E-12</v>
      </c>
    </row>
    <row r="738" spans="1:23" x14ac:dyDescent="0.4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10">
        <v>493633.80499999999</v>
      </c>
      <c r="F738" s="10" t="s">
        <v>2084</v>
      </c>
      <c r="G738" s="10" t="s">
        <v>2085</v>
      </c>
      <c r="H738" s="10">
        <v>493633.80519018398</v>
      </c>
      <c r="I738" s="10">
        <v>50.159550383876699</v>
      </c>
      <c r="J738" s="10">
        <v>48.276265851883998</v>
      </c>
      <c r="K738" s="4">
        <f t="shared" si="164"/>
        <v>50.159550000000003</v>
      </c>
      <c r="L738" s="4">
        <f t="shared" si="165"/>
        <v>48.276266666666629</v>
      </c>
      <c r="M738" s="4">
        <f t="shared" si="166"/>
        <v>50.159550383876706</v>
      </c>
      <c r="N738" s="4">
        <f t="shared" si="167"/>
        <v>48.276265851883977</v>
      </c>
      <c r="O738" s="3">
        <f t="shared" si="170"/>
        <v>493633.80517836846</v>
      </c>
      <c r="P738" s="2">
        <f t="shared" si="172"/>
        <v>3.6133763387051887E-10</v>
      </c>
      <c r="Q738" s="2">
        <f t="shared" si="173"/>
        <v>2.3935789560870192E-11</v>
      </c>
      <c r="R738" s="6">
        <f t="shared" si="174"/>
        <v>50.159550383989895</v>
      </c>
      <c r="S738" s="2">
        <f t="shared" si="175"/>
        <v>7.6553695622760395E-9</v>
      </c>
      <c r="T738" s="2">
        <f t="shared" si="171"/>
        <v>2.2565883653328679E-12</v>
      </c>
      <c r="U738" s="6">
        <f t="shared" si="176"/>
        <v>48.276265851989955</v>
      </c>
      <c r="V738" s="2">
        <f t="shared" si="168"/>
        <v>1.6875303970592096E-8</v>
      </c>
      <c r="W738" s="2">
        <f t="shared" si="169"/>
        <v>2.1952287975993731E-12</v>
      </c>
    </row>
    <row r="739" spans="1:23" x14ac:dyDescent="0.45">
      <c r="A739">
        <v>-86.095039999999997</v>
      </c>
      <c r="B739">
        <v>-122.08154</v>
      </c>
      <c r="C739">
        <v>-79.958640000000003</v>
      </c>
      <c r="D739">
        <v>-123.32622000000001</v>
      </c>
      <c r="E739" s="10">
        <v>685458.12399999995</v>
      </c>
      <c r="F739" s="10" t="s">
        <v>2086</v>
      </c>
      <c r="G739" s="10" t="s">
        <v>2087</v>
      </c>
      <c r="H739" s="10">
        <v>685458.12361158</v>
      </c>
      <c r="I739" s="10">
        <v>-2.0300968477552601</v>
      </c>
      <c r="J739" s="10">
        <v>-0.79284935234600795</v>
      </c>
      <c r="K739" s="4">
        <f t="shared" si="164"/>
        <v>357.9699027777778</v>
      </c>
      <c r="L739" s="4">
        <f t="shared" si="165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70"/>
        <v>685458.12337706669</v>
      </c>
      <c r="P739" s="2">
        <f t="shared" si="172"/>
        <v>9.0878383815284364E-10</v>
      </c>
      <c r="Q739" s="2">
        <f t="shared" si="173"/>
        <v>3.421263861896323E-10</v>
      </c>
      <c r="R739" s="6">
        <f t="shared" si="174"/>
        <v>357.9699031522448</v>
      </c>
      <c r="S739" s="2">
        <f t="shared" si="175"/>
        <v>1.046085130676129E-9</v>
      </c>
      <c r="T739" s="2">
        <f t="shared" si="171"/>
        <v>1.5879384931596467E-16</v>
      </c>
      <c r="U739" s="6">
        <f t="shared" si="176"/>
        <v>359.20715064765398</v>
      </c>
      <c r="V739" s="2">
        <f t="shared" si="168"/>
        <v>1.80300966297588E-9</v>
      </c>
      <c r="W739" s="2">
        <f t="shared" si="169"/>
        <v>0</v>
      </c>
    </row>
    <row r="740" spans="1:23" x14ac:dyDescent="0.4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10">
        <v>287149.495</v>
      </c>
      <c r="F740" s="10" t="s">
        <v>2088</v>
      </c>
      <c r="G740" s="10" t="s">
        <v>2089</v>
      </c>
      <c r="H740" s="10">
        <v>287149.49519985</v>
      </c>
      <c r="I740" s="10">
        <v>-11.7163493261795</v>
      </c>
      <c r="J740" s="10">
        <v>-8.9599442773654996</v>
      </c>
      <c r="K740" s="4">
        <f t="shared" si="164"/>
        <v>348.28365000000002</v>
      </c>
      <c r="L740" s="4">
        <f t="shared" si="165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70"/>
        <v>287149.4951402318</v>
      </c>
      <c r="P740" s="2">
        <f t="shared" si="172"/>
        <v>4.8835816757028524E-10</v>
      </c>
      <c r="Q740" s="2">
        <f t="shared" si="173"/>
        <v>2.0762079737904623E-10</v>
      </c>
      <c r="R740" s="6">
        <f t="shared" si="174"/>
        <v>348.2836506738272</v>
      </c>
      <c r="S740" s="2">
        <f t="shared" si="175"/>
        <v>1.9347080278214961E-9</v>
      </c>
      <c r="T740" s="2">
        <f t="shared" si="171"/>
        <v>1.9258794986782683E-14</v>
      </c>
      <c r="U740" s="6">
        <f t="shared" si="176"/>
        <v>351.04005572263964</v>
      </c>
      <c r="V740" s="2">
        <f t="shared" si="168"/>
        <v>4.7596866746771004E-10</v>
      </c>
      <c r="W740" s="2">
        <f t="shared" si="169"/>
        <v>1.4573572485741991E-14</v>
      </c>
    </row>
    <row r="741" spans="1:23" x14ac:dyDescent="0.4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10">
        <v>835019.12</v>
      </c>
      <c r="F741" s="10" t="s">
        <v>2090</v>
      </c>
      <c r="G741" s="10" t="s">
        <v>2091</v>
      </c>
      <c r="H741" s="10">
        <v>835019.12040121399</v>
      </c>
      <c r="I741" s="10">
        <v>-42.061147482661099</v>
      </c>
      <c r="J741" s="10">
        <v>-44.919472539146099</v>
      </c>
      <c r="K741" s="4">
        <f t="shared" si="164"/>
        <v>317.93885277777775</v>
      </c>
      <c r="L741" s="4">
        <f t="shared" si="165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70"/>
        <v>835019.12032674125</v>
      </c>
      <c r="P741" s="2">
        <f t="shared" si="172"/>
        <v>3.9129793094696129E-10</v>
      </c>
      <c r="Q741" s="2">
        <f t="shared" si="173"/>
        <v>8.9186872729400983E-11</v>
      </c>
      <c r="R741" s="6">
        <f t="shared" si="174"/>
        <v>317.93885251724413</v>
      </c>
      <c r="S741" s="2">
        <f t="shared" si="175"/>
        <v>8.1944569724637155E-10</v>
      </c>
      <c r="T741" s="2">
        <f t="shared" si="171"/>
        <v>2.9803837590374175E-13</v>
      </c>
      <c r="U741" s="6">
        <f t="shared" si="176"/>
        <v>315.08052746074918</v>
      </c>
      <c r="V741" s="2">
        <f t="shared" si="168"/>
        <v>1.0061827553589254E-9</v>
      </c>
      <c r="W741" s="2">
        <f t="shared" si="169"/>
        <v>3.3231370527846142E-13</v>
      </c>
    </row>
    <row r="742" spans="1:23" x14ac:dyDescent="0.45">
      <c r="A742">
        <v>-45.80874</v>
      </c>
      <c r="B742">
        <v>121.35634</v>
      </c>
      <c r="C742">
        <v>-51.185450000000003</v>
      </c>
      <c r="D742">
        <v>125.66355</v>
      </c>
      <c r="E742" s="10">
        <v>677065.11899999995</v>
      </c>
      <c r="F742" s="10" t="s">
        <v>2092</v>
      </c>
      <c r="G742" s="10" t="s">
        <v>2093</v>
      </c>
      <c r="H742" s="10">
        <v>677065.11909908697</v>
      </c>
      <c r="I742" s="10">
        <v>153.563745378737</v>
      </c>
      <c r="J742" s="10">
        <v>150.333751503701</v>
      </c>
      <c r="K742" s="4">
        <f t="shared" si="164"/>
        <v>153.56374444444444</v>
      </c>
      <c r="L742" s="4">
        <f t="shared" si="165"/>
        <v>150.33375277777776</v>
      </c>
      <c r="M742" s="4">
        <f t="shared" si="166"/>
        <v>153.56374537873694</v>
      </c>
      <c r="N742" s="4">
        <f t="shared" si="167"/>
        <v>150.33375150370102</v>
      </c>
      <c r="O742" s="3">
        <f t="shared" si="170"/>
        <v>677065.11923854216</v>
      </c>
      <c r="P742" s="2">
        <f t="shared" si="172"/>
        <v>3.5231797574457934E-10</v>
      </c>
      <c r="Q742" s="2">
        <f t="shared" si="173"/>
        <v>2.0597013588676152E-10</v>
      </c>
      <c r="R742" s="6">
        <f t="shared" si="174"/>
        <v>153.56374537880774</v>
      </c>
      <c r="S742" s="2">
        <f t="shared" si="175"/>
        <v>6.0845305837057733E-9</v>
      </c>
      <c r="T742" s="2">
        <f t="shared" si="171"/>
        <v>4.6103641205497337E-13</v>
      </c>
      <c r="U742" s="6">
        <f t="shared" si="176"/>
        <v>150.33375150378237</v>
      </c>
      <c r="V742" s="2">
        <f t="shared" si="168"/>
        <v>8.4744468289573338E-9</v>
      </c>
      <c r="W742" s="2">
        <f t="shared" si="169"/>
        <v>5.4108230238512811E-13</v>
      </c>
    </row>
    <row r="743" spans="1:23" x14ac:dyDescent="0.4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10">
        <v>341268.40700000001</v>
      </c>
      <c r="F743" s="10" t="s">
        <v>2094</v>
      </c>
      <c r="G743" s="10" t="s">
        <v>2095</v>
      </c>
      <c r="H743" s="10">
        <v>341268.40704400401</v>
      </c>
      <c r="I743" s="10">
        <v>-131.091417236182</v>
      </c>
      <c r="J743" s="10">
        <v>-134.736233828455</v>
      </c>
      <c r="K743" s="4">
        <f t="shared" si="164"/>
        <v>228.90858333333333</v>
      </c>
      <c r="L743" s="4">
        <f t="shared" si="165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70"/>
        <v>341268.40711491887</v>
      </c>
      <c r="P743" s="2">
        <f t="shared" si="172"/>
        <v>3.367404034927572E-10</v>
      </c>
      <c r="Q743" s="2">
        <f t="shared" si="173"/>
        <v>2.0779790185213574E-10</v>
      </c>
      <c r="R743" s="6">
        <f t="shared" si="174"/>
        <v>228.9085827638304</v>
      </c>
      <c r="S743" s="2">
        <f t="shared" si="175"/>
        <v>2.4879055291626605E-9</v>
      </c>
      <c r="T743" s="2">
        <f t="shared" si="171"/>
        <v>5.4134559578492324E-14</v>
      </c>
      <c r="U743" s="6">
        <f t="shared" si="176"/>
        <v>225.26376617155572</v>
      </c>
      <c r="V743" s="2">
        <f t="shared" si="168"/>
        <v>2.1979165156083931E-9</v>
      </c>
      <c r="W743" s="2">
        <f t="shared" si="169"/>
        <v>4.7566391334781E-14</v>
      </c>
    </row>
    <row r="744" spans="1:23" x14ac:dyDescent="0.4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10">
        <v>371335.85200000001</v>
      </c>
      <c r="F744" s="10" t="s">
        <v>2096</v>
      </c>
      <c r="G744" s="10" t="s">
        <v>2097</v>
      </c>
      <c r="H744" s="10">
        <v>371335.85204770399</v>
      </c>
      <c r="I744" s="10">
        <v>-106.45145100908999</v>
      </c>
      <c r="J744" s="10">
        <v>-111.124090787768</v>
      </c>
      <c r="K744" s="4">
        <f t="shared" si="164"/>
        <v>253.54855000000001</v>
      </c>
      <c r="L744" s="4">
        <f t="shared" si="165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70"/>
        <v>371335.852057421</v>
      </c>
      <c r="P744" s="2">
        <f t="shared" si="172"/>
        <v>1.5463355899236441E-10</v>
      </c>
      <c r="Q744" s="2">
        <f t="shared" si="173"/>
        <v>2.6167719158620872E-11</v>
      </c>
      <c r="R744" s="6">
        <f t="shared" si="174"/>
        <v>253.54854899093129</v>
      </c>
      <c r="S744" s="2">
        <f t="shared" si="175"/>
        <v>3.9797849810427542E-9</v>
      </c>
      <c r="T744" s="2">
        <f t="shared" si="171"/>
        <v>8.3959701004385536E-14</v>
      </c>
      <c r="U744" s="6">
        <f t="shared" si="176"/>
        <v>248.87590921224842</v>
      </c>
      <c r="V744" s="2">
        <f t="shared" si="168"/>
        <v>3.5315395064216118E-9</v>
      </c>
      <c r="W744" s="2">
        <f t="shared" si="169"/>
        <v>6.6007787185076855E-14</v>
      </c>
    </row>
    <row r="745" spans="1:23" x14ac:dyDescent="0.4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10">
        <v>886618.26199999999</v>
      </c>
      <c r="F745" s="10" t="s">
        <v>2098</v>
      </c>
      <c r="G745" s="10" t="s">
        <v>2099</v>
      </c>
      <c r="H745" s="10">
        <v>886618.26168242295</v>
      </c>
      <c r="I745" s="10">
        <v>-22.956680699554099</v>
      </c>
      <c r="J745" s="10">
        <v>-22.796746905308002</v>
      </c>
      <c r="K745" s="4">
        <f t="shared" si="164"/>
        <v>337.04331944444442</v>
      </c>
      <c r="L745" s="4">
        <f t="shared" si="165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70"/>
        <v>886618.26193404838</v>
      </c>
      <c r="P745" s="2">
        <f t="shared" si="172"/>
        <v>7.4385573755974706E-11</v>
      </c>
      <c r="Q745" s="2">
        <f t="shared" si="173"/>
        <v>2.8380357429595835E-10</v>
      </c>
      <c r="R745" s="6">
        <f t="shared" si="174"/>
        <v>337.0433193004759</v>
      </c>
      <c r="S745" s="2">
        <f t="shared" si="175"/>
        <v>4.2715138486610824E-10</v>
      </c>
      <c r="T745" s="2">
        <f t="shared" si="171"/>
        <v>8.9048865352979352E-14</v>
      </c>
      <c r="U745" s="6">
        <f t="shared" si="176"/>
        <v>337.20325309472179</v>
      </c>
      <c r="V745" s="2">
        <f t="shared" si="168"/>
        <v>9.3991979015989804E-10</v>
      </c>
      <c r="W745" s="2">
        <f t="shared" si="169"/>
        <v>8.8332337276411247E-14</v>
      </c>
    </row>
    <row r="746" spans="1:23" x14ac:dyDescent="0.45">
      <c r="A746">
        <v>41.651290000000003</v>
      </c>
      <c r="B746">
        <v>-150.10507000000001</v>
      </c>
      <c r="C746">
        <v>40.65954</v>
      </c>
      <c r="D746">
        <v>-144.91209000000001</v>
      </c>
      <c r="E746" s="10">
        <v>449504.43099999998</v>
      </c>
      <c r="F746" s="10" t="s">
        <v>2100</v>
      </c>
      <c r="G746" s="10" t="s">
        <v>2101</v>
      </c>
      <c r="H746" s="10">
        <v>449504.43119072099</v>
      </c>
      <c r="I746" s="10">
        <v>102.461854923361</v>
      </c>
      <c r="J746" s="10">
        <v>105.880834601693</v>
      </c>
      <c r="K746" s="4">
        <f t="shared" si="164"/>
        <v>102.46185555555556</v>
      </c>
      <c r="L746" s="4">
        <f t="shared" si="165"/>
        <v>105.88083333333333</v>
      </c>
      <c r="M746" s="4">
        <f t="shared" si="166"/>
        <v>102.46185492336099</v>
      </c>
      <c r="N746" s="4">
        <f t="shared" si="167"/>
        <v>105.88083460169298</v>
      </c>
      <c r="O746" s="3">
        <f t="shared" si="170"/>
        <v>449504.4311522083</v>
      </c>
      <c r="P746" s="2">
        <f t="shared" si="172"/>
        <v>3.3861361083709379E-10</v>
      </c>
      <c r="Q746" s="2">
        <f t="shared" si="173"/>
        <v>8.5678112866986848E-11</v>
      </c>
      <c r="R746" s="6">
        <f t="shared" si="174"/>
        <v>102.46185492327423</v>
      </c>
      <c r="S746" s="2">
        <f t="shared" si="175"/>
        <v>6.1708947618703328E-9</v>
      </c>
      <c r="T746" s="2">
        <f t="shared" si="171"/>
        <v>8.467274782522783E-13</v>
      </c>
      <c r="U746" s="6">
        <f t="shared" si="176"/>
        <v>105.88083460162542</v>
      </c>
      <c r="V746" s="2">
        <f t="shared" si="168"/>
        <v>1.1978486147287819E-8</v>
      </c>
      <c r="W746" s="2">
        <f t="shared" si="169"/>
        <v>6.3806073658386236E-13</v>
      </c>
    </row>
    <row r="747" spans="1:23" x14ac:dyDescent="0.45">
      <c r="A747">
        <v>74.634600000000006</v>
      </c>
      <c r="B747">
        <v>-110.99214000000001</v>
      </c>
      <c r="C747">
        <v>70.51173</v>
      </c>
      <c r="D747">
        <v>-109.96983</v>
      </c>
      <c r="E747" s="10">
        <v>461332.05499999999</v>
      </c>
      <c r="F747" s="10" t="s">
        <v>2102</v>
      </c>
      <c r="G747" s="10" t="s">
        <v>2103</v>
      </c>
      <c r="H747" s="10">
        <v>461332.05467058002</v>
      </c>
      <c r="I747" s="10">
        <v>175.26138437749299</v>
      </c>
      <c r="J747" s="10">
        <v>176.23740470944</v>
      </c>
      <c r="K747" s="4">
        <f t="shared" si="164"/>
        <v>175.26138333333333</v>
      </c>
      <c r="L747" s="4">
        <f t="shared" si="165"/>
        <v>176.2374055555556</v>
      </c>
      <c r="M747" s="4">
        <f t="shared" si="166"/>
        <v>175.26138437749296</v>
      </c>
      <c r="N747" s="4">
        <f t="shared" si="167"/>
        <v>176.23740470943994</v>
      </c>
      <c r="O747" s="3">
        <f t="shared" si="170"/>
        <v>461332.05461750785</v>
      </c>
      <c r="P747" s="2">
        <f t="shared" si="172"/>
        <v>8.2910376589037378E-10</v>
      </c>
      <c r="Q747" s="2">
        <f t="shared" si="173"/>
        <v>1.1504115761466385E-10</v>
      </c>
      <c r="R747" s="6">
        <f t="shared" si="174"/>
        <v>175.2613843776162</v>
      </c>
      <c r="S747" s="2">
        <f t="shared" si="175"/>
        <v>5.9584310491991349E-9</v>
      </c>
      <c r="T747" s="2">
        <f t="shared" si="171"/>
        <v>7.0315849967722725E-13</v>
      </c>
      <c r="U747" s="6">
        <f t="shared" si="176"/>
        <v>176.23740470953837</v>
      </c>
      <c r="V747" s="2">
        <f t="shared" si="168"/>
        <v>4.8004407857600418E-9</v>
      </c>
      <c r="W747" s="2">
        <f t="shared" si="169"/>
        <v>5.5847610738344639E-13</v>
      </c>
    </row>
    <row r="748" spans="1:23" x14ac:dyDescent="0.45">
      <c r="A748">
        <v>-10.3453</v>
      </c>
      <c r="B748">
        <v>170.51176000000001</v>
      </c>
      <c r="C748">
        <v>-1.0983399999999901</v>
      </c>
      <c r="D748">
        <v>169.86117999999999</v>
      </c>
      <c r="E748" s="10">
        <v>1025130.2290000001</v>
      </c>
      <c r="F748" s="10" t="s">
        <v>2104</v>
      </c>
      <c r="G748" s="10" t="s">
        <v>2105</v>
      </c>
      <c r="H748" s="10">
        <v>1025130.22876218</v>
      </c>
      <c r="I748" s="10">
        <v>-4.0679496750470499</v>
      </c>
      <c r="J748" s="10">
        <v>-4.0028743167872998</v>
      </c>
      <c r="K748" s="4">
        <f t="shared" si="164"/>
        <v>355.93205</v>
      </c>
      <c r="L748" s="4">
        <f t="shared" si="165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70"/>
        <v>1025130.22914879</v>
      </c>
      <c r="P748" s="2">
        <f t="shared" si="172"/>
        <v>1.4514249307706062E-10</v>
      </c>
      <c r="Q748" s="2">
        <f t="shared" si="173"/>
        <v>3.7713261617949812E-10</v>
      </c>
      <c r="R748" s="6">
        <f t="shared" si="174"/>
        <v>355.93205032495985</v>
      </c>
      <c r="S748" s="2">
        <f t="shared" si="175"/>
        <v>9.1298280710096118E-10</v>
      </c>
      <c r="T748" s="2">
        <f t="shared" si="171"/>
        <v>1.9324063893314351E-14</v>
      </c>
      <c r="U748" s="6">
        <f t="shared" si="176"/>
        <v>355.99712568321951</v>
      </c>
      <c r="V748" s="2">
        <f t="shared" si="168"/>
        <v>1.919171469149312E-9</v>
      </c>
      <c r="W748" s="2">
        <f t="shared" si="169"/>
        <v>1.9160857690089551E-14</v>
      </c>
    </row>
    <row r="749" spans="1:23" x14ac:dyDescent="0.4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10">
        <v>134515.37</v>
      </c>
      <c r="F749" s="10" t="s">
        <v>2106</v>
      </c>
      <c r="G749" s="10" t="s">
        <v>2107</v>
      </c>
      <c r="H749" s="10">
        <v>134515.370374964</v>
      </c>
      <c r="I749" s="10">
        <v>62.4091627681047</v>
      </c>
      <c r="J749" s="10">
        <v>60.424650054779796</v>
      </c>
      <c r="K749" s="4">
        <f t="shared" si="164"/>
        <v>62.409163888888891</v>
      </c>
      <c r="L749" s="4">
        <f t="shared" si="165"/>
        <v>60.424650000000042</v>
      </c>
      <c r="M749" s="4">
        <f t="shared" si="166"/>
        <v>62.409162768104693</v>
      </c>
      <c r="N749" s="4">
        <f t="shared" si="167"/>
        <v>60.424650054779818</v>
      </c>
      <c r="O749" s="3">
        <f t="shared" si="170"/>
        <v>134515.37044731787</v>
      </c>
      <c r="P749" s="2">
        <f t="shared" si="172"/>
        <v>3.3254034135030179E-9</v>
      </c>
      <c r="Q749" s="2">
        <f t="shared" si="173"/>
        <v>5.3788551110240929E-10</v>
      </c>
      <c r="R749" s="6">
        <f t="shared" si="174"/>
        <v>62.409162768127544</v>
      </c>
      <c r="S749" s="2">
        <f t="shared" si="175"/>
        <v>1.7958281717015012E-8</v>
      </c>
      <c r="T749" s="2">
        <f t="shared" si="171"/>
        <v>3.6614902954159254E-13</v>
      </c>
      <c r="U749" s="6">
        <f t="shared" si="176"/>
        <v>60.424650054800786</v>
      </c>
      <c r="V749" s="2">
        <f t="shared" si="168"/>
        <v>9.0692694949192897E-10</v>
      </c>
      <c r="W749" s="2">
        <f t="shared" si="169"/>
        <v>3.470126200693139E-13</v>
      </c>
    </row>
    <row r="750" spans="1:23" x14ac:dyDescent="0.4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10">
        <v>718764.12699999998</v>
      </c>
      <c r="F750" s="10" t="s">
        <v>2108</v>
      </c>
      <c r="G750" s="10" t="s">
        <v>2109</v>
      </c>
      <c r="H750" s="10">
        <v>718764.12713635096</v>
      </c>
      <c r="I750" s="10">
        <v>-176.66101862009501</v>
      </c>
      <c r="J750" s="10">
        <v>-175.771762401731</v>
      </c>
      <c r="K750" s="4">
        <f t="shared" si="164"/>
        <v>183.33898055555557</v>
      </c>
      <c r="L750" s="4">
        <f t="shared" si="165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70"/>
        <v>718764.127453633</v>
      </c>
      <c r="P750" s="2">
        <f t="shared" si="172"/>
        <v>6.3112919299315106E-10</v>
      </c>
      <c r="Q750" s="2">
        <f t="shared" si="173"/>
        <v>4.4142721014962061E-10</v>
      </c>
      <c r="R750" s="6">
        <f t="shared" si="174"/>
        <v>183.33898137990599</v>
      </c>
      <c r="S750" s="2">
        <f t="shared" si="175"/>
        <v>4.4963183502616827E-9</v>
      </c>
      <c r="T750" s="2">
        <f t="shared" si="171"/>
        <v>5.4257955540990679E-15</v>
      </c>
      <c r="U750" s="6">
        <f t="shared" si="176"/>
        <v>184.22823759826986</v>
      </c>
      <c r="V750" s="2">
        <f t="shared" si="168"/>
        <v>7.005543953353732E-9</v>
      </c>
      <c r="W750" s="2">
        <f t="shared" si="169"/>
        <v>4.6282334023702983E-15</v>
      </c>
    </row>
    <row r="751" spans="1:23" x14ac:dyDescent="0.4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10">
        <v>1460060.216</v>
      </c>
      <c r="F751" s="10" t="s">
        <v>2110</v>
      </c>
      <c r="G751" s="10" t="s">
        <v>2111</v>
      </c>
      <c r="H751" s="10">
        <v>1460060.2163299799</v>
      </c>
      <c r="I751" s="10">
        <v>-132.160332431493</v>
      </c>
      <c r="J751" s="10">
        <v>-130.48202239538699</v>
      </c>
      <c r="K751" s="4">
        <f t="shared" si="164"/>
        <v>227.83966666666666</v>
      </c>
      <c r="L751" s="4">
        <f t="shared" si="165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70"/>
        <v>1460060.2161802982</v>
      </c>
      <c r="P751" s="2">
        <f t="shared" si="172"/>
        <v>1.2348684506548139E-10</v>
      </c>
      <c r="Q751" s="2">
        <f t="shared" si="173"/>
        <v>1.0251748308515221E-10</v>
      </c>
      <c r="R751" s="6">
        <f t="shared" si="174"/>
        <v>227.83966756852081</v>
      </c>
      <c r="S751" s="2">
        <f t="shared" si="175"/>
        <v>3.9582841902134609E-9</v>
      </c>
      <c r="T751" s="2">
        <f t="shared" si="171"/>
        <v>6.0625750250548709E-14</v>
      </c>
      <c r="U751" s="6">
        <f t="shared" si="176"/>
        <v>229.51797760462782</v>
      </c>
      <c r="V751" s="2">
        <f t="shared" si="168"/>
        <v>7.5440700760006987E-10</v>
      </c>
      <c r="W751" s="2">
        <f t="shared" si="169"/>
        <v>6.451656104581706E-14</v>
      </c>
    </row>
    <row r="752" spans="1:23" x14ac:dyDescent="0.45">
      <c r="A752">
        <v>-4.44231</v>
      </c>
      <c r="B752">
        <v>114.01277</v>
      </c>
      <c r="C752">
        <v>-13.062060000000001</v>
      </c>
      <c r="D752">
        <v>117.63001</v>
      </c>
      <c r="E752" s="10">
        <v>1032952.816</v>
      </c>
      <c r="F752" s="10" t="s">
        <v>2112</v>
      </c>
      <c r="G752" s="10" t="s">
        <v>2113</v>
      </c>
      <c r="H752" s="10">
        <v>1032952.81590325</v>
      </c>
      <c r="I752" s="10">
        <v>157.59052845007901</v>
      </c>
      <c r="J752" s="10">
        <v>157.03837736846299</v>
      </c>
      <c r="K752" s="4">
        <f t="shared" si="164"/>
        <v>157.59052777777777</v>
      </c>
      <c r="L752" s="4">
        <f t="shared" si="165"/>
        <v>157.03837777777778</v>
      </c>
      <c r="M752" s="4">
        <f t="shared" si="166"/>
        <v>157.59052845007898</v>
      </c>
      <c r="N752" s="4">
        <f t="shared" si="167"/>
        <v>157.03837736846299</v>
      </c>
      <c r="O752" s="3">
        <f t="shared" si="170"/>
        <v>1032952.816019178</v>
      </c>
      <c r="P752" s="2">
        <f t="shared" si="172"/>
        <v>1.8566218117677882E-11</v>
      </c>
      <c r="Q752" s="2">
        <f t="shared" si="173"/>
        <v>1.1222972192432214E-10</v>
      </c>
      <c r="R752" s="6">
        <f t="shared" si="174"/>
        <v>157.5905284500902</v>
      </c>
      <c r="S752" s="2">
        <f t="shared" si="175"/>
        <v>4.2661982803809314E-9</v>
      </c>
      <c r="T752" s="2">
        <f t="shared" si="171"/>
        <v>7.1238895734561234E-14</v>
      </c>
      <c r="U752" s="6">
        <f t="shared" si="176"/>
        <v>157.03837736847379</v>
      </c>
      <c r="V752" s="2">
        <f t="shared" si="168"/>
        <v>2.6063946861717309E-9</v>
      </c>
      <c r="W752" s="2">
        <f t="shared" si="169"/>
        <v>6.8774587234893755E-14</v>
      </c>
    </row>
    <row r="753" spans="1:23" x14ac:dyDescent="0.45">
      <c r="A753">
        <v>39.652729999999998</v>
      </c>
      <c r="B753">
        <v>120.16179</v>
      </c>
      <c r="C753">
        <v>34.303220000000003</v>
      </c>
      <c r="D753">
        <v>113.30732</v>
      </c>
      <c r="E753" s="10">
        <v>850898.26500000001</v>
      </c>
      <c r="F753" s="10" t="s">
        <v>2114</v>
      </c>
      <c r="G753" s="10" t="s">
        <v>2115</v>
      </c>
      <c r="H753" s="10">
        <v>850898.26533784799</v>
      </c>
      <c r="I753" s="10">
        <v>-132.09896266746901</v>
      </c>
      <c r="J753" s="10">
        <v>-136.229643935572</v>
      </c>
      <c r="K753" s="4">
        <f t="shared" ref="K753:K816" si="177">ConvertDecimal(F753)</f>
        <v>227.90103611111113</v>
      </c>
      <c r="L753" s="4">
        <f t="shared" ref="L753:L816" si="178">MOD(ConvertDecimal(G753)+180,360)</f>
        <v>223.77035555555557</v>
      </c>
      <c r="M753" s="4">
        <f t="shared" ref="M753:M816" si="179">MOD(I753+360, 360)</f>
        <v>227.90103733253099</v>
      </c>
      <c r="N753" s="4">
        <f t="shared" ref="N753:N816" si="180">MOD(J753+360, 360)</f>
        <v>223.770356064428</v>
      </c>
      <c r="O753" s="3">
        <f t="shared" si="170"/>
        <v>850898.26528849988</v>
      </c>
      <c r="P753" s="2">
        <f t="shared" si="172"/>
        <v>3.3905330442165224E-10</v>
      </c>
      <c r="Q753" s="2">
        <f t="shared" si="173"/>
        <v>5.7995306474010252E-11</v>
      </c>
      <c r="R753" s="6">
        <f t="shared" si="174"/>
        <v>227.90103733263513</v>
      </c>
      <c r="S753" s="2">
        <f t="shared" si="175"/>
        <v>5.3598878828839295E-9</v>
      </c>
      <c r="T753" s="2">
        <f t="shared" si="171"/>
        <v>4.5694019023289264E-13</v>
      </c>
      <c r="U753" s="6">
        <f t="shared" si="176"/>
        <v>223.7703560645181</v>
      </c>
      <c r="V753" s="2">
        <f t="shared" si="168"/>
        <v>2.2744859467533624E-9</v>
      </c>
      <c r="W753" s="2">
        <f t="shared" si="169"/>
        <v>4.0263071695001463E-13</v>
      </c>
    </row>
    <row r="754" spans="1:23" x14ac:dyDescent="0.45">
      <c r="A754">
        <v>28.54571</v>
      </c>
      <c r="B754">
        <v>-104.90599</v>
      </c>
      <c r="C754">
        <v>26.677990000000001</v>
      </c>
      <c r="D754">
        <v>-106.61301</v>
      </c>
      <c r="E754" s="10">
        <v>266878.65600000002</v>
      </c>
      <c r="F754" s="10" t="s">
        <v>2116</v>
      </c>
      <c r="G754" s="10" t="s">
        <v>2117</v>
      </c>
      <c r="H754" s="10">
        <v>266878.65594618302</v>
      </c>
      <c r="I754" s="10">
        <v>-140.450223809395</v>
      </c>
      <c r="J754" s="10">
        <v>-141.24154393200399</v>
      </c>
      <c r="K754" s="4">
        <f t="shared" si="177"/>
        <v>219.54977500000001</v>
      </c>
      <c r="L754" s="4">
        <f t="shared" si="178"/>
        <v>218.75845555555554</v>
      </c>
      <c r="M754" s="4">
        <f t="shared" si="179"/>
        <v>219.549776190605</v>
      </c>
      <c r="N754" s="4">
        <f t="shared" si="180"/>
        <v>218.75845606799601</v>
      </c>
      <c r="O754" s="3">
        <f t="shared" si="170"/>
        <v>266878.65590429382</v>
      </c>
      <c r="P754" s="2">
        <f t="shared" si="172"/>
        <v>3.5861316772796313E-10</v>
      </c>
      <c r="Q754" s="2">
        <f t="shared" si="173"/>
        <v>1.56959728516037E-10</v>
      </c>
      <c r="R754" s="6">
        <f t="shared" si="174"/>
        <v>219.54977619069763</v>
      </c>
      <c r="S754" s="2">
        <f t="shared" si="175"/>
        <v>5.4233606795928397E-9</v>
      </c>
      <c r="T754" s="2">
        <f t="shared" si="171"/>
        <v>4.2189225897124981E-13</v>
      </c>
      <c r="U754" s="6">
        <f t="shared" si="176"/>
        <v>218.75845606808591</v>
      </c>
      <c r="V754" s="2">
        <f t="shared" si="168"/>
        <v>2.3429053827323738E-9</v>
      </c>
      <c r="W754" s="2">
        <f t="shared" si="169"/>
        <v>4.1094579173856118E-13</v>
      </c>
    </row>
    <row r="755" spans="1:23" x14ac:dyDescent="0.45">
      <c r="A755">
        <v>83.346080000000001</v>
      </c>
      <c r="B755">
        <v>163.97327999999999</v>
      </c>
      <c r="C755">
        <v>78.22466</v>
      </c>
      <c r="D755">
        <v>162.52670000000001</v>
      </c>
      <c r="E755" s="10">
        <v>572419.946</v>
      </c>
      <c r="F755" s="10" t="s">
        <v>2118</v>
      </c>
      <c r="G755" s="10" t="s">
        <v>2119</v>
      </c>
      <c r="H755" s="10">
        <v>572419.94641002105</v>
      </c>
      <c r="I755" s="10">
        <v>-176.694153377455</v>
      </c>
      <c r="J755" s="10">
        <v>-178.12349508303899</v>
      </c>
      <c r="K755" s="4">
        <f t="shared" si="177"/>
        <v>183.30584722222221</v>
      </c>
      <c r="L755" s="4">
        <f t="shared" si="178"/>
        <v>181.87650555555555</v>
      </c>
      <c r="M755" s="4">
        <f t="shared" si="179"/>
        <v>183.305846622545</v>
      </c>
      <c r="N755" s="4">
        <f t="shared" si="180"/>
        <v>181.87650491696101</v>
      </c>
      <c r="O755" s="3">
        <f t="shared" si="170"/>
        <v>572419.94628713047</v>
      </c>
      <c r="P755" s="2">
        <f t="shared" si="172"/>
        <v>5.0160808869551597E-10</v>
      </c>
      <c r="Q755" s="2">
        <f t="shared" si="173"/>
        <v>2.1468604584503207E-10</v>
      </c>
      <c r="R755" s="6">
        <f t="shared" si="174"/>
        <v>183.30584662254333</v>
      </c>
      <c r="S755" s="2">
        <f t="shared" si="175"/>
        <v>3.2714662047886918E-9</v>
      </c>
      <c r="T755" s="2">
        <f t="shared" si="171"/>
        <v>9.1479943891085625E-15</v>
      </c>
      <c r="U755" s="6">
        <f t="shared" si="176"/>
        <v>181.87650491696027</v>
      </c>
      <c r="V755" s="2">
        <f t="shared" si="168"/>
        <v>3.5111477405665601E-9</v>
      </c>
      <c r="W755" s="2">
        <f t="shared" si="169"/>
        <v>4.0630011310580863E-15</v>
      </c>
    </row>
    <row r="756" spans="1:23" x14ac:dyDescent="0.4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10">
        <v>1006778.569</v>
      </c>
      <c r="F756" s="10" t="s">
        <v>2120</v>
      </c>
      <c r="G756" s="10" t="s">
        <v>2121</v>
      </c>
      <c r="H756" s="10">
        <v>1006778.5685468999</v>
      </c>
      <c r="I756" s="10">
        <v>-84.891246711831698</v>
      </c>
      <c r="J756" s="10">
        <v>-88.949589135534197</v>
      </c>
      <c r="K756" s="4">
        <f t="shared" si="177"/>
        <v>275.1087527777778</v>
      </c>
      <c r="L756" s="4">
        <f t="shared" si="178"/>
        <v>271.05041111111109</v>
      </c>
      <c r="M756" s="4">
        <f t="shared" si="179"/>
        <v>275.10875328816832</v>
      </c>
      <c r="N756" s="4">
        <f t="shared" si="180"/>
        <v>271.05041086446579</v>
      </c>
      <c r="O756" s="3">
        <f t="shared" si="170"/>
        <v>1006778.5685455411</v>
      </c>
      <c r="P756" s="2">
        <f t="shared" si="172"/>
        <v>4.5139903421899018E-10</v>
      </c>
      <c r="Q756" s="2">
        <f t="shared" si="173"/>
        <v>1.3496509349867876E-12</v>
      </c>
      <c r="R756" s="6">
        <f t="shared" si="174"/>
        <v>275.10875328816167</v>
      </c>
      <c r="S756" s="2">
        <f t="shared" si="175"/>
        <v>1.8552076774172568E-9</v>
      </c>
      <c r="T756" s="2">
        <f t="shared" si="171"/>
        <v>2.417473063733507E-14</v>
      </c>
      <c r="U756" s="6">
        <f t="shared" si="176"/>
        <v>271.05041086443362</v>
      </c>
      <c r="V756" s="2">
        <f t="shared" si="168"/>
        <v>9.1007968629705225E-10</v>
      </c>
      <c r="W756" s="2">
        <f t="shared" si="169"/>
        <v>1.1869886111814489E-13</v>
      </c>
    </row>
    <row r="757" spans="1:23" x14ac:dyDescent="0.4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10">
        <v>494006.02799999999</v>
      </c>
      <c r="F757" s="10" t="s">
        <v>2122</v>
      </c>
      <c r="G757" s="10" t="s">
        <v>2123</v>
      </c>
      <c r="H757" s="10">
        <v>494006.02837814199</v>
      </c>
      <c r="I757" s="10">
        <v>150.885033778109</v>
      </c>
      <c r="J757" s="10">
        <v>158.66894761406499</v>
      </c>
      <c r="K757" s="4">
        <f t="shared" si="177"/>
        <v>150.88503333333333</v>
      </c>
      <c r="L757" s="4">
        <f t="shared" si="178"/>
        <v>158.66894722222219</v>
      </c>
      <c r="M757" s="4">
        <f t="shared" si="179"/>
        <v>150.885033778109</v>
      </c>
      <c r="N757" s="4">
        <f t="shared" si="180"/>
        <v>158.66894761406502</v>
      </c>
      <c r="O757" s="3">
        <f t="shared" si="170"/>
        <v>494006.02842274751</v>
      </c>
      <c r="P757" s="2">
        <f t="shared" si="172"/>
        <v>8.557537574750053E-10</v>
      </c>
      <c r="Q757" s="2">
        <f t="shared" si="173"/>
        <v>9.0293473208553339E-11</v>
      </c>
      <c r="R757" s="6">
        <f t="shared" si="174"/>
        <v>150.88503377825938</v>
      </c>
      <c r="S757" s="2">
        <f t="shared" si="175"/>
        <v>2.9487752948936052E-9</v>
      </c>
      <c r="T757" s="2">
        <f t="shared" si="171"/>
        <v>9.9664798310888026E-13</v>
      </c>
      <c r="U757" s="6">
        <f t="shared" si="176"/>
        <v>158.66894761416972</v>
      </c>
      <c r="V757" s="2">
        <f t="shared" si="168"/>
        <v>2.47022208440048E-9</v>
      </c>
      <c r="W757" s="2">
        <f t="shared" si="169"/>
        <v>6.5989961562161931E-13</v>
      </c>
    </row>
    <row r="758" spans="1:23" x14ac:dyDescent="0.4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10">
        <v>1152949.1240000001</v>
      </c>
      <c r="F758" s="10" t="s">
        <v>2124</v>
      </c>
      <c r="G758" s="10" t="s">
        <v>2125</v>
      </c>
      <c r="H758" s="10">
        <v>1152949.1242573999</v>
      </c>
      <c r="I758" s="10">
        <v>44.1146589261391</v>
      </c>
      <c r="J758" s="10">
        <v>48.836174024630502</v>
      </c>
      <c r="K758" s="4">
        <f t="shared" si="177"/>
        <v>44.114658333333331</v>
      </c>
      <c r="L758" s="4">
        <f t="shared" si="178"/>
        <v>48.836175000000026</v>
      </c>
      <c r="M758" s="4">
        <f t="shared" si="179"/>
        <v>44.1146589261391</v>
      </c>
      <c r="N758" s="4">
        <f t="shared" si="180"/>
        <v>48.836174024630509</v>
      </c>
      <c r="O758" s="3">
        <f t="shared" si="170"/>
        <v>1152949.1242752292</v>
      </c>
      <c r="P758" s="2">
        <f t="shared" si="172"/>
        <v>2.3871747515481807E-10</v>
      </c>
      <c r="Q758" s="2">
        <f t="shared" si="173"/>
        <v>1.5464029585800075E-11</v>
      </c>
      <c r="R758" s="6">
        <f t="shared" si="174"/>
        <v>44.114658926235741</v>
      </c>
      <c r="S758" s="2">
        <f t="shared" si="175"/>
        <v>1.3440031777079514E-8</v>
      </c>
      <c r="T758" s="2">
        <f t="shared" si="171"/>
        <v>2.1906758398050072E-12</v>
      </c>
      <c r="U758" s="6">
        <f t="shared" si="176"/>
        <v>48.836174024744373</v>
      </c>
      <c r="V758" s="2">
        <f t="shared" si="168"/>
        <v>1.9969943433034488E-8</v>
      </c>
      <c r="W758" s="2">
        <f t="shared" si="169"/>
        <v>2.3315600716003784E-12</v>
      </c>
    </row>
    <row r="759" spans="1:23" x14ac:dyDescent="0.45">
      <c r="A759">
        <v>11.04585</v>
      </c>
      <c r="B759">
        <v>-141.90440000000001</v>
      </c>
      <c r="C759">
        <v>6.7511800000000104</v>
      </c>
      <c r="D759">
        <v>-138.75908000000001</v>
      </c>
      <c r="E759" s="10">
        <v>587572.56999999995</v>
      </c>
      <c r="F759" s="10" t="s">
        <v>2126</v>
      </c>
      <c r="G759" s="10" t="s">
        <v>2127</v>
      </c>
      <c r="H759" s="10">
        <v>587572.56992700603</v>
      </c>
      <c r="I759" s="10">
        <v>143.67670966705501</v>
      </c>
      <c r="J759" s="10">
        <v>144.16370634258001</v>
      </c>
      <c r="K759" s="4">
        <f t="shared" si="177"/>
        <v>143.67670833333332</v>
      </c>
      <c r="L759" s="4">
        <f t="shared" si="178"/>
        <v>144.16370555555557</v>
      </c>
      <c r="M759" s="4">
        <f t="shared" si="179"/>
        <v>143.67670966705498</v>
      </c>
      <c r="N759" s="4">
        <f t="shared" si="180"/>
        <v>144.16370634257999</v>
      </c>
      <c r="O759" s="3">
        <f t="shared" si="170"/>
        <v>587572.56993686291</v>
      </c>
      <c r="P759" s="2">
        <f t="shared" si="172"/>
        <v>1.0745402033588007E-10</v>
      </c>
      <c r="Q759" s="2">
        <f t="shared" si="173"/>
        <v>1.6775604927083456E-11</v>
      </c>
      <c r="R759" s="6">
        <f t="shared" si="174"/>
        <v>143.67670966705666</v>
      </c>
      <c r="S759" s="2">
        <f t="shared" si="175"/>
        <v>9.2828082445313605E-9</v>
      </c>
      <c r="T759" s="2">
        <f t="shared" si="171"/>
        <v>1.1671208648080174E-14</v>
      </c>
      <c r="U759" s="6">
        <f t="shared" si="176"/>
        <v>144.16370634258161</v>
      </c>
      <c r="V759" s="2">
        <f t="shared" si="168"/>
        <v>5.4592522852645868E-9</v>
      </c>
      <c r="W759" s="2">
        <f t="shared" si="169"/>
        <v>1.1237484652921527E-14</v>
      </c>
    </row>
    <row r="760" spans="1:23" x14ac:dyDescent="0.45">
      <c r="A760">
        <v>-60.367339999999999</v>
      </c>
      <c r="B760">
        <v>102.53055999999999</v>
      </c>
      <c r="C760">
        <v>-52.4024</v>
      </c>
      <c r="D760">
        <v>103.50996000000001</v>
      </c>
      <c r="E760" s="10">
        <v>888916.22699999996</v>
      </c>
      <c r="F760" s="10" t="s">
        <v>2128</v>
      </c>
      <c r="G760" s="10" t="s">
        <v>2129</v>
      </c>
      <c r="H760" s="10">
        <v>888916.22724689206</v>
      </c>
      <c r="I760" s="10">
        <v>4.3142933503107201</v>
      </c>
      <c r="J760" s="10">
        <v>3.4966905072999501</v>
      </c>
      <c r="K760" s="4">
        <f t="shared" si="177"/>
        <v>4.3142944444444442</v>
      </c>
      <c r="L760" s="4">
        <f t="shared" si="178"/>
        <v>3.4966916666666634</v>
      </c>
      <c r="M760" s="4">
        <f t="shared" si="179"/>
        <v>4.3142933503107201</v>
      </c>
      <c r="N760" s="4">
        <f t="shared" si="180"/>
        <v>3.4966905072999452</v>
      </c>
      <c r="O760" s="3">
        <f t="shared" si="170"/>
        <v>888916.22765219188</v>
      </c>
      <c r="P760" s="2">
        <f t="shared" si="172"/>
        <v>7.3369335359937284E-10</v>
      </c>
      <c r="Q760" s="2">
        <f t="shared" si="173"/>
        <v>4.5594828185376542E-10</v>
      </c>
      <c r="R760" s="6">
        <f t="shared" si="174"/>
        <v>4.3142933503088479</v>
      </c>
      <c r="S760" s="2">
        <f t="shared" si="175"/>
        <v>2.5360707537142584E-7</v>
      </c>
      <c r="T760" s="2">
        <f t="shared" si="171"/>
        <v>4.3397144252905758E-13</v>
      </c>
      <c r="U760" s="6">
        <f t="shared" si="176"/>
        <v>3.4966905072984322</v>
      </c>
      <c r="V760" s="2">
        <f t="shared" si="168"/>
        <v>3.3156147058894606E-7</v>
      </c>
      <c r="W760" s="2">
        <f t="shared" si="169"/>
        <v>4.3269827135129337E-13</v>
      </c>
    </row>
    <row r="761" spans="1:23" x14ac:dyDescent="0.4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10">
        <v>284354.54399999999</v>
      </c>
      <c r="F761" s="10" t="s">
        <v>2130</v>
      </c>
      <c r="G761" s="10" t="s">
        <v>2131</v>
      </c>
      <c r="H761" s="10">
        <v>284354.54355432501</v>
      </c>
      <c r="I761" s="10">
        <v>125.394371413968</v>
      </c>
      <c r="J761" s="10">
        <v>119.315308514427</v>
      </c>
      <c r="K761" s="4">
        <f t="shared" si="177"/>
        <v>125.39437222222222</v>
      </c>
      <c r="L761" s="4">
        <f t="shared" si="178"/>
        <v>119.31530833333335</v>
      </c>
      <c r="M761" s="4">
        <f t="shared" si="179"/>
        <v>125.39437141396797</v>
      </c>
      <c r="N761" s="4">
        <f t="shared" si="180"/>
        <v>119.31530851442699</v>
      </c>
      <c r="O761" s="3">
        <f t="shared" si="170"/>
        <v>284354.54353245476</v>
      </c>
      <c r="P761" s="2">
        <f t="shared" si="172"/>
        <v>1.6442333921727818E-9</v>
      </c>
      <c r="Q761" s="2">
        <f t="shared" si="173"/>
        <v>7.6911899301222318E-11</v>
      </c>
      <c r="R761" s="6">
        <f t="shared" si="174"/>
        <v>125.39437141395489</v>
      </c>
      <c r="S761" s="2">
        <f t="shared" si="175"/>
        <v>6.4458022802366924E-9</v>
      </c>
      <c r="T761" s="2">
        <f t="shared" si="171"/>
        <v>1.0437627339342538E-13</v>
      </c>
      <c r="U761" s="6">
        <f t="shared" si="176"/>
        <v>119.31530851441072</v>
      </c>
      <c r="V761" s="2">
        <f t="shared" si="168"/>
        <v>1.5176373488057085E-9</v>
      </c>
      <c r="W761" s="2">
        <f t="shared" si="169"/>
        <v>1.3637335268624677E-13</v>
      </c>
    </row>
    <row r="762" spans="1:23" x14ac:dyDescent="0.45">
      <c r="A762">
        <v>73.040459999999996</v>
      </c>
      <c r="B762">
        <v>109.00127999999999</v>
      </c>
      <c r="C762">
        <v>70.52713</v>
      </c>
      <c r="D762">
        <v>102.26978</v>
      </c>
      <c r="E762" s="10">
        <v>365437.73</v>
      </c>
      <c r="F762" s="10" t="s">
        <v>2132</v>
      </c>
      <c r="G762" s="10" t="s">
        <v>2133</v>
      </c>
      <c r="H762" s="10">
        <v>365437.730387257</v>
      </c>
      <c r="I762" s="10">
        <v>-136.81075732691099</v>
      </c>
      <c r="J762" s="10">
        <v>-143.20715406139701</v>
      </c>
      <c r="K762" s="4">
        <f t="shared" si="177"/>
        <v>223.18924166666667</v>
      </c>
      <c r="L762" s="4">
        <f t="shared" si="178"/>
        <v>216.79284722222224</v>
      </c>
      <c r="M762" s="4">
        <f t="shared" si="179"/>
        <v>223.18924267308901</v>
      </c>
      <c r="N762" s="4">
        <f t="shared" si="180"/>
        <v>216.79284593860299</v>
      </c>
      <c r="O762" s="3">
        <f t="shared" si="170"/>
        <v>365437.73063204926</v>
      </c>
      <c r="P762" s="2">
        <f t="shared" si="172"/>
        <v>1.7295676694706586E-9</v>
      </c>
      <c r="Q762" s="2">
        <f t="shared" si="173"/>
        <v>6.6986038771781487E-10</v>
      </c>
      <c r="R762" s="6">
        <f t="shared" si="174"/>
        <v>223.18924267310118</v>
      </c>
      <c r="S762" s="2">
        <f t="shared" si="175"/>
        <v>4.5093325038629791E-9</v>
      </c>
      <c r="T762" s="2">
        <f t="shared" si="171"/>
        <v>5.4503037379944679E-14</v>
      </c>
      <c r="U762" s="6">
        <f t="shared" si="176"/>
        <v>216.79284593861311</v>
      </c>
      <c r="V762" s="2">
        <f t="shared" si="168"/>
        <v>5.9209016323176982E-9</v>
      </c>
      <c r="W762" s="2">
        <f t="shared" si="169"/>
        <v>4.6671874772515974E-14</v>
      </c>
    </row>
    <row r="763" spans="1:23" x14ac:dyDescent="0.45">
      <c r="A763">
        <v>72.025949999999995</v>
      </c>
      <c r="B763">
        <v>-115.48669</v>
      </c>
      <c r="C763">
        <v>79.247150000000005</v>
      </c>
      <c r="D763">
        <v>-124.58986</v>
      </c>
      <c r="E763" s="10">
        <v>842173.91599999997</v>
      </c>
      <c r="F763" s="10" t="s">
        <v>2134</v>
      </c>
      <c r="G763" s="10" t="s">
        <v>2135</v>
      </c>
      <c r="H763" s="10">
        <v>842173.91611456301</v>
      </c>
      <c r="I763" s="10">
        <v>-12.9986843897287</v>
      </c>
      <c r="J763" s="10">
        <v>-21.835921108133999</v>
      </c>
      <c r="K763" s="4">
        <f t="shared" si="177"/>
        <v>347.00131666666664</v>
      </c>
      <c r="L763" s="4">
        <f t="shared" si="178"/>
        <v>338.16407777777778</v>
      </c>
      <c r="M763" s="4">
        <f t="shared" si="179"/>
        <v>347.00131561027132</v>
      </c>
      <c r="N763" s="4">
        <f t="shared" si="180"/>
        <v>338.16407889186598</v>
      </c>
      <c r="O763" s="3">
        <f t="shared" si="170"/>
        <v>842173.9165037584</v>
      </c>
      <c r="P763" s="2">
        <f t="shared" si="172"/>
        <v>5.9816437511969601E-10</v>
      </c>
      <c r="Q763" s="2">
        <f t="shared" si="173"/>
        <v>4.62131857942698E-10</v>
      </c>
      <c r="R763" s="6">
        <f t="shared" si="174"/>
        <v>347.00131561026842</v>
      </c>
      <c r="S763" s="2">
        <f t="shared" si="175"/>
        <v>3.0443637183495787E-9</v>
      </c>
      <c r="T763" s="2">
        <f t="shared" si="171"/>
        <v>8.3544765725245496E-15</v>
      </c>
      <c r="U763" s="6">
        <f t="shared" si="176"/>
        <v>338.16407889186098</v>
      </c>
      <c r="V763" s="2">
        <f t="shared" si="168"/>
        <v>3.294504879636232E-9</v>
      </c>
      <c r="W763" s="2">
        <f t="shared" si="169"/>
        <v>1.4792289222861707E-14</v>
      </c>
    </row>
    <row r="764" spans="1:23" x14ac:dyDescent="0.45">
      <c r="A764">
        <v>-60.634509999999999</v>
      </c>
      <c r="B764">
        <v>-28.29419</v>
      </c>
      <c r="C764">
        <v>-53.699950000000001</v>
      </c>
      <c r="D764">
        <v>-29.58136</v>
      </c>
      <c r="E764" s="10">
        <v>776125.68</v>
      </c>
      <c r="F764" s="10" t="s">
        <v>2136</v>
      </c>
      <c r="G764" s="10" t="s">
        <v>2137</v>
      </c>
      <c r="H764" s="10">
        <v>776125.68007250002</v>
      </c>
      <c r="I764" s="10">
        <v>-6.3035486769775098</v>
      </c>
      <c r="J764" s="10">
        <v>-5.2199962324911304</v>
      </c>
      <c r="K764" s="4">
        <f t="shared" si="177"/>
        <v>353.69645000000003</v>
      </c>
      <c r="L764" s="4">
        <f t="shared" si="178"/>
        <v>354.78000277777778</v>
      </c>
      <c r="M764" s="4">
        <f t="shared" si="179"/>
        <v>353.69645132302247</v>
      </c>
      <c r="N764" s="4">
        <f t="shared" si="180"/>
        <v>354.78000376750884</v>
      </c>
      <c r="O764" s="3">
        <f t="shared" si="170"/>
        <v>776125.68044279341</v>
      </c>
      <c r="P764" s="2">
        <f t="shared" si="172"/>
        <v>5.7051759964956594E-10</v>
      </c>
      <c r="Q764" s="2">
        <f t="shared" si="173"/>
        <v>4.7710493224658778E-10</v>
      </c>
      <c r="R764" s="6">
        <f t="shared" si="174"/>
        <v>353.6964513230248</v>
      </c>
      <c r="S764" s="2">
        <f t="shared" si="175"/>
        <v>3.7405656063457317E-9</v>
      </c>
      <c r="T764" s="2">
        <f t="shared" si="171"/>
        <v>6.5892099413931233E-15</v>
      </c>
      <c r="U764" s="6">
        <f t="shared" si="176"/>
        <v>354.78000376751078</v>
      </c>
      <c r="V764" s="2">
        <f t="shared" si="168"/>
        <v>2.7897090824027019E-9</v>
      </c>
      <c r="W764" s="2">
        <f t="shared" si="169"/>
        <v>5.447534305044926E-15</v>
      </c>
    </row>
    <row r="765" spans="1:23" x14ac:dyDescent="0.4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10">
        <v>583597.70299999998</v>
      </c>
      <c r="F765" s="10" t="s">
        <v>2138</v>
      </c>
      <c r="G765" s="10" t="s">
        <v>2139</v>
      </c>
      <c r="H765" s="10">
        <v>583597.70348122704</v>
      </c>
      <c r="I765" s="10">
        <v>15.6914946509425</v>
      </c>
      <c r="J765" s="10">
        <v>10.6904487272976</v>
      </c>
      <c r="K765" s="4">
        <f t="shared" si="177"/>
        <v>15.691494444444444</v>
      </c>
      <c r="L765" s="4">
        <f t="shared" si="178"/>
        <v>10.690449999999998</v>
      </c>
      <c r="M765" s="4">
        <f t="shared" si="179"/>
        <v>15.691494650942502</v>
      </c>
      <c r="N765" s="4">
        <f t="shared" si="180"/>
        <v>10.690448727297621</v>
      </c>
      <c r="O765" s="3">
        <f t="shared" si="170"/>
        <v>583597.70361336193</v>
      </c>
      <c r="P765" s="2">
        <f t="shared" si="172"/>
        <v>1.0510013030450923E-9</v>
      </c>
      <c r="Q765" s="2">
        <f t="shared" si="173"/>
        <v>2.2641432950305688E-10</v>
      </c>
      <c r="R765" s="6">
        <f t="shared" si="174"/>
        <v>15.691494650864714</v>
      </c>
      <c r="S765" s="2">
        <f t="shared" si="175"/>
        <v>1.3154914597380586E-8</v>
      </c>
      <c r="T765" s="2">
        <f t="shared" si="171"/>
        <v>4.9573634688461016E-12</v>
      </c>
      <c r="U765" s="6">
        <f t="shared" si="176"/>
        <v>10.690448727245354</v>
      </c>
      <c r="V765" s="2">
        <f t="shared" si="168"/>
        <v>1.1905529185279482E-7</v>
      </c>
      <c r="W765" s="2">
        <f t="shared" si="169"/>
        <v>4.889179582242418E-12</v>
      </c>
    </row>
    <row r="766" spans="1:23" x14ac:dyDescent="0.4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10">
        <v>937689.10100000002</v>
      </c>
      <c r="F766" s="10" t="s">
        <v>2140</v>
      </c>
      <c r="G766" s="10" t="s">
        <v>2141</v>
      </c>
      <c r="H766" s="10">
        <v>937689.10064384597</v>
      </c>
      <c r="I766" s="10">
        <v>11.073793630290201</v>
      </c>
      <c r="J766" s="10">
        <v>4.25054273073314</v>
      </c>
      <c r="K766" s="4">
        <f t="shared" si="177"/>
        <v>11.073794444444445</v>
      </c>
      <c r="L766" s="4">
        <f t="shared" si="178"/>
        <v>4.2505416666666633</v>
      </c>
      <c r="M766" s="4">
        <f t="shared" si="179"/>
        <v>11.073793630290197</v>
      </c>
      <c r="N766" s="4">
        <f t="shared" si="180"/>
        <v>4.2505427307331161</v>
      </c>
      <c r="O766" s="3">
        <f t="shared" si="170"/>
        <v>937689.10045502265</v>
      </c>
      <c r="P766" s="2">
        <f t="shared" si="172"/>
        <v>5.8119196841860967E-10</v>
      </c>
      <c r="Q766" s="2">
        <f t="shared" si="173"/>
        <v>2.0137092727984132E-10</v>
      </c>
      <c r="R766" s="6">
        <f t="shared" si="174"/>
        <v>11.07379363028747</v>
      </c>
      <c r="S766" s="2">
        <f t="shared" si="175"/>
        <v>7.3521048165662243E-8</v>
      </c>
      <c r="T766" s="2">
        <f t="shared" si="171"/>
        <v>2.4623068114805831E-13</v>
      </c>
      <c r="U766" s="6">
        <f t="shared" si="176"/>
        <v>4.2505427307321639</v>
      </c>
      <c r="V766" s="2">
        <f t="shared" si="168"/>
        <v>2.5033644745669897E-7</v>
      </c>
      <c r="W766" s="2">
        <f t="shared" si="169"/>
        <v>2.2400133964876415E-13</v>
      </c>
    </row>
    <row r="767" spans="1:23" x14ac:dyDescent="0.4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10">
        <v>316225.25400000002</v>
      </c>
      <c r="F767" s="10" t="s">
        <v>2142</v>
      </c>
      <c r="G767" s="10" t="s">
        <v>2143</v>
      </c>
      <c r="H767" s="10">
        <v>316225.25420697097</v>
      </c>
      <c r="I767" s="10">
        <v>-10.700414550064099</v>
      </c>
      <c r="J767" s="10">
        <v>-10.0254079389077</v>
      </c>
      <c r="K767" s="4">
        <f t="shared" si="177"/>
        <v>349.29958611111113</v>
      </c>
      <c r="L767" s="4">
        <f t="shared" si="178"/>
        <v>349.9745916666667</v>
      </c>
      <c r="M767" s="4">
        <f t="shared" si="179"/>
        <v>349.29958544993588</v>
      </c>
      <c r="N767" s="4">
        <f t="shared" si="180"/>
        <v>349.97459206109232</v>
      </c>
      <c r="O767" s="3">
        <f t="shared" si="170"/>
        <v>316225.25431688997</v>
      </c>
      <c r="P767" s="2">
        <f t="shared" si="172"/>
        <v>1.0021019908596973E-9</v>
      </c>
      <c r="Q767" s="2">
        <f t="shared" si="173"/>
        <v>3.4759715158955601E-10</v>
      </c>
      <c r="R767" s="6">
        <f t="shared" si="174"/>
        <v>349.29958544994997</v>
      </c>
      <c r="S767" s="2">
        <f t="shared" si="175"/>
        <v>1.8928197420847704E-9</v>
      </c>
      <c r="T767" s="2">
        <f t="shared" si="171"/>
        <v>4.0358387082886749E-14</v>
      </c>
      <c r="U767" s="6">
        <f t="shared" si="176"/>
        <v>349.97459206110545</v>
      </c>
      <c r="V767" s="2">
        <f t="shared" si="168"/>
        <v>1.1270496961893291E-9</v>
      </c>
      <c r="W767" s="2">
        <f t="shared" si="169"/>
        <v>3.7519380134185586E-14</v>
      </c>
    </row>
    <row r="768" spans="1:23" x14ac:dyDescent="0.45">
      <c r="A768">
        <v>29.943909999999999</v>
      </c>
      <c r="B768">
        <v>94.465100000000007</v>
      </c>
      <c r="C768">
        <v>31.79965</v>
      </c>
      <c r="D768">
        <v>104.16052000000001</v>
      </c>
      <c r="E768" s="10">
        <v>949375.95200000005</v>
      </c>
      <c r="F768" s="10" t="s">
        <v>2144</v>
      </c>
      <c r="G768" s="10" t="s">
        <v>2145</v>
      </c>
      <c r="H768" s="10">
        <v>949375.95216856594</v>
      </c>
      <c r="I768" s="10">
        <v>75.026319265135001</v>
      </c>
      <c r="J768" s="10">
        <v>80.0106784067044</v>
      </c>
      <c r="K768" s="4">
        <f t="shared" si="177"/>
        <v>75.026319444444439</v>
      </c>
      <c r="L768" s="4">
        <f t="shared" si="178"/>
        <v>80.010677777777801</v>
      </c>
      <c r="M768" s="4">
        <f t="shared" si="179"/>
        <v>75.026319265134987</v>
      </c>
      <c r="N768" s="4">
        <f t="shared" si="180"/>
        <v>80.010678406704415</v>
      </c>
      <c r="O768" s="3">
        <f t="shared" si="170"/>
        <v>949375.95217342826</v>
      </c>
      <c r="P768" s="2">
        <f t="shared" si="172"/>
        <v>1.826760114653635E-10</v>
      </c>
      <c r="Q768" s="2">
        <f t="shared" si="173"/>
        <v>5.1215945965758564E-12</v>
      </c>
      <c r="R768" s="6">
        <f t="shared" si="174"/>
        <v>75.026319265200058</v>
      </c>
      <c r="S768" s="2">
        <f t="shared" si="175"/>
        <v>2.3890866890814548E-9</v>
      </c>
      <c r="T768" s="2">
        <f t="shared" si="171"/>
        <v>8.6731568839135296E-13</v>
      </c>
      <c r="U768" s="6">
        <f t="shared" si="176"/>
        <v>80.010678406803166</v>
      </c>
      <c r="V768" s="2">
        <f t="shared" si="168"/>
        <v>7.8617677364977976E-9</v>
      </c>
      <c r="W768" s="2">
        <f t="shared" si="169"/>
        <v>1.2342256231596203E-12</v>
      </c>
    </row>
    <row r="769" spans="1:23" x14ac:dyDescent="0.45">
      <c r="A769">
        <v>-77.133089999999996</v>
      </c>
      <c r="B769">
        <v>118.06853</v>
      </c>
      <c r="C769">
        <v>-84.163880000000006</v>
      </c>
      <c r="D769">
        <v>108.68982</v>
      </c>
      <c r="E769" s="10">
        <v>800748.69700000004</v>
      </c>
      <c r="F769" s="10" t="s">
        <v>2146</v>
      </c>
      <c r="G769" s="10" t="s">
        <v>2147</v>
      </c>
      <c r="H769" s="10">
        <v>800748.69720425596</v>
      </c>
      <c r="I769" s="10">
        <v>-172.37022315487999</v>
      </c>
      <c r="J769" s="10">
        <v>-163.09823858935701</v>
      </c>
      <c r="K769" s="4">
        <f t="shared" si="177"/>
        <v>187.62977777777778</v>
      </c>
      <c r="L769" s="4">
        <f t="shared" si="178"/>
        <v>196.90176111111111</v>
      </c>
      <c r="M769" s="4">
        <f t="shared" si="179"/>
        <v>187.62977684512001</v>
      </c>
      <c r="N769" s="4">
        <f t="shared" si="180"/>
        <v>196.90176141064299</v>
      </c>
      <c r="O769" s="3">
        <f t="shared" si="170"/>
        <v>800748.6970347804</v>
      </c>
      <c r="P769" s="2">
        <f t="shared" si="172"/>
        <v>4.3434798076651592E-11</v>
      </c>
      <c r="Q769" s="2">
        <f t="shared" si="173"/>
        <v>2.1164637977209527E-10</v>
      </c>
      <c r="R769" s="6">
        <f t="shared" si="174"/>
        <v>187.62977684511773</v>
      </c>
      <c r="S769" s="2">
        <f t="shared" si="175"/>
        <v>4.970746405309208E-9</v>
      </c>
      <c r="T769" s="2">
        <f t="shared" si="171"/>
        <v>1.2118208488353043E-14</v>
      </c>
      <c r="U769" s="6">
        <f t="shared" si="176"/>
        <v>196.90176141063802</v>
      </c>
      <c r="V769" s="2">
        <f t="shared" si="168"/>
        <v>1.5211997147504226E-9</v>
      </c>
      <c r="W769" s="2">
        <f t="shared" si="169"/>
        <v>2.5260308057619315E-14</v>
      </c>
    </row>
    <row r="770" spans="1:23" x14ac:dyDescent="0.45">
      <c r="A770">
        <v>15.557410000000001</v>
      </c>
      <c r="B770">
        <v>93.436459999999997</v>
      </c>
      <c r="C770">
        <v>12.54777</v>
      </c>
      <c r="D770">
        <v>99.414159999999995</v>
      </c>
      <c r="E770" s="10">
        <v>726364.39300000004</v>
      </c>
      <c r="F770" s="10" t="s">
        <v>2148</v>
      </c>
      <c r="G770" s="10" t="s">
        <v>2149</v>
      </c>
      <c r="H770" s="10">
        <v>726364.393409524</v>
      </c>
      <c r="I770" s="10">
        <v>116.531417136294</v>
      </c>
      <c r="J770" s="10">
        <v>117.98462809599199</v>
      </c>
      <c r="K770" s="4">
        <f t="shared" si="177"/>
        <v>116.53141666666667</v>
      </c>
      <c r="L770" s="4">
        <f t="shared" si="178"/>
        <v>117.9846277777778</v>
      </c>
      <c r="M770" s="4">
        <f t="shared" si="179"/>
        <v>116.53141713629401</v>
      </c>
      <c r="N770" s="4">
        <f t="shared" si="180"/>
        <v>117.98462809599198</v>
      </c>
      <c r="O770" s="3">
        <f t="shared" si="170"/>
        <v>726364.39339954138</v>
      </c>
      <c r="P770" s="2">
        <f t="shared" si="172"/>
        <v>5.5005634428308547E-10</v>
      </c>
      <c r="Q770" s="2">
        <f t="shared" si="173"/>
        <v>1.3743258806783865E-11</v>
      </c>
      <c r="R770" s="6">
        <f t="shared" si="174"/>
        <v>116.53141713624591</v>
      </c>
      <c r="S770" s="2">
        <f t="shared" si="175"/>
        <v>4.0296363641299177E-9</v>
      </c>
      <c r="T770" s="2">
        <f t="shared" si="171"/>
        <v>4.1279634619646919E-13</v>
      </c>
      <c r="U770" s="6">
        <f t="shared" si="176"/>
        <v>117.98462809594683</v>
      </c>
      <c r="V770" s="2">
        <f t="shared" si="168"/>
        <v>2.6966990098100313E-9</v>
      </c>
      <c r="W770" s="2">
        <f t="shared" si="169"/>
        <v>3.8265904769784555E-13</v>
      </c>
    </row>
    <row r="771" spans="1:23" x14ac:dyDescent="0.45">
      <c r="A771">
        <v>56.870820000000002</v>
      </c>
      <c r="B771">
        <v>93.770690000000002</v>
      </c>
      <c r="C771">
        <v>47.84957</v>
      </c>
      <c r="D771">
        <v>92.608779999999996</v>
      </c>
      <c r="E771" s="10">
        <v>1006904.09</v>
      </c>
      <c r="F771" s="10" t="s">
        <v>2150</v>
      </c>
      <c r="G771" s="10" t="s">
        <v>2151</v>
      </c>
      <c r="H771" s="10">
        <v>1006904.09033713</v>
      </c>
      <c r="I771" s="10">
        <v>-175.02525262929299</v>
      </c>
      <c r="J771" s="10">
        <v>-175.948204111477</v>
      </c>
      <c r="K771" s="4">
        <f t="shared" si="177"/>
        <v>184.97474722222222</v>
      </c>
      <c r="L771" s="4">
        <f t="shared" si="178"/>
        <v>184.05179722222223</v>
      </c>
      <c r="M771" s="4">
        <f t="shared" si="179"/>
        <v>184.97474737070701</v>
      </c>
      <c r="N771" s="4">
        <f t="shared" si="180"/>
        <v>184.051795888523</v>
      </c>
      <c r="O771" s="3">
        <f t="shared" si="170"/>
        <v>1006904.0906335255</v>
      </c>
      <c r="P771" s="2">
        <f t="shared" si="172"/>
        <v>6.291816191836455E-10</v>
      </c>
      <c r="Q771" s="2">
        <f t="shared" si="173"/>
        <v>2.9436319475862913E-10</v>
      </c>
      <c r="R771" s="6">
        <f t="shared" si="174"/>
        <v>184.97474737070007</v>
      </c>
      <c r="S771" s="2">
        <f t="shared" si="175"/>
        <v>8.026925537949105E-10</v>
      </c>
      <c r="T771" s="2">
        <f t="shared" si="171"/>
        <v>3.7491047830006673E-14</v>
      </c>
      <c r="U771" s="6">
        <f t="shared" si="176"/>
        <v>184.0517958885172</v>
      </c>
      <c r="V771" s="2">
        <f t="shared" si="168"/>
        <v>7.2463569995603978E-9</v>
      </c>
      <c r="W771" s="2">
        <f t="shared" si="169"/>
        <v>3.1502157834494503E-14</v>
      </c>
    </row>
    <row r="772" spans="1:23" x14ac:dyDescent="0.45">
      <c r="A772">
        <v>-32.130249999999997</v>
      </c>
      <c r="B772">
        <v>25.546700000000001</v>
      </c>
      <c r="C772">
        <v>-30.509679999999999</v>
      </c>
      <c r="D772">
        <v>19.60276</v>
      </c>
      <c r="E772" s="10">
        <v>593510.87399999995</v>
      </c>
      <c r="F772" s="10" t="s">
        <v>2152</v>
      </c>
      <c r="G772" s="10" t="s">
        <v>2153</v>
      </c>
      <c r="H772" s="10">
        <v>593510.87353283504</v>
      </c>
      <c r="I772" s="10">
        <v>-73.942266649534105</v>
      </c>
      <c r="J772" s="10">
        <v>-70.850163046321796</v>
      </c>
      <c r="K772" s="4">
        <f t="shared" si="177"/>
        <v>286.05773333333332</v>
      </c>
      <c r="L772" s="4">
        <f t="shared" si="178"/>
        <v>289.14983611111109</v>
      </c>
      <c r="M772" s="4">
        <f t="shared" si="179"/>
        <v>286.05773335046592</v>
      </c>
      <c r="N772" s="4">
        <f t="shared" si="180"/>
        <v>289.14983695367823</v>
      </c>
      <c r="O772" s="3">
        <f t="shared" si="170"/>
        <v>593510.87354394293</v>
      </c>
      <c r="P772" s="2">
        <f t="shared" si="172"/>
        <v>7.6840550567067987E-10</v>
      </c>
      <c r="Q772" s="2">
        <f t="shared" si="173"/>
        <v>1.8715553232108201E-11</v>
      </c>
      <c r="R772" s="6">
        <f t="shared" si="174"/>
        <v>286.05773335035201</v>
      </c>
      <c r="S772" s="2">
        <f t="shared" si="175"/>
        <v>5.9493907173693407E-11</v>
      </c>
      <c r="T772" s="2">
        <f t="shared" si="171"/>
        <v>3.9822105161371865E-13</v>
      </c>
      <c r="U772" s="6">
        <f t="shared" si="176"/>
        <v>289.14983695358382</v>
      </c>
      <c r="V772" s="2">
        <f t="shared" si="168"/>
        <v>2.9136199457395228E-9</v>
      </c>
      <c r="W772" s="2">
        <f t="shared" si="169"/>
        <v>3.2653284443292872E-13</v>
      </c>
    </row>
    <row r="773" spans="1:23" x14ac:dyDescent="0.45">
      <c r="A773">
        <v>14.0237</v>
      </c>
      <c r="B773">
        <v>105.60254999999999</v>
      </c>
      <c r="C773">
        <v>15.25897</v>
      </c>
      <c r="D773">
        <v>96.285849999999996</v>
      </c>
      <c r="E773" s="10">
        <v>1012836.411</v>
      </c>
      <c r="F773" s="10" t="s">
        <v>2154</v>
      </c>
      <c r="G773" s="10" t="s">
        <v>2155</v>
      </c>
      <c r="H773" s="10">
        <v>1012836.4110346</v>
      </c>
      <c r="I773" s="10">
        <v>-81.082437452571199</v>
      </c>
      <c r="J773" s="10">
        <v>-83.442433268492806</v>
      </c>
      <c r="K773" s="4">
        <f t="shared" si="177"/>
        <v>278.91756388888888</v>
      </c>
      <c r="L773" s="4">
        <f t="shared" si="178"/>
        <v>276.55756666666667</v>
      </c>
      <c r="M773" s="4">
        <f t="shared" si="179"/>
        <v>278.91756254742882</v>
      </c>
      <c r="N773" s="4">
        <f t="shared" si="180"/>
        <v>276.55756673150722</v>
      </c>
      <c r="O773" s="3">
        <f t="shared" si="170"/>
        <v>1012836.4110310932</v>
      </c>
      <c r="P773" s="2">
        <f t="shared" si="172"/>
        <v>3.0699184541297256E-11</v>
      </c>
      <c r="Q773" s="2">
        <f t="shared" si="173"/>
        <v>3.4623347869283509E-12</v>
      </c>
      <c r="R773" s="6">
        <f t="shared" si="174"/>
        <v>278.91756254740937</v>
      </c>
      <c r="S773" s="2">
        <f t="shared" si="175"/>
        <v>4.8095913530024697E-9</v>
      </c>
      <c r="T773" s="2">
        <f t="shared" si="171"/>
        <v>6.969962404963499E-14</v>
      </c>
      <c r="U773" s="6">
        <f t="shared" si="176"/>
        <v>276.55756673148068</v>
      </c>
      <c r="V773" s="2">
        <f t="shared" si="168"/>
        <v>2.3435989777705299E-10</v>
      </c>
      <c r="W773" s="2">
        <f t="shared" si="169"/>
        <v>9.5986802754050504E-14</v>
      </c>
    </row>
    <row r="774" spans="1:23" x14ac:dyDescent="0.4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10">
        <v>797599.85</v>
      </c>
      <c r="F774" s="10" t="s">
        <v>2156</v>
      </c>
      <c r="G774" s="10" t="s">
        <v>2157</v>
      </c>
      <c r="H774" s="10">
        <v>797599.85035614402</v>
      </c>
      <c r="I774" s="10">
        <v>98.329918788292304</v>
      </c>
      <c r="J774" s="10">
        <v>100.360496631312</v>
      </c>
      <c r="K774" s="4">
        <f t="shared" si="177"/>
        <v>98.329919444444442</v>
      </c>
      <c r="L774" s="4">
        <f t="shared" si="178"/>
        <v>100.36049722222225</v>
      </c>
      <c r="M774" s="4">
        <f t="shared" si="179"/>
        <v>98.329918788292275</v>
      </c>
      <c r="N774" s="4">
        <f t="shared" si="180"/>
        <v>100.360496631312</v>
      </c>
      <c r="O774" s="3">
        <f t="shared" si="170"/>
        <v>797599.85035399394</v>
      </c>
      <c r="P774" s="2">
        <f t="shared" si="172"/>
        <v>4.4382401072607521E-10</v>
      </c>
      <c r="Q774" s="2">
        <f t="shared" si="173"/>
        <v>2.6956807700773873E-12</v>
      </c>
      <c r="R774" s="6">
        <f t="shared" si="174"/>
        <v>98.329918788257046</v>
      </c>
      <c r="S774" s="2">
        <f t="shared" si="175"/>
        <v>6.673323843676432E-9</v>
      </c>
      <c r="T774" s="2">
        <f t="shared" si="171"/>
        <v>3.5827049664135695E-13</v>
      </c>
      <c r="U774" s="6">
        <f t="shared" si="176"/>
        <v>100.36049663128395</v>
      </c>
      <c r="V774" s="2">
        <f t="shared" si="168"/>
        <v>5.8881563517429437E-9</v>
      </c>
      <c r="W774" s="2">
        <f t="shared" si="169"/>
        <v>2.7951463124841287E-13</v>
      </c>
    </row>
    <row r="775" spans="1:23" x14ac:dyDescent="0.45">
      <c r="A775">
        <v>25.162299999999998</v>
      </c>
      <c r="B775">
        <v>32.969709999999999</v>
      </c>
      <c r="C775">
        <v>15.16952</v>
      </c>
      <c r="D775">
        <v>42.552950000000003</v>
      </c>
      <c r="E775" s="10">
        <v>1491183.7849999999</v>
      </c>
      <c r="F775" s="10" t="s">
        <v>2158</v>
      </c>
      <c r="G775" s="10" t="s">
        <v>2159</v>
      </c>
      <c r="H775" s="10">
        <v>1491183.78536745</v>
      </c>
      <c r="I775" s="10">
        <v>136.07319245975901</v>
      </c>
      <c r="J775" s="10">
        <v>139.39642865089701</v>
      </c>
      <c r="K775" s="4">
        <f t="shared" si="177"/>
        <v>136.07319166666667</v>
      </c>
      <c r="L775" s="4">
        <f t="shared" si="178"/>
        <v>139.39642777777777</v>
      </c>
      <c r="M775" s="4">
        <f t="shared" si="179"/>
        <v>136.07319245975901</v>
      </c>
      <c r="N775" s="4">
        <f t="shared" si="180"/>
        <v>139.39642865089701</v>
      </c>
      <c r="O775" s="3">
        <f t="shared" si="170"/>
        <v>1491183.7852174009</v>
      </c>
      <c r="P775" s="2">
        <f t="shared" si="172"/>
        <v>1.4579085360623588E-10</v>
      </c>
      <c r="Q775" s="2">
        <f t="shared" si="173"/>
        <v>1.0062415294411471E-10</v>
      </c>
      <c r="R775" s="6">
        <f t="shared" si="174"/>
        <v>136.07319245968569</v>
      </c>
      <c r="S775" s="2">
        <f t="shared" si="175"/>
        <v>5.8278857320977065E-9</v>
      </c>
      <c r="T775" s="2">
        <f t="shared" si="171"/>
        <v>5.3888652867557044E-13</v>
      </c>
      <c r="U775" s="6">
        <f t="shared" si="176"/>
        <v>139.39642865083167</v>
      </c>
      <c r="V775" s="2">
        <f t="shared" si="168"/>
        <v>6.2631009001440431E-9</v>
      </c>
      <c r="W775" s="2">
        <f t="shared" si="169"/>
        <v>4.6874593999921926E-13</v>
      </c>
    </row>
    <row r="776" spans="1:23" x14ac:dyDescent="0.4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10">
        <v>1048756.311</v>
      </c>
      <c r="F776" s="10" t="s">
        <v>2160</v>
      </c>
      <c r="G776" s="10" t="s">
        <v>2161</v>
      </c>
      <c r="H776" s="10">
        <v>1048756.3107733801</v>
      </c>
      <c r="I776" s="10">
        <v>-94.135345556127504</v>
      </c>
      <c r="J776" s="10">
        <v>-92.691123496754201</v>
      </c>
      <c r="K776" s="4">
        <f t="shared" si="177"/>
        <v>265.86465555555554</v>
      </c>
      <c r="L776" s="4">
        <f t="shared" si="178"/>
        <v>267.30887777777775</v>
      </c>
      <c r="M776" s="4">
        <f t="shared" si="179"/>
        <v>265.8646544438725</v>
      </c>
      <c r="N776" s="4">
        <f t="shared" si="180"/>
        <v>267.30887650324581</v>
      </c>
      <c r="O776" s="3">
        <f t="shared" si="170"/>
        <v>1048756.3107671314</v>
      </c>
      <c r="P776" s="2">
        <f t="shared" si="172"/>
        <v>2.2204261619817342E-10</v>
      </c>
      <c r="Q776" s="2">
        <f t="shared" si="173"/>
        <v>5.9582085468211323E-12</v>
      </c>
      <c r="R776" s="6">
        <f t="shared" si="174"/>
        <v>265.86465444387517</v>
      </c>
      <c r="S776" s="2">
        <f t="shared" si="175"/>
        <v>4.181377076523853E-9</v>
      </c>
      <c r="T776" s="2">
        <f t="shared" si="171"/>
        <v>1.0048875026454466E-14</v>
      </c>
      <c r="U776" s="6">
        <f t="shared" si="176"/>
        <v>267.30887650324985</v>
      </c>
      <c r="V776" s="2">
        <f t="shared" si="168"/>
        <v>4.7679969114992795E-9</v>
      </c>
      <c r="W776" s="2">
        <f t="shared" si="169"/>
        <v>1.5098199475872486E-14</v>
      </c>
    </row>
    <row r="777" spans="1:23" x14ac:dyDescent="0.45">
      <c r="A777">
        <v>-24.050809999999998</v>
      </c>
      <c r="B777">
        <v>79.369389999999996</v>
      </c>
      <c r="C777">
        <v>-15.2516</v>
      </c>
      <c r="D777">
        <v>87.076659999999904</v>
      </c>
      <c r="E777" s="10">
        <v>1265036.879</v>
      </c>
      <c r="F777" s="10" t="s">
        <v>2162</v>
      </c>
      <c r="G777" s="10" t="s">
        <v>2163</v>
      </c>
      <c r="H777" s="10">
        <v>1265036.8791334101</v>
      </c>
      <c r="I777" s="10">
        <v>41.057758784523699</v>
      </c>
      <c r="J777" s="10">
        <v>38.454664753895301</v>
      </c>
      <c r="K777" s="4">
        <f t="shared" si="177"/>
        <v>41.057758333333332</v>
      </c>
      <c r="L777" s="4">
        <f t="shared" si="178"/>
        <v>38.454663888888888</v>
      </c>
      <c r="M777" s="4">
        <f t="shared" si="179"/>
        <v>41.057758784523685</v>
      </c>
      <c r="N777" s="4">
        <f t="shared" si="180"/>
        <v>38.454664753895315</v>
      </c>
      <c r="O777" s="3">
        <f t="shared" si="170"/>
        <v>1265036.8789942253</v>
      </c>
      <c r="P777" s="2">
        <f t="shared" si="172"/>
        <v>4.5648199825352877E-12</v>
      </c>
      <c r="Q777" s="2">
        <f t="shared" si="173"/>
        <v>1.1002427208902183E-10</v>
      </c>
      <c r="R777" s="6">
        <f t="shared" si="174"/>
        <v>41.057758784590042</v>
      </c>
      <c r="S777" s="2">
        <f t="shared" si="175"/>
        <v>1.0990778077981436E-8</v>
      </c>
      <c r="T777" s="2">
        <f t="shared" si="171"/>
        <v>1.6162008852185228E-12</v>
      </c>
      <c r="U777" s="6">
        <f t="shared" si="176"/>
        <v>38.454664753955797</v>
      </c>
      <c r="V777" s="2">
        <f t="shared" si="168"/>
        <v>2.2495760495330013E-8</v>
      </c>
      <c r="W777" s="2">
        <f t="shared" si="169"/>
        <v>1.5727974240569392E-12</v>
      </c>
    </row>
    <row r="778" spans="1:23" x14ac:dyDescent="0.4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10">
        <v>124217.11599999999</v>
      </c>
      <c r="F778" s="10" t="s">
        <v>2164</v>
      </c>
      <c r="G778" s="10" t="s">
        <v>2165</v>
      </c>
      <c r="H778" s="10">
        <v>124217.11630321899</v>
      </c>
      <c r="I778" s="10">
        <v>43.555672763220201</v>
      </c>
      <c r="J778" s="10">
        <v>42.555509658871003</v>
      </c>
      <c r="K778" s="4">
        <f t="shared" si="177"/>
        <v>43.555672222222221</v>
      </c>
      <c r="L778" s="4">
        <f t="shared" si="178"/>
        <v>42.555508333333364</v>
      </c>
      <c r="M778" s="4">
        <f t="shared" si="179"/>
        <v>43.555672763220173</v>
      </c>
      <c r="N778" s="4">
        <f t="shared" si="180"/>
        <v>42.555509658871017</v>
      </c>
      <c r="O778" s="3">
        <f t="shared" si="170"/>
        <v>124217.11633979884</v>
      </c>
      <c r="P778" s="2">
        <f t="shared" si="172"/>
        <v>2.7355235615245925E-9</v>
      </c>
      <c r="Q778" s="2">
        <f t="shared" si="173"/>
        <v>2.9448315087418254E-10</v>
      </c>
      <c r="R778" s="6">
        <f t="shared" si="174"/>
        <v>43.555672763194984</v>
      </c>
      <c r="S778" s="2">
        <f t="shared" si="175"/>
        <v>1.2420259770395542E-8</v>
      </c>
      <c r="T778" s="2">
        <f t="shared" si="171"/>
        <v>5.7831135153457539E-13</v>
      </c>
      <c r="U778" s="6">
        <f t="shared" si="176"/>
        <v>42.555509658846574</v>
      </c>
      <c r="V778" s="2">
        <f t="shared" si="168"/>
        <v>3.1147864570702098E-8</v>
      </c>
      <c r="W778" s="2">
        <f t="shared" si="169"/>
        <v>5.7437145756406631E-13</v>
      </c>
    </row>
    <row r="779" spans="1:23" x14ac:dyDescent="0.45">
      <c r="A779">
        <v>-50.51388</v>
      </c>
      <c r="B779">
        <v>63.461190000000002</v>
      </c>
      <c r="C779">
        <v>-45.359879999999997</v>
      </c>
      <c r="D779">
        <v>67.691640000000007</v>
      </c>
      <c r="E779" s="10">
        <v>654197.86399999994</v>
      </c>
      <c r="F779" s="10" t="s">
        <v>2166</v>
      </c>
      <c r="G779" s="10" t="s">
        <v>2167</v>
      </c>
      <c r="H779" s="10">
        <v>654197.86435915204</v>
      </c>
      <c r="I779" s="10">
        <v>30.470718123653199</v>
      </c>
      <c r="J779" s="10">
        <v>27.3261742304934</v>
      </c>
      <c r="K779" s="4">
        <f t="shared" si="177"/>
        <v>30.470719444444445</v>
      </c>
      <c r="L779" s="4">
        <f t="shared" si="178"/>
        <v>27.326175000000035</v>
      </c>
      <c r="M779" s="4">
        <f t="shared" si="179"/>
        <v>30.470718123653228</v>
      </c>
      <c r="N779" s="4">
        <f t="shared" si="180"/>
        <v>27.326174230493393</v>
      </c>
      <c r="O779" s="3">
        <f t="shared" si="170"/>
        <v>654197.86448154226</v>
      </c>
      <c r="P779" s="2">
        <f t="shared" si="172"/>
        <v>7.3608053887715581E-10</v>
      </c>
      <c r="Q779" s="2">
        <f t="shared" si="173"/>
        <v>1.8708441050059537E-10</v>
      </c>
      <c r="R779" s="6">
        <f t="shared" si="174"/>
        <v>30.470718123561024</v>
      </c>
      <c r="S779" s="2">
        <f t="shared" si="175"/>
        <v>4.3349269216552062E-8</v>
      </c>
      <c r="T779" s="2">
        <f t="shared" si="171"/>
        <v>3.0259732551014399E-12</v>
      </c>
      <c r="U779" s="6">
        <f t="shared" si="176"/>
        <v>27.326174230412484</v>
      </c>
      <c r="V779" s="2">
        <f t="shared" si="168"/>
        <v>2.8163017730048636E-8</v>
      </c>
      <c r="W779" s="2">
        <f t="shared" si="169"/>
        <v>2.9608792156025761E-12</v>
      </c>
    </row>
    <row r="780" spans="1:23" x14ac:dyDescent="0.4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10">
        <v>518482.88900000002</v>
      </c>
      <c r="F780" s="10" t="s">
        <v>2168</v>
      </c>
      <c r="G780" s="10" t="s">
        <v>2169</v>
      </c>
      <c r="H780" s="10">
        <v>518482.88902502501</v>
      </c>
      <c r="I780" s="10">
        <v>22.008718598981499</v>
      </c>
      <c r="J780" s="10">
        <v>24.963518866523302</v>
      </c>
      <c r="K780" s="4">
        <f t="shared" si="177"/>
        <v>22.008719444444445</v>
      </c>
      <c r="L780" s="4">
        <f t="shared" si="178"/>
        <v>24.963519444444444</v>
      </c>
      <c r="M780" s="4">
        <f t="shared" si="179"/>
        <v>22.008718598981488</v>
      </c>
      <c r="N780" s="4">
        <f t="shared" si="180"/>
        <v>24.963518866523316</v>
      </c>
      <c r="O780" s="3">
        <f t="shared" si="170"/>
        <v>518482.88925850263</v>
      </c>
      <c r="P780" s="2">
        <f t="shared" si="172"/>
        <v>4.9857500433501516E-10</v>
      </c>
      <c r="Q780" s="2">
        <f t="shared" si="173"/>
        <v>4.5030921318148616E-10</v>
      </c>
      <c r="R780" s="6">
        <f t="shared" si="174"/>
        <v>22.00871859897806</v>
      </c>
      <c r="S780" s="2">
        <f t="shared" si="175"/>
        <v>3.8415064858108099E-8</v>
      </c>
      <c r="T780" s="2">
        <f t="shared" si="171"/>
        <v>1.5577320799590487E-13</v>
      </c>
      <c r="U780" s="6">
        <f t="shared" si="176"/>
        <v>24.963518866519426</v>
      </c>
      <c r="V780" s="2">
        <f t="shared" si="168"/>
        <v>2.3150782859360294E-8</v>
      </c>
      <c r="W780" s="2">
        <f t="shared" si="169"/>
        <v>1.5583626247113063E-13</v>
      </c>
    </row>
    <row r="781" spans="1:23" x14ac:dyDescent="0.45">
      <c r="A781">
        <v>-88.577579999999998</v>
      </c>
      <c r="B781">
        <v>-27.12125</v>
      </c>
      <c r="C781">
        <v>-89.046329999999998</v>
      </c>
      <c r="D781">
        <v>-36.98312</v>
      </c>
      <c r="E781" s="10">
        <v>56931.964</v>
      </c>
      <c r="F781" s="10" t="s">
        <v>2170</v>
      </c>
      <c r="G781" s="10" t="s">
        <v>2171</v>
      </c>
      <c r="H781" s="10">
        <v>56931.964174022803</v>
      </c>
      <c r="I781" s="10">
        <v>-161.31044666728801</v>
      </c>
      <c r="J781" s="10">
        <v>-151.45060412381699</v>
      </c>
      <c r="K781" s="4">
        <f t="shared" si="177"/>
        <v>198.68955277777778</v>
      </c>
      <c r="L781" s="4">
        <f t="shared" si="178"/>
        <v>208.54939722222221</v>
      </c>
      <c r="M781" s="4">
        <f t="shared" si="179"/>
        <v>198.68955333271199</v>
      </c>
      <c r="N781" s="4">
        <f t="shared" si="180"/>
        <v>208.54939587618301</v>
      </c>
      <c r="O781" s="3">
        <f t="shared" si="170"/>
        <v>56931.964144393882</v>
      </c>
      <c r="P781" s="2">
        <f t="shared" si="172"/>
        <v>2.5362533037309121E-9</v>
      </c>
      <c r="Q781" s="2">
        <f t="shared" si="173"/>
        <v>5.2042683219690007E-10</v>
      </c>
      <c r="R781" s="6">
        <f t="shared" si="174"/>
        <v>198.689553332683</v>
      </c>
      <c r="S781" s="2">
        <f t="shared" si="175"/>
        <v>2.7928253890941124E-9</v>
      </c>
      <c r="T781" s="2">
        <f t="shared" si="171"/>
        <v>1.4590673305539708E-13</v>
      </c>
      <c r="U781" s="6">
        <f t="shared" si="176"/>
        <v>208.54939587613472</v>
      </c>
      <c r="V781" s="2">
        <f t="shared" ref="V781:V844" si="181">ABS((L781-U781)/L781)</f>
        <v>6.4545259048359501E-9</v>
      </c>
      <c r="W781" s="2">
        <f t="shared" ref="W781:W844" si="182">ABS((N781-U781)/N781)</f>
        <v>2.3154458980512014E-13</v>
      </c>
    </row>
    <row r="782" spans="1:23" x14ac:dyDescent="0.45">
      <c r="A782">
        <v>-77.384259999999998</v>
      </c>
      <c r="B782">
        <v>13.02515</v>
      </c>
      <c r="C782">
        <v>-77.269189999999995</v>
      </c>
      <c r="D782">
        <v>5.4575899999999802</v>
      </c>
      <c r="E782" s="10">
        <v>185725.16800000001</v>
      </c>
      <c r="F782" s="10" t="s">
        <v>2172</v>
      </c>
      <c r="G782" s="10" t="s">
        <v>2173</v>
      </c>
      <c r="H782" s="10">
        <v>185725.16845586</v>
      </c>
      <c r="I782" s="10">
        <v>-89.734133326559601</v>
      </c>
      <c r="J782" s="10">
        <v>-82.350421811262294</v>
      </c>
      <c r="K782" s="4">
        <f t="shared" si="177"/>
        <v>270.26586666666668</v>
      </c>
      <c r="L782" s="4">
        <f t="shared" si="178"/>
        <v>277.64957777777778</v>
      </c>
      <c r="M782" s="4">
        <f t="shared" si="179"/>
        <v>270.26586667344043</v>
      </c>
      <c r="N782" s="4">
        <f t="shared" si="180"/>
        <v>277.64957818873768</v>
      </c>
      <c r="O782" s="3">
        <f t="shared" si="170"/>
        <v>185725.16837155318</v>
      </c>
      <c r="P782" s="2">
        <f t="shared" si="172"/>
        <v>2.0005537343812076E-9</v>
      </c>
      <c r="Q782" s="2">
        <f t="shared" si="173"/>
        <v>4.5393315625870347E-10</v>
      </c>
      <c r="R782" s="6">
        <f t="shared" si="174"/>
        <v>270.26586667346987</v>
      </c>
      <c r="S782" s="2">
        <f t="shared" si="175"/>
        <v>2.5172216467530559E-11</v>
      </c>
      <c r="T782" s="2">
        <f t="shared" si="171"/>
        <v>1.0894787170988382E-13</v>
      </c>
      <c r="U782" s="6">
        <f t="shared" si="176"/>
        <v>277.64957818873847</v>
      </c>
      <c r="V782" s="2">
        <f t="shared" si="181"/>
        <v>1.4801416162665569E-9</v>
      </c>
      <c r="W782" s="2">
        <f t="shared" si="182"/>
        <v>2.8662311293350729E-15</v>
      </c>
    </row>
    <row r="783" spans="1:23" x14ac:dyDescent="0.45">
      <c r="A783">
        <v>25.873139999999999</v>
      </c>
      <c r="B783">
        <v>152.13650000000001</v>
      </c>
      <c r="C783">
        <v>16.34149</v>
      </c>
      <c r="D783">
        <v>142.54756</v>
      </c>
      <c r="E783" s="10">
        <v>1450056.5689999999</v>
      </c>
      <c r="F783" s="10" t="s">
        <v>2174</v>
      </c>
      <c r="G783" s="10" t="s">
        <v>2175</v>
      </c>
      <c r="H783" s="10">
        <v>1450056.56904085</v>
      </c>
      <c r="I783" s="10">
        <v>-134.81405971946401</v>
      </c>
      <c r="J783" s="10">
        <v>-138.28630517451501</v>
      </c>
      <c r="K783" s="4">
        <f t="shared" si="177"/>
        <v>225.18594166666668</v>
      </c>
      <c r="L783" s="4">
        <f t="shared" si="178"/>
        <v>221.71369444444446</v>
      </c>
      <c r="M783" s="4">
        <f t="shared" si="179"/>
        <v>225.18594028053599</v>
      </c>
      <c r="N783" s="4">
        <f t="shared" si="180"/>
        <v>221.71369482548499</v>
      </c>
      <c r="O783" s="3">
        <f t="shared" si="170"/>
        <v>1450056.5688938876</v>
      </c>
      <c r="P783" s="2">
        <f t="shared" si="172"/>
        <v>7.3178064417021678E-11</v>
      </c>
      <c r="Q783" s="2">
        <f t="shared" si="173"/>
        <v>1.0134947324219785E-10</v>
      </c>
      <c r="R783" s="6">
        <f t="shared" si="174"/>
        <v>225.18594028061591</v>
      </c>
      <c r="S783" s="2">
        <f t="shared" si="175"/>
        <v>6.1551389887451299E-9</v>
      </c>
      <c r="T783" s="2">
        <f t="shared" si="171"/>
        <v>3.5491490640459019E-13</v>
      </c>
      <c r="U783" s="6">
        <f t="shared" si="176"/>
        <v>221.71369482555636</v>
      </c>
      <c r="V783" s="2">
        <f t="shared" si="181"/>
        <v>1.7189371359314459E-9</v>
      </c>
      <c r="W783" s="2">
        <f t="shared" si="182"/>
        <v>3.218877049336925E-13</v>
      </c>
    </row>
    <row r="784" spans="1:23" x14ac:dyDescent="0.45">
      <c r="A784">
        <v>60.635190000000001</v>
      </c>
      <c r="B784">
        <v>-18.58577</v>
      </c>
      <c r="C784">
        <v>56.199249999999999</v>
      </c>
      <c r="D784">
        <v>-21.83446</v>
      </c>
      <c r="E784" s="10">
        <v>529160.87899999996</v>
      </c>
      <c r="F784" s="10" t="s">
        <v>2176</v>
      </c>
      <c r="G784" s="10" t="s">
        <v>2177</v>
      </c>
      <c r="H784" s="10">
        <v>529160.87919562205</v>
      </c>
      <c r="I784" s="10">
        <v>-157.58526967570299</v>
      </c>
      <c r="J784" s="10">
        <v>-160.355058453911</v>
      </c>
      <c r="K784" s="4">
        <f t="shared" si="177"/>
        <v>202.41473055555556</v>
      </c>
      <c r="L784" s="4">
        <f t="shared" si="178"/>
        <v>199.64494166666668</v>
      </c>
      <c r="M784" s="4">
        <f t="shared" si="179"/>
        <v>202.41473032429701</v>
      </c>
      <c r="N784" s="4">
        <f t="shared" si="180"/>
        <v>199.644941546089</v>
      </c>
      <c r="O784" s="3">
        <f t="shared" si="170"/>
        <v>529160.87944098352</v>
      </c>
      <c r="P784" s="2">
        <f t="shared" si="172"/>
        <v>8.3336388778442875E-10</v>
      </c>
      <c r="Q784" s="2">
        <f t="shared" si="173"/>
        <v>4.6368029483391378E-10</v>
      </c>
      <c r="R784" s="6">
        <f t="shared" si="174"/>
        <v>202.41473032429391</v>
      </c>
      <c r="S784" s="2">
        <f t="shared" si="175"/>
        <v>1.1425139414100131E-9</v>
      </c>
      <c r="T784" s="2">
        <f t="shared" si="171"/>
        <v>1.5305043871810402E-14</v>
      </c>
      <c r="U784" s="6">
        <f t="shared" si="176"/>
        <v>199.64494154608698</v>
      </c>
      <c r="V784" s="2">
        <f t="shared" si="181"/>
        <v>6.0397071975763157E-10</v>
      </c>
      <c r="W784" s="2">
        <f t="shared" si="182"/>
        <v>1.0107650882268074E-14</v>
      </c>
    </row>
    <row r="785" spans="1:23" x14ac:dyDescent="0.4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10">
        <v>711943.01</v>
      </c>
      <c r="F785" s="10" t="s">
        <v>2178</v>
      </c>
      <c r="G785" s="10" t="s">
        <v>2179</v>
      </c>
      <c r="H785" s="10">
        <v>711943.01044042897</v>
      </c>
      <c r="I785" s="10">
        <v>145.05892981727101</v>
      </c>
      <c r="J785" s="10">
        <v>152.60059559976901</v>
      </c>
      <c r="K785" s="4">
        <f t="shared" si="177"/>
        <v>145.05893055555555</v>
      </c>
      <c r="L785" s="4">
        <f t="shared" si="178"/>
        <v>152.60059444444437</v>
      </c>
      <c r="M785" s="4">
        <f t="shared" si="179"/>
        <v>145.05892981727101</v>
      </c>
      <c r="N785" s="4">
        <f t="shared" si="180"/>
        <v>152.60059559976901</v>
      </c>
      <c r="O785" s="3">
        <f t="shared" si="170"/>
        <v>711943.01056768955</v>
      </c>
      <c r="P785" s="2">
        <f t="shared" si="172"/>
        <v>7.9738059090153043E-10</v>
      </c>
      <c r="Q785" s="2">
        <f t="shared" si="173"/>
        <v>1.787510676305466E-10</v>
      </c>
      <c r="R785" s="6">
        <f t="shared" si="174"/>
        <v>145.05892981725745</v>
      </c>
      <c r="S785" s="2">
        <f t="shared" si="175"/>
        <v>5.0896425017427692E-9</v>
      </c>
      <c r="T785" s="2">
        <f t="shared" si="171"/>
        <v>9.3459640267445079E-14</v>
      </c>
      <c r="U785" s="6">
        <f t="shared" si="176"/>
        <v>152.60059559975898</v>
      </c>
      <c r="V785" s="2">
        <f t="shared" si="181"/>
        <v>7.5708394902064054E-9</v>
      </c>
      <c r="W785" s="2">
        <f t="shared" si="182"/>
        <v>6.5745899545806244E-14</v>
      </c>
    </row>
    <row r="786" spans="1:23" x14ac:dyDescent="0.45">
      <c r="A786">
        <v>-26.066759999999999</v>
      </c>
      <c r="B786">
        <v>-120.9024</v>
      </c>
      <c r="C786">
        <v>-17.47777</v>
      </c>
      <c r="D786">
        <v>-113.44262999999999</v>
      </c>
      <c r="E786" s="10">
        <v>1223926.821</v>
      </c>
      <c r="F786" s="10" t="s">
        <v>2180</v>
      </c>
      <c r="G786" s="10" t="s">
        <v>2181</v>
      </c>
      <c r="H786" s="10">
        <v>1223926.8209575999</v>
      </c>
      <c r="I786" s="10">
        <v>40.505452443526103</v>
      </c>
      <c r="J786" s="10">
        <v>37.727264878288302</v>
      </c>
      <c r="K786" s="4">
        <f t="shared" si="177"/>
        <v>40.505452777777776</v>
      </c>
      <c r="L786" s="4">
        <f t="shared" si="178"/>
        <v>37.727263888888899</v>
      </c>
      <c r="M786" s="4">
        <f t="shared" si="179"/>
        <v>40.50545244352611</v>
      </c>
      <c r="N786" s="4">
        <f t="shared" si="180"/>
        <v>37.727264878288281</v>
      </c>
      <c r="O786" s="3">
        <f t="shared" si="170"/>
        <v>1223926.8207883034</v>
      </c>
      <c r="P786" s="2">
        <f t="shared" si="172"/>
        <v>1.7296508459259256E-10</v>
      </c>
      <c r="Q786" s="2">
        <f t="shared" si="173"/>
        <v>1.3832241699963329E-10</v>
      </c>
      <c r="R786" s="6">
        <f t="shared" si="174"/>
        <v>40.505452443602742</v>
      </c>
      <c r="S786" s="2">
        <f t="shared" si="175"/>
        <v>8.2501246472780516E-9</v>
      </c>
      <c r="T786" s="2">
        <f t="shared" si="171"/>
        <v>1.8918942865425198E-12</v>
      </c>
      <c r="U786" s="6">
        <f t="shared" si="176"/>
        <v>37.72726487835768</v>
      </c>
      <c r="V786" s="2">
        <f t="shared" si="181"/>
        <v>2.6226889487714472E-8</v>
      </c>
      <c r="W786" s="2">
        <f t="shared" si="182"/>
        <v>1.8394842357529963E-12</v>
      </c>
    </row>
    <row r="787" spans="1:23" x14ac:dyDescent="0.45">
      <c r="A787">
        <v>-89.244209999999995</v>
      </c>
      <c r="B787">
        <v>76.12988</v>
      </c>
      <c r="C787">
        <v>-82.444220000000001</v>
      </c>
      <c r="D787">
        <v>85.384739999999994</v>
      </c>
      <c r="E787" s="10">
        <v>760688.05500000005</v>
      </c>
      <c r="F787" s="10" t="s">
        <v>2182</v>
      </c>
      <c r="G787" s="10" t="s">
        <v>2183</v>
      </c>
      <c r="H787" s="10">
        <v>760688.05545319698</v>
      </c>
      <c r="I787" s="10">
        <v>10.271869436806201</v>
      </c>
      <c r="J787" s="10">
        <v>1.02503226799985</v>
      </c>
      <c r="K787" s="4">
        <f t="shared" si="177"/>
        <v>10.271869444444444</v>
      </c>
      <c r="L787" s="4">
        <f t="shared" si="178"/>
        <v>1.0250333333333401</v>
      </c>
      <c r="M787" s="4">
        <f t="shared" si="179"/>
        <v>10.271869436806185</v>
      </c>
      <c r="N787" s="4">
        <f t="shared" si="180"/>
        <v>1.0250322679998476</v>
      </c>
      <c r="O787" s="3">
        <f t="shared" si="170"/>
        <v>760688.05511072313</v>
      </c>
      <c r="P787" s="2">
        <f t="shared" si="172"/>
        <v>1.455564834009192E-10</v>
      </c>
      <c r="Q787" s="2">
        <f t="shared" si="173"/>
        <v>4.502158945764588E-10</v>
      </c>
      <c r="R787" s="6">
        <f t="shared" si="174"/>
        <v>10.271869436806474</v>
      </c>
      <c r="S787" s="2">
        <f t="shared" si="175"/>
        <v>7.4358132154804661E-10</v>
      </c>
      <c r="T787" s="2">
        <f t="shared" si="171"/>
        <v>2.8188263743378434E-14</v>
      </c>
      <c r="U787" s="6">
        <f t="shared" si="176"/>
        <v>1.0250322679999704</v>
      </c>
      <c r="V787" s="2">
        <f t="shared" si="181"/>
        <v>1.0393158301287846E-6</v>
      </c>
      <c r="W787" s="2">
        <f t="shared" si="182"/>
        <v>1.1979200104904461E-13</v>
      </c>
    </row>
    <row r="788" spans="1:23" x14ac:dyDescent="0.4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10">
        <v>1183858.361</v>
      </c>
      <c r="F788" s="10" t="s">
        <v>2184</v>
      </c>
      <c r="G788" s="10" t="s">
        <v>2185</v>
      </c>
      <c r="H788" s="10">
        <v>1183858.36108521</v>
      </c>
      <c r="I788" s="10">
        <v>28.2512473879627</v>
      </c>
      <c r="J788" s="10">
        <v>34.872041322627403</v>
      </c>
      <c r="K788" s="4">
        <f t="shared" si="177"/>
        <v>28.251247222222222</v>
      </c>
      <c r="L788" s="4">
        <f t="shared" si="178"/>
        <v>34.872041666666632</v>
      </c>
      <c r="M788" s="4">
        <f t="shared" si="179"/>
        <v>28.251247387962678</v>
      </c>
      <c r="N788" s="4">
        <f t="shared" si="180"/>
        <v>34.87204132262741</v>
      </c>
      <c r="O788" s="3">
        <f t="shared" si="170"/>
        <v>1183858.3613953476</v>
      </c>
      <c r="P788" s="2">
        <f t="shared" si="172"/>
        <v>3.3394839290026256E-10</v>
      </c>
      <c r="Q788" s="2">
        <f t="shared" si="173"/>
        <v>2.619719092177658E-10</v>
      </c>
      <c r="R788" s="6">
        <f t="shared" si="174"/>
        <v>28.25124738791375</v>
      </c>
      <c r="S788" s="2">
        <f t="shared" si="175"/>
        <v>5.8649279003557026E-9</v>
      </c>
      <c r="T788" s="2">
        <f t="shared" si="171"/>
        <v>1.7318871663446543E-12</v>
      </c>
      <c r="U788" s="6">
        <f t="shared" si="176"/>
        <v>34.872041322563945</v>
      </c>
      <c r="V788" s="2">
        <f t="shared" si="181"/>
        <v>9.8675807676058716E-9</v>
      </c>
      <c r="W788" s="2">
        <f t="shared" si="182"/>
        <v>1.8199587621190158E-12</v>
      </c>
    </row>
    <row r="789" spans="1:23" x14ac:dyDescent="0.4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10">
        <v>930584.103</v>
      </c>
      <c r="F789" s="10" t="s">
        <v>2186</v>
      </c>
      <c r="G789" s="10" t="s">
        <v>2187</v>
      </c>
      <c r="H789" s="10">
        <v>930584.10287087597</v>
      </c>
      <c r="I789" s="10">
        <v>-91.347717700177398</v>
      </c>
      <c r="J789" s="10">
        <v>-89.929512112664199</v>
      </c>
      <c r="K789" s="4">
        <f t="shared" si="177"/>
        <v>268.65228333333334</v>
      </c>
      <c r="L789" s="4">
        <f t="shared" si="178"/>
        <v>270.07048888888892</v>
      </c>
      <c r="M789" s="4">
        <f t="shared" si="179"/>
        <v>268.65228229982262</v>
      </c>
      <c r="N789" s="4">
        <f t="shared" si="180"/>
        <v>270.07048788733579</v>
      </c>
      <c r="O789" s="3">
        <f t="shared" si="170"/>
        <v>930584.10286562215</v>
      </c>
      <c r="P789" s="2">
        <f t="shared" si="172"/>
        <v>1.4440162507145834E-10</v>
      </c>
      <c r="Q789" s="2">
        <f t="shared" si="173"/>
        <v>5.6457266547337177E-12</v>
      </c>
      <c r="R789" s="6">
        <f t="shared" si="174"/>
        <v>268.6522822998225</v>
      </c>
      <c r="S789" s="2">
        <f t="shared" si="175"/>
        <v>3.8470204999914176E-9</v>
      </c>
      <c r="T789" s="2">
        <f t="shared" si="171"/>
        <v>4.2317465814319304E-16</v>
      </c>
      <c r="U789" s="6">
        <f t="shared" si="176"/>
        <v>270.07048788733755</v>
      </c>
      <c r="V789" s="2">
        <f t="shared" si="181"/>
        <v>3.7084813382733028E-9</v>
      </c>
      <c r="W789" s="2">
        <f t="shared" si="182"/>
        <v>6.5247632144840488E-15</v>
      </c>
    </row>
    <row r="790" spans="1:23" x14ac:dyDescent="0.4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10">
        <v>863834.62699999998</v>
      </c>
      <c r="F790" s="10" t="s">
        <v>2188</v>
      </c>
      <c r="G790" s="10" t="s">
        <v>2189</v>
      </c>
      <c r="H790" s="10">
        <v>863834.62731647398</v>
      </c>
      <c r="I790" s="10">
        <v>-17.403198498877501</v>
      </c>
      <c r="J790" s="10">
        <v>-13.077849895633699</v>
      </c>
      <c r="K790" s="4">
        <f t="shared" si="177"/>
        <v>342.59680277777778</v>
      </c>
      <c r="L790" s="4">
        <f t="shared" si="178"/>
        <v>346.92214999999999</v>
      </c>
      <c r="M790" s="4">
        <f t="shared" si="179"/>
        <v>342.59680150112251</v>
      </c>
      <c r="N790" s="4">
        <f t="shared" si="180"/>
        <v>346.92215010436632</v>
      </c>
      <c r="O790" s="3">
        <f t="shared" si="170"/>
        <v>863834.62765070656</v>
      </c>
      <c r="P790" s="2">
        <f t="shared" si="172"/>
        <v>7.5327680116872816E-10</v>
      </c>
      <c r="Q790" s="2">
        <f t="shared" si="173"/>
        <v>3.8691732114863039E-10</v>
      </c>
      <c r="R790" s="6">
        <f t="shared" si="174"/>
        <v>342.59680150111819</v>
      </c>
      <c r="S790" s="2">
        <f t="shared" si="175"/>
        <v>3.7264200318284207E-9</v>
      </c>
      <c r="T790" s="2">
        <f t="shared" si="171"/>
        <v>1.2609866217350702E-14</v>
      </c>
      <c r="U790" s="6">
        <f t="shared" si="176"/>
        <v>346.92215010436308</v>
      </c>
      <c r="V790" s="2">
        <f t="shared" si="181"/>
        <v>3.0082569228563814E-10</v>
      </c>
      <c r="W790" s="2">
        <f t="shared" si="182"/>
        <v>9.339486896675029E-15</v>
      </c>
    </row>
    <row r="791" spans="1:23" x14ac:dyDescent="0.45">
      <c r="A791" s="7">
        <v>67.756069999999994</v>
      </c>
      <c r="B791" s="7">
        <v>-7.8779000000000003</v>
      </c>
      <c r="C791" s="7">
        <v>61.467379999999999</v>
      </c>
      <c r="D791" s="7">
        <v>-6.8839799999999496</v>
      </c>
      <c r="E791" s="10">
        <v>702689.67799999996</v>
      </c>
      <c r="F791" s="10" t="s">
        <v>2218</v>
      </c>
      <c r="G791" s="10" t="s">
        <v>2219</v>
      </c>
      <c r="H791" s="10">
        <v>702689.67756565905</v>
      </c>
      <c r="I791" s="10">
        <v>175.666966413598</v>
      </c>
      <c r="J791" s="10">
        <v>176.56625570563901</v>
      </c>
      <c r="K791" s="4">
        <f t="shared" si="177"/>
        <v>175.66696666666667</v>
      </c>
      <c r="L791" s="4">
        <f t="shared" si="178"/>
        <v>176.56625555555547</v>
      </c>
      <c r="M791" s="4">
        <f t="shared" si="179"/>
        <v>175.66696641359795</v>
      </c>
      <c r="N791" s="4">
        <f t="shared" si="180"/>
        <v>176.56625570563904</v>
      </c>
      <c r="O791" s="3">
        <f t="shared" si="170"/>
        <v>702689.677872214</v>
      </c>
      <c r="P791" s="2">
        <f t="shared" si="172"/>
        <v>1.818526151109011E-10</v>
      </c>
      <c r="Q791" s="2">
        <f t="shared" si="173"/>
        <v>4.3625936648121507E-10</v>
      </c>
      <c r="R791" s="6">
        <f t="shared" si="174"/>
        <v>175.66696641359749</v>
      </c>
      <c r="S791" s="2">
        <f t="shared" si="175"/>
        <v>1.4406190264859417E-9</v>
      </c>
      <c r="T791" s="2">
        <f t="shared" si="171"/>
        <v>2.5886901798929412E-15</v>
      </c>
      <c r="U791" s="6">
        <f t="shared" si="176"/>
        <v>176.5662557056381</v>
      </c>
      <c r="V791" s="2">
        <f t="shared" si="181"/>
        <v>8.5000741926998564E-10</v>
      </c>
      <c r="W791" s="2">
        <f t="shared" si="182"/>
        <v>5.3119799559377403E-15</v>
      </c>
    </row>
    <row r="792" spans="1:23" x14ac:dyDescent="0.45">
      <c r="A792">
        <v>-52.442160000000001</v>
      </c>
      <c r="B792">
        <v>20.656749999999999</v>
      </c>
      <c r="C792">
        <v>-60.026859999999999</v>
      </c>
      <c r="D792">
        <v>14.25952</v>
      </c>
      <c r="E792" s="10">
        <v>932048.79500000004</v>
      </c>
      <c r="F792" s="10" t="s">
        <v>2190</v>
      </c>
      <c r="G792" s="10" t="s">
        <v>2191</v>
      </c>
      <c r="H792" s="10">
        <v>932048.79506023403</v>
      </c>
      <c r="I792" s="10">
        <v>-157.46525979281401</v>
      </c>
      <c r="J792" s="10">
        <v>-152.13373491370601</v>
      </c>
      <c r="K792" s="4">
        <f t="shared" si="177"/>
        <v>202.53473888888888</v>
      </c>
      <c r="L792" s="4">
        <f t="shared" si="178"/>
        <v>207.86626388888888</v>
      </c>
      <c r="M792" s="4">
        <f t="shared" si="179"/>
        <v>202.53474020718599</v>
      </c>
      <c r="N792" s="4">
        <f t="shared" si="180"/>
        <v>207.86626508629399</v>
      </c>
      <c r="O792" s="3">
        <f t="shared" si="170"/>
        <v>932048.7954508937</v>
      </c>
      <c r="P792" s="2">
        <f t="shared" si="172"/>
        <v>4.8376614712325989E-10</v>
      </c>
      <c r="Q792" s="2">
        <f t="shared" si="173"/>
        <v>4.1914079021752665E-10</v>
      </c>
      <c r="R792" s="6">
        <f t="shared" si="174"/>
        <v>202.53474020717914</v>
      </c>
      <c r="S792" s="2">
        <f t="shared" si="175"/>
        <v>6.5089587416466577E-9</v>
      </c>
      <c r="T792" s="2">
        <f t="shared" si="171"/>
        <v>3.3819541110430886E-14</v>
      </c>
      <c r="U792" s="6">
        <f t="shared" si="176"/>
        <v>207.86626508628524</v>
      </c>
      <c r="V792" s="2">
        <f t="shared" si="181"/>
        <v>5.7604169895787557E-9</v>
      </c>
      <c r="W792" s="2">
        <f t="shared" si="182"/>
        <v>4.2113069674534872E-14</v>
      </c>
    </row>
    <row r="793" spans="1:23" x14ac:dyDescent="0.45">
      <c r="A793">
        <v>16.623619999999999</v>
      </c>
      <c r="B793">
        <v>176.03188</v>
      </c>
      <c r="C793">
        <v>12.38795</v>
      </c>
      <c r="D793">
        <v>-177.78276</v>
      </c>
      <c r="E793" s="10">
        <v>814807.42299999995</v>
      </c>
      <c r="F793" s="10" t="s">
        <v>2192</v>
      </c>
      <c r="G793" s="10" t="s">
        <v>2193</v>
      </c>
      <c r="H793" s="10">
        <v>814807.42281449097</v>
      </c>
      <c r="I793" s="10">
        <v>124.295097776272</v>
      </c>
      <c r="J793" s="10">
        <v>125.846877783257</v>
      </c>
      <c r="K793" s="4">
        <f t="shared" si="177"/>
        <v>124.29509722222222</v>
      </c>
      <c r="L793" s="4">
        <f t="shared" si="178"/>
        <v>125.84687777777776</v>
      </c>
      <c r="M793" s="4">
        <f t="shared" si="179"/>
        <v>124.29509777627197</v>
      </c>
      <c r="N793" s="4">
        <f t="shared" si="180"/>
        <v>125.84687778325701</v>
      </c>
      <c r="O793" s="3">
        <f t="shared" si="170"/>
        <v>814807.42279340525</v>
      </c>
      <c r="P793" s="2">
        <f t="shared" si="172"/>
        <v>2.5355034676745021E-10</v>
      </c>
      <c r="Q793" s="2">
        <f t="shared" si="173"/>
        <v>2.5878170197651969E-11</v>
      </c>
      <c r="R793" s="6">
        <f t="shared" si="174"/>
        <v>124.29509777622081</v>
      </c>
      <c r="S793" s="2">
        <f t="shared" si="175"/>
        <v>4.4571234232600933E-9</v>
      </c>
      <c r="T793" s="2">
        <f t="shared" si="171"/>
        <v>4.1159368221273102E-13</v>
      </c>
      <c r="U793" s="6">
        <f t="shared" si="176"/>
        <v>125.84687778320917</v>
      </c>
      <c r="V793" s="2">
        <f t="shared" si="181"/>
        <v>4.3158821092055781E-11</v>
      </c>
      <c r="W793" s="2">
        <f t="shared" si="182"/>
        <v>3.8020766719769155E-13</v>
      </c>
    </row>
    <row r="794" spans="1:23" x14ac:dyDescent="0.45">
      <c r="A794">
        <v>-25.84301</v>
      </c>
      <c r="B794">
        <v>-14.817640000000001</v>
      </c>
      <c r="C794">
        <v>-26.60894</v>
      </c>
      <c r="D794">
        <v>-6.6561299999999601</v>
      </c>
      <c r="E794" s="10">
        <v>819800.46200000006</v>
      </c>
      <c r="F794" s="10" t="s">
        <v>2194</v>
      </c>
      <c r="G794" s="10" t="s">
        <v>2195</v>
      </c>
      <c r="H794" s="10">
        <v>819800.46231509803</v>
      </c>
      <c r="I794" s="10">
        <v>97.736130050214697</v>
      </c>
      <c r="J794" s="10">
        <v>94.124433955199706</v>
      </c>
      <c r="K794" s="4">
        <f t="shared" si="177"/>
        <v>97.736130555555562</v>
      </c>
      <c r="L794" s="4">
        <f t="shared" si="178"/>
        <v>94.124433333333343</v>
      </c>
      <c r="M794" s="4">
        <f t="shared" si="179"/>
        <v>97.736130050214683</v>
      </c>
      <c r="N794" s="4">
        <f t="shared" si="180"/>
        <v>94.12443395519972</v>
      </c>
      <c r="O794" s="3">
        <f t="shared" si="170"/>
        <v>819800.46231595578</v>
      </c>
      <c r="P794" s="2">
        <f t="shared" si="172"/>
        <v>3.8540564232550081E-10</v>
      </c>
      <c r="Q794" s="2">
        <f t="shared" si="173"/>
        <v>1.0462888600948021E-12</v>
      </c>
      <c r="R794" s="6">
        <f t="shared" si="174"/>
        <v>97.736130050187569</v>
      </c>
      <c r="S794" s="2">
        <f t="shared" si="175"/>
        <v>5.1707387013815098E-9</v>
      </c>
      <c r="T794" s="2">
        <f t="shared" si="171"/>
        <v>2.7742361788495907E-13</v>
      </c>
      <c r="U794" s="6">
        <f t="shared" si="176"/>
        <v>94.124433955148518</v>
      </c>
      <c r="V794" s="2">
        <f t="shared" si="181"/>
        <v>6.6063098956249756E-9</v>
      </c>
      <c r="W794" s="2">
        <f t="shared" si="182"/>
        <v>5.4397893710833075E-13</v>
      </c>
    </row>
    <row r="795" spans="1:23" x14ac:dyDescent="0.45">
      <c r="A795">
        <v>-30.38682</v>
      </c>
      <c r="B795">
        <v>-76.668790000000001</v>
      </c>
      <c r="C795">
        <v>-23.240179999999999</v>
      </c>
      <c r="D795">
        <v>-75.047179999999997</v>
      </c>
      <c r="E795" s="10">
        <v>808065.87699999998</v>
      </c>
      <c r="F795" s="10" t="s">
        <v>2196</v>
      </c>
      <c r="G795" s="10" t="s">
        <v>2197</v>
      </c>
      <c r="H795" s="10">
        <v>808065.87718291802</v>
      </c>
      <c r="I795" s="10">
        <v>11.8821510133207</v>
      </c>
      <c r="J795" s="10">
        <v>11.1491933771217</v>
      </c>
      <c r="K795" s="4">
        <f t="shared" si="177"/>
        <v>11.882149999999999</v>
      </c>
      <c r="L795" s="4">
        <f t="shared" si="178"/>
        <v>11.149194444444447</v>
      </c>
      <c r="M795" s="4">
        <f t="shared" si="179"/>
        <v>11.882151013320708</v>
      </c>
      <c r="N795" s="4">
        <f t="shared" si="180"/>
        <v>11.149193377121719</v>
      </c>
      <c r="O795" s="3">
        <f t="shared" si="170"/>
        <v>808065.87682312343</v>
      </c>
      <c r="P795" s="2">
        <f t="shared" si="172"/>
        <v>2.188887757480793E-10</v>
      </c>
      <c r="Q795" s="2">
        <f t="shared" si="173"/>
        <v>4.4525403284754925E-10</v>
      </c>
      <c r="R795" s="6">
        <f t="shared" si="174"/>
        <v>11.8821510133609</v>
      </c>
      <c r="S795" s="2">
        <f t="shared" si="175"/>
        <v>8.528430468980181E-8</v>
      </c>
      <c r="T795" s="2">
        <f t="shared" si="171"/>
        <v>3.3825398956142066E-12</v>
      </c>
      <c r="U795" s="6">
        <f t="shared" si="176"/>
        <v>11.149193377159357</v>
      </c>
      <c r="V795" s="2">
        <f t="shared" si="181"/>
        <v>9.5727551963166492E-8</v>
      </c>
      <c r="W795" s="2">
        <f t="shared" si="182"/>
        <v>3.3758001534393519E-12</v>
      </c>
    </row>
    <row r="796" spans="1:23" x14ac:dyDescent="0.45">
      <c r="A796">
        <v>55.910029999999999</v>
      </c>
      <c r="B796">
        <v>165.71516</v>
      </c>
      <c r="C796">
        <v>55.677230000000002</v>
      </c>
      <c r="D796">
        <v>161.47691</v>
      </c>
      <c r="E796" s="10">
        <v>267061.47499999998</v>
      </c>
      <c r="F796" s="10" t="s">
        <v>2198</v>
      </c>
      <c r="G796" s="10" t="s">
        <v>2199</v>
      </c>
      <c r="H796" s="10">
        <v>267061.474830158</v>
      </c>
      <c r="I796" s="10">
        <v>-93.813345383600506</v>
      </c>
      <c r="J796" s="10">
        <v>-97.318968178122901</v>
      </c>
      <c r="K796" s="4">
        <f t="shared" si="177"/>
        <v>266.18665555555555</v>
      </c>
      <c r="L796" s="4">
        <f t="shared" si="178"/>
        <v>262.68103055555554</v>
      </c>
      <c r="M796" s="4">
        <f t="shared" si="179"/>
        <v>266.18665461639949</v>
      </c>
      <c r="N796" s="4">
        <f t="shared" si="180"/>
        <v>262.68103182187713</v>
      </c>
      <c r="O796" s="3">
        <f t="shared" si="170"/>
        <v>267061.4747891376</v>
      </c>
      <c r="P796" s="2">
        <f t="shared" si="172"/>
        <v>7.8956492670159968E-10</v>
      </c>
      <c r="Q796" s="2">
        <f t="shared" si="173"/>
        <v>1.5359906876621158E-10</v>
      </c>
      <c r="R796" s="6">
        <f t="shared" si="174"/>
        <v>266.18665461640978</v>
      </c>
      <c r="S796" s="2">
        <f t="shared" si="175"/>
        <v>3.528147426710603E-9</v>
      </c>
      <c r="T796" s="2">
        <f t="shared" si="171"/>
        <v>3.8652045981167595E-14</v>
      </c>
      <c r="U796" s="6">
        <f t="shared" si="176"/>
        <v>262.68103182188236</v>
      </c>
      <c r="V796" s="2">
        <f t="shared" si="181"/>
        <v>4.820777567098887E-9</v>
      </c>
      <c r="W796" s="2">
        <f t="shared" si="182"/>
        <v>1.9908535073596418E-14</v>
      </c>
    </row>
    <row r="797" spans="1:23" x14ac:dyDescent="0.45">
      <c r="A797">
        <v>-59.095149999999997</v>
      </c>
      <c r="B797">
        <v>129.89176</v>
      </c>
      <c r="C797">
        <v>-50.128189999999996</v>
      </c>
      <c r="D797">
        <v>136.99707000000001</v>
      </c>
      <c r="E797" s="10">
        <v>1097226.774</v>
      </c>
      <c r="F797" s="10" t="s">
        <v>2200</v>
      </c>
      <c r="G797" s="10" t="s">
        <v>2201</v>
      </c>
      <c r="H797" s="10">
        <v>1097226.77395969</v>
      </c>
      <c r="I797" s="10">
        <v>27.6544821818811</v>
      </c>
      <c r="J797" s="10">
        <v>21.841629450921499</v>
      </c>
      <c r="K797" s="4">
        <f t="shared" si="177"/>
        <v>27.654483333333335</v>
      </c>
      <c r="L797" s="4">
        <f t="shared" si="178"/>
        <v>21.841630555555525</v>
      </c>
      <c r="M797" s="4">
        <f t="shared" si="179"/>
        <v>27.654482181881122</v>
      </c>
      <c r="N797" s="4">
        <f t="shared" si="180"/>
        <v>21.841629450921516</v>
      </c>
      <c r="O797" s="3">
        <f t="shared" si="170"/>
        <v>1097226.7743865114</v>
      </c>
      <c r="P797" s="2">
        <f t="shared" si="172"/>
        <v>3.5226213074543594E-10</v>
      </c>
      <c r="Q797" s="2">
        <f t="shared" si="173"/>
        <v>3.8900017825454187E-10</v>
      </c>
      <c r="R797" s="6">
        <f t="shared" si="174"/>
        <v>27.654482181864569</v>
      </c>
      <c r="S797" s="2">
        <f t="shared" si="175"/>
        <v>4.16376886087775E-8</v>
      </c>
      <c r="T797" s="2">
        <f t="shared" si="171"/>
        <v>5.9853201808914229E-13</v>
      </c>
      <c r="U797" s="6">
        <f t="shared" si="176"/>
        <v>21.841629450908886</v>
      </c>
      <c r="V797" s="2">
        <f t="shared" si="181"/>
        <v>5.0575282657578933E-8</v>
      </c>
      <c r="W797" s="2">
        <f t="shared" si="182"/>
        <v>5.7824885073320002E-13</v>
      </c>
    </row>
    <row r="798" spans="1:23" x14ac:dyDescent="0.4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10">
        <v>446199.73</v>
      </c>
      <c r="F798" s="10" t="s">
        <v>2202</v>
      </c>
      <c r="G798" s="10" t="s">
        <v>2203</v>
      </c>
      <c r="H798" s="10">
        <v>446199.73015740199</v>
      </c>
      <c r="I798" s="10">
        <v>177.26733709244201</v>
      </c>
      <c r="J798" s="10">
        <v>176.05843630955499</v>
      </c>
      <c r="K798" s="4">
        <f t="shared" si="177"/>
        <v>177.26733611111112</v>
      </c>
      <c r="L798" s="4">
        <f t="shared" si="178"/>
        <v>176.05843611111118</v>
      </c>
      <c r="M798" s="4">
        <f t="shared" si="179"/>
        <v>177.26733709244195</v>
      </c>
      <c r="N798" s="4">
        <f t="shared" si="180"/>
        <v>176.05843630955496</v>
      </c>
      <c r="O798" s="3">
        <f t="shared" si="170"/>
        <v>446199.73011958587</v>
      </c>
      <c r="P798" s="2">
        <f t="shared" si="172"/>
        <v>2.6800978368339979E-10</v>
      </c>
      <c r="Q798" s="2">
        <f t="shared" si="173"/>
        <v>8.4751553521284714E-11</v>
      </c>
      <c r="R798" s="6">
        <f t="shared" si="174"/>
        <v>177.26733709244604</v>
      </c>
      <c r="S798" s="2">
        <f t="shared" si="175"/>
        <v>5.5359038072570613E-9</v>
      </c>
      <c r="T798" s="2">
        <f t="shared" si="171"/>
        <v>2.3087875212137297E-14</v>
      </c>
      <c r="U798" s="6">
        <f t="shared" si="176"/>
        <v>176.05843630956016</v>
      </c>
      <c r="V798" s="2">
        <f t="shared" si="181"/>
        <v>1.1271768135881671E-9</v>
      </c>
      <c r="W798" s="2">
        <f t="shared" si="182"/>
        <v>2.954230955805472E-14</v>
      </c>
    </row>
    <row r="799" spans="1:23" x14ac:dyDescent="0.4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10">
        <v>469804.15700000001</v>
      </c>
      <c r="F799" s="10" t="s">
        <v>2204</v>
      </c>
      <c r="G799" s="10" t="s">
        <v>2205</v>
      </c>
      <c r="H799" s="10">
        <v>469804.15710875299</v>
      </c>
      <c r="I799" s="10">
        <v>97.397853195514202</v>
      </c>
      <c r="J799" s="10">
        <v>91.542914522146205</v>
      </c>
      <c r="K799" s="4">
        <f t="shared" si="177"/>
        <v>97.397852777777771</v>
      </c>
      <c r="L799" s="4">
        <f t="shared" si="178"/>
        <v>91.542913888888904</v>
      </c>
      <c r="M799" s="4">
        <f t="shared" si="179"/>
        <v>97.397853195514188</v>
      </c>
      <c r="N799" s="4">
        <f t="shared" si="180"/>
        <v>91.542914522146191</v>
      </c>
      <c r="O799" s="3">
        <f t="shared" ref="O799:O862" si="183">VincentyInvDistance($A799,$B799,$C799,$D799)</f>
        <v>469804.15704232804</v>
      </c>
      <c r="P799" s="2">
        <f t="shared" si="172"/>
        <v>9.0097178385895734E-11</v>
      </c>
      <c r="Q799" s="2">
        <f t="shared" si="173"/>
        <v>1.4138860164357164E-10</v>
      </c>
      <c r="R799" s="6">
        <f t="shared" si="174"/>
        <v>97.397853195512127</v>
      </c>
      <c r="S799" s="2">
        <f t="shared" si="175"/>
        <v>4.2889483046843615E-9</v>
      </c>
      <c r="T799" s="2">
        <f t="shared" ref="T799:T862" si="184">ABS((M799-R799)/M799)</f>
        <v>2.1156256181211123E-14</v>
      </c>
      <c r="U799" s="6">
        <f t="shared" si="176"/>
        <v>91.542914522136456</v>
      </c>
      <c r="V799" s="2">
        <f t="shared" si="181"/>
        <v>6.9174939410569652E-9</v>
      </c>
      <c r="W799" s="2">
        <f t="shared" si="182"/>
        <v>1.0633739957622176E-13</v>
      </c>
    </row>
    <row r="800" spans="1:23" x14ac:dyDescent="0.4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10">
        <v>525080.65</v>
      </c>
      <c r="F800" s="10" t="s">
        <v>2206</v>
      </c>
      <c r="G800" s="10" t="s">
        <v>2207</v>
      </c>
      <c r="H800" s="10">
        <v>525080.65008331195</v>
      </c>
      <c r="I800" s="10">
        <v>-136.787284897098</v>
      </c>
      <c r="J800" s="10">
        <v>-129.22619469106999</v>
      </c>
      <c r="K800" s="4">
        <f t="shared" si="177"/>
        <v>223.21271388888889</v>
      </c>
      <c r="L800" s="4">
        <f t="shared" si="178"/>
        <v>230.77380555555555</v>
      </c>
      <c r="M800" s="4">
        <f t="shared" si="179"/>
        <v>223.212715102902</v>
      </c>
      <c r="N800" s="4">
        <f t="shared" si="180"/>
        <v>230.77380530893001</v>
      </c>
      <c r="O800" s="3">
        <f t="shared" si="183"/>
        <v>525080.6500316289</v>
      </c>
      <c r="P800" s="2">
        <f t="shared" ref="P800:P863" si="185">ABS((E800-O800)/E800)</f>
        <v>6.0236229971833697E-11</v>
      </c>
      <c r="Q800" s="2">
        <f t="shared" ref="Q800:Q863" si="186">ABS((H800-O800)/H800)</f>
        <v>9.8428779994377482E-11</v>
      </c>
      <c r="R800" s="6">
        <f t="shared" ref="R800:R863" si="187">VincentyInvFwdAzimuth($A800,$B800,$C800,$D800)</f>
        <v>223.212715102917</v>
      </c>
      <c r="S800" s="2">
        <f t="shared" ref="S800:S863" si="188">ABS((K800-R800)/K800)</f>
        <v>5.4388842642323764E-9</v>
      </c>
      <c r="T800" s="2">
        <f t="shared" si="184"/>
        <v>6.723032141038731E-14</v>
      </c>
      <c r="U800" s="6">
        <f t="shared" ref="U800:U863" si="189">VincentyInvRevAzimuth($A800,$B800,$C800,$D800)</f>
        <v>230.77380530894902</v>
      </c>
      <c r="V800" s="2">
        <f t="shared" si="181"/>
        <v>1.0686071234743394E-9</v>
      </c>
      <c r="W800" s="2">
        <f t="shared" si="182"/>
        <v>8.239290236379575E-14</v>
      </c>
    </row>
    <row r="801" spans="1:23" x14ac:dyDescent="0.45">
      <c r="A801">
        <v>73.514179999999996</v>
      </c>
      <c r="B801">
        <v>-130.86909</v>
      </c>
      <c r="C801">
        <v>76.489549999999994</v>
      </c>
      <c r="D801">
        <v>-123.54300000000001</v>
      </c>
      <c r="E801" s="10">
        <v>393228.41499999998</v>
      </c>
      <c r="F801" s="10" t="s">
        <v>2208</v>
      </c>
      <c r="G801" s="10" t="s">
        <v>2209</v>
      </c>
      <c r="H801" s="10">
        <v>393228.41527393903</v>
      </c>
      <c r="I801" s="10">
        <v>29.0154036260849</v>
      </c>
      <c r="J801" s="10">
        <v>36.094951392555899</v>
      </c>
      <c r="K801" s="4">
        <f t="shared" si="177"/>
        <v>29.015402777777776</v>
      </c>
      <c r="L801" s="4">
        <f t="shared" si="178"/>
        <v>36.094952777777792</v>
      </c>
      <c r="M801" s="4">
        <f t="shared" si="179"/>
        <v>29.01540362608489</v>
      </c>
      <c r="N801" s="4">
        <f t="shared" si="180"/>
        <v>36.094951392555913</v>
      </c>
      <c r="O801" s="3">
        <f t="shared" si="183"/>
        <v>393228.41533038876</v>
      </c>
      <c r="P801" s="2">
        <f t="shared" si="185"/>
        <v>8.4019558663031491E-10</v>
      </c>
      <c r="Q801" s="2">
        <f t="shared" si="186"/>
        <v>1.435545579962592E-10</v>
      </c>
      <c r="R801" s="6">
        <f t="shared" si="187"/>
        <v>29.015403626091636</v>
      </c>
      <c r="S801" s="2">
        <f t="shared" si="188"/>
        <v>2.923667358829514E-8</v>
      </c>
      <c r="T801" s="2">
        <f t="shared" si="184"/>
        <v>2.3251798813430758E-13</v>
      </c>
      <c r="U801" s="6">
        <f t="shared" si="189"/>
        <v>36.094951392564717</v>
      </c>
      <c r="V801" s="2">
        <f t="shared" si="181"/>
        <v>3.8376918885021568E-8</v>
      </c>
      <c r="W801" s="2">
        <f t="shared" si="182"/>
        <v>2.4390182439429098E-13</v>
      </c>
    </row>
    <row r="802" spans="1:23" x14ac:dyDescent="0.45">
      <c r="A802">
        <v>45.187750000000001</v>
      </c>
      <c r="B802">
        <v>-103.866</v>
      </c>
      <c r="C802">
        <v>50.50656</v>
      </c>
      <c r="D802">
        <v>-101.60581999999999</v>
      </c>
      <c r="E802" s="10">
        <v>615023.21799999999</v>
      </c>
      <c r="F802" s="10" t="s">
        <v>2210</v>
      </c>
      <c r="G802" s="10" t="s">
        <v>2211</v>
      </c>
      <c r="H802" s="10">
        <v>615023.21762822499</v>
      </c>
      <c r="I802" s="10">
        <v>15.1315409819719</v>
      </c>
      <c r="J802" s="10">
        <v>16.809049856468601</v>
      </c>
      <c r="K802" s="4">
        <f t="shared" si="177"/>
        <v>15.131541666666667</v>
      </c>
      <c r="L802" s="4">
        <f t="shared" si="178"/>
        <v>16.809050000000013</v>
      </c>
      <c r="M802" s="4">
        <f t="shared" si="179"/>
        <v>15.131540981971909</v>
      </c>
      <c r="N802" s="4">
        <f t="shared" si="180"/>
        <v>16.809049856468619</v>
      </c>
      <c r="O802" s="3">
        <f t="shared" si="183"/>
        <v>615023.21766004688</v>
      </c>
      <c r="P802" s="2">
        <f t="shared" si="185"/>
        <v>5.527484206555099E-10</v>
      </c>
      <c r="Q802" s="2">
        <f t="shared" si="186"/>
        <v>5.1740965997132445E-11</v>
      </c>
      <c r="R802" s="6">
        <f t="shared" si="187"/>
        <v>15.131540981919109</v>
      </c>
      <c r="S802" s="2">
        <f t="shared" si="188"/>
        <v>4.525299360071205E-8</v>
      </c>
      <c r="T802" s="2">
        <f t="shared" si="184"/>
        <v>3.4894285226627466E-12</v>
      </c>
      <c r="U802" s="6">
        <f t="shared" si="189"/>
        <v>16.809049856409601</v>
      </c>
      <c r="V802" s="2">
        <f t="shared" si="181"/>
        <v>8.5424466254283871E-9</v>
      </c>
      <c r="W802" s="2">
        <f t="shared" si="182"/>
        <v>3.5110657732698781E-12</v>
      </c>
    </row>
    <row r="803" spans="1:23" x14ac:dyDescent="0.4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10">
        <v>810345.09199999995</v>
      </c>
      <c r="F803" s="10" t="s">
        <v>2212</v>
      </c>
      <c r="G803" s="10" t="s">
        <v>2213</v>
      </c>
      <c r="H803" s="10">
        <v>810345.09178813105</v>
      </c>
      <c r="I803" s="10">
        <v>-9.3129536148601897</v>
      </c>
      <c r="J803" s="10">
        <v>-6.8134748479468703</v>
      </c>
      <c r="K803" s="4">
        <f t="shared" si="177"/>
        <v>350.68704722222225</v>
      </c>
      <c r="L803" s="4">
        <f t="shared" si="178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83"/>
        <v>810345.09201936086</v>
      </c>
      <c r="P803" s="2">
        <f t="shared" si="185"/>
        <v>2.3892186117807331E-11</v>
      </c>
      <c r="Q803" s="2">
        <f t="shared" si="186"/>
        <v>2.8534734017230735E-10</v>
      </c>
      <c r="R803" s="6">
        <f t="shared" si="187"/>
        <v>350.68704638513702</v>
      </c>
      <c r="S803" s="2">
        <f t="shared" si="188"/>
        <v>2.386986433854274E-9</v>
      </c>
      <c r="T803" s="2">
        <f t="shared" si="184"/>
        <v>7.94248761934772E-15</v>
      </c>
      <c r="U803" s="6">
        <f t="shared" si="189"/>
        <v>353.1865251520511</v>
      </c>
      <c r="V803" s="2">
        <f t="shared" si="181"/>
        <v>4.3051230007090929E-10</v>
      </c>
      <c r="W803" s="2">
        <f t="shared" si="182"/>
        <v>5.7940009973712683E-15</v>
      </c>
    </row>
    <row r="804" spans="1:23" x14ac:dyDescent="0.4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10">
        <v>560753.58499999996</v>
      </c>
      <c r="F804" s="10" t="s">
        <v>2214</v>
      </c>
      <c r="G804" s="10" t="s">
        <v>2215</v>
      </c>
      <c r="H804" s="10">
        <v>560753.58530337305</v>
      </c>
      <c r="I804" s="10">
        <v>142.16229359076999</v>
      </c>
      <c r="J804" s="10">
        <v>140.17437049256799</v>
      </c>
      <c r="K804" s="4">
        <f t="shared" si="177"/>
        <v>142.16229444444446</v>
      </c>
      <c r="L804" s="4">
        <f t="shared" si="178"/>
        <v>140.17436944444444</v>
      </c>
      <c r="M804" s="4">
        <f t="shared" si="179"/>
        <v>142.16229359076999</v>
      </c>
      <c r="N804" s="4">
        <f t="shared" si="180"/>
        <v>140.17437049256796</v>
      </c>
      <c r="O804" s="3">
        <f t="shared" si="183"/>
        <v>560753.58525093424</v>
      </c>
      <c r="P804" s="2">
        <f t="shared" si="185"/>
        <v>4.4749472967855291E-10</v>
      </c>
      <c r="Q804" s="2">
        <f t="shared" si="186"/>
        <v>9.3514901072430197E-11</v>
      </c>
      <c r="R804" s="6">
        <f t="shared" si="187"/>
        <v>142.16229359068024</v>
      </c>
      <c r="S804" s="2">
        <f t="shared" si="188"/>
        <v>6.0055602193705315E-9</v>
      </c>
      <c r="T804" s="2">
        <f t="shared" si="184"/>
        <v>6.3136121480698536E-13</v>
      </c>
      <c r="U804" s="6">
        <f t="shared" si="189"/>
        <v>140.17437049247201</v>
      </c>
      <c r="V804" s="2">
        <f t="shared" si="181"/>
        <v>7.4765991433283716E-9</v>
      </c>
      <c r="W804" s="2">
        <f t="shared" si="182"/>
        <v>6.8451665379250828E-13</v>
      </c>
    </row>
    <row r="805" spans="1:23" x14ac:dyDescent="0.45">
      <c r="A805">
        <v>41.050429999999999</v>
      </c>
      <c r="B805">
        <v>104.37965</v>
      </c>
      <c r="C805">
        <v>38.301870000000001</v>
      </c>
      <c r="D805">
        <v>107.03959999999999</v>
      </c>
      <c r="E805" s="10">
        <v>381017.522</v>
      </c>
      <c r="F805" s="10" t="s">
        <v>2216</v>
      </c>
      <c r="G805" s="10" t="s">
        <v>2217</v>
      </c>
      <c r="H805" s="10">
        <v>381017.52154715703</v>
      </c>
      <c r="I805" s="10">
        <v>142.352948364165</v>
      </c>
      <c r="J805" s="10">
        <v>144.051858091996</v>
      </c>
      <c r="K805" s="4">
        <f t="shared" si="177"/>
        <v>142.35294722222221</v>
      </c>
      <c r="L805" s="4">
        <f t="shared" si="178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83"/>
        <v>381017.52142516023</v>
      </c>
      <c r="P805" s="2">
        <f t="shared" si="185"/>
        <v>1.5086964086355707E-9</v>
      </c>
      <c r="Q805" s="2">
        <f t="shared" si="186"/>
        <v>3.2018684004054978E-10</v>
      </c>
      <c r="R805" s="6">
        <f t="shared" si="187"/>
        <v>142.35294836453039</v>
      </c>
      <c r="S805" s="2">
        <f t="shared" si="188"/>
        <v>8.0244786005806013E-9</v>
      </c>
      <c r="T805" s="2">
        <f t="shared" si="184"/>
        <v>2.5667855891719252E-12</v>
      </c>
      <c r="U805" s="6">
        <f t="shared" si="189"/>
        <v>144.05185809233873</v>
      </c>
      <c r="V805" s="2">
        <f t="shared" si="181"/>
        <v>1.6729709947797425E-9</v>
      </c>
      <c r="W805" s="2">
        <f t="shared" si="182"/>
        <v>2.3792639578613359E-12</v>
      </c>
    </row>
    <row r="806" spans="1:23" x14ac:dyDescent="0.4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10">
        <v>702689.67799999996</v>
      </c>
      <c r="F806" s="10" t="s">
        <v>2218</v>
      </c>
      <c r="G806" s="10" t="s">
        <v>2219</v>
      </c>
      <c r="H806" s="10">
        <v>702689.67756565905</v>
      </c>
      <c r="I806" s="10">
        <v>175.666966413598</v>
      </c>
      <c r="J806" s="10">
        <v>176.56625570563901</v>
      </c>
      <c r="K806" s="4">
        <f t="shared" si="177"/>
        <v>175.66696666666667</v>
      </c>
      <c r="L806" s="4">
        <f t="shared" si="178"/>
        <v>176.56625555555547</v>
      </c>
      <c r="M806" s="4">
        <f t="shared" si="179"/>
        <v>175.66696641359795</v>
      </c>
      <c r="N806" s="4">
        <f t="shared" si="180"/>
        <v>176.56625570563904</v>
      </c>
      <c r="O806" s="3">
        <f t="shared" si="183"/>
        <v>702689.677872214</v>
      </c>
      <c r="P806" s="2">
        <f t="shared" si="185"/>
        <v>1.818526151109011E-10</v>
      </c>
      <c r="Q806" s="2">
        <f t="shared" si="186"/>
        <v>4.3625936648121507E-10</v>
      </c>
      <c r="R806" s="6">
        <f t="shared" si="187"/>
        <v>175.66696641359749</v>
      </c>
      <c r="S806" s="2">
        <f t="shared" si="188"/>
        <v>1.4406190264859417E-9</v>
      </c>
      <c r="T806" s="2">
        <f t="shared" si="184"/>
        <v>2.5886901798929412E-15</v>
      </c>
      <c r="U806" s="6">
        <f t="shared" si="189"/>
        <v>176.5662557056381</v>
      </c>
      <c r="V806" s="2">
        <f t="shared" si="181"/>
        <v>8.5000741926998564E-10</v>
      </c>
      <c r="W806" s="2">
        <f t="shared" si="182"/>
        <v>5.3119799559377403E-15</v>
      </c>
    </row>
    <row r="807" spans="1:23" x14ac:dyDescent="0.45">
      <c r="A807">
        <v>11.42489</v>
      </c>
      <c r="B807">
        <v>128.47219000000001</v>
      </c>
      <c r="C807">
        <v>11.38719</v>
      </c>
      <c r="D807">
        <v>128.92492999999999</v>
      </c>
      <c r="E807" s="10">
        <v>49585.567000000003</v>
      </c>
      <c r="F807" s="10" t="s">
        <v>2220</v>
      </c>
      <c r="G807" s="10" t="s">
        <v>2221</v>
      </c>
      <c r="H807" s="10">
        <v>49585.567222701102</v>
      </c>
      <c r="I807" s="10">
        <v>94.779644478184906</v>
      </c>
      <c r="J807" s="10">
        <v>94.869179102682494</v>
      </c>
      <c r="K807" s="4">
        <f t="shared" si="177"/>
        <v>94.779644444444443</v>
      </c>
      <c r="L807" s="4">
        <f t="shared" si="178"/>
        <v>94.869177777777793</v>
      </c>
      <c r="M807" s="4">
        <f t="shared" si="179"/>
        <v>94.779644478184878</v>
      </c>
      <c r="N807" s="4">
        <f t="shared" si="180"/>
        <v>94.869179102682494</v>
      </c>
      <c r="O807" s="3">
        <f t="shared" si="183"/>
        <v>49585.567217161399</v>
      </c>
      <c r="P807" s="2">
        <f t="shared" si="185"/>
        <v>4.3795283412707708E-9</v>
      </c>
      <c r="Q807" s="2">
        <f t="shared" si="186"/>
        <v>1.1172007168513907E-10</v>
      </c>
      <c r="R807" s="6">
        <f t="shared" si="187"/>
        <v>94.779644478697932</v>
      </c>
      <c r="S807" s="2">
        <f t="shared" si="188"/>
        <v>3.6140132340581717E-10</v>
      </c>
      <c r="T807" s="2">
        <f t="shared" si="184"/>
        <v>5.4131294816264688E-12</v>
      </c>
      <c r="U807" s="6">
        <f t="shared" si="189"/>
        <v>94.869179103185985</v>
      </c>
      <c r="V807" s="2">
        <f t="shared" si="181"/>
        <v>1.39709041770379E-8</v>
      </c>
      <c r="W807" s="2">
        <f t="shared" si="182"/>
        <v>5.3072092256079239E-12</v>
      </c>
    </row>
    <row r="808" spans="1:23" x14ac:dyDescent="0.45">
      <c r="A808">
        <v>-45.949910000000003</v>
      </c>
      <c r="B808">
        <v>-123.24057999999999</v>
      </c>
      <c r="C808">
        <v>-46.72401</v>
      </c>
      <c r="D808">
        <v>-123.55916000000001</v>
      </c>
      <c r="E808" s="10">
        <v>89474.726999999999</v>
      </c>
      <c r="F808" s="10" t="s">
        <v>2222</v>
      </c>
      <c r="G808" s="10" t="s">
        <v>2223</v>
      </c>
      <c r="H808" s="10">
        <v>89474.727406190097</v>
      </c>
      <c r="I808" s="10">
        <v>-164.204739986856</v>
      </c>
      <c r="J808" s="10">
        <v>-163.97426962609401</v>
      </c>
      <c r="K808" s="4">
        <f t="shared" si="177"/>
        <v>195.7952611111111</v>
      </c>
      <c r="L808" s="4">
        <f t="shared" si="178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83"/>
        <v>89474.727395861715</v>
      </c>
      <c r="P808" s="2">
        <f t="shared" si="185"/>
        <v>4.424285264849225E-9</v>
      </c>
      <c r="Q808" s="2">
        <f t="shared" si="186"/>
        <v>1.1543351071094004E-10</v>
      </c>
      <c r="R808" s="6">
        <f t="shared" si="187"/>
        <v>195.79526001306994</v>
      </c>
      <c r="S808" s="2">
        <f t="shared" si="188"/>
        <v>5.6081090067923478E-9</v>
      </c>
      <c r="T808" s="2">
        <f t="shared" si="184"/>
        <v>3.782878848581964E-13</v>
      </c>
      <c r="U808" s="6">
        <f t="shared" si="189"/>
        <v>196.02573037383132</v>
      </c>
      <c r="V808" s="2">
        <f t="shared" si="181"/>
        <v>9.2704274888655284E-10</v>
      </c>
      <c r="W808" s="2">
        <f t="shared" si="182"/>
        <v>3.8088790961908448E-13</v>
      </c>
    </row>
    <row r="809" spans="1:23" x14ac:dyDescent="0.4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10">
        <v>38406.737999999998</v>
      </c>
      <c r="F809" s="10" t="s">
        <v>2224</v>
      </c>
      <c r="G809" s="10" t="s">
        <v>2225</v>
      </c>
      <c r="H809" s="10">
        <v>38406.738006959502</v>
      </c>
      <c r="I809" s="10">
        <v>57.511714212152299</v>
      </c>
      <c r="J809" s="10">
        <v>57.695969148401403</v>
      </c>
      <c r="K809" s="4">
        <f t="shared" si="177"/>
        <v>57.511713888888892</v>
      </c>
      <c r="L809" s="4">
        <f t="shared" si="178"/>
        <v>57.695969444444472</v>
      </c>
      <c r="M809" s="4">
        <f t="shared" si="179"/>
        <v>57.511714212152299</v>
      </c>
      <c r="N809" s="4">
        <f t="shared" si="180"/>
        <v>57.695969148401389</v>
      </c>
      <c r="O809" s="3">
        <f t="shared" si="183"/>
        <v>38406.738006621228</v>
      </c>
      <c r="P809" s="2">
        <f t="shared" si="185"/>
        <v>1.7239762898559963E-10</v>
      </c>
      <c r="Q809" s="2">
        <f t="shared" si="186"/>
        <v>8.8076686267216672E-12</v>
      </c>
      <c r="R809" s="6">
        <f t="shared" si="187"/>
        <v>57.511714211425996</v>
      </c>
      <c r="S809" s="2">
        <f t="shared" si="188"/>
        <v>5.6081984481146156E-9</v>
      </c>
      <c r="T809" s="2">
        <f t="shared" si="184"/>
        <v>1.2628776303902807E-11</v>
      </c>
      <c r="U809" s="6">
        <f t="shared" si="189"/>
        <v>57.695969147669537</v>
      </c>
      <c r="V809" s="2">
        <f t="shared" si="181"/>
        <v>5.1437724012785225E-9</v>
      </c>
      <c r="W809" s="2">
        <f t="shared" si="182"/>
        <v>1.268462811540836E-11</v>
      </c>
    </row>
    <row r="810" spans="1:23" x14ac:dyDescent="0.4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10">
        <v>129340.448</v>
      </c>
      <c r="F810" s="10" t="s">
        <v>2226</v>
      </c>
      <c r="G810" s="10" t="s">
        <v>2227</v>
      </c>
      <c r="H810" s="10">
        <v>129340.448001482</v>
      </c>
      <c r="I810" s="10">
        <v>-44.552216310158499</v>
      </c>
      <c r="J810" s="10">
        <v>-44.440916925290402</v>
      </c>
      <c r="K810" s="4">
        <f t="shared" si="177"/>
        <v>315.44778333333335</v>
      </c>
      <c r="L810" s="4">
        <f t="shared" si="178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83"/>
        <v>129340.44800232179</v>
      </c>
      <c r="P810" s="2">
        <f t="shared" si="185"/>
        <v>1.7950975231788187E-11</v>
      </c>
      <c r="Q810" s="2">
        <f t="shared" si="186"/>
        <v>6.4928724216219549E-12</v>
      </c>
      <c r="R810" s="6">
        <f t="shared" si="187"/>
        <v>315.44778368984174</v>
      </c>
      <c r="S810" s="2">
        <f t="shared" si="188"/>
        <v>1.1301661105178125E-9</v>
      </c>
      <c r="T810" s="2">
        <f t="shared" si="184"/>
        <v>7.2079655397672161E-16</v>
      </c>
      <c r="U810" s="6">
        <f t="shared" si="189"/>
        <v>315.55908307470986</v>
      </c>
      <c r="V810" s="2">
        <f t="shared" si="181"/>
        <v>8.1957222057084081E-10</v>
      </c>
      <c r="W810" s="2">
        <f t="shared" si="182"/>
        <v>9.0067790644692301E-16</v>
      </c>
    </row>
    <row r="811" spans="1:23" x14ac:dyDescent="0.45">
      <c r="A811">
        <v>-89.186030000000002</v>
      </c>
      <c r="B811">
        <v>75.02243</v>
      </c>
      <c r="C811">
        <v>-89.675690000000003</v>
      </c>
      <c r="D811">
        <v>74.230509999999995</v>
      </c>
      <c r="E811" s="10">
        <v>54697.767</v>
      </c>
      <c r="F811" s="10" t="s">
        <v>2228</v>
      </c>
      <c r="G811" s="10" t="s">
        <v>2229</v>
      </c>
      <c r="H811" s="10">
        <v>54697.767200501301</v>
      </c>
      <c r="I811" s="10">
        <v>-179.47555859038701</v>
      </c>
      <c r="J811" s="10">
        <v>-178.68367042947801</v>
      </c>
      <c r="K811" s="4">
        <f t="shared" si="177"/>
        <v>180.52444166666666</v>
      </c>
      <c r="L811" s="4">
        <f t="shared" si="178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83"/>
        <v>54697.767171871827</v>
      </c>
      <c r="P811" s="2">
        <f t="shared" si="185"/>
        <v>3.1422092011755736E-9</v>
      </c>
      <c r="Q811" s="2">
        <f t="shared" si="186"/>
        <v>5.234121220182938E-10</v>
      </c>
      <c r="R811" s="6">
        <f t="shared" si="187"/>
        <v>180.5244414096133</v>
      </c>
      <c r="S811" s="2">
        <f t="shared" si="188"/>
        <v>1.4239255126980368E-9</v>
      </c>
      <c r="T811" s="2">
        <f t="shared" si="184"/>
        <v>1.7318364277613877E-15</v>
      </c>
      <c r="U811" s="6">
        <f t="shared" si="189"/>
        <v>181.31632957052227</v>
      </c>
      <c r="V811" s="2">
        <f t="shared" si="181"/>
        <v>5.4326783075815278E-9</v>
      </c>
      <c r="W811" s="2">
        <f t="shared" si="182"/>
        <v>1.5675206694138126E-15</v>
      </c>
    </row>
    <row r="812" spans="1:23" x14ac:dyDescent="0.45">
      <c r="A812">
        <v>35.686369999999997</v>
      </c>
      <c r="B812">
        <v>19.52291</v>
      </c>
      <c r="C812">
        <v>35.268470000000001</v>
      </c>
      <c r="D812">
        <v>20.41056</v>
      </c>
      <c r="E812" s="10">
        <v>92948.010999999999</v>
      </c>
      <c r="F812" s="10" t="s">
        <v>2230</v>
      </c>
      <c r="G812" s="10" t="s">
        <v>2231</v>
      </c>
      <c r="H812" s="10">
        <v>92948.011055926298</v>
      </c>
      <c r="I812" s="10">
        <v>119.66459546441099</v>
      </c>
      <c r="J812" s="10">
        <v>120.179781910069</v>
      </c>
      <c r="K812" s="4">
        <f t="shared" si="177"/>
        <v>119.66459444444445</v>
      </c>
      <c r="L812" s="4">
        <f t="shared" si="178"/>
        <v>120.17978055555557</v>
      </c>
      <c r="M812" s="4">
        <f t="shared" si="179"/>
        <v>119.66459546441098</v>
      </c>
      <c r="N812" s="4">
        <f t="shared" si="180"/>
        <v>120.17978191006898</v>
      </c>
      <c r="O812" s="3">
        <f t="shared" si="183"/>
        <v>92948.011059190656</v>
      </c>
      <c r="P812" s="2">
        <f t="shared" si="185"/>
        <v>6.3681467416294485E-10</v>
      </c>
      <c r="Q812" s="2">
        <f t="shared" si="186"/>
        <v>3.512026074059022E-11</v>
      </c>
      <c r="R812" s="6">
        <f t="shared" si="187"/>
        <v>119.66459546490542</v>
      </c>
      <c r="S812" s="2">
        <f t="shared" si="188"/>
        <v>8.5276766747332403E-9</v>
      </c>
      <c r="T812" s="2">
        <f t="shared" si="184"/>
        <v>4.1318676270716384E-12</v>
      </c>
      <c r="U812" s="6">
        <f t="shared" si="189"/>
        <v>120.17978191055371</v>
      </c>
      <c r="V812" s="2">
        <f t="shared" si="181"/>
        <v>1.1274759707488088E-8</v>
      </c>
      <c r="W812" s="2">
        <f t="shared" si="182"/>
        <v>4.0333926941077946E-12</v>
      </c>
    </row>
    <row r="813" spans="1:23" x14ac:dyDescent="0.45">
      <c r="A813">
        <v>32.76258</v>
      </c>
      <c r="B813">
        <v>169.84358</v>
      </c>
      <c r="C813">
        <v>32.44265</v>
      </c>
      <c r="D813">
        <v>170.60256999999999</v>
      </c>
      <c r="E813" s="10">
        <v>79591.297000000006</v>
      </c>
      <c r="F813" s="10" t="s">
        <v>2232</v>
      </c>
      <c r="G813" s="10" t="s">
        <v>2233</v>
      </c>
      <c r="H813" s="10">
        <v>79591.296758495504</v>
      </c>
      <c r="I813" s="10">
        <v>116.26765304908299</v>
      </c>
      <c r="J813" s="10">
        <v>116.676609733123</v>
      </c>
      <c r="K813" s="4">
        <f t="shared" si="177"/>
        <v>116.26765277777778</v>
      </c>
      <c r="L813" s="4">
        <f t="shared" si="178"/>
        <v>116.67661111111113</v>
      </c>
      <c r="M813" s="4">
        <f t="shared" si="179"/>
        <v>116.26765304908298</v>
      </c>
      <c r="N813" s="4">
        <f t="shared" si="180"/>
        <v>116.67660973312297</v>
      </c>
      <c r="O813" s="3">
        <f t="shared" si="183"/>
        <v>79591.296759170582</v>
      </c>
      <c r="P813" s="2">
        <f t="shared" si="185"/>
        <v>3.025826102586021E-9</v>
      </c>
      <c r="Q813" s="2">
        <f t="shared" si="186"/>
        <v>8.4818055095591766E-12</v>
      </c>
      <c r="R813" s="6">
        <f t="shared" si="187"/>
        <v>116.26765304970287</v>
      </c>
      <c r="S813" s="2">
        <f t="shared" si="188"/>
        <v>2.3387853987918524E-9</v>
      </c>
      <c r="T813" s="2">
        <f t="shared" si="184"/>
        <v>5.3315920402223664E-12</v>
      </c>
      <c r="U813" s="6">
        <f t="shared" si="189"/>
        <v>116.67660973373167</v>
      </c>
      <c r="V813" s="2">
        <f t="shared" si="181"/>
        <v>1.1805103430115003E-8</v>
      </c>
      <c r="W813" s="2">
        <f t="shared" si="182"/>
        <v>5.2169285807028998E-12</v>
      </c>
    </row>
    <row r="814" spans="1:23" x14ac:dyDescent="0.45">
      <c r="A814">
        <v>-24.03978</v>
      </c>
      <c r="B814">
        <v>157.28172000000001</v>
      </c>
      <c r="C814">
        <v>-24.547260000000001</v>
      </c>
      <c r="D814">
        <v>157.38636</v>
      </c>
      <c r="E814" s="10">
        <v>57204.743999999999</v>
      </c>
      <c r="F814" s="10" t="s">
        <v>2234</v>
      </c>
      <c r="G814" s="10" t="s">
        <v>2235</v>
      </c>
      <c r="H814" s="10">
        <v>57204.743579145703</v>
      </c>
      <c r="I814" s="10">
        <v>169.319445767107</v>
      </c>
      <c r="J814" s="10">
        <v>169.27639525717899</v>
      </c>
      <c r="K814" s="4">
        <f t="shared" si="177"/>
        <v>169.31944444444446</v>
      </c>
      <c r="L814" s="4">
        <f t="shared" si="178"/>
        <v>169.27639444444446</v>
      </c>
      <c r="M814" s="4">
        <f t="shared" si="179"/>
        <v>169.31944576710703</v>
      </c>
      <c r="N814" s="4">
        <f t="shared" si="180"/>
        <v>169.27639525717905</v>
      </c>
      <c r="O814" s="3">
        <f t="shared" si="183"/>
        <v>57204.743556531903</v>
      </c>
      <c r="P814" s="2">
        <f t="shared" si="185"/>
        <v>7.7522957870301543E-9</v>
      </c>
      <c r="Q814" s="2">
        <f t="shared" si="186"/>
        <v>3.953133698584659E-10</v>
      </c>
      <c r="R814" s="6">
        <f t="shared" si="187"/>
        <v>169.31944576769985</v>
      </c>
      <c r="S814" s="2">
        <f t="shared" si="188"/>
        <v>7.8151413386019909E-9</v>
      </c>
      <c r="T814" s="2">
        <f t="shared" si="184"/>
        <v>3.5011927461348414E-12</v>
      </c>
      <c r="U814" s="6">
        <f t="shared" si="189"/>
        <v>169.27639525777394</v>
      </c>
      <c r="V814" s="2">
        <f t="shared" si="181"/>
        <v>4.8047424515522967E-9</v>
      </c>
      <c r="W814" s="2">
        <f t="shared" si="182"/>
        <v>3.5143399597089227E-12</v>
      </c>
    </row>
    <row r="815" spans="1:23" x14ac:dyDescent="0.4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10">
        <v>109291.923</v>
      </c>
      <c r="F815" s="10" t="s">
        <v>2236</v>
      </c>
      <c r="G815" s="10" t="s">
        <v>2237</v>
      </c>
      <c r="H815" s="10">
        <v>109291.923072472</v>
      </c>
      <c r="I815" s="10">
        <v>38.053870168041598</v>
      </c>
      <c r="J815" s="10">
        <v>38.587751952990303</v>
      </c>
      <c r="K815" s="4">
        <f t="shared" si="177"/>
        <v>38.053869444444445</v>
      </c>
      <c r="L815" s="4">
        <f t="shared" si="178"/>
        <v>38.58775277777778</v>
      </c>
      <c r="M815" s="4">
        <f t="shared" si="179"/>
        <v>38.053870168041612</v>
      </c>
      <c r="N815" s="4">
        <f t="shared" si="180"/>
        <v>38.587751952990288</v>
      </c>
      <c r="O815" s="3">
        <f t="shared" si="183"/>
        <v>109291.92307086143</v>
      </c>
      <c r="P815" s="2">
        <f t="shared" si="185"/>
        <v>6.4836848804793492E-10</v>
      </c>
      <c r="Q815" s="2">
        <f t="shared" si="186"/>
        <v>1.4736334364452407E-11</v>
      </c>
      <c r="R815" s="6">
        <f t="shared" si="187"/>
        <v>38.05387016775466</v>
      </c>
      <c r="S815" s="2">
        <f t="shared" si="188"/>
        <v>1.9007533946952104E-8</v>
      </c>
      <c r="T815" s="2">
        <f t="shared" si="184"/>
        <v>7.5406964539891919E-12</v>
      </c>
      <c r="U815" s="6">
        <f t="shared" si="189"/>
        <v>38.587751952697765</v>
      </c>
      <c r="V815" s="2">
        <f t="shared" si="181"/>
        <v>2.1381914094045759E-8</v>
      </c>
      <c r="W815" s="2">
        <f t="shared" si="182"/>
        <v>7.5807302597322479E-12</v>
      </c>
    </row>
    <row r="816" spans="1:23" x14ac:dyDescent="0.4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10">
        <v>55726.553999999996</v>
      </c>
      <c r="F816" s="10" t="s">
        <v>2238</v>
      </c>
      <c r="G816" s="10" t="s">
        <v>2239</v>
      </c>
      <c r="H816" s="10">
        <v>55726.554171427997</v>
      </c>
      <c r="I816" s="10">
        <v>-177.53837032158401</v>
      </c>
      <c r="J816" s="10">
        <v>-177.81054096919601</v>
      </c>
      <c r="K816" s="4">
        <f t="shared" si="177"/>
        <v>182.46163055555556</v>
      </c>
      <c r="L816" s="4">
        <f t="shared" si="178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83"/>
        <v>55726.554145816044</v>
      </c>
      <c r="P816" s="2">
        <f t="shared" si="185"/>
        <v>2.6166349301648059E-9</v>
      </c>
      <c r="Q816" s="2">
        <f t="shared" si="186"/>
        <v>4.5960051288558771E-10</v>
      </c>
      <c r="R816" s="6">
        <f t="shared" si="187"/>
        <v>182.4616296784163</v>
      </c>
      <c r="S816" s="2">
        <f t="shared" si="188"/>
        <v>4.8072531992419635E-9</v>
      </c>
      <c r="T816" s="2">
        <f t="shared" si="184"/>
        <v>1.7134495854578416E-15</v>
      </c>
      <c r="U816" s="6">
        <f t="shared" si="189"/>
        <v>182.1894590308037</v>
      </c>
      <c r="V816" s="2">
        <f t="shared" si="181"/>
        <v>3.8282696256962461E-9</v>
      </c>
      <c r="W816" s="2">
        <f t="shared" si="182"/>
        <v>1.5600084429472157E-15</v>
      </c>
    </row>
    <row r="817" spans="1:23" x14ac:dyDescent="0.45">
      <c r="A817">
        <v>-39.606439999999999</v>
      </c>
      <c r="B817">
        <v>-121.12639</v>
      </c>
      <c r="C817">
        <v>-39.582459999999998</v>
      </c>
      <c r="D817">
        <v>-120.40260000000001</v>
      </c>
      <c r="E817" s="10">
        <v>62228.12</v>
      </c>
      <c r="F817" s="10" t="s">
        <v>2240</v>
      </c>
      <c r="G817" s="10" t="s">
        <v>2241</v>
      </c>
      <c r="H817" s="10">
        <v>62228.119848258299</v>
      </c>
      <c r="I817" s="10">
        <v>87.778552030737799</v>
      </c>
      <c r="J817" s="10">
        <v>87.317241277026696</v>
      </c>
      <c r="K817" s="4">
        <f t="shared" ref="K817:K880" si="190">ConvertDecimal(F817)</f>
        <v>87.778552777777776</v>
      </c>
      <c r="L817" s="4">
        <f t="shared" ref="L817:L880" si="191">MOD(ConvertDecimal(G817)+180,360)</f>
        <v>87.317241666666689</v>
      </c>
      <c r="M817" s="4">
        <f t="shared" ref="M817:M880" si="192">MOD(I817+360, 360)</f>
        <v>87.778552030737785</v>
      </c>
      <c r="N817" s="4">
        <f t="shared" ref="N817:N880" si="193">MOD(J817+360, 360)</f>
        <v>87.31724127702671</v>
      </c>
      <c r="O817" s="3">
        <f t="shared" si="183"/>
        <v>62228.119845355388</v>
      </c>
      <c r="P817" s="2">
        <f t="shared" si="185"/>
        <v>2.4851243243027698E-9</v>
      </c>
      <c r="Q817" s="2">
        <f t="shared" si="186"/>
        <v>4.6649499362704168E-11</v>
      </c>
      <c r="R817" s="6">
        <f t="shared" si="187"/>
        <v>87.778552030711211</v>
      </c>
      <c r="S817" s="2">
        <f t="shared" si="188"/>
        <v>8.5108097754322939E-9</v>
      </c>
      <c r="T817" s="2">
        <f t="shared" si="184"/>
        <v>3.0274250033336288E-13</v>
      </c>
      <c r="U817" s="6">
        <f t="shared" si="189"/>
        <v>87.317241277004527</v>
      </c>
      <c r="V817" s="2">
        <f t="shared" si="181"/>
        <v>4.4626027420792509E-9</v>
      </c>
      <c r="W817" s="2">
        <f t="shared" si="182"/>
        <v>2.5405227977887051E-13</v>
      </c>
    </row>
    <row r="818" spans="1:23" x14ac:dyDescent="0.45">
      <c r="A818">
        <v>41.62415</v>
      </c>
      <c r="B818">
        <v>-92.772999999999996</v>
      </c>
      <c r="C818">
        <v>41.090009999999999</v>
      </c>
      <c r="D818">
        <v>-92.116820000000004</v>
      </c>
      <c r="E818" s="10">
        <v>80833.111999999994</v>
      </c>
      <c r="F818" s="10" t="s">
        <v>2242</v>
      </c>
      <c r="G818" s="10" t="s">
        <v>2243</v>
      </c>
      <c r="H818" s="10">
        <v>80833.111807137204</v>
      </c>
      <c r="I818" s="10">
        <v>136.99527776943299</v>
      </c>
      <c r="J818" s="10">
        <v>137.42885595904801</v>
      </c>
      <c r="K818" s="4">
        <f t="shared" si="190"/>
        <v>136.99527777777777</v>
      </c>
      <c r="L818" s="4">
        <f t="shared" si="191"/>
        <v>137.42885555555557</v>
      </c>
      <c r="M818" s="4">
        <f t="shared" si="192"/>
        <v>136.99527776943296</v>
      </c>
      <c r="N818" s="4">
        <f t="shared" si="193"/>
        <v>137.42885595904801</v>
      </c>
      <c r="O818" s="3">
        <f t="shared" si="183"/>
        <v>80833.11181203778</v>
      </c>
      <c r="P818" s="2">
        <f t="shared" si="185"/>
        <v>2.3253121086469259E-9</v>
      </c>
      <c r="Q818" s="2">
        <f t="shared" si="186"/>
        <v>6.0625845304253935E-11</v>
      </c>
      <c r="R818" s="6">
        <f t="shared" si="187"/>
        <v>136.99527776972229</v>
      </c>
      <c r="S818" s="2">
        <f t="shared" si="188"/>
        <v>5.8801149714065606E-11</v>
      </c>
      <c r="T818" s="2">
        <f t="shared" si="184"/>
        <v>2.1119925205631442E-12</v>
      </c>
      <c r="U818" s="6">
        <f t="shared" si="189"/>
        <v>137.42885595933231</v>
      </c>
      <c r="V818" s="2">
        <f t="shared" si="181"/>
        <v>2.9380782997479251E-9</v>
      </c>
      <c r="W818" s="2">
        <f t="shared" si="182"/>
        <v>2.0687239040762272E-12</v>
      </c>
    </row>
    <row r="819" spans="1:23" x14ac:dyDescent="0.4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10">
        <v>110852.06</v>
      </c>
      <c r="F819" s="10" t="s">
        <v>2244</v>
      </c>
      <c r="G819" s="10" t="s">
        <v>2245</v>
      </c>
      <c r="H819" s="10">
        <v>110852.05970318901</v>
      </c>
      <c r="I819" s="10">
        <v>147.389319283205</v>
      </c>
      <c r="J819" s="10">
        <v>147.976474978201</v>
      </c>
      <c r="K819" s="4">
        <f t="shared" si="190"/>
        <v>147.38931944444445</v>
      </c>
      <c r="L819" s="4">
        <f t="shared" si="191"/>
        <v>147.97647499999999</v>
      </c>
      <c r="M819" s="4">
        <f t="shared" si="192"/>
        <v>147.389319283205</v>
      </c>
      <c r="N819" s="4">
        <f t="shared" si="193"/>
        <v>147.976474978201</v>
      </c>
      <c r="O819" s="3">
        <f t="shared" si="183"/>
        <v>110852.05972652024</v>
      </c>
      <c r="P819" s="2">
        <f t="shared" si="185"/>
        <v>2.4670697136884637E-9</v>
      </c>
      <c r="Q819" s="2">
        <f t="shared" si="186"/>
        <v>2.104717879601263E-10</v>
      </c>
      <c r="R819" s="6">
        <f t="shared" si="187"/>
        <v>147.38931928330172</v>
      </c>
      <c r="S819" s="2">
        <f t="shared" si="188"/>
        <v>1.0933135256693944E-9</v>
      </c>
      <c r="T819" s="2">
        <f t="shared" si="184"/>
        <v>6.5621496633566429E-13</v>
      </c>
      <c r="U819" s="6">
        <f t="shared" si="189"/>
        <v>147.97647497829541</v>
      </c>
      <c r="V819" s="2">
        <f t="shared" si="181"/>
        <v>1.4667587849380239E-10</v>
      </c>
      <c r="W819" s="2">
        <f t="shared" si="182"/>
        <v>6.3805357400026624E-13</v>
      </c>
    </row>
    <row r="820" spans="1:23" x14ac:dyDescent="0.45">
      <c r="A820">
        <v>84.244709999999998</v>
      </c>
      <c r="B820">
        <v>166.67049</v>
      </c>
      <c r="C820">
        <v>84.114059999999995</v>
      </c>
      <c r="D820">
        <v>166.69189</v>
      </c>
      <c r="E820" s="10">
        <v>14593.314</v>
      </c>
      <c r="F820" s="10" t="s">
        <v>2246</v>
      </c>
      <c r="G820" s="10" t="s">
        <v>2247</v>
      </c>
      <c r="H820" s="10">
        <v>14593.314265052701</v>
      </c>
      <c r="I820" s="10">
        <v>179.03761976938199</v>
      </c>
      <c r="J820" s="10">
        <v>179.058909450909</v>
      </c>
      <c r="K820" s="4">
        <f t="shared" si="190"/>
        <v>179.03761944444443</v>
      </c>
      <c r="L820" s="4">
        <f t="shared" si="191"/>
        <v>179.05890833333331</v>
      </c>
      <c r="M820" s="4">
        <f t="shared" si="192"/>
        <v>179.03761976938199</v>
      </c>
      <c r="N820" s="4">
        <f t="shared" si="193"/>
        <v>179.05890945090903</v>
      </c>
      <c r="O820" s="3">
        <f t="shared" si="183"/>
        <v>14593.314259160341</v>
      </c>
      <c r="P820" s="2">
        <f t="shared" si="185"/>
        <v>1.7758840839525084E-8</v>
      </c>
      <c r="Q820" s="2">
        <f t="shared" si="186"/>
        <v>4.0377117824369851E-10</v>
      </c>
      <c r="R820" s="6">
        <f t="shared" si="187"/>
        <v>179.03761977053969</v>
      </c>
      <c r="S820" s="2">
        <f t="shared" si="188"/>
        <v>1.8213784456479694E-9</v>
      </c>
      <c r="T820" s="2">
        <f t="shared" si="184"/>
        <v>6.4662471033734669E-12</v>
      </c>
      <c r="U820" s="6">
        <f t="shared" si="189"/>
        <v>179.05890945204115</v>
      </c>
      <c r="V820" s="2">
        <f t="shared" si="181"/>
        <v>6.2477083839022071E-9</v>
      </c>
      <c r="W820" s="2">
        <f t="shared" si="182"/>
        <v>6.3226228463748495E-12</v>
      </c>
    </row>
    <row r="821" spans="1:23" x14ac:dyDescent="0.45">
      <c r="A821">
        <v>67.498949999999994</v>
      </c>
      <c r="B821">
        <v>-48.581899999999997</v>
      </c>
      <c r="C821">
        <v>66.75609</v>
      </c>
      <c r="D821">
        <v>-48.06288</v>
      </c>
      <c r="E821" s="10">
        <v>85852.157999999996</v>
      </c>
      <c r="F821" s="10" t="s">
        <v>2248</v>
      </c>
      <c r="G821" s="10" t="s">
        <v>2249</v>
      </c>
      <c r="H821" s="10">
        <v>85852.158114296602</v>
      </c>
      <c r="I821" s="10">
        <v>164.55291790479501</v>
      </c>
      <c r="J821" s="10">
        <v>165.03113905450201</v>
      </c>
      <c r="K821" s="4">
        <f t="shared" si="190"/>
        <v>164.55291666666668</v>
      </c>
      <c r="L821" s="4">
        <f t="shared" si="191"/>
        <v>165.0311388888889</v>
      </c>
      <c r="M821" s="4">
        <f t="shared" si="192"/>
        <v>164.55291790479498</v>
      </c>
      <c r="N821" s="4">
        <f t="shared" si="193"/>
        <v>165.03113905450198</v>
      </c>
      <c r="O821" s="3">
        <f t="shared" si="183"/>
        <v>85852.158139880921</v>
      </c>
      <c r="P821" s="2">
        <f t="shared" si="185"/>
        <v>1.629323346967544E-9</v>
      </c>
      <c r="Q821" s="2">
        <f t="shared" si="186"/>
        <v>2.9800437581843008E-10</v>
      </c>
      <c r="R821" s="6">
        <f t="shared" si="187"/>
        <v>164.552917904791</v>
      </c>
      <c r="S821" s="2">
        <f t="shared" si="188"/>
        <v>7.524171261741469E-9</v>
      </c>
      <c r="T821" s="2">
        <f t="shared" si="184"/>
        <v>2.418091013468813E-14</v>
      </c>
      <c r="U821" s="6">
        <f t="shared" si="189"/>
        <v>165.03113905449732</v>
      </c>
      <c r="V821" s="2">
        <f t="shared" si="181"/>
        <v>1.0034979666985265E-9</v>
      </c>
      <c r="W821" s="2">
        <f t="shared" si="182"/>
        <v>2.8244126370883838E-14</v>
      </c>
    </row>
    <row r="822" spans="1:23" x14ac:dyDescent="0.4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10">
        <v>6465.1270000000004</v>
      </c>
      <c r="F822" s="10" t="s">
        <v>2250</v>
      </c>
      <c r="G822" s="10" t="s">
        <v>2251</v>
      </c>
      <c r="H822" s="10">
        <v>6465.1270997984702</v>
      </c>
      <c r="I822" s="10">
        <v>110.701554281192</v>
      </c>
      <c r="J822" s="10">
        <v>111.114236665033</v>
      </c>
      <c r="K822" s="4">
        <f t="shared" si="190"/>
        <v>110.70155555555556</v>
      </c>
      <c r="L822" s="4">
        <f t="shared" si="191"/>
        <v>111.1142361111111</v>
      </c>
      <c r="M822" s="4">
        <f t="shared" si="192"/>
        <v>110.70155428119199</v>
      </c>
      <c r="N822" s="4">
        <f t="shared" si="193"/>
        <v>111.11423666503299</v>
      </c>
      <c r="O822" s="3">
        <f t="shared" si="183"/>
        <v>6465.127096713265</v>
      </c>
      <c r="P822" s="2">
        <f t="shared" si="185"/>
        <v>1.4959221158536529E-8</v>
      </c>
      <c r="Q822" s="2">
        <f t="shared" si="186"/>
        <v>4.772072010540415E-10</v>
      </c>
      <c r="R822" s="6">
        <f t="shared" si="187"/>
        <v>110.70155428119593</v>
      </c>
      <c r="S822" s="2">
        <f t="shared" si="188"/>
        <v>1.1511668707225733E-8</v>
      </c>
      <c r="T822" s="2">
        <f t="shared" si="184"/>
        <v>3.5558730694170066E-14</v>
      </c>
      <c r="U822" s="6">
        <f t="shared" si="189"/>
        <v>111.11423666503677</v>
      </c>
      <c r="V822" s="2">
        <f t="shared" si="181"/>
        <v>4.9851908514774249E-9</v>
      </c>
      <c r="W822" s="2">
        <f t="shared" si="182"/>
        <v>3.401982921089809E-14</v>
      </c>
    </row>
    <row r="823" spans="1:23" x14ac:dyDescent="0.45">
      <c r="A823">
        <v>-13.70762</v>
      </c>
      <c r="B823">
        <v>1.4645900000000001</v>
      </c>
      <c r="C823">
        <v>-14.509539999999999</v>
      </c>
      <c r="D823">
        <v>1.2748599999999899</v>
      </c>
      <c r="E823" s="10">
        <v>91059.331000000006</v>
      </c>
      <c r="F823" s="10" t="s">
        <v>2252</v>
      </c>
      <c r="G823" s="10" t="s">
        <v>2253</v>
      </c>
      <c r="H823" s="10">
        <v>91059.330935247403</v>
      </c>
      <c r="I823" s="10">
        <v>-167.02060552703099</v>
      </c>
      <c r="J823" s="10">
        <v>-166.97435571818301</v>
      </c>
      <c r="K823" s="4">
        <f t="shared" si="190"/>
        <v>192.97939444444444</v>
      </c>
      <c r="L823" s="4">
        <f t="shared" si="191"/>
        <v>193.02564444444445</v>
      </c>
      <c r="M823" s="4">
        <f t="shared" si="192"/>
        <v>192.97939447296901</v>
      </c>
      <c r="N823" s="4">
        <f t="shared" si="193"/>
        <v>193.02564428181699</v>
      </c>
      <c r="O823" s="3">
        <f t="shared" si="183"/>
        <v>91059.330851941049</v>
      </c>
      <c r="P823" s="2">
        <f t="shared" si="185"/>
        <v>1.6259613883626742E-9</v>
      </c>
      <c r="Q823" s="2">
        <f t="shared" si="186"/>
        <v>9.148579539775216E-10</v>
      </c>
      <c r="R823" s="6">
        <f t="shared" si="187"/>
        <v>192.97939447173871</v>
      </c>
      <c r="S823" s="2">
        <f t="shared" si="188"/>
        <v>1.414362250399553E-10</v>
      </c>
      <c r="T823" s="2">
        <f t="shared" si="184"/>
        <v>6.3752430122078525E-12</v>
      </c>
      <c r="U823" s="6">
        <f t="shared" si="189"/>
        <v>193.02564428058253</v>
      </c>
      <c r="V823" s="2">
        <f t="shared" si="181"/>
        <v>8.4891272952757862E-10</v>
      </c>
      <c r="W823" s="2">
        <f t="shared" si="182"/>
        <v>6.3953602226958323E-12</v>
      </c>
    </row>
    <row r="824" spans="1:23" x14ac:dyDescent="0.45">
      <c r="A824">
        <v>38.62106</v>
      </c>
      <c r="B824">
        <v>-27.553789999999999</v>
      </c>
      <c r="C824">
        <v>38.606610000000003</v>
      </c>
      <c r="D824">
        <v>-27.997340000000001</v>
      </c>
      <c r="E824" s="10">
        <v>38664.370999999999</v>
      </c>
      <c r="F824" s="10" t="s">
        <v>2254</v>
      </c>
      <c r="G824" s="10" t="s">
        <v>2255</v>
      </c>
      <c r="H824" s="10">
        <v>38664.370840576201</v>
      </c>
      <c r="I824" s="10">
        <v>-92.239292989279207</v>
      </c>
      <c r="J824" s="10">
        <v>-92.516099328722703</v>
      </c>
      <c r="K824" s="4">
        <f t="shared" si="190"/>
        <v>267.76070833333335</v>
      </c>
      <c r="L824" s="4">
        <f t="shared" si="191"/>
        <v>267.48390000000001</v>
      </c>
      <c r="M824" s="4">
        <f t="shared" si="192"/>
        <v>267.76070701072081</v>
      </c>
      <c r="N824" s="4">
        <f t="shared" si="193"/>
        <v>267.4839006712773</v>
      </c>
      <c r="O824" s="3">
        <f t="shared" si="183"/>
        <v>38664.370838854986</v>
      </c>
      <c r="P824" s="2">
        <f t="shared" si="185"/>
        <v>4.1677908948215938E-9</v>
      </c>
      <c r="Q824" s="2">
        <f t="shared" si="186"/>
        <v>4.451682641425878E-11</v>
      </c>
      <c r="R824" s="6">
        <f t="shared" si="187"/>
        <v>267.76070701069534</v>
      </c>
      <c r="S824" s="2">
        <f t="shared" si="188"/>
        <v>4.9396269585906215E-9</v>
      </c>
      <c r="T824" s="2">
        <f t="shared" si="184"/>
        <v>9.5106753839809552E-14</v>
      </c>
      <c r="U824" s="6">
        <f t="shared" si="189"/>
        <v>267.48390067125473</v>
      </c>
      <c r="V824" s="2">
        <f t="shared" si="181"/>
        <v>2.5095144967357899E-9</v>
      </c>
      <c r="W824" s="2">
        <f t="shared" si="182"/>
        <v>8.4367086135304115E-14</v>
      </c>
    </row>
    <row r="825" spans="1:23" x14ac:dyDescent="0.45">
      <c r="A825">
        <v>78.790859999999995</v>
      </c>
      <c r="B825">
        <v>129.01781</v>
      </c>
      <c r="C825">
        <v>77.978809999999996</v>
      </c>
      <c r="D825">
        <v>129.25568000000001</v>
      </c>
      <c r="E825" s="10">
        <v>90821.361000000004</v>
      </c>
      <c r="F825" s="10" t="s">
        <v>2256</v>
      </c>
      <c r="G825" s="10" t="s">
        <v>2257</v>
      </c>
      <c r="H825" s="10">
        <v>90821.361211679206</v>
      </c>
      <c r="I825" s="10">
        <v>176.50733605917199</v>
      </c>
      <c r="J825" s="10">
        <v>176.740340821042</v>
      </c>
      <c r="K825" s="4">
        <f t="shared" si="190"/>
        <v>176.5073361111111</v>
      </c>
      <c r="L825" s="4">
        <f t="shared" si="191"/>
        <v>176.74034166666661</v>
      </c>
      <c r="M825" s="4">
        <f t="shared" si="192"/>
        <v>176.50733605917196</v>
      </c>
      <c r="N825" s="4">
        <f t="shared" si="193"/>
        <v>176.74034082104197</v>
      </c>
      <c r="O825" s="3">
        <f t="shared" si="183"/>
        <v>90821.361210386953</v>
      </c>
      <c r="P825" s="2">
        <f t="shared" si="185"/>
        <v>2.3164919132930641E-9</v>
      </c>
      <c r="Q825" s="2">
        <f t="shared" si="186"/>
        <v>1.422852191141222E-11</v>
      </c>
      <c r="R825" s="6">
        <f t="shared" si="187"/>
        <v>176.50733605918026</v>
      </c>
      <c r="S825" s="2">
        <f t="shared" si="188"/>
        <v>2.9421349399273702E-10</v>
      </c>
      <c r="T825" s="2">
        <f t="shared" si="184"/>
        <v>4.7018664147170539E-14</v>
      </c>
      <c r="U825" s="6">
        <f t="shared" si="189"/>
        <v>176.74034082104924</v>
      </c>
      <c r="V825" s="2">
        <f t="shared" si="181"/>
        <v>4.7845181049286744E-9</v>
      </c>
      <c r="W825" s="2">
        <f t="shared" si="182"/>
        <v>4.1167497925958398E-14</v>
      </c>
    </row>
    <row r="826" spans="1:23" x14ac:dyDescent="0.4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10">
        <v>93645.361000000004</v>
      </c>
      <c r="F826" s="10" t="s">
        <v>2258</v>
      </c>
      <c r="G826" s="10" t="s">
        <v>2259</v>
      </c>
      <c r="H826" s="10">
        <v>93645.360946283807</v>
      </c>
      <c r="I826" s="10">
        <v>73.220275938274995</v>
      </c>
      <c r="J826" s="10">
        <v>73.163162052155798</v>
      </c>
      <c r="K826" s="4">
        <f t="shared" si="190"/>
        <v>73.220275000000001</v>
      </c>
      <c r="L826" s="4">
        <f t="shared" si="191"/>
        <v>73.163161111111094</v>
      </c>
      <c r="M826" s="4">
        <f t="shared" si="192"/>
        <v>73.220275938274995</v>
      </c>
      <c r="N826" s="4">
        <f t="shared" si="193"/>
        <v>73.163162052155826</v>
      </c>
      <c r="O826" s="3">
        <f t="shared" si="183"/>
        <v>93645.360945582055</v>
      </c>
      <c r="P826" s="2">
        <f t="shared" si="185"/>
        <v>5.8110672760703554E-10</v>
      </c>
      <c r="Q826" s="2">
        <f t="shared" si="186"/>
        <v>7.4937140813125472E-12</v>
      </c>
      <c r="R826" s="6">
        <f t="shared" si="187"/>
        <v>73.220275938272863</v>
      </c>
      <c r="S826" s="2">
        <f t="shared" si="188"/>
        <v>1.2814385934389808E-8</v>
      </c>
      <c r="T826" s="2">
        <f t="shared" si="184"/>
        <v>2.9112539934666078E-14</v>
      </c>
      <c r="U826" s="6">
        <f t="shared" si="189"/>
        <v>73.16316205215368</v>
      </c>
      <c r="V826" s="2">
        <f t="shared" si="181"/>
        <v>1.2862246132978285E-8</v>
      </c>
      <c r="W826" s="2">
        <f t="shared" si="182"/>
        <v>2.9329501374828472E-14</v>
      </c>
    </row>
    <row r="827" spans="1:23" x14ac:dyDescent="0.4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10">
        <v>24371.563999999998</v>
      </c>
      <c r="F827" s="10" t="s">
        <v>2260</v>
      </c>
      <c r="G827" s="10" t="s">
        <v>2261</v>
      </c>
      <c r="H827" s="10">
        <v>24371.563599268498</v>
      </c>
      <c r="I827" s="10">
        <v>-160.42874237019399</v>
      </c>
      <c r="J827" s="10">
        <v>-160.33473507786701</v>
      </c>
      <c r="K827" s="4">
        <f t="shared" si="190"/>
        <v>199.57125833333333</v>
      </c>
      <c r="L827" s="4">
        <f t="shared" si="191"/>
        <v>199.66526388888889</v>
      </c>
      <c r="M827" s="4">
        <f t="shared" si="192"/>
        <v>199.57125762980601</v>
      </c>
      <c r="N827" s="4">
        <f t="shared" si="193"/>
        <v>199.66526492213299</v>
      </c>
      <c r="O827" s="3">
        <f t="shared" si="183"/>
        <v>24371.563607301017</v>
      </c>
      <c r="P827" s="2">
        <f t="shared" si="185"/>
        <v>1.6112998786573608E-8</v>
      </c>
      <c r="Q827" s="2">
        <f t="shared" si="186"/>
        <v>3.2958570467366013E-10</v>
      </c>
      <c r="R827" s="6">
        <f t="shared" si="187"/>
        <v>199.57125762977299</v>
      </c>
      <c r="S827" s="2">
        <f t="shared" si="188"/>
        <v>3.5253590715327542E-9</v>
      </c>
      <c r="T827" s="2">
        <f t="shared" si="184"/>
        <v>1.6548488369698489E-13</v>
      </c>
      <c r="U827" s="6">
        <f t="shared" si="189"/>
        <v>199.66526492209962</v>
      </c>
      <c r="V827" s="2">
        <f t="shared" si="181"/>
        <v>5.1747145016567758E-9</v>
      </c>
      <c r="W827" s="2">
        <f t="shared" si="182"/>
        <v>1.6711513083814084E-13</v>
      </c>
    </row>
    <row r="828" spans="1:23" x14ac:dyDescent="0.4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10">
        <v>100251.49099999999</v>
      </c>
      <c r="F828" s="10" t="s">
        <v>2262</v>
      </c>
      <c r="G828" s="10" t="s">
        <v>2263</v>
      </c>
      <c r="H828" s="10">
        <v>100251.49142465901</v>
      </c>
      <c r="I828" s="10">
        <v>163.61199824569701</v>
      </c>
      <c r="J828" s="10">
        <v>163.183296485152</v>
      </c>
      <c r="K828" s="4">
        <f t="shared" si="190"/>
        <v>163.61199722222221</v>
      </c>
      <c r="L828" s="4">
        <f t="shared" si="191"/>
        <v>163.18329722222222</v>
      </c>
      <c r="M828" s="4">
        <f t="shared" si="192"/>
        <v>163.61199824569701</v>
      </c>
      <c r="N828" s="4">
        <f t="shared" si="193"/>
        <v>163.18329648515203</v>
      </c>
      <c r="O828" s="3">
        <f t="shared" si="183"/>
        <v>100251.49147372936</v>
      </c>
      <c r="P828" s="2">
        <f t="shared" si="185"/>
        <v>4.7254096587497503E-9</v>
      </c>
      <c r="Q828" s="2">
        <f t="shared" si="186"/>
        <v>4.8947255121272386E-10</v>
      </c>
      <c r="R828" s="6">
        <f t="shared" si="187"/>
        <v>163.61199824569937</v>
      </c>
      <c r="S828" s="2">
        <f t="shared" si="188"/>
        <v>6.255514088641163E-9</v>
      </c>
      <c r="T828" s="2">
        <f t="shared" si="184"/>
        <v>1.4418269491342604E-14</v>
      </c>
      <c r="U828" s="6">
        <f t="shared" si="189"/>
        <v>163.18329648515407</v>
      </c>
      <c r="V828" s="2">
        <f t="shared" si="181"/>
        <v>4.5168112256830541E-9</v>
      </c>
      <c r="W828" s="2">
        <f t="shared" si="182"/>
        <v>1.254027295113067E-14</v>
      </c>
    </row>
    <row r="829" spans="1:23" x14ac:dyDescent="0.45">
      <c r="A829">
        <v>17.8642</v>
      </c>
      <c r="B829">
        <v>-179.96003999999999</v>
      </c>
      <c r="C829">
        <v>18.489709999999999</v>
      </c>
      <c r="D829">
        <v>-179.89852999999999</v>
      </c>
      <c r="E829" s="10">
        <v>69538.138000000006</v>
      </c>
      <c r="F829" s="10" t="s">
        <v>2264</v>
      </c>
      <c r="G829" s="10" t="s">
        <v>2265</v>
      </c>
      <c r="H829" s="10">
        <v>69538.138404050507</v>
      </c>
      <c r="I829" s="10">
        <v>5.3602828895005503</v>
      </c>
      <c r="J829" s="10">
        <v>5.3794713951694701</v>
      </c>
      <c r="K829" s="4">
        <f t="shared" si="190"/>
        <v>5.3602833333333333</v>
      </c>
      <c r="L829" s="4">
        <f t="shared" si="191"/>
        <v>5.3794722222222617</v>
      </c>
      <c r="M829" s="4">
        <f t="shared" si="192"/>
        <v>5.3602828895005246</v>
      </c>
      <c r="N829" s="4">
        <f t="shared" si="193"/>
        <v>5.3794713951694462</v>
      </c>
      <c r="O829" s="3">
        <f t="shared" si="183"/>
        <v>69538.138403955541</v>
      </c>
      <c r="P829" s="2">
        <f t="shared" si="185"/>
        <v>5.8091221129370818E-9</v>
      </c>
      <c r="Q829" s="2">
        <f t="shared" si="186"/>
        <v>1.3656649568115336E-12</v>
      </c>
      <c r="R829" s="6">
        <f t="shared" si="187"/>
        <v>5.3602828890635772</v>
      </c>
      <c r="S829" s="2">
        <f t="shared" si="188"/>
        <v>8.2881767337177574E-8</v>
      </c>
      <c r="T829" s="2">
        <f t="shared" si="184"/>
        <v>8.1515728961455803E-11</v>
      </c>
      <c r="U829" s="6">
        <f t="shared" si="189"/>
        <v>5.3794713947309214</v>
      </c>
      <c r="V829" s="2">
        <f t="shared" si="181"/>
        <v>1.5382388943659044E-7</v>
      </c>
      <c r="W829" s="2">
        <f t="shared" si="182"/>
        <v>8.1518190141213375E-11</v>
      </c>
    </row>
    <row r="830" spans="1:23" x14ac:dyDescent="0.45">
      <c r="A830">
        <v>-6.0758099999999997</v>
      </c>
      <c r="B830">
        <v>159.59649999999999</v>
      </c>
      <c r="C830">
        <v>-5.4396100000000001</v>
      </c>
      <c r="D830">
        <v>160.45665</v>
      </c>
      <c r="E830" s="10">
        <v>118432.822</v>
      </c>
      <c r="F830" s="10" t="s">
        <v>2266</v>
      </c>
      <c r="G830" s="10" t="s">
        <v>2267</v>
      </c>
      <c r="H830" s="10">
        <v>118432.822164012</v>
      </c>
      <c r="I830" s="10">
        <v>53.5993416407388</v>
      </c>
      <c r="J830" s="10">
        <v>53.513046765795004</v>
      </c>
      <c r="K830" s="4">
        <f t="shared" si="190"/>
        <v>53.599341666666668</v>
      </c>
      <c r="L830" s="4">
        <f t="shared" si="191"/>
        <v>53.513047222222212</v>
      </c>
      <c r="M830" s="4">
        <f t="shared" si="192"/>
        <v>53.599341640738771</v>
      </c>
      <c r="N830" s="4">
        <f t="shared" si="193"/>
        <v>53.513046765795025</v>
      </c>
      <c r="O830" s="3">
        <f t="shared" si="183"/>
        <v>118432.8221642492</v>
      </c>
      <c r="P830" s="2">
        <f t="shared" si="185"/>
        <v>1.3868554011192001E-9</v>
      </c>
      <c r="Q830" s="2">
        <f t="shared" si="186"/>
        <v>2.0027912354726959E-12</v>
      </c>
      <c r="R830" s="6">
        <f t="shared" si="187"/>
        <v>53.599341640736888</v>
      </c>
      <c r="S830" s="2">
        <f t="shared" si="188"/>
        <v>4.837704793825883E-10</v>
      </c>
      <c r="T830" s="2">
        <f t="shared" si="184"/>
        <v>3.512987645230921E-14</v>
      </c>
      <c r="U830" s="6">
        <f t="shared" si="189"/>
        <v>53.513046765793149</v>
      </c>
      <c r="V830" s="2">
        <f t="shared" si="181"/>
        <v>8.5293042935503231E-9</v>
      </c>
      <c r="W830" s="2">
        <f t="shared" si="182"/>
        <v>3.5053747371485436E-14</v>
      </c>
    </row>
    <row r="831" spans="1:23" x14ac:dyDescent="0.45">
      <c r="A831">
        <v>3.3902800000000002</v>
      </c>
      <c r="B831">
        <v>81.671620000000004</v>
      </c>
      <c r="C831">
        <v>4.2435</v>
      </c>
      <c r="D831">
        <v>81.713329999999999</v>
      </c>
      <c r="E831" s="10">
        <v>94462.076000000001</v>
      </c>
      <c r="F831" s="10" t="s">
        <v>2268</v>
      </c>
      <c r="G831" s="10" t="s">
        <v>2269</v>
      </c>
      <c r="H831" s="10">
        <v>94462.076222587406</v>
      </c>
      <c r="I831" s="10">
        <v>2.8098447808570102</v>
      </c>
      <c r="J831" s="10">
        <v>2.8126214110505399</v>
      </c>
      <c r="K831" s="4">
        <f t="shared" si="190"/>
        <v>2.8098444444444444</v>
      </c>
      <c r="L831" s="4">
        <f t="shared" si="191"/>
        <v>2.8126222222222168</v>
      </c>
      <c r="M831" s="4">
        <f t="shared" si="192"/>
        <v>2.8098447808570199</v>
      </c>
      <c r="N831" s="4">
        <f t="shared" si="193"/>
        <v>2.812621411050543</v>
      </c>
      <c r="O831" s="3">
        <f t="shared" si="183"/>
        <v>94462.076266532487</v>
      </c>
      <c r="P831" s="2">
        <f t="shared" si="185"/>
        <v>2.8215819269211922E-9</v>
      </c>
      <c r="Q831" s="2">
        <f t="shared" si="186"/>
        <v>4.6521401151542969E-10</v>
      </c>
      <c r="R831" s="6">
        <f t="shared" si="187"/>
        <v>2.8098447805010456</v>
      </c>
      <c r="S831" s="2">
        <f t="shared" si="188"/>
        <v>1.1959971730030419E-7</v>
      </c>
      <c r="T831" s="2">
        <f t="shared" si="184"/>
        <v>1.2668826531786869E-10</v>
      </c>
      <c r="U831" s="6">
        <f t="shared" si="189"/>
        <v>2.8126214106942169</v>
      </c>
      <c r="V831" s="2">
        <f t="shared" si="181"/>
        <v>2.885307502369954E-7</v>
      </c>
      <c r="W831" s="2">
        <f t="shared" si="182"/>
        <v>1.2668824832004409E-10</v>
      </c>
    </row>
    <row r="832" spans="1:23" x14ac:dyDescent="0.4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10">
        <v>78242.604999999996</v>
      </c>
      <c r="F832" s="10" t="s">
        <v>2270</v>
      </c>
      <c r="G832" s="10" t="s">
        <v>2271</v>
      </c>
      <c r="H832" s="10">
        <v>78242.604898730599</v>
      </c>
      <c r="I832" s="10">
        <v>136.90004299341399</v>
      </c>
      <c r="J832" s="10">
        <v>136.450929700497</v>
      </c>
      <c r="K832" s="4">
        <f t="shared" si="190"/>
        <v>136.90004166666668</v>
      </c>
      <c r="L832" s="4">
        <f t="shared" si="191"/>
        <v>136.45093055555554</v>
      </c>
      <c r="M832" s="4">
        <f t="shared" si="192"/>
        <v>136.90004299341399</v>
      </c>
      <c r="N832" s="4">
        <f t="shared" si="193"/>
        <v>136.450929700497</v>
      </c>
      <c r="O832" s="3">
        <f t="shared" si="183"/>
        <v>78242.604907799265</v>
      </c>
      <c r="P832" s="2">
        <f t="shared" si="185"/>
        <v>1.1783954683016903E-9</v>
      </c>
      <c r="Q832" s="2">
        <f t="shared" si="186"/>
        <v>1.1590445219154483E-10</v>
      </c>
      <c r="R832" s="6">
        <f t="shared" si="187"/>
        <v>136.90004299363628</v>
      </c>
      <c r="S832" s="2">
        <f t="shared" si="188"/>
        <v>9.6929816776073658E-9</v>
      </c>
      <c r="T832" s="2">
        <f t="shared" si="184"/>
        <v>1.6237116117332667E-12</v>
      </c>
      <c r="U832" s="6">
        <f t="shared" si="189"/>
        <v>136.45092970072227</v>
      </c>
      <c r="V832" s="2">
        <f t="shared" si="181"/>
        <v>6.2647669085735454E-9</v>
      </c>
      <c r="W832" s="2">
        <f t="shared" si="182"/>
        <v>1.650926596395053E-12</v>
      </c>
    </row>
    <row r="833" spans="1:23" x14ac:dyDescent="0.4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10">
        <v>124812.694</v>
      </c>
      <c r="F833" s="10" t="s">
        <v>2272</v>
      </c>
      <c r="G833" s="10" t="s">
        <v>2273</v>
      </c>
      <c r="H833" s="10">
        <v>124812.69354903301</v>
      </c>
      <c r="I833" s="10">
        <v>145.12758954330999</v>
      </c>
      <c r="J833" s="10">
        <v>144.40594194531201</v>
      </c>
      <c r="K833" s="4">
        <f t="shared" si="190"/>
        <v>145.12758888888888</v>
      </c>
      <c r="L833" s="4">
        <f t="shared" si="191"/>
        <v>144.40594166666665</v>
      </c>
      <c r="M833" s="4">
        <f t="shared" si="192"/>
        <v>145.12758954331002</v>
      </c>
      <c r="N833" s="4">
        <f t="shared" si="193"/>
        <v>144.40594194531201</v>
      </c>
      <c r="O833" s="3">
        <f t="shared" si="183"/>
        <v>124812.69357827387</v>
      </c>
      <c r="P833" s="2">
        <f t="shared" si="185"/>
        <v>3.3788721065370067E-9</v>
      </c>
      <c r="Q833" s="2">
        <f t="shared" si="186"/>
        <v>2.3427798095673564E-10</v>
      </c>
      <c r="R833" s="6">
        <f t="shared" si="187"/>
        <v>145.1275895433993</v>
      </c>
      <c r="S833" s="2">
        <f t="shared" si="188"/>
        <v>4.5098965720716045E-9</v>
      </c>
      <c r="T833" s="2">
        <f t="shared" si="184"/>
        <v>6.1513175821236678E-13</v>
      </c>
      <c r="U833" s="6">
        <f t="shared" si="189"/>
        <v>144.40594194540333</v>
      </c>
      <c r="V833" s="2">
        <f t="shared" si="181"/>
        <v>1.9302299819943173E-9</v>
      </c>
      <c r="W833" s="2">
        <f t="shared" si="182"/>
        <v>6.3237669565198003E-13</v>
      </c>
    </row>
    <row r="834" spans="1:23" x14ac:dyDescent="0.4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10">
        <v>22552.238000000001</v>
      </c>
      <c r="F834" s="10" t="s">
        <v>2274</v>
      </c>
      <c r="G834" s="10" t="s">
        <v>2275</v>
      </c>
      <c r="H834" s="10">
        <v>22552.238115319102</v>
      </c>
      <c r="I834" s="10">
        <v>176.87167208683999</v>
      </c>
      <c r="J834" s="10">
        <v>177.48941320959801</v>
      </c>
      <c r="K834" s="4">
        <f t="shared" si="190"/>
        <v>176.87167222222223</v>
      </c>
      <c r="L834" s="4">
        <f t="shared" si="191"/>
        <v>177.48941388888886</v>
      </c>
      <c r="M834" s="4">
        <f t="shared" si="192"/>
        <v>176.87167208684002</v>
      </c>
      <c r="N834" s="4">
        <f t="shared" si="193"/>
        <v>177.48941320959807</v>
      </c>
      <c r="O834" s="3">
        <f t="shared" si="183"/>
        <v>22552.238103556378</v>
      </c>
      <c r="P834" s="2">
        <f t="shared" si="185"/>
        <v>4.5918447834860629E-9</v>
      </c>
      <c r="Q834" s="2">
        <f t="shared" si="186"/>
        <v>5.2157679918712991E-10</v>
      </c>
      <c r="R834" s="6">
        <f t="shared" si="187"/>
        <v>176.8716720868419</v>
      </c>
      <c r="S834" s="2">
        <f t="shared" si="188"/>
        <v>7.6541557515149737E-10</v>
      </c>
      <c r="T834" s="2">
        <f t="shared" si="184"/>
        <v>1.0605614795599788E-14</v>
      </c>
      <c r="U834" s="6">
        <f t="shared" si="189"/>
        <v>177.48941320959969</v>
      </c>
      <c r="V834" s="2">
        <f t="shared" si="181"/>
        <v>3.8272095083508737E-9</v>
      </c>
      <c r="W834" s="2">
        <f t="shared" si="182"/>
        <v>9.1275158796086544E-15</v>
      </c>
    </row>
    <row r="835" spans="1:23" x14ac:dyDescent="0.45">
      <c r="A835">
        <v>-27.42296</v>
      </c>
      <c r="B835">
        <v>-154.84023999999999</v>
      </c>
      <c r="C835">
        <v>-27.38842</v>
      </c>
      <c r="D835">
        <v>-153.98864</v>
      </c>
      <c r="E835" s="10">
        <v>84306.782000000007</v>
      </c>
      <c r="F835" s="10" t="s">
        <v>2276</v>
      </c>
      <c r="G835" s="10" t="s">
        <v>2277</v>
      </c>
      <c r="H835" s="10">
        <v>84306.782231313904</v>
      </c>
      <c r="I835" s="10">
        <v>87.594027788629305</v>
      </c>
      <c r="J835" s="10">
        <v>87.202040834220398</v>
      </c>
      <c r="K835" s="4">
        <f t="shared" si="190"/>
        <v>87.594027777777782</v>
      </c>
      <c r="L835" s="4">
        <f t="shared" si="191"/>
        <v>87.202041666666673</v>
      </c>
      <c r="M835" s="4">
        <f t="shared" si="192"/>
        <v>87.594027788629319</v>
      </c>
      <c r="N835" s="4">
        <f t="shared" si="193"/>
        <v>87.202040834220384</v>
      </c>
      <c r="O835" s="3">
        <f t="shared" si="183"/>
        <v>84306.782226962678</v>
      </c>
      <c r="P835" s="2">
        <f t="shared" si="185"/>
        <v>2.6921045468147752E-9</v>
      </c>
      <c r="Q835" s="2">
        <f t="shared" si="186"/>
        <v>5.1611818941877708E-11</v>
      </c>
      <c r="R835" s="6">
        <f t="shared" si="187"/>
        <v>87.59402778851269</v>
      </c>
      <c r="S835" s="2">
        <f t="shared" si="188"/>
        <v>1.2255296788962618E-10</v>
      </c>
      <c r="T835" s="2">
        <f t="shared" si="184"/>
        <v>1.3314661694641529E-12</v>
      </c>
      <c r="U835" s="6">
        <f t="shared" si="189"/>
        <v>87.202040834120282</v>
      </c>
      <c r="V835" s="2">
        <f t="shared" si="181"/>
        <v>9.5473268174282217E-9</v>
      </c>
      <c r="W835" s="2">
        <f t="shared" si="182"/>
        <v>1.1479233703278254E-12</v>
      </c>
    </row>
    <row r="836" spans="1:23" x14ac:dyDescent="0.45">
      <c r="A836">
        <v>-72.035470000000004</v>
      </c>
      <c r="B836">
        <v>-171.25653</v>
      </c>
      <c r="C836">
        <v>-72.718109999999996</v>
      </c>
      <c r="D836">
        <v>-170.98632000000001</v>
      </c>
      <c r="E836" s="10">
        <v>76721.703999999998</v>
      </c>
      <c r="F836" s="10" t="s">
        <v>2278</v>
      </c>
      <c r="G836" s="10" t="s">
        <v>2279</v>
      </c>
      <c r="H836" s="10">
        <v>76721.704175408406</v>
      </c>
      <c r="I836" s="10">
        <v>173.29078797711699</v>
      </c>
      <c r="J836" s="10">
        <v>173.03325482993401</v>
      </c>
      <c r="K836" s="4">
        <f t="shared" si="190"/>
        <v>173.2907888888889</v>
      </c>
      <c r="L836" s="4">
        <f t="shared" si="191"/>
        <v>173.03325555555557</v>
      </c>
      <c r="M836" s="4">
        <f t="shared" si="192"/>
        <v>173.29078797711702</v>
      </c>
      <c r="N836" s="4">
        <f t="shared" si="193"/>
        <v>173.03325482993398</v>
      </c>
      <c r="O836" s="3">
        <f t="shared" si="183"/>
        <v>76721.704168289754</v>
      </c>
      <c r="P836" s="2">
        <f t="shared" si="185"/>
        <v>2.1935091066587013E-9</v>
      </c>
      <c r="Q836" s="2">
        <f t="shared" si="186"/>
        <v>9.2785366110865412E-11</v>
      </c>
      <c r="R836" s="6">
        <f t="shared" si="187"/>
        <v>173.29078797731054</v>
      </c>
      <c r="S836" s="2">
        <f t="shared" si="188"/>
        <v>5.260397046949671E-9</v>
      </c>
      <c r="T836" s="2">
        <f t="shared" si="184"/>
        <v>1.1167553784634851E-12</v>
      </c>
      <c r="U836" s="6">
        <f t="shared" si="189"/>
        <v>173.0332548301358</v>
      </c>
      <c r="V836" s="2">
        <f t="shared" si="181"/>
        <v>4.1923719495050001E-9</v>
      </c>
      <c r="W836" s="2">
        <f t="shared" si="182"/>
        <v>1.1663801785596676E-12</v>
      </c>
    </row>
    <row r="837" spans="1:23" x14ac:dyDescent="0.4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10">
        <v>111505.932</v>
      </c>
      <c r="F837" s="10" t="s">
        <v>2280</v>
      </c>
      <c r="G837" s="10" t="s">
        <v>2281</v>
      </c>
      <c r="H837" s="10">
        <v>111505.93188881699</v>
      </c>
      <c r="I837" s="10">
        <v>171.45843864875101</v>
      </c>
      <c r="J837" s="10">
        <v>170.88288515508199</v>
      </c>
      <c r="K837" s="4">
        <f t="shared" si="190"/>
        <v>171.45843888888888</v>
      </c>
      <c r="L837" s="4">
        <f t="shared" si="191"/>
        <v>170.88288611111113</v>
      </c>
      <c r="M837" s="4">
        <f t="shared" si="192"/>
        <v>171.45843864875098</v>
      </c>
      <c r="N837" s="4">
        <f t="shared" si="193"/>
        <v>170.88288515508202</v>
      </c>
      <c r="O837" s="3">
        <f t="shared" si="183"/>
        <v>111505.93221982893</v>
      </c>
      <c r="P837" s="2">
        <f t="shared" si="185"/>
        <v>1.9714550200151278E-9</v>
      </c>
      <c r="Q837" s="2">
        <f t="shared" si="186"/>
        <v>2.9685589804900383E-9</v>
      </c>
      <c r="R837" s="6">
        <f t="shared" si="187"/>
        <v>171.45843864884154</v>
      </c>
      <c r="S837" s="2">
        <f t="shared" si="188"/>
        <v>1.4000322384799607E-9</v>
      </c>
      <c r="T837" s="2">
        <f t="shared" si="184"/>
        <v>5.2812545686812606E-13</v>
      </c>
      <c r="U837" s="6">
        <f t="shared" si="189"/>
        <v>170.88288515517979</v>
      </c>
      <c r="V837" s="2">
        <f t="shared" si="181"/>
        <v>5.5940730107634855E-9</v>
      </c>
      <c r="W837" s="2">
        <f t="shared" si="182"/>
        <v>5.7215022061372371E-13</v>
      </c>
    </row>
    <row r="838" spans="1:23" x14ac:dyDescent="0.45">
      <c r="A838">
        <v>53.191809999999997</v>
      </c>
      <c r="B838">
        <v>-174.81004999999999</v>
      </c>
      <c r="C838">
        <v>52.33128</v>
      </c>
      <c r="D838">
        <v>-175.39552</v>
      </c>
      <c r="E838" s="10">
        <v>103595.88499999999</v>
      </c>
      <c r="F838" s="10" t="s">
        <v>2282</v>
      </c>
      <c r="G838" s="10" t="s">
        <v>2283</v>
      </c>
      <c r="H838" s="10">
        <v>103595.884558823</v>
      </c>
      <c r="I838" s="10">
        <v>-157.33943565261001</v>
      </c>
      <c r="J838" s="10">
        <v>-157.80555699603801</v>
      </c>
      <c r="K838" s="4">
        <f t="shared" si="190"/>
        <v>202.6605638888889</v>
      </c>
      <c r="L838" s="4">
        <f t="shared" si="191"/>
        <v>202.19444166666668</v>
      </c>
      <c r="M838" s="4">
        <f t="shared" si="192"/>
        <v>202.66056434738999</v>
      </c>
      <c r="N838" s="4">
        <f t="shared" si="193"/>
        <v>202.19444300396199</v>
      </c>
      <c r="O838" s="3">
        <f t="shared" si="183"/>
        <v>103595.88459624317</v>
      </c>
      <c r="P838" s="2">
        <f t="shared" si="185"/>
        <v>3.8974214926184284E-9</v>
      </c>
      <c r="Q838" s="2">
        <f t="shared" si="186"/>
        <v>3.6121283058311418E-10</v>
      </c>
      <c r="R838" s="6">
        <f t="shared" si="187"/>
        <v>202.66056434736171</v>
      </c>
      <c r="S838" s="2">
        <f t="shared" si="188"/>
        <v>2.2622694959367914E-9</v>
      </c>
      <c r="T838" s="2">
        <f t="shared" si="184"/>
        <v>1.3954170597678095E-13</v>
      </c>
      <c r="U838" s="6">
        <f t="shared" si="189"/>
        <v>202.19444300393445</v>
      </c>
      <c r="V838" s="2">
        <f t="shared" si="181"/>
        <v>6.613771202621588E-9</v>
      </c>
      <c r="W838" s="2">
        <f t="shared" si="182"/>
        <v>1.3620867136057653E-13</v>
      </c>
    </row>
    <row r="839" spans="1:23" x14ac:dyDescent="0.45">
      <c r="A839">
        <v>-76.043800000000005</v>
      </c>
      <c r="B839">
        <v>-61.64893</v>
      </c>
      <c r="C839">
        <v>-76.523560000000003</v>
      </c>
      <c r="D839">
        <v>-61.125309999999999</v>
      </c>
      <c r="E839" s="10">
        <v>55320.985999999997</v>
      </c>
      <c r="F839" s="10" t="s">
        <v>2284</v>
      </c>
      <c r="G839" s="10" t="s">
        <v>2285</v>
      </c>
      <c r="H839" s="10">
        <v>55320.9862932584</v>
      </c>
      <c r="I839" s="10">
        <v>165.73957378076801</v>
      </c>
      <c r="J839" s="10">
        <v>165.23088191635401</v>
      </c>
      <c r="K839" s="4">
        <f t="shared" si="190"/>
        <v>165.739575</v>
      </c>
      <c r="L839" s="4">
        <f t="shared" si="191"/>
        <v>165.23088055555559</v>
      </c>
      <c r="M839" s="4">
        <f t="shared" si="192"/>
        <v>165.73957378076807</v>
      </c>
      <c r="N839" s="4">
        <f t="shared" si="193"/>
        <v>165.23088191635406</v>
      </c>
      <c r="O839" s="3">
        <f t="shared" si="183"/>
        <v>55320.986308345207</v>
      </c>
      <c r="P839" s="2">
        <f t="shared" si="185"/>
        <v>5.5737475506060427E-9</v>
      </c>
      <c r="Q839" s="2">
        <f t="shared" si="186"/>
        <v>2.7271399631954999E-10</v>
      </c>
      <c r="R839" s="6">
        <f t="shared" si="187"/>
        <v>165.73957378085746</v>
      </c>
      <c r="S839" s="2">
        <f t="shared" si="188"/>
        <v>7.3557721317643278E-9</v>
      </c>
      <c r="T839" s="2">
        <f t="shared" si="184"/>
        <v>5.3931764224792959E-13</v>
      </c>
      <c r="U839" s="6">
        <f t="shared" si="189"/>
        <v>165.23088191644678</v>
      </c>
      <c r="V839" s="2">
        <f t="shared" si="181"/>
        <v>8.2363005352585653E-9</v>
      </c>
      <c r="W839" s="2">
        <f t="shared" si="182"/>
        <v>5.6110343954292939E-13</v>
      </c>
    </row>
    <row r="840" spans="1:23" x14ac:dyDescent="0.45">
      <c r="A840">
        <v>-27.30219</v>
      </c>
      <c r="B840">
        <v>108.43069</v>
      </c>
      <c r="C840">
        <v>-26.87274</v>
      </c>
      <c r="D840">
        <v>108.60153</v>
      </c>
      <c r="E840" s="10">
        <v>50511.680999999997</v>
      </c>
      <c r="F840" s="10" t="s">
        <v>2286</v>
      </c>
      <c r="G840" s="10" t="s">
        <v>2287</v>
      </c>
      <c r="H840" s="10">
        <v>50511.6809294989</v>
      </c>
      <c r="I840" s="10">
        <v>19.638151814812201</v>
      </c>
      <c r="J840" s="10">
        <v>19.560359203037802</v>
      </c>
      <c r="K840" s="4">
        <f t="shared" si="190"/>
        <v>19.638152777777776</v>
      </c>
      <c r="L840" s="4">
        <f t="shared" si="191"/>
        <v>19.56035833333334</v>
      </c>
      <c r="M840" s="4">
        <f t="shared" si="192"/>
        <v>19.638151814812204</v>
      </c>
      <c r="N840" s="4">
        <f t="shared" si="193"/>
        <v>19.560359203037819</v>
      </c>
      <c r="O840" s="3">
        <f t="shared" si="183"/>
        <v>50511.680909171984</v>
      </c>
      <c r="P840" s="2">
        <f t="shared" si="185"/>
        <v>1.7981585807219376E-9</v>
      </c>
      <c r="Q840" s="2">
        <f t="shared" si="186"/>
        <v>4.0242009713934167E-10</v>
      </c>
      <c r="R840" s="6">
        <f t="shared" si="187"/>
        <v>19.638151813963482</v>
      </c>
      <c r="S840" s="2">
        <f t="shared" si="188"/>
        <v>4.9078663612559094E-8</v>
      </c>
      <c r="T840" s="2">
        <f t="shared" si="184"/>
        <v>4.3218017132509015E-11</v>
      </c>
      <c r="U840" s="6">
        <f t="shared" si="189"/>
        <v>19.560359202192579</v>
      </c>
      <c r="V840" s="2">
        <f t="shared" si="181"/>
        <v>4.4419392731563326E-8</v>
      </c>
      <c r="W840" s="2">
        <f t="shared" si="182"/>
        <v>4.3211901857450167E-11</v>
      </c>
    </row>
    <row r="841" spans="1:23" x14ac:dyDescent="0.45">
      <c r="A841">
        <v>-27.56935</v>
      </c>
      <c r="B841">
        <v>160.24204</v>
      </c>
      <c r="C841">
        <v>-27.67482</v>
      </c>
      <c r="D841">
        <v>160.91743</v>
      </c>
      <c r="E841" s="10">
        <v>67679.627999999997</v>
      </c>
      <c r="F841" s="10" t="s">
        <v>2288</v>
      </c>
      <c r="G841" s="10" t="s">
        <v>2289</v>
      </c>
      <c r="H841" s="10">
        <v>67679.627983006299</v>
      </c>
      <c r="I841" s="10">
        <v>100.100606387901</v>
      </c>
      <c r="J841" s="10">
        <v>99.787467199197494</v>
      </c>
      <c r="K841" s="4">
        <f t="shared" si="190"/>
        <v>100.10060555555556</v>
      </c>
      <c r="L841" s="4">
        <f t="shared" si="191"/>
        <v>99.78746666666666</v>
      </c>
      <c r="M841" s="4">
        <f t="shared" si="192"/>
        <v>100.100606387901</v>
      </c>
      <c r="N841" s="4">
        <f t="shared" si="193"/>
        <v>99.787467199197522</v>
      </c>
      <c r="O841" s="3">
        <f t="shared" si="183"/>
        <v>67679.627979918936</v>
      </c>
      <c r="P841" s="2">
        <f t="shared" si="185"/>
        <v>2.9670761397413596E-10</v>
      </c>
      <c r="Q841" s="2">
        <f t="shared" si="186"/>
        <v>4.5617322829492723E-11</v>
      </c>
      <c r="R841" s="6">
        <f t="shared" si="187"/>
        <v>100.10060638829799</v>
      </c>
      <c r="S841" s="2">
        <f t="shared" si="188"/>
        <v>8.3190548654302239E-9</v>
      </c>
      <c r="T841" s="2">
        <f t="shared" si="184"/>
        <v>3.9659543698015723E-12</v>
      </c>
      <c r="U841" s="6">
        <f t="shared" si="189"/>
        <v>99.787467199607704</v>
      </c>
      <c r="V841" s="2">
        <f t="shared" si="181"/>
        <v>5.3407613399467062E-9</v>
      </c>
      <c r="W841" s="2">
        <f t="shared" si="182"/>
        <v>4.110557387740665E-12</v>
      </c>
    </row>
    <row r="842" spans="1:23" x14ac:dyDescent="0.45">
      <c r="A842">
        <v>-67.435599999999994</v>
      </c>
      <c r="B842">
        <v>-128.18227999999999</v>
      </c>
      <c r="C842">
        <v>-66.869159999999994</v>
      </c>
      <c r="D842">
        <v>-128.90196</v>
      </c>
      <c r="E842" s="10">
        <v>70453.369000000006</v>
      </c>
      <c r="F842" s="10" t="s">
        <v>2290</v>
      </c>
      <c r="G842" s="10" t="s">
        <v>2291</v>
      </c>
      <c r="H842" s="10">
        <v>70453.369151874198</v>
      </c>
      <c r="I842" s="10">
        <v>-26.613329763623401</v>
      </c>
      <c r="J842" s="10">
        <v>-25.950105886175599</v>
      </c>
      <c r="K842" s="4">
        <f t="shared" si="190"/>
        <v>333.38666944444446</v>
      </c>
      <c r="L842" s="4">
        <f t="shared" si="191"/>
        <v>334.04989444444448</v>
      </c>
      <c r="M842" s="4">
        <f t="shared" si="192"/>
        <v>333.38667023637657</v>
      </c>
      <c r="N842" s="4">
        <f t="shared" si="193"/>
        <v>334.04989411382439</v>
      </c>
      <c r="O842" s="3">
        <f t="shared" si="183"/>
        <v>70453.369165871583</v>
      </c>
      <c r="P842" s="2">
        <f t="shared" si="185"/>
        <v>2.354345571996482E-9</v>
      </c>
      <c r="Q842" s="2">
        <f t="shared" si="186"/>
        <v>1.9867588396781614E-10</v>
      </c>
      <c r="R842" s="6">
        <f t="shared" si="187"/>
        <v>333.38667023636873</v>
      </c>
      <c r="S842" s="2">
        <f t="shared" si="188"/>
        <v>2.3753927118651309E-9</v>
      </c>
      <c r="T842" s="2">
        <f t="shared" si="184"/>
        <v>2.3529410450722892E-14</v>
      </c>
      <c r="U842" s="6">
        <f t="shared" si="189"/>
        <v>334.04989411381683</v>
      </c>
      <c r="V842" s="2">
        <f t="shared" si="181"/>
        <v>9.8975526738978911E-10</v>
      </c>
      <c r="W842" s="2">
        <f t="shared" si="182"/>
        <v>2.2631872788175191E-14</v>
      </c>
    </row>
    <row r="843" spans="1:23" x14ac:dyDescent="0.45">
      <c r="A843">
        <v>56.44482</v>
      </c>
      <c r="B843">
        <v>-57.208320000000001</v>
      </c>
      <c r="C843">
        <v>56.372999999999998</v>
      </c>
      <c r="D843">
        <v>-57.456090000000003</v>
      </c>
      <c r="E843" s="10">
        <v>17259.881000000001</v>
      </c>
      <c r="F843" s="10" t="s">
        <v>2292</v>
      </c>
      <c r="G843" s="10" t="s">
        <v>2293</v>
      </c>
      <c r="H843" s="10">
        <v>17259.880973748099</v>
      </c>
      <c r="I843" s="10">
        <v>-117.499242051357</v>
      </c>
      <c r="J843" s="10">
        <v>-117.705636406332</v>
      </c>
      <c r="K843" s="4">
        <f t="shared" si="190"/>
        <v>242.50075833333332</v>
      </c>
      <c r="L843" s="4">
        <f t="shared" si="191"/>
        <v>242.29436388888888</v>
      </c>
      <c r="M843" s="4">
        <f t="shared" si="192"/>
        <v>242.50075794864301</v>
      </c>
      <c r="N843" s="4">
        <f t="shared" si="193"/>
        <v>242.29436359366798</v>
      </c>
      <c r="O843" s="3">
        <f t="shared" si="183"/>
        <v>17259.880972504769</v>
      </c>
      <c r="P843" s="2">
        <f t="shared" si="185"/>
        <v>1.5930140331535064E-9</v>
      </c>
      <c r="Q843" s="2">
        <f t="shared" si="186"/>
        <v>7.203584954716491E-11</v>
      </c>
      <c r="R843" s="6">
        <f t="shared" si="187"/>
        <v>242.50075794866177</v>
      </c>
      <c r="S843" s="2">
        <f t="shared" si="188"/>
        <v>1.5862694786803848E-9</v>
      </c>
      <c r="T843" s="2">
        <f t="shared" si="184"/>
        <v>7.7353689047187632E-14</v>
      </c>
      <c r="U843" s="6">
        <f t="shared" si="189"/>
        <v>242.2943635936856</v>
      </c>
      <c r="V843" s="2">
        <f t="shared" si="181"/>
        <v>1.2183662631379298E-9</v>
      </c>
      <c r="W843" s="2">
        <f t="shared" si="182"/>
        <v>7.2727485631494061E-14</v>
      </c>
    </row>
    <row r="844" spans="1:23" x14ac:dyDescent="0.45">
      <c r="A844">
        <v>-72.437510000000003</v>
      </c>
      <c r="B844">
        <v>32.01849</v>
      </c>
      <c r="C844">
        <v>-71.582530000000006</v>
      </c>
      <c r="D844">
        <v>32.245840000000001</v>
      </c>
      <c r="E844" s="10">
        <v>95725.532000000007</v>
      </c>
      <c r="F844" s="10" t="s">
        <v>2294</v>
      </c>
      <c r="G844" s="10" t="s">
        <v>2295</v>
      </c>
      <c r="H844" s="10">
        <v>95725.531558490999</v>
      </c>
      <c r="I844" s="10">
        <v>4.8061839541179401</v>
      </c>
      <c r="J844" s="10">
        <v>4.5899429236256202</v>
      </c>
      <c r="K844" s="4">
        <f t="shared" si="190"/>
        <v>4.8061833333333333</v>
      </c>
      <c r="L844" s="4">
        <f t="shared" si="191"/>
        <v>4.5899416666666752</v>
      </c>
      <c r="M844" s="4">
        <f t="shared" si="192"/>
        <v>4.8061839541179552</v>
      </c>
      <c r="N844" s="4">
        <f t="shared" si="193"/>
        <v>4.5899429236256424</v>
      </c>
      <c r="O844" s="3">
        <f t="shared" si="183"/>
        <v>95725.531555341135</v>
      </c>
      <c r="P844" s="2">
        <f t="shared" si="185"/>
        <v>4.6451439084874248E-9</v>
      </c>
      <c r="Q844" s="2">
        <f t="shared" si="186"/>
        <v>3.2905159817910732E-11</v>
      </c>
      <c r="R844" s="6">
        <f t="shared" si="187"/>
        <v>4.8061839539600237</v>
      </c>
      <c r="S844" s="2">
        <f t="shared" si="188"/>
        <v>1.2913088150001552E-7</v>
      </c>
      <c r="T844" s="2">
        <f t="shared" si="184"/>
        <v>3.286005013679544E-11</v>
      </c>
      <c r="U844" s="6">
        <f t="shared" si="189"/>
        <v>4.5899429234748315</v>
      </c>
      <c r="V844" s="2">
        <f t="shared" si="181"/>
        <v>2.7381789301178094E-7</v>
      </c>
      <c r="W844" s="2">
        <f t="shared" si="182"/>
        <v>3.2856818007905593E-11</v>
      </c>
    </row>
    <row r="845" spans="1:23" x14ac:dyDescent="0.4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10">
        <v>48040.112999999998</v>
      </c>
      <c r="F845" s="10" t="s">
        <v>2296</v>
      </c>
      <c r="G845" s="10" t="s">
        <v>2297</v>
      </c>
      <c r="H845" s="10">
        <v>48040.112753703303</v>
      </c>
      <c r="I845" s="10">
        <v>2.3298373187968502</v>
      </c>
      <c r="J845" s="10">
        <v>2.3159759084272999</v>
      </c>
      <c r="K845" s="4">
        <f t="shared" si="190"/>
        <v>2.3298361111111112</v>
      </c>
      <c r="L845" s="4">
        <f t="shared" si="191"/>
        <v>2.3159749999999804</v>
      </c>
      <c r="M845" s="4">
        <f t="shared" si="192"/>
        <v>2.3298373187968764</v>
      </c>
      <c r="N845" s="4">
        <f t="shared" si="193"/>
        <v>2.3159759084272764</v>
      </c>
      <c r="O845" s="3">
        <f t="shared" si="183"/>
        <v>48040.112740242941</v>
      </c>
      <c r="P845" s="2">
        <f t="shared" si="185"/>
        <v>5.4070867086234286E-9</v>
      </c>
      <c r="Q845" s="2">
        <f t="shared" si="186"/>
        <v>2.8019004834942225E-10</v>
      </c>
      <c r="R845" s="6">
        <f t="shared" si="187"/>
        <v>2.3298373187562711</v>
      </c>
      <c r="S845" s="2">
        <f t="shared" si="188"/>
        <v>5.1833910295823614E-7</v>
      </c>
      <c r="T845" s="2">
        <f t="shared" si="184"/>
        <v>1.7428382906841312E-11</v>
      </c>
      <c r="U845" s="6">
        <f t="shared" si="189"/>
        <v>2.3159759083869536</v>
      </c>
      <c r="V845" s="2">
        <f t="shared" ref="V845:V908" si="194">ABS((L845-U845)/L845)</f>
        <v>3.9222658845514418E-7</v>
      </c>
      <c r="W845" s="2">
        <f t="shared" ref="W845:W908" si="195">ABS((N845-U845)/N845)</f>
        <v>1.7410740767402074E-11</v>
      </c>
    </row>
    <row r="846" spans="1:23" x14ac:dyDescent="0.45">
      <c r="A846">
        <v>-63.26831</v>
      </c>
      <c r="B846">
        <v>-75.278710000000004</v>
      </c>
      <c r="C846">
        <v>-63.911479999999997</v>
      </c>
      <c r="D846">
        <v>-74.852509999999995</v>
      </c>
      <c r="E846" s="10">
        <v>74751.687999999995</v>
      </c>
      <c r="F846" s="10" t="s">
        <v>2298</v>
      </c>
      <c r="G846" s="10" t="s">
        <v>2299</v>
      </c>
      <c r="H846" s="10">
        <v>74751.687998965601</v>
      </c>
      <c r="I846" s="10">
        <v>163.74740454932501</v>
      </c>
      <c r="J846" s="10">
        <v>163.36567925829999</v>
      </c>
      <c r="K846" s="4">
        <f t="shared" si="190"/>
        <v>163.74740555555556</v>
      </c>
      <c r="L846" s="4">
        <f t="shared" si="191"/>
        <v>163.36568055555563</v>
      </c>
      <c r="M846" s="4">
        <f t="shared" si="192"/>
        <v>163.74740454932498</v>
      </c>
      <c r="N846" s="4">
        <f t="shared" si="193"/>
        <v>163.36567925830002</v>
      </c>
      <c r="O846" s="3">
        <f t="shared" si="183"/>
        <v>74751.688031161146</v>
      </c>
      <c r="P846" s="2">
        <f t="shared" si="185"/>
        <v>4.1686217343867547E-10</v>
      </c>
      <c r="Q846" s="2">
        <f t="shared" si="186"/>
        <v>4.3069990497757411E-10</v>
      </c>
      <c r="R846" s="6">
        <f t="shared" si="187"/>
        <v>163.74740454932177</v>
      </c>
      <c r="S846" s="2">
        <f t="shared" si="188"/>
        <v>6.1450365239932983E-9</v>
      </c>
      <c r="T846" s="2">
        <f t="shared" si="184"/>
        <v>1.9613459978037203E-14</v>
      </c>
      <c r="U846" s="6">
        <f t="shared" si="189"/>
        <v>163.36567925829684</v>
      </c>
      <c r="V846" s="2">
        <f t="shared" si="194"/>
        <v>7.9408281264693044E-9</v>
      </c>
      <c r="W846" s="2">
        <f t="shared" si="195"/>
        <v>1.9485313381963123E-14</v>
      </c>
    </row>
    <row r="847" spans="1:23" x14ac:dyDescent="0.4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10">
        <v>60094.144999999997</v>
      </c>
      <c r="F847" s="10" t="s">
        <v>2300</v>
      </c>
      <c r="G847" s="10" t="s">
        <v>2301</v>
      </c>
      <c r="H847" s="10">
        <v>60094.145297819603</v>
      </c>
      <c r="I847" s="10">
        <v>-25.460205929068401</v>
      </c>
      <c r="J847" s="10">
        <v>-25.0106640898445</v>
      </c>
      <c r="K847" s="4">
        <f t="shared" si="190"/>
        <v>334.53979444444445</v>
      </c>
      <c r="L847" s="4">
        <f t="shared" si="191"/>
        <v>334.98933611111113</v>
      </c>
      <c r="M847" s="4">
        <f t="shared" si="192"/>
        <v>334.53979407093158</v>
      </c>
      <c r="N847" s="4">
        <f t="shared" si="193"/>
        <v>334.98933591015549</v>
      </c>
      <c r="O847" s="3">
        <f t="shared" si="183"/>
        <v>60094.145320778516</v>
      </c>
      <c r="P847" s="2">
        <f t="shared" si="185"/>
        <v>5.3379329946509378E-9</v>
      </c>
      <c r="Q847" s="2">
        <f t="shared" si="186"/>
        <v>3.820490842150391E-10</v>
      </c>
      <c r="R847" s="6">
        <f t="shared" si="187"/>
        <v>334.5397940709247</v>
      </c>
      <c r="S847" s="2">
        <f t="shared" si="188"/>
        <v>1.116518154181939E-9</v>
      </c>
      <c r="T847" s="2">
        <f t="shared" si="184"/>
        <v>2.0559747462209039E-14</v>
      </c>
      <c r="U847" s="6">
        <f t="shared" si="189"/>
        <v>334.98933591014884</v>
      </c>
      <c r="V847" s="2">
        <f t="shared" si="194"/>
        <v>5.9990653045028001E-10</v>
      </c>
      <c r="W847" s="2">
        <f t="shared" si="195"/>
        <v>1.9853408135052568E-14</v>
      </c>
    </row>
    <row r="848" spans="1:23" x14ac:dyDescent="0.45">
      <c r="A848">
        <v>-70.420919999999995</v>
      </c>
      <c r="B848">
        <v>12.29795</v>
      </c>
      <c r="C848">
        <v>-71.379620000000003</v>
      </c>
      <c r="D848">
        <v>13.29031</v>
      </c>
      <c r="E848" s="10">
        <v>112938.856</v>
      </c>
      <c r="F848" s="10" t="s">
        <v>2302</v>
      </c>
      <c r="G848" s="10" t="s">
        <v>2303</v>
      </c>
      <c r="H848" s="10">
        <v>112938.856137653</v>
      </c>
      <c r="I848" s="10">
        <v>161.74435177779301</v>
      </c>
      <c r="J848" s="10">
        <v>160.806585400405</v>
      </c>
      <c r="K848" s="4">
        <f t="shared" si="190"/>
        <v>161.74435277777778</v>
      </c>
      <c r="L848" s="4">
        <f t="shared" si="191"/>
        <v>160.80658611111107</v>
      </c>
      <c r="M848" s="4">
        <f t="shared" si="192"/>
        <v>161.74435177779299</v>
      </c>
      <c r="N848" s="4">
        <f t="shared" si="193"/>
        <v>160.80658540040497</v>
      </c>
      <c r="O848" s="3">
        <f t="shared" si="183"/>
        <v>112938.85613652975</v>
      </c>
      <c r="P848" s="2">
        <f t="shared" si="185"/>
        <v>1.2088820016654904E-9</v>
      </c>
      <c r="Q848" s="2">
        <f t="shared" si="186"/>
        <v>9.945627421561304E-12</v>
      </c>
      <c r="R848" s="6">
        <f t="shared" si="187"/>
        <v>161.74435177858069</v>
      </c>
      <c r="S848" s="2">
        <f t="shared" si="188"/>
        <v>6.1776319668893846E-9</v>
      </c>
      <c r="T848" s="2">
        <f t="shared" si="184"/>
        <v>4.8700784182301011E-12</v>
      </c>
      <c r="U848" s="6">
        <f t="shared" si="189"/>
        <v>160.8065854012354</v>
      </c>
      <c r="V848" s="2">
        <f t="shared" si="194"/>
        <v>4.4144689307020811E-9</v>
      </c>
      <c r="W848" s="2">
        <f t="shared" si="195"/>
        <v>5.1641262331999807E-12</v>
      </c>
    </row>
    <row r="849" spans="1:23" x14ac:dyDescent="0.45">
      <c r="A849">
        <v>87.846559999999997</v>
      </c>
      <c r="B849">
        <v>-0.87456</v>
      </c>
      <c r="C849">
        <v>88.451130000000006</v>
      </c>
      <c r="D849">
        <v>-0.82923000000005198</v>
      </c>
      <c r="E849" s="10">
        <v>67526.303</v>
      </c>
      <c r="F849" s="10" t="s">
        <v>2304</v>
      </c>
      <c r="G849" s="10" t="s">
        <v>2305</v>
      </c>
      <c r="H849" s="10">
        <v>67526.303361550599</v>
      </c>
      <c r="I849" s="10">
        <v>0.116121281894394</v>
      </c>
      <c r="J849" s="10">
        <v>0.16142825553059201</v>
      </c>
      <c r="K849" s="4">
        <f t="shared" si="190"/>
        <v>0.11612222222222222</v>
      </c>
      <c r="L849" s="4">
        <f t="shared" si="191"/>
        <v>0.16142777777781703</v>
      </c>
      <c r="M849" s="4">
        <f t="shared" si="192"/>
        <v>0.11612128189437954</v>
      </c>
      <c r="N849" s="4">
        <f t="shared" si="193"/>
        <v>0.16142825553060902</v>
      </c>
      <c r="O849" s="3">
        <f t="shared" si="183"/>
        <v>67526.30332696496</v>
      </c>
      <c r="P849" s="2">
        <f t="shared" si="185"/>
        <v>4.842038524602155E-9</v>
      </c>
      <c r="Q849" s="2">
        <f t="shared" si="186"/>
        <v>5.1218024776933249E-10</v>
      </c>
      <c r="R849" s="6">
        <f t="shared" si="187"/>
        <v>0.1161212818930444</v>
      </c>
      <c r="S849" s="2">
        <f t="shared" si="188"/>
        <v>8.0977538995870476E-6</v>
      </c>
      <c r="T849" s="2">
        <f t="shared" si="184"/>
        <v>1.1497809099634376E-11</v>
      </c>
      <c r="U849" s="6">
        <f t="shared" si="189"/>
        <v>0.16142825552871259</v>
      </c>
      <c r="V849" s="2">
        <f t="shared" si="194"/>
        <v>2.9595333724052952E-6</v>
      </c>
      <c r="W849" s="2">
        <f t="shared" si="195"/>
        <v>1.1747803711809748E-11</v>
      </c>
    </row>
    <row r="850" spans="1:23" x14ac:dyDescent="0.45">
      <c r="A850">
        <v>72.121650000000002</v>
      </c>
      <c r="B850">
        <v>108.23157999999999</v>
      </c>
      <c r="C850">
        <v>72.806150000000002</v>
      </c>
      <c r="D850">
        <v>109.06195</v>
      </c>
      <c r="E850" s="10">
        <v>81331.076000000001</v>
      </c>
      <c r="F850" s="10" t="s">
        <v>2306</v>
      </c>
      <c r="G850" s="10" t="s">
        <v>2307</v>
      </c>
      <c r="H850" s="10">
        <v>81331.076373782096</v>
      </c>
      <c r="I850" s="10">
        <v>19.6940224101753</v>
      </c>
      <c r="J850" s="10">
        <v>20.4858182626615</v>
      </c>
      <c r="K850" s="4">
        <f t="shared" si="190"/>
        <v>19.694022222222223</v>
      </c>
      <c r="L850" s="4">
        <f t="shared" si="191"/>
        <v>20.485819444444473</v>
      </c>
      <c r="M850" s="4">
        <f t="shared" si="192"/>
        <v>19.694022410175307</v>
      </c>
      <c r="N850" s="4">
        <f t="shared" si="193"/>
        <v>20.485818262661496</v>
      </c>
      <c r="O850" s="3">
        <f t="shared" si="183"/>
        <v>81331.076349716503</v>
      </c>
      <c r="P850" s="2">
        <f t="shared" si="185"/>
        <v>4.2999123933847089E-9</v>
      </c>
      <c r="Q850" s="2">
        <f t="shared" si="186"/>
        <v>2.9589665697022771E-10</v>
      </c>
      <c r="R850" s="6">
        <f t="shared" si="187"/>
        <v>19.694022409663873</v>
      </c>
      <c r="S850" s="2">
        <f t="shared" si="188"/>
        <v>9.5176926095697758E-9</v>
      </c>
      <c r="T850" s="2">
        <f t="shared" si="184"/>
        <v>2.5969019415818383E-11</v>
      </c>
      <c r="U850" s="6">
        <f t="shared" si="189"/>
        <v>20.48581826212768</v>
      </c>
      <c r="V850" s="2">
        <f t="shared" si="194"/>
        <v>5.7713912641288328E-8</v>
      </c>
      <c r="W850" s="2">
        <f t="shared" si="195"/>
        <v>2.6057858157162778E-11</v>
      </c>
    </row>
    <row r="851" spans="1:23" x14ac:dyDescent="0.4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10">
        <v>91357.676000000007</v>
      </c>
      <c r="F851" s="10" t="s">
        <v>2308</v>
      </c>
      <c r="G851" s="10" t="s">
        <v>2309</v>
      </c>
      <c r="H851" s="10">
        <v>91357.675959537097</v>
      </c>
      <c r="I851" s="10">
        <v>6.0223822201326698</v>
      </c>
      <c r="J851" s="10">
        <v>5.7366108304158496</v>
      </c>
      <c r="K851" s="4">
        <f t="shared" si="190"/>
        <v>6.022383333333333</v>
      </c>
      <c r="L851" s="4">
        <f t="shared" si="191"/>
        <v>5.736611111111074</v>
      </c>
      <c r="M851" s="4">
        <f t="shared" si="192"/>
        <v>6.0223822201326698</v>
      </c>
      <c r="N851" s="4">
        <f t="shared" si="193"/>
        <v>5.7366108304158274</v>
      </c>
      <c r="O851" s="3">
        <f t="shared" si="183"/>
        <v>91357.675923213872</v>
      </c>
      <c r="P851" s="2">
        <f t="shared" si="185"/>
        <v>8.4050008826044396E-10</v>
      </c>
      <c r="Q851" s="2">
        <f t="shared" si="186"/>
        <v>3.975935726792378E-10</v>
      </c>
      <c r="R851" s="6">
        <f t="shared" si="187"/>
        <v>6.0223822200197779</v>
      </c>
      <c r="S851" s="2">
        <f t="shared" si="188"/>
        <v>1.8486261891720735E-7</v>
      </c>
      <c r="T851" s="2">
        <f t="shared" si="184"/>
        <v>1.8745392422717646E-11</v>
      </c>
      <c r="U851" s="6">
        <f t="shared" si="189"/>
        <v>5.7366108303083578</v>
      </c>
      <c r="V851" s="2">
        <f t="shared" si="194"/>
        <v>4.8949233397848102E-8</v>
      </c>
      <c r="W851" s="2">
        <f t="shared" si="195"/>
        <v>1.8733986313644541E-11</v>
      </c>
    </row>
    <row r="852" spans="1:23" x14ac:dyDescent="0.4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10">
        <v>73426.259999999995</v>
      </c>
      <c r="F852" s="10" t="s">
        <v>2310</v>
      </c>
      <c r="G852" s="10" t="s">
        <v>2311</v>
      </c>
      <c r="H852" s="10">
        <v>73426.260164807594</v>
      </c>
      <c r="I852" s="10">
        <v>167.940436652344</v>
      </c>
      <c r="J852" s="10">
        <v>168.67816646814501</v>
      </c>
      <c r="K852" s="4">
        <f t="shared" si="190"/>
        <v>167.9404361111111</v>
      </c>
      <c r="L852" s="4">
        <f t="shared" si="191"/>
        <v>168.67816666666658</v>
      </c>
      <c r="M852" s="4">
        <f t="shared" si="192"/>
        <v>167.94043665234403</v>
      </c>
      <c r="N852" s="4">
        <f t="shared" si="193"/>
        <v>168.67816646814504</v>
      </c>
      <c r="O852" s="3">
        <f t="shared" si="183"/>
        <v>73426.260153135707</v>
      </c>
      <c r="P852" s="2">
        <f t="shared" si="185"/>
        <v>2.0855714566653282E-9</v>
      </c>
      <c r="Q852" s="2">
        <f t="shared" si="186"/>
        <v>1.5896066954332046E-10</v>
      </c>
      <c r="R852" s="6">
        <f t="shared" si="187"/>
        <v>167.94043665235642</v>
      </c>
      <c r="S852" s="2">
        <f t="shared" si="188"/>
        <v>3.2228410274553851E-9</v>
      </c>
      <c r="T852" s="2">
        <f t="shared" si="184"/>
        <v>7.3787263857773157E-14</v>
      </c>
      <c r="U852" s="6">
        <f t="shared" si="189"/>
        <v>168.67816646815567</v>
      </c>
      <c r="V852" s="2">
        <f t="shared" si="194"/>
        <v>1.1768619605534037E-9</v>
      </c>
      <c r="W852" s="2">
        <f t="shared" si="195"/>
        <v>6.3017754754753797E-14</v>
      </c>
    </row>
    <row r="853" spans="1:23" x14ac:dyDescent="0.4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10">
        <v>13521.853999999999</v>
      </c>
      <c r="F853" s="10" t="s">
        <v>2312</v>
      </c>
      <c r="G853" s="10" t="s">
        <v>2313</v>
      </c>
      <c r="H853" s="10">
        <v>13521.8540619797</v>
      </c>
      <c r="I853" s="10">
        <v>133.930638595011</v>
      </c>
      <c r="J853" s="10">
        <v>134.01854877634199</v>
      </c>
      <c r="K853" s="4">
        <f t="shared" si="190"/>
        <v>133.93063888888889</v>
      </c>
      <c r="L853" s="4">
        <f t="shared" si="191"/>
        <v>134.01855</v>
      </c>
      <c r="M853" s="4">
        <f t="shared" si="192"/>
        <v>133.93063859501103</v>
      </c>
      <c r="N853" s="4">
        <f t="shared" si="193"/>
        <v>134.01854877634196</v>
      </c>
      <c r="O853" s="3">
        <f t="shared" si="183"/>
        <v>13521.854064373701</v>
      </c>
      <c r="P853" s="2">
        <f t="shared" si="185"/>
        <v>4.7607156619519053E-9</v>
      </c>
      <c r="Q853" s="2">
        <f t="shared" si="186"/>
        <v>1.770468048881352E-10</v>
      </c>
      <c r="R853" s="6">
        <f t="shared" si="187"/>
        <v>133.93063859516968</v>
      </c>
      <c r="S853" s="2">
        <f t="shared" si="188"/>
        <v>2.1930695856288995E-9</v>
      </c>
      <c r="T853" s="2">
        <f t="shared" si="184"/>
        <v>1.1845682489445319E-12</v>
      </c>
      <c r="U853" s="6">
        <f t="shared" si="189"/>
        <v>134.01854877649924</v>
      </c>
      <c r="V853" s="2">
        <f t="shared" si="194"/>
        <v>9.1293388882451819E-9</v>
      </c>
      <c r="W853" s="2">
        <f t="shared" si="195"/>
        <v>1.1736117233319954E-12</v>
      </c>
    </row>
    <row r="854" spans="1:23" x14ac:dyDescent="0.4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10">
        <v>64425.722000000002</v>
      </c>
      <c r="F854" s="10" t="s">
        <v>2314</v>
      </c>
      <c r="G854" s="10" t="s">
        <v>2315</v>
      </c>
      <c r="H854" s="10">
        <v>64425.722337552099</v>
      </c>
      <c r="I854" s="10">
        <v>62.943133508643598</v>
      </c>
      <c r="J854" s="10">
        <v>62.879814459066203</v>
      </c>
      <c r="K854" s="4">
        <f t="shared" si="190"/>
        <v>62.943133333333336</v>
      </c>
      <c r="L854" s="4">
        <f t="shared" si="191"/>
        <v>62.879813888888862</v>
      </c>
      <c r="M854" s="4">
        <f t="shared" si="192"/>
        <v>62.943133508643598</v>
      </c>
      <c r="N854" s="4">
        <f t="shared" si="193"/>
        <v>62.87981445906621</v>
      </c>
      <c r="O854" s="3">
        <f t="shared" si="183"/>
        <v>64425.722344962247</v>
      </c>
      <c r="P854" s="2">
        <f t="shared" si="185"/>
        <v>5.3544179983804287E-9</v>
      </c>
      <c r="Q854" s="2">
        <f t="shared" si="186"/>
        <v>1.150184713744781E-10</v>
      </c>
      <c r="R854" s="6">
        <f t="shared" si="187"/>
        <v>62.943133508648287</v>
      </c>
      <c r="S854" s="2">
        <f t="shared" si="188"/>
        <v>2.7852911446371626E-9</v>
      </c>
      <c r="T854" s="2">
        <f t="shared" si="184"/>
        <v>7.4505061864653906E-14</v>
      </c>
      <c r="U854" s="6">
        <f t="shared" si="189"/>
        <v>62.879814459070801</v>
      </c>
      <c r="V854" s="2">
        <f t="shared" si="194"/>
        <v>9.0678057667993887E-9</v>
      </c>
      <c r="W854" s="2">
        <f t="shared" si="195"/>
        <v>7.2998085514363843E-14</v>
      </c>
    </row>
    <row r="855" spans="1:23" x14ac:dyDescent="0.45">
      <c r="A855">
        <v>-52.76979</v>
      </c>
      <c r="B855">
        <v>6.0192800000000002</v>
      </c>
      <c r="C855">
        <v>-53.016689999999997</v>
      </c>
      <c r="D855">
        <v>5.9756200000000499</v>
      </c>
      <c r="E855" s="10">
        <v>27632.760999999999</v>
      </c>
      <c r="F855" s="10" t="s">
        <v>2316</v>
      </c>
      <c r="G855" s="10" t="s">
        <v>2317</v>
      </c>
      <c r="H855" s="10">
        <v>27632.7609885042</v>
      </c>
      <c r="I855" s="10">
        <v>-173.913095335333</v>
      </c>
      <c r="J855" s="10">
        <v>-173.87827584691499</v>
      </c>
      <c r="K855" s="4">
        <f t="shared" si="190"/>
        <v>186.08690555555555</v>
      </c>
      <c r="L855" s="4">
        <f t="shared" si="191"/>
        <v>186.121725</v>
      </c>
      <c r="M855" s="4">
        <f t="shared" si="192"/>
        <v>186.086904664667</v>
      </c>
      <c r="N855" s="4">
        <f t="shared" si="193"/>
        <v>186.12172415308501</v>
      </c>
      <c r="O855" s="3">
        <f t="shared" si="183"/>
        <v>27632.760997949525</v>
      </c>
      <c r="P855" s="2">
        <f t="shared" si="185"/>
        <v>7.4204455900773081E-11</v>
      </c>
      <c r="Q855" s="2">
        <f t="shared" si="186"/>
        <v>3.4181616518698737E-10</v>
      </c>
      <c r="R855" s="6">
        <f t="shared" si="187"/>
        <v>186.08690466465845</v>
      </c>
      <c r="S855" s="2">
        <f t="shared" si="188"/>
        <v>4.7875324470357026E-9</v>
      </c>
      <c r="T855" s="2">
        <f t="shared" si="184"/>
        <v>4.5972791873602282E-14</v>
      </c>
      <c r="U855" s="6">
        <f t="shared" si="189"/>
        <v>186.12172415307649</v>
      </c>
      <c r="V855" s="2">
        <f t="shared" si="194"/>
        <v>4.5503742921683636E-9</v>
      </c>
      <c r="W855" s="2">
        <f t="shared" si="195"/>
        <v>4.5811486369576879E-14</v>
      </c>
    </row>
    <row r="856" spans="1:23" x14ac:dyDescent="0.45">
      <c r="A856">
        <v>-56.59384</v>
      </c>
      <c r="B856">
        <v>50.761090000000003</v>
      </c>
      <c r="C856">
        <v>-57.435360000000003</v>
      </c>
      <c r="D856">
        <v>51.031999999999996</v>
      </c>
      <c r="E856" s="10">
        <v>95145.683999999994</v>
      </c>
      <c r="F856" s="10" t="s">
        <v>2318</v>
      </c>
      <c r="G856" s="10" t="s">
        <v>2319</v>
      </c>
      <c r="H856" s="10">
        <v>95145.683709475794</v>
      </c>
      <c r="I856" s="10">
        <v>170.15300042843299</v>
      </c>
      <c r="J856" s="10">
        <v>169.92575233282699</v>
      </c>
      <c r="K856" s="4">
        <f t="shared" si="190"/>
        <v>170.15299999999999</v>
      </c>
      <c r="L856" s="4">
        <f t="shared" si="191"/>
        <v>169.9257527777778</v>
      </c>
      <c r="M856" s="4">
        <f t="shared" si="192"/>
        <v>170.15300042843296</v>
      </c>
      <c r="N856" s="4">
        <f t="shared" si="193"/>
        <v>169.92575233282696</v>
      </c>
      <c r="O856" s="3">
        <f t="shared" si="183"/>
        <v>95145.683755508639</v>
      </c>
      <c r="P856" s="2">
        <f t="shared" si="185"/>
        <v>2.5696526104203959E-9</v>
      </c>
      <c r="Q856" s="2">
        <f t="shared" si="186"/>
        <v>4.8381432450430162E-10</v>
      </c>
      <c r="R856" s="6">
        <f t="shared" si="187"/>
        <v>170.15300042843819</v>
      </c>
      <c r="S856" s="2">
        <f t="shared" si="188"/>
        <v>2.5179585355316253E-9</v>
      </c>
      <c r="T856" s="2">
        <f t="shared" si="184"/>
        <v>3.0734659524231702E-14</v>
      </c>
      <c r="U856" s="6">
        <f t="shared" si="189"/>
        <v>169.9257523328327</v>
      </c>
      <c r="V856" s="2">
        <f t="shared" si="194"/>
        <v>2.6184677362573256E-9</v>
      </c>
      <c r="W856" s="2">
        <f t="shared" si="195"/>
        <v>3.3786434522864864E-14</v>
      </c>
    </row>
    <row r="857" spans="1:23" x14ac:dyDescent="0.4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10">
        <v>76415.832999999999</v>
      </c>
      <c r="F857" s="10" t="s">
        <v>2320</v>
      </c>
      <c r="G857" s="10" t="s">
        <v>2321</v>
      </c>
      <c r="H857" s="10">
        <v>76415.833261124193</v>
      </c>
      <c r="I857" s="10">
        <v>168.996377994559</v>
      </c>
      <c r="J857" s="10">
        <v>168.37976580511801</v>
      </c>
      <c r="K857" s="4">
        <f t="shared" si="190"/>
        <v>168.99637777777778</v>
      </c>
      <c r="L857" s="4">
        <f t="shared" si="191"/>
        <v>168.37976666666668</v>
      </c>
      <c r="M857" s="4">
        <f t="shared" si="192"/>
        <v>168.996377994559</v>
      </c>
      <c r="N857" s="4">
        <f t="shared" si="193"/>
        <v>168.37976580511804</v>
      </c>
      <c r="O857" s="3">
        <f t="shared" si="183"/>
        <v>76415.833264216621</v>
      </c>
      <c r="P857" s="2">
        <f t="shared" si="185"/>
        <v>3.4576161967904957E-9</v>
      </c>
      <c r="Q857" s="2">
        <f t="shared" si="186"/>
        <v>4.0468413065823128E-11</v>
      </c>
      <c r="R857" s="6">
        <f t="shared" si="187"/>
        <v>168.99637799459444</v>
      </c>
      <c r="S857" s="2">
        <f t="shared" si="188"/>
        <v>1.2829663079174842E-9</v>
      </c>
      <c r="T857" s="2">
        <f t="shared" si="184"/>
        <v>2.0971971163106752E-13</v>
      </c>
      <c r="U857" s="6">
        <f t="shared" si="189"/>
        <v>168.37976580515542</v>
      </c>
      <c r="V857" s="2">
        <f t="shared" si="194"/>
        <v>5.1164773815340929E-9</v>
      </c>
      <c r="W857" s="2">
        <f t="shared" si="195"/>
        <v>2.2196579097418627E-13</v>
      </c>
    </row>
    <row r="858" spans="1:23" x14ac:dyDescent="0.45">
      <c r="A858">
        <v>-29.301469999999998</v>
      </c>
      <c r="B858">
        <v>117.18138999999999</v>
      </c>
      <c r="C858">
        <v>-30.118590000000001</v>
      </c>
      <c r="D858">
        <v>117.47896</v>
      </c>
      <c r="E858" s="10">
        <v>95042.45</v>
      </c>
      <c r="F858" s="10" t="s">
        <v>2322</v>
      </c>
      <c r="G858" s="10" t="s">
        <v>2323</v>
      </c>
      <c r="H858" s="10">
        <v>95042.450326842896</v>
      </c>
      <c r="I858" s="10">
        <v>162.43782671133499</v>
      </c>
      <c r="J858" s="10">
        <v>162.29034381574101</v>
      </c>
      <c r="K858" s="4">
        <f t="shared" si="190"/>
        <v>162.43782777777778</v>
      </c>
      <c r="L858" s="4">
        <f t="shared" si="191"/>
        <v>162.29034444444437</v>
      </c>
      <c r="M858" s="4">
        <f t="shared" si="192"/>
        <v>162.43782671133499</v>
      </c>
      <c r="N858" s="4">
        <f t="shared" si="193"/>
        <v>162.29034381574104</v>
      </c>
      <c r="O858" s="3">
        <f t="shared" si="183"/>
        <v>95042.450285818486</v>
      </c>
      <c r="P858" s="2">
        <f t="shared" si="185"/>
        <v>3.007271897127822E-9</v>
      </c>
      <c r="Q858" s="2">
        <f t="shared" si="186"/>
        <v>4.316430187223382E-10</v>
      </c>
      <c r="R858" s="6">
        <f t="shared" si="187"/>
        <v>162.43782671195444</v>
      </c>
      <c r="S858" s="2">
        <f t="shared" si="188"/>
        <v>6.5614232551410938E-9</v>
      </c>
      <c r="T858" s="2">
        <f t="shared" si="184"/>
        <v>3.8134661708843816E-12</v>
      </c>
      <c r="U858" s="6">
        <f t="shared" si="189"/>
        <v>162.29034381636612</v>
      </c>
      <c r="V858" s="2">
        <f t="shared" si="194"/>
        <v>3.8700900934340924E-9</v>
      </c>
      <c r="W858" s="2">
        <f t="shared" si="195"/>
        <v>3.8516071924314149E-12</v>
      </c>
    </row>
    <row r="859" spans="1:23" x14ac:dyDescent="0.4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10">
        <v>38543.968999999997</v>
      </c>
      <c r="F859" s="10" t="s">
        <v>2324</v>
      </c>
      <c r="G859" s="10" t="s">
        <v>2325</v>
      </c>
      <c r="H859" s="10">
        <v>38543.968898747698</v>
      </c>
      <c r="I859" s="10">
        <v>-112.44247229130301</v>
      </c>
      <c r="J859" s="10">
        <v>-112.310876049266</v>
      </c>
      <c r="K859" s="4">
        <f t="shared" si="190"/>
        <v>247.55752777777778</v>
      </c>
      <c r="L859" s="4">
        <f t="shared" si="191"/>
        <v>247.68912499999999</v>
      </c>
      <c r="M859" s="4">
        <f t="shared" si="192"/>
        <v>247.55752770869699</v>
      </c>
      <c r="N859" s="4">
        <f t="shared" si="193"/>
        <v>247.689123950734</v>
      </c>
      <c r="O859" s="3">
        <f t="shared" si="183"/>
        <v>38543.968896309707</v>
      </c>
      <c r="P859" s="2">
        <f t="shared" si="185"/>
        <v>2.6901819689644627E-9</v>
      </c>
      <c r="Q859" s="2">
        <f t="shared" si="186"/>
        <v>6.3252217330730624E-11</v>
      </c>
      <c r="R859" s="6">
        <f t="shared" si="187"/>
        <v>247.55752770743146</v>
      </c>
      <c r="S859" s="2">
        <f t="shared" si="188"/>
        <v>2.841614950968289E-10</v>
      </c>
      <c r="T859" s="2">
        <f t="shared" si="184"/>
        <v>5.1120782612466666E-12</v>
      </c>
      <c r="U859" s="6">
        <f t="shared" si="189"/>
        <v>247.68912394946</v>
      </c>
      <c r="V859" s="2">
        <f t="shared" si="194"/>
        <v>4.241365028743821E-9</v>
      </c>
      <c r="W859" s="2">
        <f t="shared" si="195"/>
        <v>5.1435569915103015E-12</v>
      </c>
    </row>
    <row r="860" spans="1:23" x14ac:dyDescent="0.45">
      <c r="A860">
        <v>46.496409999999997</v>
      </c>
      <c r="B860">
        <v>15.790179999999999</v>
      </c>
      <c r="C860">
        <v>45.524059999999999</v>
      </c>
      <c r="D860">
        <v>14.81892</v>
      </c>
      <c r="E860" s="10">
        <v>131676.755</v>
      </c>
      <c r="F860" s="10" t="s">
        <v>2326</v>
      </c>
      <c r="G860" s="10" t="s">
        <v>2327</v>
      </c>
      <c r="H860" s="10">
        <v>131676.75509997201</v>
      </c>
      <c r="I860" s="10">
        <v>-144.811461161404</v>
      </c>
      <c r="J860" s="10">
        <v>-145.51028095791</v>
      </c>
      <c r="K860" s="4">
        <f t="shared" si="190"/>
        <v>215.1885388888889</v>
      </c>
      <c r="L860" s="4">
        <f t="shared" si="191"/>
        <v>214.48971944444446</v>
      </c>
      <c r="M860" s="4">
        <f t="shared" si="192"/>
        <v>215.188538838596</v>
      </c>
      <c r="N860" s="4">
        <f t="shared" si="193"/>
        <v>214.48971904209</v>
      </c>
      <c r="O860" s="3">
        <f t="shared" si="183"/>
        <v>131676.75512043969</v>
      </c>
      <c r="P860" s="2">
        <f t="shared" si="185"/>
        <v>9.1466168867215871E-10</v>
      </c>
      <c r="Q860" s="2">
        <f t="shared" si="186"/>
        <v>1.5543879560811505E-10</v>
      </c>
      <c r="R860" s="6">
        <f t="shared" si="187"/>
        <v>215.18853883846052</v>
      </c>
      <c r="S860" s="2">
        <f t="shared" si="188"/>
        <v>2.343451166468457E-10</v>
      </c>
      <c r="T860" s="2">
        <f t="shared" si="184"/>
        <v>6.2961665888887578E-13</v>
      </c>
      <c r="U860" s="6">
        <f t="shared" si="189"/>
        <v>214.4897190419579</v>
      </c>
      <c r="V860" s="2">
        <f t="shared" si="194"/>
        <v>1.8764841701111705E-9</v>
      </c>
      <c r="W860" s="2">
        <f t="shared" si="195"/>
        <v>6.1589947538042425E-13</v>
      </c>
    </row>
    <row r="861" spans="1:23" x14ac:dyDescent="0.4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10">
        <v>95422.789000000004</v>
      </c>
      <c r="F861" s="10" t="s">
        <v>2328</v>
      </c>
      <c r="G861" s="10" t="s">
        <v>2329</v>
      </c>
      <c r="H861" s="10">
        <v>95422.788952180897</v>
      </c>
      <c r="I861" s="10">
        <v>-178.544321265186</v>
      </c>
      <c r="J861" s="10">
        <v>-178.406347734691</v>
      </c>
      <c r="K861" s="4">
        <f t="shared" si="190"/>
        <v>181.45567777777777</v>
      </c>
      <c r="L861" s="4">
        <f t="shared" si="191"/>
        <v>181.59365277777778</v>
      </c>
      <c r="M861" s="4">
        <f t="shared" si="192"/>
        <v>181.455678734814</v>
      </c>
      <c r="N861" s="4">
        <f t="shared" si="193"/>
        <v>181.593652265309</v>
      </c>
      <c r="O861" s="3">
        <f t="shared" si="183"/>
        <v>95422.788932193478</v>
      </c>
      <c r="P861" s="2">
        <f t="shared" si="185"/>
        <v>7.1059048801895531E-10</v>
      </c>
      <c r="Q861" s="2">
        <f t="shared" si="186"/>
        <v>2.0946169760411059E-10</v>
      </c>
      <c r="R861" s="6">
        <f t="shared" si="187"/>
        <v>181.45567873481309</v>
      </c>
      <c r="S861" s="2">
        <f t="shared" si="188"/>
        <v>5.2742098642236433E-9</v>
      </c>
      <c r="T861" s="2">
        <f t="shared" si="184"/>
        <v>5.0122140465060738E-15</v>
      </c>
      <c r="U861" s="6">
        <f t="shared" si="189"/>
        <v>181.59365226530826</v>
      </c>
      <c r="V861" s="2">
        <f t="shared" si="194"/>
        <v>2.8220673152412845E-9</v>
      </c>
      <c r="W861" s="2">
        <f t="shared" si="195"/>
        <v>4.0693297148452873E-15</v>
      </c>
    </row>
    <row r="862" spans="1:23" x14ac:dyDescent="0.4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10">
        <v>72603.061000000002</v>
      </c>
      <c r="F862" s="10" t="s">
        <v>2330</v>
      </c>
      <c r="G862" s="10" t="s">
        <v>2331</v>
      </c>
      <c r="H862" s="10">
        <v>72603.060568947199</v>
      </c>
      <c r="I862" s="10">
        <v>-160.01768694371199</v>
      </c>
      <c r="J862" s="10">
        <v>-159.52959664659301</v>
      </c>
      <c r="K862" s="4">
        <f t="shared" si="190"/>
        <v>199.98231388888888</v>
      </c>
      <c r="L862" s="4">
        <f t="shared" si="191"/>
        <v>200.47040277777779</v>
      </c>
      <c r="M862" s="4">
        <f t="shared" si="192"/>
        <v>199.98231305628801</v>
      </c>
      <c r="N862" s="4">
        <f t="shared" si="193"/>
        <v>200.47040335340699</v>
      </c>
      <c r="O862" s="3">
        <f t="shared" si="183"/>
        <v>72603.060594166061</v>
      </c>
      <c r="P862" s="2">
        <f t="shared" si="185"/>
        <v>5.5897634952566765E-9</v>
      </c>
      <c r="Q862" s="2">
        <f t="shared" si="186"/>
        <v>3.4735260187167909E-10</v>
      </c>
      <c r="R862" s="6">
        <f t="shared" si="187"/>
        <v>199.98231305629412</v>
      </c>
      <c r="S862" s="2">
        <f t="shared" si="188"/>
        <v>4.1633419900857031E-9</v>
      </c>
      <c r="T862" s="2">
        <f t="shared" si="184"/>
        <v>3.0556039852468967E-14</v>
      </c>
      <c r="U862" s="6">
        <f t="shared" si="189"/>
        <v>200.4704033534135</v>
      </c>
      <c r="V862" s="2">
        <f t="shared" si="194"/>
        <v>2.8714249175393722E-9</v>
      </c>
      <c r="W862" s="2">
        <f t="shared" si="195"/>
        <v>3.2466495555898251E-14</v>
      </c>
    </row>
    <row r="863" spans="1:23" x14ac:dyDescent="0.45">
      <c r="A863">
        <v>-12.998950000000001</v>
      </c>
      <c r="B863">
        <v>106.23472</v>
      </c>
      <c r="C863">
        <v>-12.39873</v>
      </c>
      <c r="D863">
        <v>106.73761</v>
      </c>
      <c r="E863" s="10">
        <v>85979.777000000002</v>
      </c>
      <c r="F863" s="10" t="s">
        <v>2332</v>
      </c>
      <c r="G863" s="10" t="s">
        <v>2333</v>
      </c>
      <c r="H863" s="10">
        <v>85979.777242246506</v>
      </c>
      <c r="I863" s="10">
        <v>39.495976177387902</v>
      </c>
      <c r="J863" s="10">
        <v>39.385425449337298</v>
      </c>
      <c r="K863" s="4">
        <f t="shared" si="190"/>
        <v>39.495975000000001</v>
      </c>
      <c r="L863" s="4">
        <f t="shared" si="191"/>
        <v>39.385424999999998</v>
      </c>
      <c r="M863" s="4">
        <f t="shared" si="192"/>
        <v>39.495976177387888</v>
      </c>
      <c r="N863" s="4">
        <f t="shared" si="193"/>
        <v>39.385425449337276</v>
      </c>
      <c r="O863" s="3">
        <f t="shared" ref="O863:O926" si="196">VincentyInvDistance($A863,$B863,$C863,$D863)</f>
        <v>85979.77724704858</v>
      </c>
      <c r="P863" s="2">
        <f t="shared" si="185"/>
        <v>2.8733335500024641E-9</v>
      </c>
      <c r="Q863" s="2">
        <f t="shared" si="186"/>
        <v>5.5851200965203589E-11</v>
      </c>
      <c r="R863" s="6">
        <f t="shared" si="187"/>
        <v>39.495976174496548</v>
      </c>
      <c r="S863" s="2">
        <f t="shared" si="188"/>
        <v>2.9737119953140637E-8</v>
      </c>
      <c r="T863" s="2">
        <f t="shared" ref="T863:T926" si="197">ABS((M863-R863)/M863)</f>
        <v>7.320595109155299E-11</v>
      </c>
      <c r="U863" s="6">
        <f t="shared" si="189"/>
        <v>39.385425446457347</v>
      </c>
      <c r="V863" s="2">
        <f t="shared" si="194"/>
        <v>1.1335598113067666E-8</v>
      </c>
      <c r="W863" s="2">
        <f t="shared" si="195"/>
        <v>7.3121697967265503E-11</v>
      </c>
    </row>
    <row r="864" spans="1:23" x14ac:dyDescent="0.45">
      <c r="A864">
        <v>59.61103</v>
      </c>
      <c r="B864">
        <v>109.36633999999999</v>
      </c>
      <c r="C864">
        <v>59.637129999999999</v>
      </c>
      <c r="D864">
        <v>108.77014</v>
      </c>
      <c r="E864" s="10">
        <v>33769.953000000001</v>
      </c>
      <c r="F864" s="10" t="s">
        <v>2334</v>
      </c>
      <c r="G864" s="10" t="s">
        <v>2335</v>
      </c>
      <c r="H864" s="10">
        <v>33769.953266746801</v>
      </c>
      <c r="I864" s="10">
        <v>-84.803428980392198</v>
      </c>
      <c r="J864" s="10">
        <v>-85.317787582635802</v>
      </c>
      <c r="K864" s="4">
        <f t="shared" si="190"/>
        <v>275.19657222222224</v>
      </c>
      <c r="L864" s="4">
        <f t="shared" si="191"/>
        <v>274.68221111111109</v>
      </c>
      <c r="M864" s="4">
        <f t="shared" si="192"/>
        <v>275.1965710196078</v>
      </c>
      <c r="N864" s="4">
        <f t="shared" si="193"/>
        <v>274.68221241736421</v>
      </c>
      <c r="O864" s="3">
        <f t="shared" si="196"/>
        <v>33769.953259807204</v>
      </c>
      <c r="P864" s="2">
        <f t="shared" ref="P864:P927" si="198">ABS((E864-O864)/E864)</f>
        <v>7.6934428183226829E-9</v>
      </c>
      <c r="Q864" s="2">
        <f t="shared" ref="Q864:Q927" si="199">ABS((H864-O864)/H864)</f>
        <v>2.0549620885826771E-10</v>
      </c>
      <c r="R864" s="6">
        <f t="shared" ref="R864:R927" si="200">VincentyInvFwdAzimuth($A864,$B864,$C864,$D864)</f>
        <v>275.19657101959643</v>
      </c>
      <c r="S864" s="2">
        <f t="shared" ref="S864:S927" si="201">ABS((K864-R864)/K864)</f>
        <v>4.3700610105032086E-9</v>
      </c>
      <c r="T864" s="2">
        <f t="shared" si="197"/>
        <v>4.1311138907147146E-14</v>
      </c>
      <c r="U864" s="6">
        <f t="shared" ref="U864:U927" si="202">VincentyInvRevAzimuth($A864,$B864,$C864,$D864)</f>
        <v>274.68221241735193</v>
      </c>
      <c r="V864" s="2">
        <f t="shared" si="194"/>
        <v>4.7554621093203695E-9</v>
      </c>
      <c r="W864" s="2">
        <f t="shared" si="195"/>
        <v>4.4699576160681742E-14</v>
      </c>
    </row>
    <row r="865" spans="1:23" x14ac:dyDescent="0.45">
      <c r="A865">
        <v>7.12052</v>
      </c>
      <c r="B865">
        <v>136.94113999999999</v>
      </c>
      <c r="C865">
        <v>6.7193399999999999</v>
      </c>
      <c r="D865">
        <v>137.04864000000001</v>
      </c>
      <c r="E865" s="10">
        <v>45929.728000000003</v>
      </c>
      <c r="F865" s="10" t="s">
        <v>2336</v>
      </c>
      <c r="G865" s="10" t="s">
        <v>2337</v>
      </c>
      <c r="H865" s="10">
        <v>45929.728469691501</v>
      </c>
      <c r="I865" s="10">
        <v>165.00284111565099</v>
      </c>
      <c r="J865" s="10">
        <v>165.01579303095201</v>
      </c>
      <c r="K865" s="4">
        <f t="shared" si="190"/>
        <v>165.00284166666665</v>
      </c>
      <c r="L865" s="4">
        <f t="shared" si="191"/>
        <v>165.0157916666667</v>
      </c>
      <c r="M865" s="4">
        <f t="shared" si="192"/>
        <v>165.00284111565099</v>
      </c>
      <c r="N865" s="4">
        <f t="shared" si="193"/>
        <v>165.01579303095195</v>
      </c>
      <c r="O865" s="3">
        <f t="shared" si="196"/>
        <v>45929.728481958657</v>
      </c>
      <c r="P865" s="2">
        <f t="shared" si="198"/>
        <v>1.049339229346286E-8</v>
      </c>
      <c r="Q865" s="2">
        <f t="shared" si="199"/>
        <v>2.6708530197917453E-10</v>
      </c>
      <c r="R865" s="6">
        <f t="shared" si="200"/>
        <v>165.00284111736772</v>
      </c>
      <c r="S865" s="2">
        <f t="shared" si="201"/>
        <v>3.3290271011406171E-9</v>
      </c>
      <c r="T865" s="2">
        <f t="shared" si="197"/>
        <v>1.0404233535663807E-11</v>
      </c>
      <c r="U865" s="6">
        <f t="shared" si="202"/>
        <v>165.01579303266726</v>
      </c>
      <c r="V865" s="2">
        <f t="shared" si="194"/>
        <v>8.2779990137222922E-9</v>
      </c>
      <c r="W865" s="2">
        <f t="shared" si="195"/>
        <v>1.0394805103424271E-11</v>
      </c>
    </row>
    <row r="866" spans="1:23" x14ac:dyDescent="0.45">
      <c r="A866">
        <v>8.7299900000000008</v>
      </c>
      <c r="B866">
        <v>102.49267</v>
      </c>
      <c r="C866">
        <v>8.6732800000000108</v>
      </c>
      <c r="D866">
        <v>101.86292</v>
      </c>
      <c r="E866" s="10">
        <v>69585.073999999993</v>
      </c>
      <c r="F866" s="10" t="s">
        <v>2338</v>
      </c>
      <c r="G866" s="10" t="s">
        <v>2339</v>
      </c>
      <c r="H866" s="10">
        <v>69585.074377097902</v>
      </c>
      <c r="I866" s="10">
        <v>-95.123730794337206</v>
      </c>
      <c r="J866" s="10">
        <v>-95.219006014801906</v>
      </c>
      <c r="K866" s="4">
        <f t="shared" si="190"/>
        <v>264.87626944444446</v>
      </c>
      <c r="L866" s="4">
        <f t="shared" si="191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96"/>
        <v>69585.074376685763</v>
      </c>
      <c r="P866" s="2">
        <f t="shared" si="198"/>
        <v>5.4133127727831289E-9</v>
      </c>
      <c r="Q866" s="2">
        <f t="shared" si="199"/>
        <v>5.922812424749679E-12</v>
      </c>
      <c r="R866" s="6">
        <f t="shared" si="200"/>
        <v>264.87626920566879</v>
      </c>
      <c r="S866" s="2">
        <f t="shared" si="201"/>
        <v>9.0146116131753835E-10</v>
      </c>
      <c r="T866" s="2">
        <f t="shared" si="197"/>
        <v>2.2747988777232569E-14</v>
      </c>
      <c r="U866" s="6">
        <f t="shared" si="202"/>
        <v>264.78099398520402</v>
      </c>
      <c r="V866" s="2">
        <f t="shared" si="194"/>
        <v>1.7344161207908576E-9</v>
      </c>
      <c r="W866" s="2">
        <f t="shared" si="195"/>
        <v>2.2326812331003307E-14</v>
      </c>
    </row>
    <row r="867" spans="1:23" x14ac:dyDescent="0.4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10">
        <v>87108.478000000003</v>
      </c>
      <c r="F867" s="10" t="s">
        <v>2340</v>
      </c>
      <c r="G867" s="10" t="s">
        <v>2341</v>
      </c>
      <c r="H867" s="10">
        <v>87108.477581573505</v>
      </c>
      <c r="I867" s="10">
        <v>152.29465232450599</v>
      </c>
      <c r="J867" s="10">
        <v>152.56141367219101</v>
      </c>
      <c r="K867" s="4">
        <f t="shared" si="190"/>
        <v>152.29465277777777</v>
      </c>
      <c r="L867" s="4">
        <f t="shared" si="191"/>
        <v>152.56141388888886</v>
      </c>
      <c r="M867" s="4">
        <f t="shared" si="192"/>
        <v>152.29465232450593</v>
      </c>
      <c r="N867" s="4">
        <f t="shared" si="193"/>
        <v>152.56141367219107</v>
      </c>
      <c r="O867" s="3">
        <f t="shared" si="196"/>
        <v>87108.477570238159</v>
      </c>
      <c r="P867" s="2">
        <f t="shared" si="198"/>
        <v>4.9336396786383442E-9</v>
      </c>
      <c r="Q867" s="2">
        <f t="shared" si="199"/>
        <v>1.3012907180886418E-10</v>
      </c>
      <c r="R867" s="6">
        <f t="shared" si="200"/>
        <v>152.2946523249646</v>
      </c>
      <c r="S867" s="2">
        <f t="shared" si="201"/>
        <v>2.9732703022431365E-9</v>
      </c>
      <c r="T867" s="2">
        <f t="shared" si="197"/>
        <v>3.0117245732997729E-12</v>
      </c>
      <c r="U867" s="6">
        <f t="shared" si="202"/>
        <v>152.56141367264416</v>
      </c>
      <c r="V867" s="2">
        <f t="shared" si="194"/>
        <v>1.4174272173820993E-9</v>
      </c>
      <c r="W867" s="2">
        <f t="shared" si="195"/>
        <v>2.9699442397215521E-12</v>
      </c>
    </row>
    <row r="868" spans="1:23" x14ac:dyDescent="0.45">
      <c r="A868">
        <v>-59.953449999999997</v>
      </c>
      <c r="B868">
        <v>-107.02262</v>
      </c>
      <c r="C868">
        <v>-60.740749999999998</v>
      </c>
      <c r="D868">
        <v>-106.57621</v>
      </c>
      <c r="E868" s="10">
        <v>91116.138999999996</v>
      </c>
      <c r="F868" s="10" t="s">
        <v>2342</v>
      </c>
      <c r="G868" s="10" t="s">
        <v>2343</v>
      </c>
      <c r="H868" s="10">
        <v>91116.138630973699</v>
      </c>
      <c r="I868" s="10">
        <v>164.49897305630699</v>
      </c>
      <c r="J868" s="10">
        <v>164.11101592624101</v>
      </c>
      <c r="K868" s="4">
        <f t="shared" si="190"/>
        <v>164.49897222222222</v>
      </c>
      <c r="L868" s="4">
        <f t="shared" si="191"/>
        <v>164.11101666666673</v>
      </c>
      <c r="M868" s="4">
        <f t="shared" si="192"/>
        <v>164.49897305630702</v>
      </c>
      <c r="N868" s="4">
        <f t="shared" si="193"/>
        <v>164.11101592624095</v>
      </c>
      <c r="O868" s="3">
        <f t="shared" si="196"/>
        <v>91116.138675640614</v>
      </c>
      <c r="P868" s="2">
        <f t="shared" si="198"/>
        <v>3.5598455496523845E-9</v>
      </c>
      <c r="Q868" s="2">
        <f t="shared" si="199"/>
        <v>4.9021957349924586E-10</v>
      </c>
      <c r="R868" s="6">
        <f t="shared" si="200"/>
        <v>164.49897305630631</v>
      </c>
      <c r="S868" s="2">
        <f t="shared" si="201"/>
        <v>5.0704516837783398E-9</v>
      </c>
      <c r="T868" s="2">
        <f t="shared" si="197"/>
        <v>4.3194356934792874E-15</v>
      </c>
      <c r="U868" s="6">
        <f t="shared" si="202"/>
        <v>164.11101592624047</v>
      </c>
      <c r="V868" s="2">
        <f t="shared" si="194"/>
        <v>4.5117401257439725E-9</v>
      </c>
      <c r="W868" s="2">
        <f t="shared" si="195"/>
        <v>2.9441598273575161E-15</v>
      </c>
    </row>
    <row r="869" spans="1:23" x14ac:dyDescent="0.45">
      <c r="A869">
        <v>-78.181749999999994</v>
      </c>
      <c r="B869">
        <v>-21.132079999999998</v>
      </c>
      <c r="C869">
        <v>-77.550960000000003</v>
      </c>
      <c r="D869">
        <v>-21.94014</v>
      </c>
      <c r="E869" s="10">
        <v>72932.058000000005</v>
      </c>
      <c r="F869" s="10" t="s">
        <v>2344</v>
      </c>
      <c r="G869" s="10" t="s">
        <v>2345</v>
      </c>
      <c r="H869" s="10">
        <v>72932.057748064806</v>
      </c>
      <c r="I869" s="10">
        <v>-15.4698033565399</v>
      </c>
      <c r="J869" s="10">
        <v>-14.6797828856109</v>
      </c>
      <c r="K869" s="4">
        <f t="shared" si="190"/>
        <v>344.53019722222223</v>
      </c>
      <c r="L869" s="4">
        <f t="shared" si="191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96"/>
        <v>72932.057748116364</v>
      </c>
      <c r="P869" s="2">
        <f t="shared" si="198"/>
        <v>3.4536752121454335E-9</v>
      </c>
      <c r="Q869" s="2">
        <f t="shared" si="199"/>
        <v>7.0692418733340608E-13</v>
      </c>
      <c r="R869" s="6">
        <f t="shared" si="200"/>
        <v>344.5301966435066</v>
      </c>
      <c r="S869" s="2">
        <f t="shared" si="201"/>
        <v>1.6797239631637255E-9</v>
      </c>
      <c r="T869" s="2">
        <f t="shared" si="197"/>
        <v>1.3496035204211636E-13</v>
      </c>
      <c r="U869" s="6">
        <f t="shared" si="202"/>
        <v>345.32021711443304</v>
      </c>
      <c r="V869" s="2">
        <f t="shared" si="194"/>
        <v>1.2966701310986137E-9</v>
      </c>
      <c r="W869" s="2">
        <f t="shared" si="195"/>
        <v>1.2724410735803882E-13</v>
      </c>
    </row>
    <row r="870" spans="1:23" x14ac:dyDescent="0.45">
      <c r="A870">
        <v>19.14892</v>
      </c>
      <c r="B870">
        <v>91.384129999999999</v>
      </c>
      <c r="C870">
        <v>19.559259999999998</v>
      </c>
      <c r="D870">
        <v>91.946860000000001</v>
      </c>
      <c r="E870" s="10">
        <v>74558.342000000004</v>
      </c>
      <c r="F870" s="10" t="s">
        <v>2346</v>
      </c>
      <c r="G870" s="10" t="s">
        <v>2347</v>
      </c>
      <c r="H870" s="10">
        <v>74558.341893414894</v>
      </c>
      <c r="I870" s="10">
        <v>52.373321599845198</v>
      </c>
      <c r="J870" s="10">
        <v>52.559815813050299</v>
      </c>
      <c r="K870" s="4">
        <f t="shared" si="190"/>
        <v>52.373322222222221</v>
      </c>
      <c r="L870" s="4">
        <f t="shared" si="191"/>
        <v>52.559816666666677</v>
      </c>
      <c r="M870" s="4">
        <f t="shared" si="192"/>
        <v>52.373321599845212</v>
      </c>
      <c r="N870" s="4">
        <f t="shared" si="193"/>
        <v>52.559815813050307</v>
      </c>
      <c r="O870" s="3">
        <f t="shared" si="196"/>
        <v>74558.341885996953</v>
      </c>
      <c r="P870" s="2">
        <f t="shared" si="198"/>
        <v>1.5290448765549056E-9</v>
      </c>
      <c r="Q870" s="2">
        <f t="shared" si="199"/>
        <v>9.9491759911599717E-11</v>
      </c>
      <c r="R870" s="6">
        <f t="shared" si="200"/>
        <v>52.37332159773343</v>
      </c>
      <c r="S870" s="2">
        <f t="shared" si="201"/>
        <v>1.1923795643431294E-8</v>
      </c>
      <c r="T870" s="2">
        <f t="shared" si="197"/>
        <v>4.0321726485202767E-11</v>
      </c>
      <c r="U870" s="6">
        <f t="shared" si="202"/>
        <v>52.559815810924185</v>
      </c>
      <c r="V870" s="2">
        <f t="shared" si="194"/>
        <v>1.6281306637839308E-8</v>
      </c>
      <c r="W870" s="2">
        <f t="shared" si="195"/>
        <v>4.045146407362896E-11</v>
      </c>
    </row>
    <row r="871" spans="1:23" x14ac:dyDescent="0.45">
      <c r="A871">
        <v>-18.29898</v>
      </c>
      <c r="B871">
        <v>-57.074159999999999</v>
      </c>
      <c r="C871">
        <v>-17.80846</v>
      </c>
      <c r="D871">
        <v>-56.730490000000003</v>
      </c>
      <c r="E871" s="10">
        <v>65356.107000000004</v>
      </c>
      <c r="F871" s="10" t="s">
        <v>2348</v>
      </c>
      <c r="G871" s="10" t="s">
        <v>2349</v>
      </c>
      <c r="H871" s="10">
        <v>65356.107166237103</v>
      </c>
      <c r="I871" s="10">
        <v>33.882922292797303</v>
      </c>
      <c r="J871" s="10">
        <v>33.776414747722001</v>
      </c>
      <c r="K871" s="4">
        <f t="shared" si="190"/>
        <v>33.88292222222222</v>
      </c>
      <c r="L871" s="4">
        <f t="shared" si="191"/>
        <v>33.776413888888897</v>
      </c>
      <c r="M871" s="4">
        <f t="shared" si="192"/>
        <v>33.882922292797275</v>
      </c>
      <c r="N871" s="4">
        <f t="shared" si="193"/>
        <v>33.776414747722015</v>
      </c>
      <c r="O871" s="3">
        <f t="shared" si="196"/>
        <v>65356.107157806095</v>
      </c>
      <c r="P871" s="2">
        <f t="shared" si="198"/>
        <v>2.4145576940586521E-9</v>
      </c>
      <c r="Q871" s="2">
        <f t="shared" si="199"/>
        <v>1.2900108306684584E-10</v>
      </c>
      <c r="R871" s="6">
        <f t="shared" si="200"/>
        <v>33.882922290609997</v>
      </c>
      <c r="S871" s="2">
        <f t="shared" si="201"/>
        <v>2.0183553464024011E-9</v>
      </c>
      <c r="T871" s="2">
        <f t="shared" si="197"/>
        <v>6.4553992581979751E-11</v>
      </c>
      <c r="U871" s="6">
        <f t="shared" si="202"/>
        <v>33.776414745543548</v>
      </c>
      <c r="V871" s="2">
        <f t="shared" si="194"/>
        <v>2.5362510479463737E-8</v>
      </c>
      <c r="W871" s="2">
        <f t="shared" si="195"/>
        <v>6.4496696902045501E-11</v>
      </c>
    </row>
    <row r="872" spans="1:23" x14ac:dyDescent="0.45">
      <c r="A872">
        <v>13.66348</v>
      </c>
      <c r="B872">
        <v>-176.74775</v>
      </c>
      <c r="C872">
        <v>13.21739</v>
      </c>
      <c r="D872">
        <v>-176.68232</v>
      </c>
      <c r="E872" s="10">
        <v>49858.872000000003</v>
      </c>
      <c r="F872" s="10" t="s">
        <v>2350</v>
      </c>
      <c r="G872" s="10" t="s">
        <v>2351</v>
      </c>
      <c r="H872" s="10">
        <v>49858.871947266402</v>
      </c>
      <c r="I872" s="10">
        <v>171.822428106291</v>
      </c>
      <c r="J872" s="10">
        <v>171.837636403559</v>
      </c>
      <c r="K872" s="4">
        <f t="shared" si="190"/>
        <v>171.82242777777779</v>
      </c>
      <c r="L872" s="4">
        <f t="shared" si="191"/>
        <v>171.83763611111112</v>
      </c>
      <c r="M872" s="4">
        <f t="shared" si="192"/>
        <v>171.822428106291</v>
      </c>
      <c r="N872" s="4">
        <f t="shared" si="193"/>
        <v>171.83763640355903</v>
      </c>
      <c r="O872" s="3">
        <f t="shared" si="196"/>
        <v>49858.871930918198</v>
      </c>
      <c r="P872" s="2">
        <f t="shared" si="198"/>
        <v>1.3855468916856076E-9</v>
      </c>
      <c r="Q872" s="2">
        <f t="shared" si="199"/>
        <v>3.2788956118877403E-10</v>
      </c>
      <c r="R872" s="6">
        <f t="shared" si="200"/>
        <v>171.82242810710292</v>
      </c>
      <c r="S872" s="2">
        <f t="shared" si="201"/>
        <v>1.9166597559868014E-9</v>
      </c>
      <c r="T872" s="2">
        <f t="shared" si="197"/>
        <v>4.7253608405305972E-12</v>
      </c>
      <c r="U872" s="6">
        <f t="shared" si="202"/>
        <v>171.83763640436965</v>
      </c>
      <c r="V872" s="2">
        <f t="shared" si="194"/>
        <v>1.7066024060834345E-9</v>
      </c>
      <c r="W872" s="2">
        <f t="shared" si="195"/>
        <v>4.7173342908466796E-12</v>
      </c>
    </row>
    <row r="873" spans="1:23" x14ac:dyDescent="0.4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10">
        <v>38480.510999999999</v>
      </c>
      <c r="F873" s="10" t="s">
        <v>2352</v>
      </c>
      <c r="G873" s="10" t="s">
        <v>2353</v>
      </c>
      <c r="H873" s="10">
        <v>38480.511182844399</v>
      </c>
      <c r="I873" s="10">
        <v>84.502264928769307</v>
      </c>
      <c r="J873" s="10">
        <v>84.857551292354302</v>
      </c>
      <c r="K873" s="4">
        <f t="shared" si="190"/>
        <v>84.502263888888891</v>
      </c>
      <c r="L873" s="4">
        <f t="shared" si="191"/>
        <v>84.857550000000003</v>
      </c>
      <c r="M873" s="4">
        <f t="shared" si="192"/>
        <v>84.502264928769307</v>
      </c>
      <c r="N873" s="4">
        <f t="shared" si="193"/>
        <v>84.857551292354287</v>
      </c>
      <c r="O873" s="3">
        <f t="shared" si="196"/>
        <v>38480.511180306923</v>
      </c>
      <c r="P873" s="2">
        <f t="shared" si="198"/>
        <v>4.6856686609181008E-9</v>
      </c>
      <c r="Q873" s="2">
        <f t="shared" si="199"/>
        <v>6.5941838817424891E-11</v>
      </c>
      <c r="R873" s="6">
        <f t="shared" si="200"/>
        <v>84.502264928758223</v>
      </c>
      <c r="S873" s="2">
        <f t="shared" si="201"/>
        <v>1.2305816248225777E-8</v>
      </c>
      <c r="T873" s="2">
        <f t="shared" si="197"/>
        <v>1.3117360448505315E-13</v>
      </c>
      <c r="U873" s="6">
        <f t="shared" si="202"/>
        <v>84.857551292342151</v>
      </c>
      <c r="V873" s="2">
        <f t="shared" si="194"/>
        <v>1.5229548201223102E-8</v>
      </c>
      <c r="W873" s="2">
        <f t="shared" si="195"/>
        <v>1.4301697069917664E-13</v>
      </c>
    </row>
    <row r="874" spans="1:23" x14ac:dyDescent="0.4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10">
        <v>110006.99</v>
      </c>
      <c r="F874" s="10" t="s">
        <v>2354</v>
      </c>
      <c r="G874" s="10" t="s">
        <v>2355</v>
      </c>
      <c r="H874" s="10">
        <v>110006.990271262</v>
      </c>
      <c r="I874" s="10">
        <v>30.325800236160699</v>
      </c>
      <c r="J874" s="10">
        <v>30.274197245300702</v>
      </c>
      <c r="K874" s="4">
        <f t="shared" si="190"/>
        <v>30.325800000000001</v>
      </c>
      <c r="L874" s="4">
        <f t="shared" si="191"/>
        <v>30.274197222222256</v>
      </c>
      <c r="M874" s="4">
        <f t="shared" si="192"/>
        <v>30.325800236160717</v>
      </c>
      <c r="N874" s="4">
        <f t="shared" si="193"/>
        <v>30.274197245300684</v>
      </c>
      <c r="O874" s="3">
        <f t="shared" si="196"/>
        <v>110006.99028716504</v>
      </c>
      <c r="P874" s="2">
        <f t="shared" si="198"/>
        <v>2.6104253542699227E-9</v>
      </c>
      <c r="Q874" s="2">
        <f t="shared" si="199"/>
        <v>1.445639587647183E-10</v>
      </c>
      <c r="R874" s="6">
        <f t="shared" si="200"/>
        <v>30.325800236142658</v>
      </c>
      <c r="S874" s="2">
        <f t="shared" si="201"/>
        <v>7.7868566510435896E-9</v>
      </c>
      <c r="T874" s="2">
        <f t="shared" si="197"/>
        <v>5.9548119056096397E-13</v>
      </c>
      <c r="U874" s="6">
        <f t="shared" si="202"/>
        <v>30.274197245282579</v>
      </c>
      <c r="V874" s="2">
        <f t="shared" si="194"/>
        <v>7.6171543903578233E-10</v>
      </c>
      <c r="W874" s="2">
        <f t="shared" si="195"/>
        <v>5.9802176620810803E-13</v>
      </c>
    </row>
    <row r="875" spans="1:23" x14ac:dyDescent="0.45">
      <c r="A875">
        <v>-75.261250000000004</v>
      </c>
      <c r="B875">
        <v>-147.21267</v>
      </c>
      <c r="C875">
        <v>-75.35857</v>
      </c>
      <c r="D875">
        <v>-146.96997999999999</v>
      </c>
      <c r="E875" s="10">
        <v>12854.441000000001</v>
      </c>
      <c r="F875" s="10" t="s">
        <v>2356</v>
      </c>
      <c r="G875" s="10" t="s">
        <v>2357</v>
      </c>
      <c r="H875" s="10">
        <v>12854.4411778227</v>
      </c>
      <c r="I875" s="10">
        <v>147.79738813991599</v>
      </c>
      <c r="J875" s="10">
        <v>147.56263117345</v>
      </c>
      <c r="K875" s="4">
        <f t="shared" si="190"/>
        <v>147.79738888888889</v>
      </c>
      <c r="L875" s="4">
        <f t="shared" si="191"/>
        <v>147.56263055555553</v>
      </c>
      <c r="M875" s="4">
        <f t="shared" si="192"/>
        <v>147.79738813991599</v>
      </c>
      <c r="N875" s="4">
        <f t="shared" si="193"/>
        <v>147.56263117344997</v>
      </c>
      <c r="O875" s="3">
        <f t="shared" si="196"/>
        <v>12854.441179065192</v>
      </c>
      <c r="P875" s="2">
        <f t="shared" si="198"/>
        <v>1.3930220017539748E-8</v>
      </c>
      <c r="Q875" s="2">
        <f t="shared" si="199"/>
        <v>9.6658549191191853E-11</v>
      </c>
      <c r="R875" s="6">
        <f t="shared" si="200"/>
        <v>147.79738814017398</v>
      </c>
      <c r="S875" s="2">
        <f t="shared" si="201"/>
        <v>5.0658196071204287E-9</v>
      </c>
      <c r="T875" s="2">
        <f t="shared" si="197"/>
        <v>1.7455237859518226E-12</v>
      </c>
      <c r="U875" s="6">
        <f t="shared" si="202"/>
        <v>147.56263117370986</v>
      </c>
      <c r="V875" s="2">
        <f t="shared" si="194"/>
        <v>4.1890980728012792E-9</v>
      </c>
      <c r="W875" s="2">
        <f t="shared" si="195"/>
        <v>1.7612054553712397E-12</v>
      </c>
    </row>
    <row r="876" spans="1:23" x14ac:dyDescent="0.4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10">
        <v>103867.36199999999</v>
      </c>
      <c r="F876" s="10" t="s">
        <v>2358</v>
      </c>
      <c r="G876" s="10" t="s">
        <v>2359</v>
      </c>
      <c r="H876" s="10">
        <v>103867.361727278</v>
      </c>
      <c r="I876" s="10">
        <v>-13.2137992308538</v>
      </c>
      <c r="J876" s="10">
        <v>-12.589747357704599</v>
      </c>
      <c r="K876" s="4">
        <f t="shared" si="190"/>
        <v>346.78620000000001</v>
      </c>
      <c r="L876" s="4">
        <f t="shared" si="191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96"/>
        <v>103867.36172427093</v>
      </c>
      <c r="P876" s="2">
        <f t="shared" si="198"/>
        <v>2.6546266190407366E-9</v>
      </c>
      <c r="Q876" s="2">
        <f t="shared" si="199"/>
        <v>2.8951019073212041E-11</v>
      </c>
      <c r="R876" s="6">
        <f t="shared" si="200"/>
        <v>346.7862007696263</v>
      </c>
      <c r="S876" s="2">
        <f t="shared" si="201"/>
        <v>2.2193106211112027E-9</v>
      </c>
      <c r="T876" s="2">
        <f t="shared" si="197"/>
        <v>1.3844250856393917E-12</v>
      </c>
      <c r="U876" s="6">
        <f t="shared" si="202"/>
        <v>347.41025264275203</v>
      </c>
      <c r="V876" s="2">
        <f t="shared" si="194"/>
        <v>3.8866366894904319E-10</v>
      </c>
      <c r="W876" s="2">
        <f t="shared" si="195"/>
        <v>1.3143630052249047E-12</v>
      </c>
    </row>
    <row r="877" spans="1:23" x14ac:dyDescent="0.4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10">
        <v>26727.112000000001</v>
      </c>
      <c r="F877" s="10" t="s">
        <v>2360</v>
      </c>
      <c r="G877" s="10" t="s">
        <v>2361</v>
      </c>
      <c r="H877" s="10">
        <v>26727.1124394369</v>
      </c>
      <c r="I877" s="10">
        <v>81.079697141840001</v>
      </c>
      <c r="J877" s="10">
        <v>81.498104203938496</v>
      </c>
      <c r="K877" s="4">
        <f t="shared" si="190"/>
        <v>81.079697222222222</v>
      </c>
      <c r="L877" s="4">
        <f t="shared" si="191"/>
        <v>81.498105555555583</v>
      </c>
      <c r="M877" s="4">
        <f t="shared" si="192"/>
        <v>81.079697141840029</v>
      </c>
      <c r="N877" s="4">
        <f t="shared" si="193"/>
        <v>81.49810420393851</v>
      </c>
      <c r="O877" s="3">
        <f t="shared" si="196"/>
        <v>26727.112434228857</v>
      </c>
      <c r="P877" s="2">
        <f t="shared" si="198"/>
        <v>1.6246755569332872E-8</v>
      </c>
      <c r="Q877" s="2">
        <f t="shared" si="199"/>
        <v>1.9485992587274241E-10</v>
      </c>
      <c r="R877" s="6">
        <f t="shared" si="200"/>
        <v>81.079697141848186</v>
      </c>
      <c r="S877" s="2">
        <f t="shared" si="201"/>
        <v>9.9129670027066866E-10</v>
      </c>
      <c r="T877" s="2">
        <f t="shared" si="197"/>
        <v>1.0060509466699315E-13</v>
      </c>
      <c r="U877" s="6">
        <f t="shared" si="202"/>
        <v>81.498104203947193</v>
      </c>
      <c r="V877" s="2">
        <f t="shared" si="194"/>
        <v>1.6584537523186884E-8</v>
      </c>
      <c r="W877" s="2">
        <f t="shared" si="195"/>
        <v>1.0654029705109158E-13</v>
      </c>
    </row>
    <row r="878" spans="1:23" x14ac:dyDescent="0.4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10">
        <v>56422.040999999997</v>
      </c>
      <c r="F878" s="10" t="s">
        <v>2362</v>
      </c>
      <c r="G878" s="10" t="s">
        <v>2363</v>
      </c>
      <c r="H878" s="10">
        <v>56422.040912303797</v>
      </c>
      <c r="I878" s="10">
        <v>-177.365000659868</v>
      </c>
      <c r="J878" s="10">
        <v>-178.21844700973301</v>
      </c>
      <c r="K878" s="4">
        <f t="shared" si="190"/>
        <v>182.63499999999999</v>
      </c>
      <c r="L878" s="4">
        <f t="shared" si="191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96"/>
        <v>56422.040883053094</v>
      </c>
      <c r="P878" s="2">
        <f t="shared" si="198"/>
        <v>2.0727166408288397E-9</v>
      </c>
      <c r="Q878" s="2">
        <f t="shared" si="199"/>
        <v>5.1842688538327922E-10</v>
      </c>
      <c r="R878" s="6">
        <f t="shared" si="200"/>
        <v>182.63499934012464</v>
      </c>
      <c r="S878" s="2">
        <f t="shared" si="201"/>
        <v>3.6130826750541734E-9</v>
      </c>
      <c r="T878" s="2">
        <f t="shared" si="197"/>
        <v>4.0305652087885934E-14</v>
      </c>
      <c r="U878" s="6">
        <f t="shared" si="202"/>
        <v>181.78155299026227</v>
      </c>
      <c r="V878" s="2">
        <f t="shared" si="194"/>
        <v>1.1689001251343153E-9</v>
      </c>
      <c r="W878" s="2">
        <f t="shared" si="195"/>
        <v>2.5954249415504103E-14</v>
      </c>
    </row>
    <row r="879" spans="1:23" x14ac:dyDescent="0.45">
      <c r="A879">
        <v>-31.321149999999999</v>
      </c>
      <c r="B879">
        <v>-29.877099999999999</v>
      </c>
      <c r="C879">
        <v>-31.052669999999999</v>
      </c>
      <c r="D879">
        <v>-30.46238</v>
      </c>
      <c r="E879" s="10">
        <v>63232.082999999999</v>
      </c>
      <c r="F879" s="10" t="s">
        <v>2364</v>
      </c>
      <c r="G879" s="10" t="s">
        <v>2365</v>
      </c>
      <c r="H879" s="10">
        <v>63232.0829810414</v>
      </c>
      <c r="I879" s="10">
        <v>-62.068239367903999</v>
      </c>
      <c r="J879" s="10">
        <v>-61.765160130111603</v>
      </c>
      <c r="K879" s="4">
        <f t="shared" si="190"/>
        <v>297.93176111111109</v>
      </c>
      <c r="L879" s="4">
        <f t="shared" si="191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96"/>
        <v>63232.082980684601</v>
      </c>
      <c r="P879" s="2">
        <f t="shared" si="198"/>
        <v>3.0546830739201445E-10</v>
      </c>
      <c r="Q879" s="2">
        <f t="shared" si="199"/>
        <v>5.6426799919165111E-12</v>
      </c>
      <c r="R879" s="6">
        <f t="shared" si="200"/>
        <v>297.93176063284352</v>
      </c>
      <c r="S879" s="2">
        <f t="shared" si="201"/>
        <v>1.6052923132857011E-9</v>
      </c>
      <c r="T879" s="2">
        <f t="shared" si="197"/>
        <v>2.508933443127173E-12</v>
      </c>
      <c r="U879" s="6">
        <f t="shared" si="202"/>
        <v>298.23483987062662</v>
      </c>
      <c r="V879" s="2">
        <f t="shared" si="194"/>
        <v>3.2918278274435034E-9</v>
      </c>
      <c r="W879" s="2">
        <f t="shared" si="195"/>
        <v>2.4753160330542905E-12</v>
      </c>
    </row>
    <row r="880" spans="1:23" x14ac:dyDescent="0.45">
      <c r="A880">
        <v>53.416429999999998</v>
      </c>
      <c r="B880">
        <v>20.169750000000001</v>
      </c>
      <c r="C880">
        <v>54.178559999999997</v>
      </c>
      <c r="D880">
        <v>19.55808</v>
      </c>
      <c r="E880" s="10">
        <v>93913.721000000005</v>
      </c>
      <c r="F880" s="10" t="s">
        <v>2366</v>
      </c>
      <c r="G880" s="10" t="s">
        <v>2367</v>
      </c>
      <c r="H880" s="10">
        <v>93913.720975629505</v>
      </c>
      <c r="I880" s="10">
        <v>-25.168345852049001</v>
      </c>
      <c r="J880" s="10">
        <v>-25.661936044160701</v>
      </c>
      <c r="K880" s="4">
        <f t="shared" si="190"/>
        <v>334.83165277777778</v>
      </c>
      <c r="L880" s="4">
        <f t="shared" si="191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96"/>
        <v>93913.721012273643</v>
      </c>
      <c r="P880" s="2">
        <f t="shared" si="198"/>
        <v>1.3069057583591305E-10</v>
      </c>
      <c r="Q880" s="2">
        <f t="shared" si="199"/>
        <v>3.9018939705801618E-10</v>
      </c>
      <c r="R880" s="6">
        <f t="shared" si="200"/>
        <v>334.83165414797162</v>
      </c>
      <c r="S880" s="2">
        <f t="shared" si="201"/>
        <v>4.0921873170114777E-9</v>
      </c>
      <c r="T880" s="2">
        <f t="shared" si="197"/>
        <v>6.162547892606283E-14</v>
      </c>
      <c r="U880" s="6">
        <f t="shared" si="202"/>
        <v>334.33806395586043</v>
      </c>
      <c r="V880" s="2">
        <f t="shared" si="194"/>
        <v>2.0031088019343233E-10</v>
      </c>
      <c r="W880" s="2">
        <f t="shared" si="195"/>
        <v>6.3246618007016986E-14</v>
      </c>
    </row>
    <row r="881" spans="1:23" x14ac:dyDescent="0.4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10">
        <v>83317.122000000003</v>
      </c>
      <c r="F881" s="10" t="s">
        <v>2368</v>
      </c>
      <c r="G881" s="10" t="s">
        <v>2369</v>
      </c>
      <c r="H881" s="10">
        <v>83317.121596771904</v>
      </c>
      <c r="I881" s="10">
        <v>-26.068824529434401</v>
      </c>
      <c r="J881" s="10">
        <v>-25.343203625447199</v>
      </c>
      <c r="K881" s="4">
        <f t="shared" ref="K881:K944" si="203">ConvertDecimal(F881)</f>
        <v>333.931175</v>
      </c>
      <c r="L881" s="4">
        <f t="shared" ref="L881:L944" si="204">MOD(ConvertDecimal(G881)+180,360)</f>
        <v>334.65679722222222</v>
      </c>
      <c r="M881" s="4">
        <f t="shared" ref="M881:M944" si="205">MOD(I881+360, 360)</f>
        <v>333.93117547056562</v>
      </c>
      <c r="N881" s="4">
        <f t="shared" ref="N881:N944" si="206">MOD(J881+360, 360)</f>
        <v>334.65679637455281</v>
      </c>
      <c r="O881" s="3">
        <f t="shared" si="196"/>
        <v>83317.121618980324</v>
      </c>
      <c r="P881" s="2">
        <f t="shared" si="198"/>
        <v>4.5731257913617357E-9</v>
      </c>
      <c r="Q881" s="2">
        <f t="shared" si="199"/>
        <v>2.6655289515603909E-10</v>
      </c>
      <c r="R881" s="6">
        <f t="shared" si="200"/>
        <v>333.93117547055823</v>
      </c>
      <c r="S881" s="2">
        <f t="shared" si="201"/>
        <v>1.4091473614458433E-9</v>
      </c>
      <c r="T881" s="2">
        <f t="shared" si="197"/>
        <v>2.2129243972180139E-14</v>
      </c>
      <c r="U881" s="6">
        <f t="shared" si="202"/>
        <v>334.65679637454559</v>
      </c>
      <c r="V881" s="2">
        <f t="shared" si="194"/>
        <v>2.5329729984466259E-9</v>
      </c>
      <c r="W881" s="2">
        <f t="shared" si="195"/>
        <v>2.1571694564490121E-14</v>
      </c>
    </row>
    <row r="882" spans="1:23" x14ac:dyDescent="0.4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10">
        <v>36863.61</v>
      </c>
      <c r="F882" s="10" t="s">
        <v>2370</v>
      </c>
      <c r="G882" s="10" t="s">
        <v>2371</v>
      </c>
      <c r="H882" s="10">
        <v>36863.609968026503</v>
      </c>
      <c r="I882" s="10">
        <v>-132.168773263969</v>
      </c>
      <c r="J882" s="10">
        <v>-131.828293823389</v>
      </c>
      <c r="K882" s="4">
        <f t="shared" si="203"/>
        <v>227.83122777777777</v>
      </c>
      <c r="L882" s="4">
        <f t="shared" si="204"/>
        <v>228.17170555555555</v>
      </c>
      <c r="M882" s="4">
        <f t="shared" si="205"/>
        <v>227.831226736031</v>
      </c>
      <c r="N882" s="4">
        <f t="shared" si="206"/>
        <v>228.171706176611</v>
      </c>
      <c r="O882" s="3">
        <f t="shared" si="196"/>
        <v>36863.609977021559</v>
      </c>
      <c r="P882" s="2">
        <f t="shared" si="198"/>
        <v>6.2333672279936625E-10</v>
      </c>
      <c r="Q882" s="2">
        <f t="shared" si="199"/>
        <v>2.4400907571032737E-10</v>
      </c>
      <c r="R882" s="6">
        <f t="shared" si="200"/>
        <v>227.83122673602247</v>
      </c>
      <c r="S882" s="2">
        <f t="shared" si="201"/>
        <v>4.5724868680147662E-9</v>
      </c>
      <c r="T882" s="2">
        <f t="shared" si="197"/>
        <v>3.7424689105502467E-14</v>
      </c>
      <c r="U882" s="6">
        <f t="shared" si="202"/>
        <v>228.17170617660247</v>
      </c>
      <c r="V882" s="2">
        <f t="shared" si="194"/>
        <v>2.7218402072299079E-9</v>
      </c>
      <c r="W882" s="2">
        <f t="shared" si="195"/>
        <v>3.7368843718604855E-14</v>
      </c>
    </row>
    <row r="883" spans="1:23" x14ac:dyDescent="0.45">
      <c r="A883">
        <v>49.60765</v>
      </c>
      <c r="B883">
        <v>78.039140000000003</v>
      </c>
      <c r="C883">
        <v>48.967799999999997</v>
      </c>
      <c r="D883">
        <v>78.897099999999995</v>
      </c>
      <c r="E883" s="10">
        <v>94654.224000000002</v>
      </c>
      <c r="F883" s="10" t="s">
        <v>2372</v>
      </c>
      <c r="G883" s="10" t="s">
        <v>2373</v>
      </c>
      <c r="H883" s="10">
        <v>94654.224475356401</v>
      </c>
      <c r="I883" s="10">
        <v>138.41985864690801</v>
      </c>
      <c r="J883" s="10">
        <v>139.070203047864</v>
      </c>
      <c r="K883" s="4">
        <f t="shared" si="203"/>
        <v>138.41985833333334</v>
      </c>
      <c r="L883" s="4">
        <f t="shared" si="204"/>
        <v>139.07020277777775</v>
      </c>
      <c r="M883" s="4">
        <f t="shared" si="205"/>
        <v>138.41985864690798</v>
      </c>
      <c r="N883" s="4">
        <f t="shared" si="206"/>
        <v>139.07020304786397</v>
      </c>
      <c r="O883" s="3">
        <f t="shared" si="196"/>
        <v>94654.224500216573</v>
      </c>
      <c r="P883" s="2">
        <f t="shared" si="198"/>
        <v>5.2846724600398076E-9</v>
      </c>
      <c r="Q883" s="2">
        <f t="shared" si="199"/>
        <v>2.6264196840447781E-10</v>
      </c>
      <c r="R883" s="6">
        <f t="shared" si="200"/>
        <v>138.4198586469804</v>
      </c>
      <c r="S883" s="2">
        <f t="shared" si="201"/>
        <v>2.2659108862919368E-9</v>
      </c>
      <c r="T883" s="2">
        <f t="shared" si="197"/>
        <v>5.2318010100992902E-13</v>
      </c>
      <c r="U883" s="6">
        <f t="shared" si="202"/>
        <v>139.07020304793448</v>
      </c>
      <c r="V883" s="2">
        <f t="shared" si="194"/>
        <v>1.9425924974881883E-9</v>
      </c>
      <c r="W883" s="2">
        <f t="shared" si="195"/>
        <v>5.0704075748392604E-13</v>
      </c>
    </row>
    <row r="884" spans="1:23" x14ac:dyDescent="0.45">
      <c r="A884">
        <v>21.583069999999999</v>
      </c>
      <c r="B884">
        <v>-176.51130000000001</v>
      </c>
      <c r="C884">
        <v>22.121200000000002</v>
      </c>
      <c r="D884">
        <v>-177.33247</v>
      </c>
      <c r="E884" s="10">
        <v>103709.27499999999</v>
      </c>
      <c r="F884" s="10" t="s">
        <v>2374</v>
      </c>
      <c r="G884" s="10" t="s">
        <v>2375</v>
      </c>
      <c r="H884" s="10">
        <v>103709.27465010701</v>
      </c>
      <c r="I884" s="10">
        <v>-54.779752189510802</v>
      </c>
      <c r="J884" s="10">
        <v>-55.085409874660101</v>
      </c>
      <c r="K884" s="4">
        <f t="shared" si="203"/>
        <v>305.22024722222221</v>
      </c>
      <c r="L884" s="4">
        <f t="shared" si="204"/>
        <v>304.91458888888889</v>
      </c>
      <c r="M884" s="4">
        <f t="shared" si="205"/>
        <v>305.22024781048918</v>
      </c>
      <c r="N884" s="4">
        <f t="shared" si="206"/>
        <v>304.91459012533988</v>
      </c>
      <c r="O884" s="3">
        <f t="shared" si="196"/>
        <v>103709.27464622974</v>
      </c>
      <c r="P884" s="2">
        <f t="shared" si="198"/>
        <v>3.4111727980810812E-9</v>
      </c>
      <c r="Q884" s="2">
        <f t="shared" si="199"/>
        <v>3.738595717873895E-11</v>
      </c>
      <c r="R884" s="6">
        <f t="shared" si="200"/>
        <v>305.22024781039676</v>
      </c>
      <c r="S884" s="2">
        <f t="shared" si="201"/>
        <v>1.9270495620434802E-9</v>
      </c>
      <c r="T884" s="2">
        <f t="shared" si="197"/>
        <v>3.0282197767253589E-13</v>
      </c>
      <c r="U884" s="6">
        <f t="shared" si="202"/>
        <v>304.91459012524632</v>
      </c>
      <c r="V884" s="2">
        <f t="shared" si="194"/>
        <v>4.0547664141430826E-9</v>
      </c>
      <c r="W884" s="2">
        <f t="shared" si="195"/>
        <v>3.068540190432637E-13</v>
      </c>
    </row>
    <row r="885" spans="1:23" x14ac:dyDescent="0.45">
      <c r="A885">
        <v>16.77291</v>
      </c>
      <c r="B885">
        <v>-64.740250000000003</v>
      </c>
      <c r="C885">
        <v>16.8718</v>
      </c>
      <c r="D885">
        <v>-65.412660000000002</v>
      </c>
      <c r="E885" s="10">
        <v>72499.957999999999</v>
      </c>
      <c r="F885" s="10" t="s">
        <v>2376</v>
      </c>
      <c r="G885" s="10" t="s">
        <v>2377</v>
      </c>
      <c r="H885" s="10">
        <v>72499.957777456802</v>
      </c>
      <c r="I885" s="10">
        <v>-81.220800621304605</v>
      </c>
      <c r="J885" s="10">
        <v>-81.415401764666001</v>
      </c>
      <c r="K885" s="4">
        <f t="shared" si="203"/>
        <v>278.7792</v>
      </c>
      <c r="L885" s="4">
        <f t="shared" si="204"/>
        <v>278.58459722222221</v>
      </c>
      <c r="M885" s="4">
        <f t="shared" si="205"/>
        <v>278.77919937869541</v>
      </c>
      <c r="N885" s="4">
        <f t="shared" si="206"/>
        <v>278.584598235334</v>
      </c>
      <c r="O885" s="3">
        <f t="shared" si="196"/>
        <v>72499.957777289121</v>
      </c>
      <c r="P885" s="2">
        <f t="shared" si="198"/>
        <v>3.0718759589651434E-9</v>
      </c>
      <c r="Q885" s="2">
        <f t="shared" si="199"/>
        <v>2.3128526459447169E-12</v>
      </c>
      <c r="R885" s="6">
        <f t="shared" si="200"/>
        <v>278.77919937866341</v>
      </c>
      <c r="S885" s="2">
        <f t="shared" si="201"/>
        <v>2.2287767394262177E-9</v>
      </c>
      <c r="T885" s="2">
        <f t="shared" si="197"/>
        <v>1.1479638685367643E-13</v>
      </c>
      <c r="U885" s="6">
        <f t="shared" si="202"/>
        <v>278.5845982353012</v>
      </c>
      <c r="V885" s="2">
        <f t="shared" si="194"/>
        <v>3.636521890066924E-9</v>
      </c>
      <c r="W885" s="2">
        <f t="shared" si="195"/>
        <v>1.1773318729910403E-13</v>
      </c>
    </row>
    <row r="886" spans="1:23" x14ac:dyDescent="0.45">
      <c r="A886">
        <v>32.084580000000003</v>
      </c>
      <c r="B886">
        <v>-137.40487999999999</v>
      </c>
      <c r="C886">
        <v>31.64038</v>
      </c>
      <c r="D886">
        <v>-138.39496</v>
      </c>
      <c r="E886" s="10">
        <v>105852.084</v>
      </c>
      <c r="F886" s="10" t="s">
        <v>2378</v>
      </c>
      <c r="G886" s="10" t="s">
        <v>2379</v>
      </c>
      <c r="H886" s="10">
        <v>105852.083965695</v>
      </c>
      <c r="I886" s="10">
        <v>-117.4686024909</v>
      </c>
      <c r="J886" s="10">
        <v>-117.991261539638</v>
      </c>
      <c r="K886" s="4">
        <f t="shared" si="203"/>
        <v>242.53139722222221</v>
      </c>
      <c r="L886" s="4">
        <f t="shared" si="204"/>
        <v>242.0087388888889</v>
      </c>
      <c r="M886" s="4">
        <f t="shared" si="205"/>
        <v>242.5313975091</v>
      </c>
      <c r="N886" s="4">
        <f t="shared" si="206"/>
        <v>242.008738460362</v>
      </c>
      <c r="O886" s="3">
        <f t="shared" si="196"/>
        <v>105852.08396582685</v>
      </c>
      <c r="P886" s="2">
        <f t="shared" si="198"/>
        <v>3.2283870951093234E-10</v>
      </c>
      <c r="Q886" s="2">
        <f t="shared" si="199"/>
        <v>1.2456524136734442E-12</v>
      </c>
      <c r="R886" s="6">
        <f t="shared" si="200"/>
        <v>242.53139750840609</v>
      </c>
      <c r="S886" s="2">
        <f t="shared" si="201"/>
        <v>1.1799869207631073E-9</v>
      </c>
      <c r="T886" s="2">
        <f t="shared" si="197"/>
        <v>2.8611389818807996E-12</v>
      </c>
      <c r="U886" s="6">
        <f t="shared" si="202"/>
        <v>242.00873845968346</v>
      </c>
      <c r="V886" s="2">
        <f t="shared" si="194"/>
        <v>1.7735121661843924E-9</v>
      </c>
      <c r="W886" s="2">
        <f t="shared" si="195"/>
        <v>2.8037826041252704E-12</v>
      </c>
    </row>
    <row r="887" spans="1:23" x14ac:dyDescent="0.45">
      <c r="A887">
        <v>40.911969999999997</v>
      </c>
      <c r="B887">
        <v>-13.68938</v>
      </c>
      <c r="C887">
        <v>41.191110000000002</v>
      </c>
      <c r="D887">
        <v>-14.314120000000001</v>
      </c>
      <c r="E887" s="10">
        <v>60987.586000000003</v>
      </c>
      <c r="F887" s="10" t="s">
        <v>2380</v>
      </c>
      <c r="G887" s="10" t="s">
        <v>2381</v>
      </c>
      <c r="H887" s="10">
        <v>60987.586230348599</v>
      </c>
      <c r="I887" s="10">
        <v>-59.244736625632797</v>
      </c>
      <c r="J887" s="10">
        <v>-59.655030450477</v>
      </c>
      <c r="K887" s="4">
        <f t="shared" si="203"/>
        <v>300.75526388888886</v>
      </c>
      <c r="L887" s="4">
        <f t="shared" si="204"/>
        <v>300.34496944444447</v>
      </c>
      <c r="M887" s="4">
        <f t="shared" si="205"/>
        <v>300.75526337436719</v>
      </c>
      <c r="N887" s="4">
        <f t="shared" si="206"/>
        <v>300.344969549523</v>
      </c>
      <c r="O887" s="3">
        <f t="shared" si="196"/>
        <v>60987.58623586336</v>
      </c>
      <c r="P887" s="2">
        <f t="shared" si="198"/>
        <v>3.8673994634729474E-9</v>
      </c>
      <c r="Q887" s="2">
        <f t="shared" si="199"/>
        <v>9.0424322109386529E-11</v>
      </c>
      <c r="R887" s="6">
        <f t="shared" si="200"/>
        <v>300.75526337459456</v>
      </c>
      <c r="S887" s="2">
        <f t="shared" si="201"/>
        <v>1.7100093043814923E-9</v>
      </c>
      <c r="T887" s="2">
        <f t="shared" si="197"/>
        <v>7.5600896520373478E-13</v>
      </c>
      <c r="U887" s="6">
        <f t="shared" si="202"/>
        <v>300.34496954975418</v>
      </c>
      <c r="V887" s="2">
        <f t="shared" si="194"/>
        <v>3.5062917681642881E-10</v>
      </c>
      <c r="W887" s="2">
        <f t="shared" si="195"/>
        <v>7.6972217931150418E-13</v>
      </c>
    </row>
    <row r="888" spans="1:23" x14ac:dyDescent="0.4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10">
        <v>118595.412</v>
      </c>
      <c r="F888" s="10" t="s">
        <v>2382</v>
      </c>
      <c r="G888" s="10" t="s">
        <v>2383</v>
      </c>
      <c r="H888" s="10">
        <v>118595.412203229</v>
      </c>
      <c r="I888" s="10">
        <v>27.811863682297599</v>
      </c>
      <c r="J888" s="10">
        <v>27.391314643964499</v>
      </c>
      <c r="K888" s="4">
        <f t="shared" si="203"/>
        <v>27.81186388888889</v>
      </c>
      <c r="L888" s="4">
        <f t="shared" si="204"/>
        <v>27.391313888888931</v>
      </c>
      <c r="M888" s="4">
        <f t="shared" si="205"/>
        <v>27.811863682297599</v>
      </c>
      <c r="N888" s="4">
        <f t="shared" si="206"/>
        <v>27.391314643964506</v>
      </c>
      <c r="O888" s="3">
        <f t="shared" si="196"/>
        <v>118595.41223901285</v>
      </c>
      <c r="P888" s="2">
        <f t="shared" si="198"/>
        <v>2.0153633786074167E-9</v>
      </c>
      <c r="Q888" s="2">
        <f t="shared" si="199"/>
        <v>3.0173041959877378E-10</v>
      </c>
      <c r="R888" s="6">
        <f t="shared" si="200"/>
        <v>27.811863682020157</v>
      </c>
      <c r="S888" s="2">
        <f t="shared" si="201"/>
        <v>7.438147062891752E-9</v>
      </c>
      <c r="T888" s="2">
        <f t="shared" si="197"/>
        <v>9.9756734208057015E-12</v>
      </c>
      <c r="U888" s="6">
        <f t="shared" si="202"/>
        <v>27.391314643692063</v>
      </c>
      <c r="V888" s="2">
        <f t="shared" si="194"/>
        <v>2.7556295220406731E-8</v>
      </c>
      <c r="W888" s="2">
        <f t="shared" si="195"/>
        <v>9.9463426532733545E-12</v>
      </c>
    </row>
    <row r="889" spans="1:23" x14ac:dyDescent="0.45">
      <c r="A889">
        <v>-37.205269999999999</v>
      </c>
      <c r="B889">
        <v>-20.326080000000001</v>
      </c>
      <c r="C889">
        <v>-37.992040000000003</v>
      </c>
      <c r="D889">
        <v>-20.00976</v>
      </c>
      <c r="E889" s="10">
        <v>91681.667000000001</v>
      </c>
      <c r="F889" s="10" t="s">
        <v>2384</v>
      </c>
      <c r="G889" s="10" t="s">
        <v>2385</v>
      </c>
      <c r="H889" s="10">
        <v>91681.667155213407</v>
      </c>
      <c r="I889" s="10">
        <v>162.35724231061499</v>
      </c>
      <c r="J889" s="10">
        <v>162.16424220478601</v>
      </c>
      <c r="K889" s="4">
        <f t="shared" si="203"/>
        <v>162.35724166666665</v>
      </c>
      <c r="L889" s="4">
        <f t="shared" si="204"/>
        <v>162.16424166666661</v>
      </c>
      <c r="M889" s="4">
        <f t="shared" si="205"/>
        <v>162.35724231061499</v>
      </c>
      <c r="N889" s="4">
        <f t="shared" si="206"/>
        <v>162.16424220478598</v>
      </c>
      <c r="O889" s="3">
        <f t="shared" si="196"/>
        <v>91681.667135895419</v>
      </c>
      <c r="P889" s="2">
        <f t="shared" si="198"/>
        <v>1.4822529107195535E-9</v>
      </c>
      <c r="Q889" s="2">
        <f t="shared" si="199"/>
        <v>2.1070720251069864E-10</v>
      </c>
      <c r="R889" s="6">
        <f t="shared" si="200"/>
        <v>162.35724231089051</v>
      </c>
      <c r="S889" s="2">
        <f t="shared" si="201"/>
        <v>3.9679404098177244E-9</v>
      </c>
      <c r="T889" s="2">
        <f t="shared" si="197"/>
        <v>1.6969988360064849E-12</v>
      </c>
      <c r="U889" s="6">
        <f t="shared" si="202"/>
        <v>162.16424220506434</v>
      </c>
      <c r="V889" s="2">
        <f t="shared" si="194"/>
        <v>3.3200767483918531E-9</v>
      </c>
      <c r="W889" s="2">
        <f t="shared" si="195"/>
        <v>1.7165450186598627E-12</v>
      </c>
    </row>
    <row r="890" spans="1:23" x14ac:dyDescent="0.45">
      <c r="A890">
        <v>-75.58314</v>
      </c>
      <c r="B890">
        <v>71.970050000000001</v>
      </c>
      <c r="C890">
        <v>-75.053169999999994</v>
      </c>
      <c r="D890">
        <v>72.437200000000004</v>
      </c>
      <c r="E890" s="10">
        <v>60615.120999999999</v>
      </c>
      <c r="F890" s="10" t="s">
        <v>2386</v>
      </c>
      <c r="G890" s="10" t="s">
        <v>2387</v>
      </c>
      <c r="H890" s="10">
        <v>60615.1205864148</v>
      </c>
      <c r="I890" s="10">
        <v>12.824903669137299</v>
      </c>
      <c r="J890" s="10">
        <v>12.3730020038804</v>
      </c>
      <c r="K890" s="4">
        <f t="shared" si="203"/>
        <v>12.824902777777778</v>
      </c>
      <c r="L890" s="4">
        <f t="shared" si="204"/>
        <v>12.373002777777742</v>
      </c>
      <c r="M890" s="4">
        <f t="shared" si="205"/>
        <v>12.824903669137313</v>
      </c>
      <c r="N890" s="4">
        <f t="shared" si="206"/>
        <v>12.373002003880401</v>
      </c>
      <c r="O890" s="3">
        <f t="shared" si="196"/>
        <v>60615.120645795985</v>
      </c>
      <c r="P890" s="2">
        <f t="shared" si="198"/>
        <v>5.8434926493321663E-9</v>
      </c>
      <c r="Q890" s="2">
        <f t="shared" si="199"/>
        <v>9.7964311529312495E-10</v>
      </c>
      <c r="R890" s="6">
        <f t="shared" si="200"/>
        <v>12.824903669015772</v>
      </c>
      <c r="S890" s="2">
        <f t="shared" si="201"/>
        <v>6.9492768020975028E-8</v>
      </c>
      <c r="T890" s="2">
        <f t="shared" si="197"/>
        <v>9.4770214888966597E-12</v>
      </c>
      <c r="U890" s="6">
        <f t="shared" si="202"/>
        <v>12.373002003763325</v>
      </c>
      <c r="V890" s="2">
        <f t="shared" si="194"/>
        <v>6.2556715690265658E-8</v>
      </c>
      <c r="W890" s="2">
        <f t="shared" si="195"/>
        <v>9.462224812901063E-12</v>
      </c>
    </row>
    <row r="891" spans="1:23" x14ac:dyDescent="0.45">
      <c r="A891">
        <v>83.8001</v>
      </c>
      <c r="B891">
        <v>127.32998000000001</v>
      </c>
      <c r="C891">
        <v>84.577529999999996</v>
      </c>
      <c r="D891">
        <v>126.33351999999999</v>
      </c>
      <c r="E891" s="10">
        <v>87550.186000000002</v>
      </c>
      <c r="F891" s="10" t="s">
        <v>2388</v>
      </c>
      <c r="G891" s="10" t="s">
        <v>2389</v>
      </c>
      <c r="H891" s="10">
        <v>87550.186408411697</v>
      </c>
      <c r="I891" s="10">
        <v>-6.8993769012147999</v>
      </c>
      <c r="J891" s="10">
        <v>-7.8907391265207698</v>
      </c>
      <c r="K891" s="4">
        <f t="shared" si="203"/>
        <v>353.10062222222223</v>
      </c>
      <c r="L891" s="4">
        <f t="shared" si="204"/>
        <v>352.1092611111111</v>
      </c>
      <c r="M891" s="4">
        <f t="shared" si="205"/>
        <v>353.10062309878521</v>
      </c>
      <c r="N891" s="4">
        <f t="shared" si="206"/>
        <v>352.10926087347923</v>
      </c>
      <c r="O891" s="3">
        <f t="shared" si="196"/>
        <v>87550.186372925047</v>
      </c>
      <c r="P891" s="2">
        <f t="shared" si="198"/>
        <v>4.2595574344892445E-9</v>
      </c>
      <c r="Q891" s="2">
        <f t="shared" si="199"/>
        <v>4.0532923089757556E-10</v>
      </c>
      <c r="R891" s="6">
        <f t="shared" si="200"/>
        <v>353.10062309878475</v>
      </c>
      <c r="S891" s="2">
        <f t="shared" si="201"/>
        <v>2.4824723286601219E-9</v>
      </c>
      <c r="T891" s="2">
        <f t="shared" si="197"/>
        <v>1.2878690127919761E-15</v>
      </c>
      <c r="U891" s="6">
        <f t="shared" si="202"/>
        <v>352.10926087347872</v>
      </c>
      <c r="V891" s="2">
        <f t="shared" si="194"/>
        <v>6.7488249819226348E-10</v>
      </c>
      <c r="W891" s="2">
        <f t="shared" si="195"/>
        <v>1.4529318782419024E-15</v>
      </c>
    </row>
    <row r="892" spans="1:23" x14ac:dyDescent="0.45">
      <c r="A892">
        <v>16.90672</v>
      </c>
      <c r="B892">
        <v>132.65636000000001</v>
      </c>
      <c r="C892">
        <v>16.93261</v>
      </c>
      <c r="D892">
        <v>133.13082</v>
      </c>
      <c r="E892" s="10">
        <v>50625.874000000003</v>
      </c>
      <c r="F892" s="10" t="s">
        <v>2390</v>
      </c>
      <c r="G892" s="10" t="s">
        <v>2391</v>
      </c>
      <c r="H892" s="10">
        <v>50625.874175084602</v>
      </c>
      <c r="I892" s="10">
        <v>86.686552105680803</v>
      </c>
      <c r="J892" s="10">
        <v>86.824635201606199</v>
      </c>
      <c r="K892" s="4">
        <f t="shared" si="203"/>
        <v>86.686552777777777</v>
      </c>
      <c r="L892" s="4">
        <f t="shared" si="204"/>
        <v>86.82463611111109</v>
      </c>
      <c r="M892" s="4">
        <f t="shared" si="205"/>
        <v>86.686552105680789</v>
      </c>
      <c r="N892" s="4">
        <f t="shared" si="206"/>
        <v>86.824635201606213</v>
      </c>
      <c r="O892" s="3">
        <f t="shared" si="196"/>
        <v>50625.874170481962</v>
      </c>
      <c r="P892" s="2">
        <f t="shared" si="198"/>
        <v>3.3674867277507363E-9</v>
      </c>
      <c r="Q892" s="2">
        <f t="shared" si="199"/>
        <v>9.0914772228477536E-11</v>
      </c>
      <c r="R892" s="6">
        <f t="shared" si="200"/>
        <v>86.68655210541182</v>
      </c>
      <c r="S892" s="2">
        <f t="shared" si="201"/>
        <v>7.7562890107345259E-9</v>
      </c>
      <c r="T892" s="2">
        <f t="shared" si="197"/>
        <v>3.102774774877707E-12</v>
      </c>
      <c r="U892" s="6">
        <f t="shared" si="202"/>
        <v>86.824635201325663</v>
      </c>
      <c r="V892" s="2">
        <f t="shared" si="194"/>
        <v>1.0478424882477166E-8</v>
      </c>
      <c r="W892" s="2">
        <f t="shared" si="195"/>
        <v>3.2312337752537763E-12</v>
      </c>
    </row>
    <row r="893" spans="1:23" x14ac:dyDescent="0.45">
      <c r="A893">
        <v>-29.880649999999999</v>
      </c>
      <c r="B893">
        <v>-111.69532</v>
      </c>
      <c r="C893">
        <v>-29.70758</v>
      </c>
      <c r="D893">
        <v>-112.35563</v>
      </c>
      <c r="E893" s="10">
        <v>66662.044999999998</v>
      </c>
      <c r="F893" s="10" t="s">
        <v>2392</v>
      </c>
      <c r="G893" s="10" t="s">
        <v>2393</v>
      </c>
      <c r="H893" s="10">
        <v>66662.044794182104</v>
      </c>
      <c r="I893" s="10">
        <v>-73.438605731272702</v>
      </c>
      <c r="J893" s="10">
        <v>-73.110504586345996</v>
      </c>
      <c r="K893" s="4">
        <f t="shared" si="203"/>
        <v>286.56139444444443</v>
      </c>
      <c r="L893" s="4">
        <f t="shared" si="204"/>
        <v>286.88949444444444</v>
      </c>
      <c r="M893" s="4">
        <f t="shared" si="205"/>
        <v>286.56139426872733</v>
      </c>
      <c r="N893" s="4">
        <f t="shared" si="206"/>
        <v>286.889495413654</v>
      </c>
      <c r="O893" s="3">
        <f t="shared" si="196"/>
        <v>66662.044792677741</v>
      </c>
      <c r="P893" s="2">
        <f t="shared" si="198"/>
        <v>3.1100494555187309E-9</v>
      </c>
      <c r="Q893" s="2">
        <f t="shared" si="199"/>
        <v>2.2567001192928142E-11</v>
      </c>
      <c r="R893" s="6">
        <f t="shared" si="200"/>
        <v>286.5613942692778</v>
      </c>
      <c r="S893" s="2">
        <f t="shared" si="201"/>
        <v>6.1127087107452814E-10</v>
      </c>
      <c r="T893" s="2">
        <f t="shared" si="197"/>
        <v>1.9209554366274877E-12</v>
      </c>
      <c r="U893" s="6">
        <f t="shared" si="202"/>
        <v>286.88949541419311</v>
      </c>
      <c r="V893" s="2">
        <f t="shared" si="194"/>
        <v>3.380216730486643E-9</v>
      </c>
      <c r="W893" s="2">
        <f t="shared" si="195"/>
        <v>1.8791311396696246E-12</v>
      </c>
    </row>
    <row r="894" spans="1:23" x14ac:dyDescent="0.45">
      <c r="A894">
        <v>-34.246119999999998</v>
      </c>
      <c r="B894">
        <v>-73.81541</v>
      </c>
      <c r="C894">
        <v>-33.790619999999997</v>
      </c>
      <c r="D894">
        <v>-72.902140000000003</v>
      </c>
      <c r="E894" s="10">
        <v>98327.422000000006</v>
      </c>
      <c r="F894" s="10" t="s">
        <v>2394</v>
      </c>
      <c r="G894" s="10" t="s">
        <v>2395</v>
      </c>
      <c r="H894" s="10">
        <v>98327.422118179398</v>
      </c>
      <c r="I894" s="10">
        <v>59.335866159334302</v>
      </c>
      <c r="J894" s="10">
        <v>58.824917816873203</v>
      </c>
      <c r="K894" s="4">
        <f t="shared" si="203"/>
        <v>59.335866666666668</v>
      </c>
      <c r="L894" s="4">
        <f t="shared" si="204"/>
        <v>58.824916666666695</v>
      </c>
      <c r="M894" s="4">
        <f t="shared" si="205"/>
        <v>59.335866159334273</v>
      </c>
      <c r="N894" s="4">
        <f t="shared" si="206"/>
        <v>58.82491781687321</v>
      </c>
      <c r="O894" s="3">
        <f t="shared" si="196"/>
        <v>98327.422119942014</v>
      </c>
      <c r="P894" s="2">
        <f t="shared" si="198"/>
        <v>1.2198225596350931E-9</v>
      </c>
      <c r="Q894" s="2">
        <f t="shared" si="199"/>
        <v>1.7925978795952588E-11</v>
      </c>
      <c r="R894" s="6">
        <f t="shared" si="200"/>
        <v>59.335866158736032</v>
      </c>
      <c r="S894" s="2">
        <f t="shared" si="201"/>
        <v>8.5602632059138944E-9</v>
      </c>
      <c r="T894" s="2">
        <f t="shared" si="197"/>
        <v>1.0082290781207473E-11</v>
      </c>
      <c r="U894" s="6">
        <f t="shared" si="202"/>
        <v>58.824917816287062</v>
      </c>
      <c r="V894" s="2">
        <f t="shared" si="194"/>
        <v>1.9543085346247798E-8</v>
      </c>
      <c r="W894" s="2">
        <f t="shared" si="195"/>
        <v>9.9642811373796778E-12</v>
      </c>
    </row>
    <row r="895" spans="1:23" x14ac:dyDescent="0.4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10">
        <v>104364.72100000001</v>
      </c>
      <c r="F895" s="10" t="s">
        <v>2396</v>
      </c>
      <c r="G895" s="10" t="s">
        <v>2397</v>
      </c>
      <c r="H895" s="10">
        <v>104364.720525645</v>
      </c>
      <c r="I895" s="10">
        <v>7.6480587655167502</v>
      </c>
      <c r="J895" s="10">
        <v>8.6091205221041402</v>
      </c>
      <c r="K895" s="4">
        <f t="shared" si="203"/>
        <v>7.6480583333333332</v>
      </c>
      <c r="L895" s="4">
        <f t="shared" si="204"/>
        <v>8.6091194444444454</v>
      </c>
      <c r="M895" s="4">
        <f t="shared" si="205"/>
        <v>7.6480587655167369</v>
      </c>
      <c r="N895" s="4">
        <f t="shared" si="206"/>
        <v>8.6091205221041491</v>
      </c>
      <c r="O895" s="3">
        <f t="shared" si="196"/>
        <v>104364.72049336578</v>
      </c>
      <c r="P895" s="2">
        <f t="shared" si="198"/>
        <v>4.8544586953806246E-9</v>
      </c>
      <c r="Q895" s="2">
        <f t="shared" si="199"/>
        <v>3.0929243395711541E-10</v>
      </c>
      <c r="R895" s="6">
        <f t="shared" si="200"/>
        <v>7.6480587655154473</v>
      </c>
      <c r="S895" s="2">
        <f t="shared" si="201"/>
        <v>5.6508736630918607E-8</v>
      </c>
      <c r="T895" s="2">
        <f t="shared" si="197"/>
        <v>1.6862253611586212E-13</v>
      </c>
      <c r="U895" s="6">
        <f t="shared" si="202"/>
        <v>8.6091205221026641</v>
      </c>
      <c r="V895" s="2">
        <f t="shared" si="194"/>
        <v>1.2517635811844386E-7</v>
      </c>
      <c r="W895" s="2">
        <f t="shared" si="195"/>
        <v>1.7249547313523416E-13</v>
      </c>
    </row>
    <row r="896" spans="1:23" x14ac:dyDescent="0.45">
      <c r="A896">
        <v>3.99797</v>
      </c>
      <c r="B896">
        <v>39.808050000000001</v>
      </c>
      <c r="C896">
        <v>4.4888700000000101</v>
      </c>
      <c r="D896">
        <v>40.513489999999997</v>
      </c>
      <c r="E896" s="10">
        <v>95289.048999999999</v>
      </c>
      <c r="F896" s="10" t="s">
        <v>2398</v>
      </c>
      <c r="G896" s="10" t="s">
        <v>2399</v>
      </c>
      <c r="H896" s="10">
        <v>95289.048672120203</v>
      </c>
      <c r="I896" s="10">
        <v>55.246759915717803</v>
      </c>
      <c r="J896" s="10">
        <v>55.2989593581636</v>
      </c>
      <c r="K896" s="4">
        <f t="shared" si="203"/>
        <v>55.246761111111113</v>
      </c>
      <c r="L896" s="4">
        <f t="shared" si="204"/>
        <v>55.298958333333303</v>
      </c>
      <c r="M896" s="4">
        <f t="shared" si="205"/>
        <v>55.246759915717803</v>
      </c>
      <c r="N896" s="4">
        <f t="shared" si="206"/>
        <v>55.298959358163586</v>
      </c>
      <c r="O896" s="3">
        <f t="shared" si="196"/>
        <v>95289.048672549456</v>
      </c>
      <c r="P896" s="2">
        <f t="shared" si="198"/>
        <v>3.4363921861494643E-9</v>
      </c>
      <c r="Q896" s="2">
        <f t="shared" si="199"/>
        <v>4.5047400660214231E-12</v>
      </c>
      <c r="R896" s="6">
        <f t="shared" si="200"/>
        <v>55.246759915708672</v>
      </c>
      <c r="S896" s="2">
        <f t="shared" si="201"/>
        <v>2.1637511703934749E-8</v>
      </c>
      <c r="T896" s="2">
        <f t="shared" si="197"/>
        <v>1.652671426966281E-13</v>
      </c>
      <c r="U896" s="6">
        <f t="shared" si="202"/>
        <v>55.298959358154484</v>
      </c>
      <c r="V896" s="2">
        <f t="shared" si="194"/>
        <v>1.8532377673892125E-8</v>
      </c>
      <c r="W896" s="2">
        <f t="shared" si="195"/>
        <v>1.6459717417346263E-13</v>
      </c>
    </row>
    <row r="897" spans="1:23" x14ac:dyDescent="0.45">
      <c r="A897">
        <v>48.434139999999999</v>
      </c>
      <c r="B897">
        <v>59.024380000000001</v>
      </c>
      <c r="C897">
        <v>48.230629999999998</v>
      </c>
      <c r="D897">
        <v>58.24362</v>
      </c>
      <c r="E897" s="10">
        <v>62154.805999999997</v>
      </c>
      <c r="F897" s="10" t="s">
        <v>2400</v>
      </c>
      <c r="G897" s="10" t="s">
        <v>2401</v>
      </c>
      <c r="H897" s="10">
        <v>62154.805845850802</v>
      </c>
      <c r="I897" s="10">
        <v>-111.05924216125</v>
      </c>
      <c r="J897" s="10">
        <v>-111.64248578711501</v>
      </c>
      <c r="K897" s="4">
        <f t="shared" si="203"/>
        <v>248.94075833333332</v>
      </c>
      <c r="L897" s="4">
        <f t="shared" si="204"/>
        <v>248.35751388888889</v>
      </c>
      <c r="M897" s="4">
        <f t="shared" si="205"/>
        <v>248.94075783875002</v>
      </c>
      <c r="N897" s="4">
        <f t="shared" si="206"/>
        <v>248.35751421288501</v>
      </c>
      <c r="O897" s="3">
        <f t="shared" si="196"/>
        <v>62154.805845163864</v>
      </c>
      <c r="P897" s="2">
        <f t="shared" si="198"/>
        <v>2.4911369271099041E-9</v>
      </c>
      <c r="Q897" s="2">
        <f t="shared" si="199"/>
        <v>1.1052044985450513E-11</v>
      </c>
      <c r="R897" s="6">
        <f t="shared" si="200"/>
        <v>248.94075783872614</v>
      </c>
      <c r="S897" s="2">
        <f t="shared" si="201"/>
        <v>1.9868469174617276E-9</v>
      </c>
      <c r="T897" s="2">
        <f t="shared" si="197"/>
        <v>9.5903282888709481E-14</v>
      </c>
      <c r="U897" s="6">
        <f t="shared" si="202"/>
        <v>248.35751421286216</v>
      </c>
      <c r="V897" s="2">
        <f t="shared" si="194"/>
        <v>1.3044633226333222E-9</v>
      </c>
      <c r="W897" s="2">
        <f t="shared" si="195"/>
        <v>9.2008709518881505E-14</v>
      </c>
    </row>
    <row r="898" spans="1:23" x14ac:dyDescent="0.4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10">
        <v>26516.797999999999</v>
      </c>
      <c r="F898" s="10" t="s">
        <v>2402</v>
      </c>
      <c r="G898" s="10" t="s">
        <v>2403</v>
      </c>
      <c r="H898" s="10">
        <v>26516.797792569701</v>
      </c>
      <c r="I898" s="10">
        <v>-47.692297163818097</v>
      </c>
      <c r="J898" s="10">
        <v>-46.834320275303902</v>
      </c>
      <c r="K898" s="4">
        <f t="shared" si="203"/>
        <v>312.30770277777776</v>
      </c>
      <c r="L898" s="4">
        <f t="shared" si="204"/>
        <v>313.16568055555558</v>
      </c>
      <c r="M898" s="4">
        <f t="shared" si="205"/>
        <v>312.30770283618187</v>
      </c>
      <c r="N898" s="4">
        <f t="shared" si="206"/>
        <v>313.16567972469608</v>
      </c>
      <c r="O898" s="3">
        <f t="shared" si="196"/>
        <v>26516.797784979928</v>
      </c>
      <c r="P898" s="2">
        <f t="shared" si="198"/>
        <v>8.1088248571599823E-9</v>
      </c>
      <c r="Q898" s="2">
        <f t="shared" si="199"/>
        <v>2.862251077009269E-10</v>
      </c>
      <c r="R898" s="6">
        <f t="shared" si="200"/>
        <v>312.30770283624429</v>
      </c>
      <c r="S898" s="2">
        <f t="shared" si="201"/>
        <v>1.8720808139836795E-10</v>
      </c>
      <c r="T898" s="2">
        <f t="shared" si="197"/>
        <v>1.9984801316894167E-13</v>
      </c>
      <c r="U898" s="6">
        <f t="shared" si="202"/>
        <v>313.16567972475627</v>
      </c>
      <c r="V898" s="2">
        <f t="shared" si="194"/>
        <v>2.6529066243342369E-9</v>
      </c>
      <c r="W898" s="2">
        <f t="shared" si="195"/>
        <v>1.9222151235255097E-13</v>
      </c>
    </row>
    <row r="899" spans="1:23" x14ac:dyDescent="0.4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10">
        <v>89586.998000000007</v>
      </c>
      <c r="F899" s="10" t="s">
        <v>2404</v>
      </c>
      <c r="G899" s="10" t="s">
        <v>2405</v>
      </c>
      <c r="H899" s="10">
        <v>89586.997775823198</v>
      </c>
      <c r="I899" s="10">
        <v>97.0479359831035</v>
      </c>
      <c r="J899" s="10">
        <v>97.043293453885596</v>
      </c>
      <c r="K899" s="4">
        <f t="shared" si="203"/>
        <v>97.047936111111113</v>
      </c>
      <c r="L899" s="4">
        <f t="shared" si="204"/>
        <v>97.043294444444427</v>
      </c>
      <c r="M899" s="4">
        <f t="shared" si="205"/>
        <v>97.047935983103514</v>
      </c>
      <c r="N899" s="4">
        <f t="shared" si="206"/>
        <v>97.04329345388561</v>
      </c>
      <c r="O899" s="3">
        <f t="shared" si="196"/>
        <v>89586.997775152515</v>
      </c>
      <c r="P899" s="2">
        <f t="shared" si="198"/>
        <v>2.5098228212024473E-9</v>
      </c>
      <c r="Q899" s="2">
        <f t="shared" si="199"/>
        <v>7.4863901862017389E-12</v>
      </c>
      <c r="R899" s="6">
        <f t="shared" si="200"/>
        <v>97.047935983106171</v>
      </c>
      <c r="S899" s="2">
        <f t="shared" si="201"/>
        <v>1.3189867490927326E-9</v>
      </c>
      <c r="T899" s="2">
        <f t="shared" si="197"/>
        <v>2.7382651725900129E-14</v>
      </c>
      <c r="U899" s="6">
        <f t="shared" si="202"/>
        <v>97.043293453888282</v>
      </c>
      <c r="V899" s="2">
        <f t="shared" si="194"/>
        <v>1.0207363128213064E-8</v>
      </c>
      <c r="W899" s="2">
        <f t="shared" si="195"/>
        <v>2.7530400003659442E-14</v>
      </c>
    </row>
    <row r="900" spans="1:23" x14ac:dyDescent="0.4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10">
        <v>90859.5</v>
      </c>
      <c r="F900" s="10" t="s">
        <v>2406</v>
      </c>
      <c r="G900" s="10" t="s">
        <v>2407</v>
      </c>
      <c r="H900" s="10">
        <v>90859.499603107703</v>
      </c>
      <c r="I900" s="10">
        <v>63.9938790115784</v>
      </c>
      <c r="J900" s="10">
        <v>64.049046720404405</v>
      </c>
      <c r="K900" s="4">
        <f t="shared" si="203"/>
        <v>63.993877777777776</v>
      </c>
      <c r="L900" s="4">
        <f t="shared" si="204"/>
        <v>64.049047222222214</v>
      </c>
      <c r="M900" s="4">
        <f t="shared" si="205"/>
        <v>63.993879011578429</v>
      </c>
      <c r="N900" s="4">
        <f t="shared" si="206"/>
        <v>64.049046720404419</v>
      </c>
      <c r="O900" s="3">
        <f t="shared" si="196"/>
        <v>90859.499602585318</v>
      </c>
      <c r="P900" s="2">
        <f t="shared" si="198"/>
        <v>4.3739474912778873E-9</v>
      </c>
      <c r="Q900" s="2">
        <f t="shared" si="199"/>
        <v>5.7493674866116685E-12</v>
      </c>
      <c r="R900" s="6">
        <f t="shared" si="200"/>
        <v>63.993879011575508</v>
      </c>
      <c r="S900" s="2">
        <f t="shared" si="201"/>
        <v>1.9279933882260984E-8</v>
      </c>
      <c r="T900" s="2">
        <f t="shared" si="197"/>
        <v>4.5634530818887156E-14</v>
      </c>
      <c r="U900" s="6">
        <f t="shared" si="202"/>
        <v>64.049046720401549</v>
      </c>
      <c r="V900" s="2">
        <f t="shared" si="194"/>
        <v>7.8349434813749074E-9</v>
      </c>
      <c r="W900" s="2">
        <f t="shared" si="195"/>
        <v>4.4818663187945713E-14</v>
      </c>
    </row>
    <row r="901" spans="1:23" x14ac:dyDescent="0.45">
      <c r="A901">
        <v>-57.535170000000001</v>
      </c>
      <c r="B901">
        <v>131.10513</v>
      </c>
      <c r="C901">
        <v>-58.172080000000001</v>
      </c>
      <c r="D901">
        <v>131.53251</v>
      </c>
      <c r="E901" s="10">
        <v>75337.535999999993</v>
      </c>
      <c r="F901" s="10" t="s">
        <v>2408</v>
      </c>
      <c r="G901" s="10" t="s">
        <v>2409</v>
      </c>
      <c r="H901" s="10">
        <v>75337.536234345898</v>
      </c>
      <c r="I901" s="10">
        <v>160.49756966673601</v>
      </c>
      <c r="J901" s="10">
        <v>160.13570456747499</v>
      </c>
      <c r="K901" s="4">
        <f t="shared" si="203"/>
        <v>160.49756944444445</v>
      </c>
      <c r="L901" s="4">
        <f t="shared" si="204"/>
        <v>160.13570555555555</v>
      </c>
      <c r="M901" s="4">
        <f t="shared" si="205"/>
        <v>160.49756966673601</v>
      </c>
      <c r="N901" s="4">
        <f t="shared" si="206"/>
        <v>160.13570456747493</v>
      </c>
      <c r="O901" s="3">
        <f t="shared" si="196"/>
        <v>75337.536269914592</v>
      </c>
      <c r="P901" s="2">
        <f t="shared" si="198"/>
        <v>3.5827372812231005E-9</v>
      </c>
      <c r="Q901" s="2">
        <f t="shared" si="199"/>
        <v>4.721244574454623E-10</v>
      </c>
      <c r="R901" s="6">
        <f t="shared" si="200"/>
        <v>160.49756966674025</v>
      </c>
      <c r="S901" s="2">
        <f t="shared" si="201"/>
        <v>1.3850415103633328E-9</v>
      </c>
      <c r="T901" s="2">
        <f t="shared" si="197"/>
        <v>2.6385662498962373E-14</v>
      </c>
      <c r="U901" s="6">
        <f t="shared" si="202"/>
        <v>160.13570456747885</v>
      </c>
      <c r="V901" s="2">
        <f t="shared" si="194"/>
        <v>6.1702459737966733E-9</v>
      </c>
      <c r="W901" s="2">
        <f t="shared" si="195"/>
        <v>2.4492950600801789E-14</v>
      </c>
    </row>
    <row r="902" spans="1:23" x14ac:dyDescent="0.4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10">
        <v>84629.773000000001</v>
      </c>
      <c r="F902" s="10" t="s">
        <v>2410</v>
      </c>
      <c r="G902" s="10" t="s">
        <v>2411</v>
      </c>
      <c r="H902" s="10">
        <v>84629.773089335693</v>
      </c>
      <c r="I902" s="10">
        <v>-63.164603601020097</v>
      </c>
      <c r="J902" s="10">
        <v>-63.103201672185797</v>
      </c>
      <c r="K902" s="4">
        <f t="shared" si="203"/>
        <v>296.83539722222224</v>
      </c>
      <c r="L902" s="4">
        <f t="shared" si="204"/>
        <v>296.89679722222223</v>
      </c>
      <c r="M902" s="4">
        <f t="shared" si="205"/>
        <v>296.83539639897992</v>
      </c>
      <c r="N902" s="4">
        <f t="shared" si="206"/>
        <v>296.89679832781422</v>
      </c>
      <c r="O902" s="3">
        <f t="shared" si="196"/>
        <v>84629.773088773058</v>
      </c>
      <c r="P902" s="2">
        <f t="shared" si="198"/>
        <v>1.0489577542871092E-9</v>
      </c>
      <c r="Q902" s="2">
        <f t="shared" si="199"/>
        <v>6.6481951900740042E-12</v>
      </c>
      <c r="R902" s="6">
        <f t="shared" si="200"/>
        <v>296.83539639898174</v>
      </c>
      <c r="S902" s="2">
        <f t="shared" si="201"/>
        <v>2.7733905918815642E-9</v>
      </c>
      <c r="T902" s="2">
        <f t="shared" si="197"/>
        <v>6.1279396783964793E-15</v>
      </c>
      <c r="U902" s="6">
        <f t="shared" si="202"/>
        <v>296.89679832781604</v>
      </c>
      <c r="V902" s="2">
        <f t="shared" si="194"/>
        <v>3.7238320541816145E-9</v>
      </c>
      <c r="W902" s="2">
        <f t="shared" si="195"/>
        <v>6.1266723447029096E-15</v>
      </c>
    </row>
    <row r="903" spans="1:23" x14ac:dyDescent="0.4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10">
        <v>87648.481</v>
      </c>
      <c r="F903" s="10" t="s">
        <v>2412</v>
      </c>
      <c r="G903" s="10" t="s">
        <v>2413</v>
      </c>
      <c r="H903" s="10">
        <v>87648.480587705097</v>
      </c>
      <c r="I903" s="10">
        <v>-7.9964432785958603</v>
      </c>
      <c r="J903" s="10">
        <v>-8.8084949276721805</v>
      </c>
      <c r="K903" s="4">
        <f t="shared" si="203"/>
        <v>352.00355555555558</v>
      </c>
      <c r="L903" s="4">
        <f t="shared" si="204"/>
        <v>351.19150555555552</v>
      </c>
      <c r="M903" s="4">
        <f t="shared" si="205"/>
        <v>352.00355672140415</v>
      </c>
      <c r="N903" s="4">
        <f t="shared" si="206"/>
        <v>351.1915050723278</v>
      </c>
      <c r="O903" s="3">
        <f t="shared" si="196"/>
        <v>87648.480561592864</v>
      </c>
      <c r="P903" s="2">
        <f t="shared" si="198"/>
        <v>5.0018794534929591E-9</v>
      </c>
      <c r="Q903" s="2">
        <f t="shared" si="199"/>
        <v>2.9791997530455439E-10</v>
      </c>
      <c r="R903" s="6">
        <f t="shared" si="200"/>
        <v>352.00355672140557</v>
      </c>
      <c r="S903" s="2">
        <f t="shared" si="201"/>
        <v>3.3120403925531967E-9</v>
      </c>
      <c r="T903" s="2">
        <f t="shared" si="197"/>
        <v>4.0371338424995778E-15</v>
      </c>
      <c r="U903" s="6">
        <f t="shared" si="202"/>
        <v>351.19150507232945</v>
      </c>
      <c r="V903" s="2">
        <f t="shared" si="194"/>
        <v>1.3759617377463683E-9</v>
      </c>
      <c r="W903" s="2">
        <f t="shared" si="195"/>
        <v>4.6939038192963488E-15</v>
      </c>
    </row>
    <row r="904" spans="1:23" x14ac:dyDescent="0.4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10">
        <v>81682.396999999997</v>
      </c>
      <c r="F904" s="10" t="s">
        <v>2414</v>
      </c>
      <c r="G904" s="10" t="s">
        <v>2415</v>
      </c>
      <c r="H904" s="10">
        <v>81682.396554294406</v>
      </c>
      <c r="I904" s="10">
        <v>-163.99051576426299</v>
      </c>
      <c r="J904" s="10">
        <v>-164.96112074300399</v>
      </c>
      <c r="K904" s="4">
        <f t="shared" si="203"/>
        <v>196.00948333333332</v>
      </c>
      <c r="L904" s="4">
        <f t="shared" si="204"/>
        <v>195.03888055555555</v>
      </c>
      <c r="M904" s="4">
        <f t="shared" si="205"/>
        <v>196.00948423573701</v>
      </c>
      <c r="N904" s="4">
        <f t="shared" si="206"/>
        <v>195.03887925699601</v>
      </c>
      <c r="O904" s="3">
        <f t="shared" si="196"/>
        <v>81682.396548125645</v>
      </c>
      <c r="P904" s="2">
        <f t="shared" si="198"/>
        <v>5.5320897562667319E-9</v>
      </c>
      <c r="Q904" s="2">
        <f t="shared" si="199"/>
        <v>7.5521297762333912E-11</v>
      </c>
      <c r="R904" s="6">
        <f t="shared" si="200"/>
        <v>196.00948423570449</v>
      </c>
      <c r="S904" s="2">
        <f t="shared" si="201"/>
        <v>4.6037117921067599E-9</v>
      </c>
      <c r="T904" s="2">
        <f t="shared" si="197"/>
        <v>1.6588195063702973E-13</v>
      </c>
      <c r="U904" s="6">
        <f t="shared" si="202"/>
        <v>195.03887925696557</v>
      </c>
      <c r="V904" s="2">
        <f t="shared" si="194"/>
        <v>6.6581082446792076E-9</v>
      </c>
      <c r="W904" s="2">
        <f t="shared" si="195"/>
        <v>1.5606965603946798E-13</v>
      </c>
    </row>
    <row r="905" spans="1:23" x14ac:dyDescent="0.45">
      <c r="A905">
        <v>67.04083</v>
      </c>
      <c r="B905">
        <v>142.8177</v>
      </c>
      <c r="C905">
        <v>67.039259999999999</v>
      </c>
      <c r="D905">
        <v>143.40382</v>
      </c>
      <c r="E905" s="10">
        <v>25524.931</v>
      </c>
      <c r="F905" s="10" t="s">
        <v>2416</v>
      </c>
      <c r="G905" s="10" t="s">
        <v>2417</v>
      </c>
      <c r="H905" s="10">
        <v>25524.930575857299</v>
      </c>
      <c r="I905" s="10">
        <v>90.123179333572196</v>
      </c>
      <c r="J905" s="10">
        <v>90.662866286165695</v>
      </c>
      <c r="K905" s="4">
        <f t="shared" si="203"/>
        <v>90.12318055555555</v>
      </c>
      <c r="L905" s="4">
        <f t="shared" si="204"/>
        <v>90.662866666666673</v>
      </c>
      <c r="M905" s="4">
        <f t="shared" si="205"/>
        <v>90.123179333572182</v>
      </c>
      <c r="N905" s="4">
        <f t="shared" si="206"/>
        <v>90.662866286165695</v>
      </c>
      <c r="O905" s="3">
        <f t="shared" si="196"/>
        <v>25524.930567704105</v>
      </c>
      <c r="P905" s="2">
        <f t="shared" si="198"/>
        <v>1.6936221913178492E-8</v>
      </c>
      <c r="Q905" s="2">
        <f t="shared" si="199"/>
        <v>3.1942082403097908E-10</v>
      </c>
      <c r="R905" s="6">
        <f t="shared" si="200"/>
        <v>90.123179333577951</v>
      </c>
      <c r="S905" s="2">
        <f t="shared" si="201"/>
        <v>1.3558971073674166E-8</v>
      </c>
      <c r="T905" s="2">
        <f t="shared" si="197"/>
        <v>6.4019124236807216E-14</v>
      </c>
      <c r="U905" s="6">
        <f t="shared" si="202"/>
        <v>90.66286628617155</v>
      </c>
      <c r="V905" s="2">
        <f t="shared" si="194"/>
        <v>4.1968132863888104E-9</v>
      </c>
      <c r="W905" s="2">
        <f t="shared" si="195"/>
        <v>6.4578502561159644E-14</v>
      </c>
    </row>
    <row r="906" spans="1:23" x14ac:dyDescent="0.45">
      <c r="A906">
        <v>61.084530000000001</v>
      </c>
      <c r="B906">
        <v>22.738029999999998</v>
      </c>
      <c r="C906">
        <v>60.56268</v>
      </c>
      <c r="D906">
        <v>22.917560000000002</v>
      </c>
      <c r="E906" s="10">
        <v>58962.375</v>
      </c>
      <c r="F906" s="10" t="s">
        <v>2418</v>
      </c>
      <c r="G906" s="10" t="s">
        <v>2419</v>
      </c>
      <c r="H906" s="10">
        <v>58962.375157636801</v>
      </c>
      <c r="I906" s="10">
        <v>170.38598945967999</v>
      </c>
      <c r="J906" s="10">
        <v>170.542742888503</v>
      </c>
      <c r="K906" s="4">
        <f t="shared" si="203"/>
        <v>170.38598888888887</v>
      </c>
      <c r="L906" s="4">
        <f t="shared" si="204"/>
        <v>170.54274166666664</v>
      </c>
      <c r="M906" s="4">
        <f t="shared" si="205"/>
        <v>170.38598945967999</v>
      </c>
      <c r="N906" s="4">
        <f t="shared" si="206"/>
        <v>170.54274288850297</v>
      </c>
      <c r="O906" s="3">
        <f t="shared" si="196"/>
        <v>58962.375187627469</v>
      </c>
      <c r="P906" s="2">
        <f t="shared" si="198"/>
        <v>3.1821558940130446E-9</v>
      </c>
      <c r="Q906" s="2">
        <f t="shared" si="199"/>
        <v>5.0864076873286666E-10</v>
      </c>
      <c r="R906" s="6">
        <f t="shared" si="200"/>
        <v>170.38598945967891</v>
      </c>
      <c r="S906" s="2">
        <f t="shared" si="201"/>
        <v>3.3499822338870667E-9</v>
      </c>
      <c r="T906" s="2">
        <f t="shared" si="197"/>
        <v>6.3386958151915924E-15</v>
      </c>
      <c r="U906" s="6">
        <f t="shared" si="202"/>
        <v>170.54274288850172</v>
      </c>
      <c r="V906" s="2">
        <f t="shared" si="194"/>
        <v>7.1643921378165947E-9</v>
      </c>
      <c r="W906" s="2">
        <f t="shared" si="195"/>
        <v>7.3327964225095245E-15</v>
      </c>
    </row>
    <row r="907" spans="1:23" x14ac:dyDescent="0.4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10">
        <v>17010.583999999999</v>
      </c>
      <c r="F907" s="10" t="s">
        <v>2420</v>
      </c>
      <c r="G907" s="10" t="s">
        <v>2421</v>
      </c>
      <c r="H907" s="10">
        <v>17010.5840326123</v>
      </c>
      <c r="I907" s="10">
        <v>-179.285029861645</v>
      </c>
      <c r="J907" s="10">
        <v>-179.284732986498</v>
      </c>
      <c r="K907" s="4">
        <f t="shared" si="203"/>
        <v>180.71496944444445</v>
      </c>
      <c r="L907" s="4">
        <f t="shared" si="204"/>
        <v>180.71526666666668</v>
      </c>
      <c r="M907" s="4">
        <f t="shared" si="205"/>
        <v>180.714970138355</v>
      </c>
      <c r="N907" s="4">
        <f t="shared" si="206"/>
        <v>180.715267013502</v>
      </c>
      <c r="O907" s="3">
        <f t="shared" si="196"/>
        <v>17010.58403672924</v>
      </c>
      <c r="P907" s="2">
        <f t="shared" si="198"/>
        <v>2.1591993197405767E-9</v>
      </c>
      <c r="Q907" s="2">
        <f t="shared" si="199"/>
        <v>2.4202229253418203E-10</v>
      </c>
      <c r="R907" s="6">
        <f t="shared" si="200"/>
        <v>180.71497013827215</v>
      </c>
      <c r="S907" s="2">
        <f t="shared" si="201"/>
        <v>3.8393482465972542E-9</v>
      </c>
      <c r="T907" s="2">
        <f t="shared" si="197"/>
        <v>4.5845279406680283E-13</v>
      </c>
      <c r="U907" s="6">
        <f t="shared" si="202"/>
        <v>180.71526701341921</v>
      </c>
      <c r="V907" s="2">
        <f t="shared" si="194"/>
        <v>1.9187782820367239E-9</v>
      </c>
      <c r="W907" s="2">
        <f t="shared" si="195"/>
        <v>4.5813749407558965E-13</v>
      </c>
    </row>
    <row r="908" spans="1:23" x14ac:dyDescent="0.45">
      <c r="A908">
        <v>-60.347119999999997</v>
      </c>
      <c r="B908">
        <v>162.42533</v>
      </c>
      <c r="C908">
        <v>-60.502249999999997</v>
      </c>
      <c r="D908">
        <v>162.44852</v>
      </c>
      <c r="E908" s="10">
        <v>17331.64</v>
      </c>
      <c r="F908" s="10" t="s">
        <v>2422</v>
      </c>
      <c r="G908" s="10" t="s">
        <v>2423</v>
      </c>
      <c r="H908" s="10">
        <v>17331.639765247099</v>
      </c>
      <c r="I908" s="10">
        <v>175.78342083208699</v>
      </c>
      <c r="J908" s="10">
        <v>175.76325229297501</v>
      </c>
      <c r="K908" s="4">
        <f t="shared" si="203"/>
        <v>175.78341944444443</v>
      </c>
      <c r="L908" s="4">
        <f t="shared" si="204"/>
        <v>175.76325277777778</v>
      </c>
      <c r="M908" s="4">
        <f t="shared" si="205"/>
        <v>175.78342083208702</v>
      </c>
      <c r="N908" s="4">
        <f t="shared" si="206"/>
        <v>175.76325229297504</v>
      </c>
      <c r="O908" s="3">
        <f t="shared" si="196"/>
        <v>17331.639774215768</v>
      </c>
      <c r="P908" s="2">
        <f t="shared" si="198"/>
        <v>1.3027286026508586E-8</v>
      </c>
      <c r="Q908" s="2">
        <f t="shared" si="199"/>
        <v>5.1747377956354927E-10</v>
      </c>
      <c r="R908" s="6">
        <f t="shared" si="200"/>
        <v>175.78342083440586</v>
      </c>
      <c r="S908" s="2">
        <f t="shared" si="201"/>
        <v>7.9072385231215998E-9</v>
      </c>
      <c r="T908" s="2">
        <f t="shared" si="197"/>
        <v>1.3191471620713258E-11</v>
      </c>
      <c r="U908" s="6">
        <f t="shared" si="202"/>
        <v>175.76325229530551</v>
      </c>
      <c r="V908" s="2">
        <f t="shared" si="194"/>
        <v>2.745012202854911E-9</v>
      </c>
      <c r="W908" s="2">
        <f t="shared" si="195"/>
        <v>1.3259122461905832E-11</v>
      </c>
    </row>
    <row r="909" spans="1:23" x14ac:dyDescent="0.45">
      <c r="A909">
        <v>-43.271380000000001</v>
      </c>
      <c r="B909">
        <v>125.9294</v>
      </c>
      <c r="C909">
        <v>-43.39537</v>
      </c>
      <c r="D909">
        <v>125.98155</v>
      </c>
      <c r="E909" s="10">
        <v>14409.82</v>
      </c>
      <c r="F909" s="10" t="s">
        <v>2424</v>
      </c>
      <c r="G909" s="10" t="s">
        <v>2425</v>
      </c>
      <c r="H909" s="10">
        <v>14409.8202301644</v>
      </c>
      <c r="I909" s="10">
        <v>162.95020643966899</v>
      </c>
      <c r="J909" s="10">
        <v>162.914418888358</v>
      </c>
      <c r="K909" s="4">
        <f t="shared" si="203"/>
        <v>162.95020555555556</v>
      </c>
      <c r="L909" s="4">
        <f t="shared" si="204"/>
        <v>162.91441944444443</v>
      </c>
      <c r="M909" s="4">
        <f t="shared" si="205"/>
        <v>162.95020643966905</v>
      </c>
      <c r="N909" s="4">
        <f t="shared" si="206"/>
        <v>162.914418888358</v>
      </c>
      <c r="O909" s="3">
        <f t="shared" si="196"/>
        <v>14409.820246360841</v>
      </c>
      <c r="P909" s="2">
        <f t="shared" si="198"/>
        <v>1.7096732757883985E-8</v>
      </c>
      <c r="Q909" s="2">
        <f t="shared" si="199"/>
        <v>1.123986383003963E-9</v>
      </c>
      <c r="R909" s="6">
        <f t="shared" si="200"/>
        <v>162.95020643978643</v>
      </c>
      <c r="S909" s="2">
        <f t="shared" si="201"/>
        <v>5.4263869666150966E-9</v>
      </c>
      <c r="T909" s="2">
        <f t="shared" si="197"/>
        <v>7.203529379450534E-13</v>
      </c>
      <c r="U909" s="6">
        <f t="shared" si="202"/>
        <v>162.91441888847567</v>
      </c>
      <c r="V909" s="2">
        <f t="shared" ref="V909:V972" si="207">ABS((L909-U909)/L909)</f>
        <v>3.412643090822353E-9</v>
      </c>
      <c r="W909" s="2">
        <f t="shared" ref="W909:W972" si="208">ABS((N909-U909)/N909)</f>
        <v>7.2225575762269802E-13</v>
      </c>
    </row>
    <row r="910" spans="1:23" x14ac:dyDescent="0.45">
      <c r="A910">
        <v>-37.080170000000003</v>
      </c>
      <c r="B910">
        <v>127.09634</v>
      </c>
      <c r="C910">
        <v>-37.145740000000004</v>
      </c>
      <c r="D910">
        <v>127.25547</v>
      </c>
      <c r="E910" s="10">
        <v>15905.687</v>
      </c>
      <c r="F910" s="10" t="s">
        <v>2426</v>
      </c>
      <c r="G910" s="10" t="s">
        <v>2427</v>
      </c>
      <c r="H910" s="10">
        <v>15905.687488558</v>
      </c>
      <c r="I910" s="10">
        <v>117.274258635501</v>
      </c>
      <c r="J910" s="10">
        <v>117.178241398238</v>
      </c>
      <c r="K910" s="4">
        <f t="shared" si="203"/>
        <v>117.27425833333334</v>
      </c>
      <c r="L910" s="4">
        <f t="shared" si="204"/>
        <v>117.17824166666668</v>
      </c>
      <c r="M910" s="4">
        <f t="shared" si="205"/>
        <v>117.27425863550098</v>
      </c>
      <c r="N910" s="4">
        <f t="shared" si="206"/>
        <v>117.17824139823801</v>
      </c>
      <c r="O910" s="3">
        <f t="shared" si="196"/>
        <v>15905.687489296073</v>
      </c>
      <c r="P910" s="2">
        <f t="shared" si="198"/>
        <v>3.0762335087015435E-8</v>
      </c>
      <c r="Q910" s="2">
        <f t="shared" si="199"/>
        <v>4.640309580542878E-11</v>
      </c>
      <c r="R910" s="6">
        <f t="shared" si="200"/>
        <v>117.27425863587322</v>
      </c>
      <c r="S910" s="2">
        <f t="shared" si="201"/>
        <v>2.5797638164794352E-9</v>
      </c>
      <c r="T910" s="2">
        <f t="shared" si="197"/>
        <v>3.1740906550256201E-12</v>
      </c>
      <c r="U910" s="6">
        <f t="shared" si="202"/>
        <v>117.17824139861253</v>
      </c>
      <c r="V910" s="2">
        <f t="shared" si="207"/>
        <v>2.2875761532807001E-9</v>
      </c>
      <c r="W910" s="2">
        <f t="shared" si="208"/>
        <v>3.1960956291503541E-12</v>
      </c>
    </row>
    <row r="911" spans="1:23" x14ac:dyDescent="0.4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10">
        <v>16872.870999999999</v>
      </c>
      <c r="F911" s="10" t="s">
        <v>2428</v>
      </c>
      <c r="G911" s="10" t="s">
        <v>2429</v>
      </c>
      <c r="H911" s="10">
        <v>16872.870970866301</v>
      </c>
      <c r="I911" s="10">
        <v>-5.6441460277250801</v>
      </c>
      <c r="J911" s="10">
        <v>-5.6663609248963001</v>
      </c>
      <c r="K911" s="4">
        <f t="shared" si="203"/>
        <v>354.35585277777778</v>
      </c>
      <c r="L911" s="4">
        <f t="shared" si="204"/>
        <v>354.33363888888891</v>
      </c>
      <c r="M911" s="4">
        <f t="shared" si="205"/>
        <v>354.35585397227493</v>
      </c>
      <c r="N911" s="4">
        <f t="shared" si="206"/>
        <v>354.33363907510369</v>
      </c>
      <c r="O911" s="3">
        <f t="shared" si="196"/>
        <v>16872.870978552663</v>
      </c>
      <c r="P911" s="2">
        <f t="shared" si="198"/>
        <v>1.2711136487293524E-9</v>
      </c>
      <c r="Q911" s="2">
        <f t="shared" si="199"/>
        <v>4.5554557103304923E-10</v>
      </c>
      <c r="R911" s="6">
        <f t="shared" si="200"/>
        <v>354.35585397864963</v>
      </c>
      <c r="S911" s="2">
        <f t="shared" si="201"/>
        <v>3.3888867378555208E-9</v>
      </c>
      <c r="T911" s="2">
        <f t="shared" si="197"/>
        <v>1.7989558057771148E-11</v>
      </c>
      <c r="U911" s="6">
        <f t="shared" si="202"/>
        <v>354.33363908150358</v>
      </c>
      <c r="V911" s="2">
        <f t="shared" si="207"/>
        <v>5.4359688901762104E-10</v>
      </c>
      <c r="W911" s="2">
        <f t="shared" si="208"/>
        <v>1.8061753491443551E-11</v>
      </c>
    </row>
    <row r="912" spans="1:23" x14ac:dyDescent="0.4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10">
        <v>7297.6869999999999</v>
      </c>
      <c r="F912" s="10" t="s">
        <v>2430</v>
      </c>
      <c r="G912" s="10" t="s">
        <v>2431</v>
      </c>
      <c r="H912" s="10">
        <v>7297.68719085884</v>
      </c>
      <c r="I912" s="10">
        <v>60.448578592702603</v>
      </c>
      <c r="J912" s="10">
        <v>60.545272413999001</v>
      </c>
      <c r="K912" s="4">
        <f t="shared" si="203"/>
        <v>60.448577777777778</v>
      </c>
      <c r="L912" s="4">
        <f t="shared" si="204"/>
        <v>60.545272222222252</v>
      </c>
      <c r="M912" s="4">
        <f t="shared" si="205"/>
        <v>60.448578592702574</v>
      </c>
      <c r="N912" s="4">
        <f t="shared" si="206"/>
        <v>60.545272413998987</v>
      </c>
      <c r="O912" s="3">
        <f t="shared" si="196"/>
        <v>7297.6871891677811</v>
      </c>
      <c r="P912" s="2">
        <f t="shared" si="198"/>
        <v>2.5921607924912057E-8</v>
      </c>
      <c r="Q912" s="2">
        <f t="shared" si="199"/>
        <v>2.3172532955619322E-10</v>
      </c>
      <c r="R912" s="6">
        <f t="shared" si="200"/>
        <v>60.448578592735466</v>
      </c>
      <c r="S912" s="2">
        <f t="shared" si="201"/>
        <v>1.348183393342836E-8</v>
      </c>
      <c r="T912" s="2">
        <f t="shared" si="197"/>
        <v>5.4411574273651621E-13</v>
      </c>
      <c r="U912" s="6">
        <f t="shared" si="202"/>
        <v>60.545272414033477</v>
      </c>
      <c r="V912" s="2">
        <f t="shared" si="207"/>
        <v>3.1680628006303401E-9</v>
      </c>
      <c r="W912" s="2">
        <f t="shared" si="208"/>
        <v>5.6965214654514813E-13</v>
      </c>
    </row>
    <row r="913" spans="1:23" x14ac:dyDescent="0.45">
      <c r="A913">
        <v>-74.952259999999995</v>
      </c>
      <c r="B913">
        <v>-26.58023</v>
      </c>
      <c r="C913">
        <v>-74.843159999999997</v>
      </c>
      <c r="D913">
        <v>-26.707640000000001</v>
      </c>
      <c r="E913" s="10">
        <v>12729.16</v>
      </c>
      <c r="F913" s="10" t="s">
        <v>2432</v>
      </c>
      <c r="G913" s="10" t="s">
        <v>2433</v>
      </c>
      <c r="H913" s="10">
        <v>12729.160127631099</v>
      </c>
      <c r="I913" s="10">
        <v>-16.992215801350099</v>
      </c>
      <c r="J913" s="10">
        <v>-16.869206200911901</v>
      </c>
      <c r="K913" s="4">
        <f t="shared" si="203"/>
        <v>343.00778333333335</v>
      </c>
      <c r="L913" s="4">
        <f t="shared" si="204"/>
        <v>343.1307944444444</v>
      </c>
      <c r="M913" s="4">
        <f t="shared" si="205"/>
        <v>343.00778419864992</v>
      </c>
      <c r="N913" s="4">
        <f t="shared" si="206"/>
        <v>343.13079379908811</v>
      </c>
      <c r="O913" s="3">
        <f t="shared" si="196"/>
        <v>12729.16014367111</v>
      </c>
      <c r="P913" s="2">
        <f t="shared" si="198"/>
        <v>1.1286770688825439E-8</v>
      </c>
      <c r="Q913" s="2">
        <f t="shared" si="199"/>
        <v>1.2600996679825197E-9</v>
      </c>
      <c r="R913" s="6">
        <f t="shared" si="200"/>
        <v>343.00778419883278</v>
      </c>
      <c r="S913" s="2">
        <f t="shared" si="201"/>
        <v>2.5232646966086009E-9</v>
      </c>
      <c r="T913" s="2">
        <f t="shared" si="197"/>
        <v>5.331228237354362E-13</v>
      </c>
      <c r="U913" s="6">
        <f t="shared" si="202"/>
        <v>343.13079379926967</v>
      </c>
      <c r="V913" s="2">
        <f t="shared" si="207"/>
        <v>1.8802589193167596E-9</v>
      </c>
      <c r="W913" s="2">
        <f t="shared" si="208"/>
        <v>5.2912149863100773E-13</v>
      </c>
    </row>
    <row r="914" spans="1:23" x14ac:dyDescent="0.45">
      <c r="A914">
        <v>65.835390000000004</v>
      </c>
      <c r="B914">
        <v>170.96190999999999</v>
      </c>
      <c r="C914">
        <v>65.727909999999994</v>
      </c>
      <c r="D914">
        <v>170.84088</v>
      </c>
      <c r="E914" s="10">
        <v>13203.951999999999</v>
      </c>
      <c r="F914" s="10" t="s">
        <v>2434</v>
      </c>
      <c r="G914" s="10" t="s">
        <v>2435</v>
      </c>
      <c r="H914" s="10">
        <v>13203.952390983501</v>
      </c>
      <c r="I914" s="10">
        <v>-155.126390983069</v>
      </c>
      <c r="J914" s="10">
        <v>-155.23676904112301</v>
      </c>
      <c r="K914" s="4">
        <f t="shared" si="203"/>
        <v>204.87360833333332</v>
      </c>
      <c r="L914" s="4">
        <f t="shared" si="204"/>
        <v>204.76323055555557</v>
      </c>
      <c r="M914" s="4">
        <f t="shared" si="205"/>
        <v>204.873609016931</v>
      </c>
      <c r="N914" s="4">
        <f t="shared" si="206"/>
        <v>204.76323095887699</v>
      </c>
      <c r="O914" s="3">
        <f t="shared" si="196"/>
        <v>13203.952394310107</v>
      </c>
      <c r="P914" s="2">
        <f t="shared" si="198"/>
        <v>2.9863037018564298E-8</v>
      </c>
      <c r="Q914" s="2">
        <f t="shared" si="199"/>
        <v>2.5194017075173305E-10</v>
      </c>
      <c r="R914" s="6">
        <f t="shared" si="200"/>
        <v>204.87360901295122</v>
      </c>
      <c r="S914" s="2">
        <f t="shared" si="201"/>
        <v>3.317254494062015E-9</v>
      </c>
      <c r="T914" s="2">
        <f t="shared" si="197"/>
        <v>1.942552925092884E-11</v>
      </c>
      <c r="U914" s="6">
        <f t="shared" si="202"/>
        <v>204.76323095491745</v>
      </c>
      <c r="V914" s="2">
        <f t="shared" si="207"/>
        <v>1.9503593461129448E-9</v>
      </c>
      <c r="W914" s="2">
        <f t="shared" si="208"/>
        <v>1.9337173031727101E-11</v>
      </c>
    </row>
    <row r="915" spans="1:23" x14ac:dyDescent="0.4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10">
        <v>17776.249</v>
      </c>
      <c r="F915" s="10" t="s">
        <v>2436</v>
      </c>
      <c r="G915" s="10" t="s">
        <v>2437</v>
      </c>
      <c r="H915" s="10">
        <v>17776.249194746899</v>
      </c>
      <c r="I915" s="10">
        <v>134.523413771138</v>
      </c>
      <c r="J915" s="10">
        <v>134.46595393536001</v>
      </c>
      <c r="K915" s="4">
        <f t="shared" si="203"/>
        <v>134.52341388888888</v>
      </c>
      <c r="L915" s="4">
        <f t="shared" si="204"/>
        <v>134.46595277777777</v>
      </c>
      <c r="M915" s="4">
        <f t="shared" si="205"/>
        <v>134.523413771138</v>
      </c>
      <c r="N915" s="4">
        <f t="shared" si="206"/>
        <v>134.46595393536001</v>
      </c>
      <c r="O915" s="3">
        <f t="shared" si="196"/>
        <v>17776.249192677948</v>
      </c>
      <c r="P915" s="2">
        <f t="shared" si="198"/>
        <v>1.0839066654606636E-8</v>
      </c>
      <c r="Q915" s="2">
        <f t="shared" si="199"/>
        <v>1.1638851743897254E-10</v>
      </c>
      <c r="R915" s="6">
        <f t="shared" si="200"/>
        <v>134.52341377249527</v>
      </c>
      <c r="S915" s="2">
        <f t="shared" si="201"/>
        <v>8.6522936250388788E-10</v>
      </c>
      <c r="T915" s="2">
        <f t="shared" si="197"/>
        <v>1.0089535314336096E-11</v>
      </c>
      <c r="U915" s="6">
        <f t="shared" si="202"/>
        <v>134.46595393671967</v>
      </c>
      <c r="V915" s="2">
        <f t="shared" si="207"/>
        <v>8.618850162082424E-9</v>
      </c>
      <c r="W915" s="2">
        <f t="shared" si="208"/>
        <v>1.011160161846404E-11</v>
      </c>
    </row>
    <row r="916" spans="1:23" x14ac:dyDescent="0.4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10">
        <v>10239.334999999999</v>
      </c>
      <c r="F916" s="10" t="s">
        <v>2438</v>
      </c>
      <c r="G916" s="10" t="s">
        <v>2439</v>
      </c>
      <c r="H916" s="10">
        <v>10239.334692307801</v>
      </c>
      <c r="I916" s="10">
        <v>88.956604421695999</v>
      </c>
      <c r="J916" s="10">
        <v>88.910521836017196</v>
      </c>
      <c r="K916" s="4">
        <f t="shared" si="203"/>
        <v>88.956605555555555</v>
      </c>
      <c r="L916" s="4">
        <f t="shared" si="204"/>
        <v>88.910522222222198</v>
      </c>
      <c r="M916" s="4">
        <f t="shared" si="205"/>
        <v>88.956604421695999</v>
      </c>
      <c r="N916" s="4">
        <f t="shared" si="206"/>
        <v>88.91052183601721</v>
      </c>
      <c r="O916" s="3">
        <f t="shared" si="196"/>
        <v>10239.334691748798</v>
      </c>
      <c r="P916" s="2">
        <f t="shared" si="198"/>
        <v>3.0104611403402382E-8</v>
      </c>
      <c r="Q916" s="2">
        <f t="shared" si="199"/>
        <v>5.4593657239336083E-11</v>
      </c>
      <c r="R916" s="6">
        <f t="shared" si="200"/>
        <v>88.956604421641401</v>
      </c>
      <c r="S916" s="2">
        <f t="shared" si="201"/>
        <v>1.2746823539433883E-8</v>
      </c>
      <c r="T916" s="2">
        <f t="shared" si="197"/>
        <v>6.1376110487519839E-13</v>
      </c>
      <c r="U916" s="6">
        <f t="shared" si="202"/>
        <v>88.91052183596436</v>
      </c>
      <c r="V916" s="2">
        <f t="shared" si="207"/>
        <v>4.344343374715419E-9</v>
      </c>
      <c r="W916" s="2">
        <f t="shared" si="208"/>
        <v>5.9441973339568132E-13</v>
      </c>
    </row>
    <row r="917" spans="1:23" x14ac:dyDescent="0.4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10">
        <v>9729.741</v>
      </c>
      <c r="F917" s="10" t="s">
        <v>2440</v>
      </c>
      <c r="G917" s="10" t="s">
        <v>2441</v>
      </c>
      <c r="H917" s="10">
        <v>9729.7411513921707</v>
      </c>
      <c r="I917" s="10">
        <v>-85.248549185738099</v>
      </c>
      <c r="J917" s="10">
        <v>-85.132806256540306</v>
      </c>
      <c r="K917" s="4">
        <f t="shared" si="203"/>
        <v>274.75144999999998</v>
      </c>
      <c r="L917" s="4">
        <f t="shared" si="204"/>
        <v>274.86719444444446</v>
      </c>
      <c r="M917" s="4">
        <f t="shared" si="205"/>
        <v>274.75145081426189</v>
      </c>
      <c r="N917" s="4">
        <f t="shared" si="206"/>
        <v>274.86719374345967</v>
      </c>
      <c r="O917" s="3">
        <f t="shared" si="196"/>
        <v>9729.7411501492206</v>
      </c>
      <c r="P917" s="2">
        <f t="shared" si="198"/>
        <v>1.5431985357511568E-8</v>
      </c>
      <c r="Q917" s="2">
        <f t="shared" si="199"/>
        <v>1.2774749100737432E-10</v>
      </c>
      <c r="R917" s="6">
        <f t="shared" si="200"/>
        <v>274.75145081425927</v>
      </c>
      <c r="S917" s="2">
        <f t="shared" si="201"/>
        <v>2.9636214646253893E-9</v>
      </c>
      <c r="T917" s="2">
        <f t="shared" si="197"/>
        <v>9.5169552693821081E-15</v>
      </c>
      <c r="U917" s="6">
        <f t="shared" si="202"/>
        <v>274.86719374345751</v>
      </c>
      <c r="V917" s="2">
        <f t="shared" si="207"/>
        <v>2.55027509034858E-9</v>
      </c>
      <c r="W917" s="2">
        <f t="shared" si="208"/>
        <v>7.8585221004101794E-15</v>
      </c>
    </row>
    <row r="918" spans="1:23" x14ac:dyDescent="0.45">
      <c r="A918">
        <v>-17.590499999999999</v>
      </c>
      <c r="B918">
        <v>-167.22135</v>
      </c>
      <c r="C918">
        <v>-17.477409999999999</v>
      </c>
      <c r="D918">
        <v>-167.34619000000001</v>
      </c>
      <c r="E918" s="10">
        <v>18230.852999999999</v>
      </c>
      <c r="F918" s="10" t="s">
        <v>2442</v>
      </c>
      <c r="G918" s="10" t="s">
        <v>2443</v>
      </c>
      <c r="H918" s="10">
        <v>18230.853157602902</v>
      </c>
      <c r="I918" s="10">
        <v>-46.661811721031199</v>
      </c>
      <c r="J918" s="10">
        <v>-46.624201024298898</v>
      </c>
      <c r="K918" s="4">
        <f t="shared" si="203"/>
        <v>313.33818888888891</v>
      </c>
      <c r="L918" s="4">
        <f t="shared" si="204"/>
        <v>313.37580000000003</v>
      </c>
      <c r="M918" s="4">
        <f t="shared" si="205"/>
        <v>313.3381882789688</v>
      </c>
      <c r="N918" s="4">
        <f t="shared" si="206"/>
        <v>313.37579897570112</v>
      </c>
      <c r="O918" s="3">
        <f t="shared" si="196"/>
        <v>18230.853155590044</v>
      </c>
      <c r="P918" s="2">
        <f t="shared" si="198"/>
        <v>8.5344358447770423E-9</v>
      </c>
      <c r="Q918" s="2">
        <f t="shared" si="199"/>
        <v>1.1040938549473984E-10</v>
      </c>
      <c r="R918" s="6">
        <f t="shared" si="200"/>
        <v>313.33818828136862</v>
      </c>
      <c r="S918" s="2">
        <f t="shared" si="201"/>
        <v>1.9388645029361221E-9</v>
      </c>
      <c r="T918" s="2">
        <f t="shared" si="197"/>
        <v>7.658866832181361E-12</v>
      </c>
      <c r="U918" s="6">
        <f t="shared" si="202"/>
        <v>313.37579897809769</v>
      </c>
      <c r="V918" s="2">
        <f t="shared" si="207"/>
        <v>3.2609484688878354E-9</v>
      </c>
      <c r="W918" s="2">
        <f t="shared" si="208"/>
        <v>7.6476083680487237E-12</v>
      </c>
    </row>
    <row r="919" spans="1:23" x14ac:dyDescent="0.45">
      <c r="A919">
        <v>85.293099999999995</v>
      </c>
      <c r="B919">
        <v>81.5137</v>
      </c>
      <c r="C919">
        <v>85.383160000000004</v>
      </c>
      <c r="D919">
        <v>81.513400000000004</v>
      </c>
      <c r="E919" s="10">
        <v>10058.487999999999</v>
      </c>
      <c r="F919" s="10" t="s">
        <v>2444</v>
      </c>
      <c r="G919" s="10" t="s">
        <v>2445</v>
      </c>
      <c r="H919" s="10">
        <v>10058.488451130899</v>
      </c>
      <c r="I919" s="10">
        <v>-1.53632728865716E-2</v>
      </c>
      <c r="J919" s="10">
        <v>-1.5662280487584199E-2</v>
      </c>
      <c r="K919" s="4">
        <f t="shared" si="203"/>
        <v>359.98463611111112</v>
      </c>
      <c r="L919" s="4">
        <f t="shared" si="204"/>
        <v>359.98433888888889</v>
      </c>
      <c r="M919" s="4">
        <f t="shared" si="205"/>
        <v>359.98463672711341</v>
      </c>
      <c r="N919" s="4">
        <f t="shared" si="206"/>
        <v>359.98433771951244</v>
      </c>
      <c r="O919" s="3">
        <f t="shared" si="196"/>
        <v>10058.48844663777</v>
      </c>
      <c r="P919" s="2">
        <f t="shared" si="198"/>
        <v>4.4404066539376406E-8</v>
      </c>
      <c r="Q919" s="2">
        <f t="shared" si="199"/>
        <v>4.4670025752618252E-10</v>
      </c>
      <c r="R919" s="6">
        <f t="shared" si="200"/>
        <v>359.98463672711887</v>
      </c>
      <c r="S919" s="2">
        <f t="shared" si="201"/>
        <v>1.7112056778478464E-9</v>
      </c>
      <c r="T919" s="2">
        <f t="shared" si="197"/>
        <v>1.5158891946753349E-14</v>
      </c>
      <c r="U919" s="6">
        <f t="shared" si="202"/>
        <v>359.98433771951795</v>
      </c>
      <c r="V919" s="2">
        <f t="shared" si="207"/>
        <v>3.2483939055219101E-9</v>
      </c>
      <c r="W919" s="2">
        <f t="shared" si="208"/>
        <v>1.5316809793526495E-14</v>
      </c>
    </row>
    <row r="920" spans="1:23" x14ac:dyDescent="0.45">
      <c r="A920">
        <v>-62.232089999999999</v>
      </c>
      <c r="B920">
        <v>-138.51569000000001</v>
      </c>
      <c r="C920">
        <v>-62.14969</v>
      </c>
      <c r="D920">
        <v>-138.52848</v>
      </c>
      <c r="E920" s="10">
        <v>9207.4869999999992</v>
      </c>
      <c r="F920" s="10" t="s">
        <v>2446</v>
      </c>
      <c r="G920" s="10" t="s">
        <v>2447</v>
      </c>
      <c r="H920" s="10">
        <v>9207.4873052337407</v>
      </c>
      <c r="I920" s="10">
        <v>-4.15347749435408</v>
      </c>
      <c r="J920" s="10">
        <v>-4.1421646493317503</v>
      </c>
      <c r="K920" s="4">
        <f t="shared" si="203"/>
        <v>355.84652222222223</v>
      </c>
      <c r="L920" s="4">
        <f t="shared" si="204"/>
        <v>355.85783611111111</v>
      </c>
      <c r="M920" s="4">
        <f t="shared" si="205"/>
        <v>355.84652250564591</v>
      </c>
      <c r="N920" s="4">
        <f t="shared" si="206"/>
        <v>355.85783535066827</v>
      </c>
      <c r="O920" s="3">
        <f t="shared" si="196"/>
        <v>9207.4873098587232</v>
      </c>
      <c r="P920" s="2">
        <f t="shared" si="198"/>
        <v>3.3652909202553719E-8</v>
      </c>
      <c r="Q920" s="2">
        <f t="shared" si="199"/>
        <v>5.0230668943851718E-10</v>
      </c>
      <c r="R920" s="6">
        <f t="shared" si="200"/>
        <v>355.84652250727203</v>
      </c>
      <c r="S920" s="2">
        <f t="shared" si="201"/>
        <v>8.0104701253458248E-10</v>
      </c>
      <c r="T920" s="2">
        <f t="shared" si="197"/>
        <v>4.5697220023425541E-12</v>
      </c>
      <c r="U920" s="6">
        <f t="shared" si="202"/>
        <v>355.85783535229001</v>
      </c>
      <c r="V920" s="2">
        <f t="shared" si="207"/>
        <v>2.1323714836417687E-9</v>
      </c>
      <c r="W920" s="2">
        <f t="shared" si="208"/>
        <v>4.5572770331184651E-12</v>
      </c>
    </row>
    <row r="921" spans="1:23" x14ac:dyDescent="0.45">
      <c r="A921">
        <v>-5.1765699999999999</v>
      </c>
      <c r="B921">
        <v>12.51703</v>
      </c>
      <c r="C921">
        <v>-5.1373499999999996</v>
      </c>
      <c r="D921">
        <v>12.44454</v>
      </c>
      <c r="E921" s="10">
        <v>9132.6470000000008</v>
      </c>
      <c r="F921" s="10" t="s">
        <v>2448</v>
      </c>
      <c r="G921" s="10" t="s">
        <v>2449</v>
      </c>
      <c r="H921" s="10">
        <v>9132.6472685119006</v>
      </c>
      <c r="I921" s="10">
        <v>-61.650559916493201</v>
      </c>
      <c r="J921" s="10">
        <v>-61.644044190984197</v>
      </c>
      <c r="K921" s="4">
        <f t="shared" si="203"/>
        <v>298.34943888888887</v>
      </c>
      <c r="L921" s="4">
        <f t="shared" si="204"/>
        <v>298.35595555555557</v>
      </c>
      <c r="M921" s="4">
        <f t="shared" si="205"/>
        <v>298.34944008350681</v>
      </c>
      <c r="N921" s="4">
        <f t="shared" si="206"/>
        <v>298.35595580901582</v>
      </c>
      <c r="O921" s="3">
        <f t="shared" si="196"/>
        <v>9132.6472675925615</v>
      </c>
      <c r="P921" s="2">
        <f t="shared" si="198"/>
        <v>2.93006573782643E-8</v>
      </c>
      <c r="Q921" s="2">
        <f t="shared" si="199"/>
        <v>1.0066512429475644E-10</v>
      </c>
      <c r="R921" s="6">
        <f t="shared" si="200"/>
        <v>298.3494400864405</v>
      </c>
      <c r="S921" s="2">
        <f t="shared" si="201"/>
        <v>4.013922836001801E-9</v>
      </c>
      <c r="T921" s="2">
        <f t="shared" si="197"/>
        <v>9.8330630236315313E-12</v>
      </c>
      <c r="U921" s="6">
        <f t="shared" si="202"/>
        <v>298.35595581194855</v>
      </c>
      <c r="V921" s="2">
        <f t="shared" si="207"/>
        <v>8.5935264559643727E-10</v>
      </c>
      <c r="W921" s="2">
        <f t="shared" si="208"/>
        <v>9.8296094050925122E-12</v>
      </c>
    </row>
    <row r="922" spans="1:23" x14ac:dyDescent="0.45">
      <c r="A922">
        <v>-45.983930000000001</v>
      </c>
      <c r="B922">
        <v>-139.57661999999999</v>
      </c>
      <c r="C922">
        <v>-45.892330000000001</v>
      </c>
      <c r="D922">
        <v>-139.54764</v>
      </c>
      <c r="E922" s="10">
        <v>10426.439</v>
      </c>
      <c r="F922" s="10" t="s">
        <v>2450</v>
      </c>
      <c r="G922" s="10" t="s">
        <v>2451</v>
      </c>
      <c r="H922" s="10">
        <v>10426.439158953701</v>
      </c>
      <c r="I922" s="10">
        <v>12.458031382551701</v>
      </c>
      <c r="J922" s="10">
        <v>12.4372066587826</v>
      </c>
      <c r="K922" s="4">
        <f t="shared" si="203"/>
        <v>12.458030555555556</v>
      </c>
      <c r="L922" s="4">
        <f t="shared" si="204"/>
        <v>12.437205555555579</v>
      </c>
      <c r="M922" s="4">
        <f t="shared" si="205"/>
        <v>12.458031382551724</v>
      </c>
      <c r="N922" s="4">
        <f t="shared" si="206"/>
        <v>12.4372066587826</v>
      </c>
      <c r="O922" s="3">
        <f t="shared" si="196"/>
        <v>10426.439155797205</v>
      </c>
      <c r="P922" s="2">
        <f t="shared" si="198"/>
        <v>1.4942513409445229E-8</v>
      </c>
      <c r="Q922" s="2">
        <f t="shared" si="199"/>
        <v>3.0273959324275078E-10</v>
      </c>
      <c r="R922" s="6">
        <f t="shared" si="200"/>
        <v>12.458031382489295</v>
      </c>
      <c r="S922" s="2">
        <f t="shared" si="201"/>
        <v>6.6377565504777106E-8</v>
      </c>
      <c r="T922" s="2">
        <f t="shared" si="197"/>
        <v>5.0110874540994691E-12</v>
      </c>
      <c r="U922" s="6">
        <f t="shared" si="202"/>
        <v>12.437206658720653</v>
      </c>
      <c r="V922" s="2">
        <f t="shared" si="207"/>
        <v>8.8698789211860299E-8</v>
      </c>
      <c r="W922" s="2">
        <f t="shared" si="208"/>
        <v>4.9807721106459873E-12</v>
      </c>
    </row>
    <row r="923" spans="1:23" x14ac:dyDescent="0.4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10">
        <v>2493.54</v>
      </c>
      <c r="F923" s="10" t="s">
        <v>2452</v>
      </c>
      <c r="G923" s="10" t="s">
        <v>2453</v>
      </c>
      <c r="H923" s="10">
        <v>2493.5402159830101</v>
      </c>
      <c r="I923" s="10">
        <v>34.963143251273202</v>
      </c>
      <c r="J923" s="10">
        <v>34.978473560813399</v>
      </c>
      <c r="K923" s="4">
        <f t="shared" si="203"/>
        <v>34.963144444444445</v>
      </c>
      <c r="L923" s="4">
        <f t="shared" si="204"/>
        <v>34.978472222222194</v>
      </c>
      <c r="M923" s="4">
        <f t="shared" si="205"/>
        <v>34.963143251273209</v>
      </c>
      <c r="N923" s="4">
        <f t="shared" si="206"/>
        <v>34.978473560813427</v>
      </c>
      <c r="O923" s="3">
        <f t="shared" si="196"/>
        <v>2493.5402145403709</v>
      </c>
      <c r="P923" s="2">
        <f t="shared" si="198"/>
        <v>8.6038471795885823E-8</v>
      </c>
      <c r="Q923" s="2">
        <f t="shared" si="199"/>
        <v>5.785505773932124E-10</v>
      </c>
      <c r="R923" s="6">
        <f t="shared" si="200"/>
        <v>34.963143180135525</v>
      </c>
      <c r="S923" s="2">
        <f t="shared" si="201"/>
        <v>3.6161190326476498E-8</v>
      </c>
      <c r="T923" s="2">
        <f t="shared" si="197"/>
        <v>2.0346478483501439E-9</v>
      </c>
      <c r="U923" s="6">
        <f t="shared" si="202"/>
        <v>34.978473489636443</v>
      </c>
      <c r="V923" s="2">
        <f t="shared" si="207"/>
        <v>3.623412252445662E-8</v>
      </c>
      <c r="W923" s="2">
        <f t="shared" si="208"/>
        <v>2.0348796577051247E-9</v>
      </c>
    </row>
    <row r="924" spans="1:23" x14ac:dyDescent="0.45">
      <c r="A924">
        <v>2.5049100000000002</v>
      </c>
      <c r="B924">
        <v>44.176459999999999</v>
      </c>
      <c r="C924">
        <v>2.52488</v>
      </c>
      <c r="D924">
        <v>44.280160000000002</v>
      </c>
      <c r="E924" s="10">
        <v>11742.29</v>
      </c>
      <c r="F924" s="10" t="s">
        <v>2454</v>
      </c>
      <c r="G924" s="10" t="s">
        <v>2455</v>
      </c>
      <c r="H924" s="10">
        <v>11742.289881187</v>
      </c>
      <c r="I924" s="10">
        <v>79.158357130965996</v>
      </c>
      <c r="J924" s="10">
        <v>79.162907395497797</v>
      </c>
      <c r="K924" s="4">
        <f t="shared" si="203"/>
        <v>79.158358333333339</v>
      </c>
      <c r="L924" s="4">
        <f t="shared" si="204"/>
        <v>79.162908333333348</v>
      </c>
      <c r="M924" s="4">
        <f t="shared" si="205"/>
        <v>79.15835713096601</v>
      </c>
      <c r="N924" s="4">
        <f t="shared" si="206"/>
        <v>79.162907395497768</v>
      </c>
      <c r="O924" s="3">
        <f t="shared" si="196"/>
        <v>11742.28987968241</v>
      </c>
      <c r="P924" s="2">
        <f t="shared" si="198"/>
        <v>1.0246518413309049E-8</v>
      </c>
      <c r="Q924" s="2">
        <f t="shared" si="199"/>
        <v>1.2813427647356673E-10</v>
      </c>
      <c r="R924" s="6">
        <f t="shared" si="200"/>
        <v>79.158357129636684</v>
      </c>
      <c r="S924" s="2">
        <f t="shared" si="201"/>
        <v>1.5206185178448805E-8</v>
      </c>
      <c r="T924" s="2">
        <f t="shared" si="197"/>
        <v>1.6793248758621863E-11</v>
      </c>
      <c r="U924" s="6">
        <f t="shared" si="202"/>
        <v>79.16290739416813</v>
      </c>
      <c r="V924" s="2">
        <f t="shared" si="207"/>
        <v>1.1863702815573327E-8</v>
      </c>
      <c r="W924" s="2">
        <f t="shared" si="208"/>
        <v>1.6796232796061961E-11</v>
      </c>
    </row>
    <row r="925" spans="1:23" x14ac:dyDescent="0.45">
      <c r="A925">
        <v>14.74234</v>
      </c>
      <c r="B925">
        <v>-31.122050000000002</v>
      </c>
      <c r="C925">
        <v>14.670439999999999</v>
      </c>
      <c r="D925">
        <v>-31.158519999999999</v>
      </c>
      <c r="E925" s="10">
        <v>8872.1790000000001</v>
      </c>
      <c r="F925" s="10" t="s">
        <v>2456</v>
      </c>
      <c r="G925" s="10" t="s">
        <v>2457</v>
      </c>
      <c r="H925" s="10">
        <v>8872.1793093299802</v>
      </c>
      <c r="I925" s="10">
        <v>-153.71942548738599</v>
      </c>
      <c r="J925" s="10">
        <v>-153.72868397593101</v>
      </c>
      <c r="K925" s="4">
        <f t="shared" si="203"/>
        <v>206.280575</v>
      </c>
      <c r="L925" s="4">
        <f t="shared" si="204"/>
        <v>206.27131666666668</v>
      </c>
      <c r="M925" s="4">
        <f t="shared" si="205"/>
        <v>206.28057451261401</v>
      </c>
      <c r="N925" s="4">
        <f t="shared" si="206"/>
        <v>206.27131602406899</v>
      </c>
      <c r="O925" s="3">
        <f t="shared" si="196"/>
        <v>8872.1793111412462</v>
      </c>
      <c r="P925" s="2">
        <f t="shared" si="198"/>
        <v>3.5069315681007944E-8</v>
      </c>
      <c r="Q925" s="2">
        <f t="shared" si="199"/>
        <v>2.0415119119985258E-10</v>
      </c>
      <c r="R925" s="6">
        <f t="shared" si="200"/>
        <v>206.28057451043034</v>
      </c>
      <c r="S925" s="2">
        <f t="shared" si="201"/>
        <v>2.3733192410497428E-9</v>
      </c>
      <c r="T925" s="2">
        <f t="shared" si="197"/>
        <v>1.0585913687737182E-11</v>
      </c>
      <c r="U925" s="6">
        <f t="shared" si="202"/>
        <v>206.27131602188638</v>
      </c>
      <c r="V925" s="2">
        <f t="shared" si="207"/>
        <v>3.1258844452178415E-9</v>
      </c>
      <c r="W925" s="2">
        <f t="shared" si="208"/>
        <v>1.0581290680977496E-11</v>
      </c>
    </row>
    <row r="926" spans="1:23" x14ac:dyDescent="0.45">
      <c r="A926">
        <v>-7.7595900000000002</v>
      </c>
      <c r="B926">
        <v>-54.59355</v>
      </c>
      <c r="C926">
        <v>-7.6051099999999998</v>
      </c>
      <c r="D926">
        <v>-54.727649999999997</v>
      </c>
      <c r="E926" s="10">
        <v>22600.223000000002</v>
      </c>
      <c r="F926" s="10" t="s">
        <v>2458</v>
      </c>
      <c r="G926" s="10" t="s">
        <v>2459</v>
      </c>
      <c r="H926" s="10">
        <v>22600.2229405791</v>
      </c>
      <c r="I926" s="10">
        <v>-40.900772835505897</v>
      </c>
      <c r="J926" s="10">
        <v>-40.882846201548901</v>
      </c>
      <c r="K926" s="4">
        <f t="shared" si="203"/>
        <v>319.0992277777778</v>
      </c>
      <c r="L926" s="4">
        <f t="shared" si="204"/>
        <v>319.11715277777779</v>
      </c>
      <c r="M926" s="4">
        <f t="shared" si="205"/>
        <v>319.0992271644941</v>
      </c>
      <c r="N926" s="4">
        <f t="shared" si="206"/>
        <v>319.11715379845111</v>
      </c>
      <c r="O926" s="3">
        <f t="shared" si="196"/>
        <v>22600.222939983145</v>
      </c>
      <c r="P926" s="2">
        <f t="shared" si="198"/>
        <v>2.6555869328397587E-9</v>
      </c>
      <c r="Q926" s="2">
        <f t="shared" si="199"/>
        <v>2.6369452188618915E-11</v>
      </c>
      <c r="R926" s="6">
        <f t="shared" si="200"/>
        <v>319.09922716781881</v>
      </c>
      <c r="S926" s="2">
        <f t="shared" si="201"/>
        <v>1.9115025519012067E-9</v>
      </c>
      <c r="T926" s="2">
        <f t="shared" si="197"/>
        <v>1.0419062293861106E-11</v>
      </c>
      <c r="U926" s="6">
        <f t="shared" si="202"/>
        <v>319.11715380177378</v>
      </c>
      <c r="V926" s="2">
        <f t="shared" si="207"/>
        <v>3.2088403368058926E-9</v>
      </c>
      <c r="W926" s="2">
        <f t="shared" si="208"/>
        <v>1.0412064419355379E-11</v>
      </c>
    </row>
    <row r="927" spans="1:23" x14ac:dyDescent="0.45">
      <c r="A927">
        <v>10.917109999999999</v>
      </c>
      <c r="B927">
        <v>142.5992</v>
      </c>
      <c r="C927">
        <v>11.012449999999999</v>
      </c>
      <c r="D927">
        <v>142.58949999999999</v>
      </c>
      <c r="E927" s="10">
        <v>10599.142</v>
      </c>
      <c r="F927" s="10" t="s">
        <v>2460</v>
      </c>
      <c r="G927" s="10" t="s">
        <v>2461</v>
      </c>
      <c r="H927" s="10">
        <v>10599.1415353882</v>
      </c>
      <c r="I927" s="10">
        <v>-5.7398828804880404</v>
      </c>
      <c r="J927" s="10">
        <v>-5.7417278749517804</v>
      </c>
      <c r="K927" s="4">
        <f t="shared" si="203"/>
        <v>354.26011666666665</v>
      </c>
      <c r="L927" s="4">
        <f t="shared" si="204"/>
        <v>354.25827222222222</v>
      </c>
      <c r="M927" s="4">
        <f t="shared" si="205"/>
        <v>354.26011711951196</v>
      </c>
      <c r="N927" s="4">
        <f t="shared" si="206"/>
        <v>354.25827212504822</v>
      </c>
      <c r="O927" s="3">
        <f t="shared" ref="O927:O990" si="209">VincentyInvDistance($A927,$B927,$C927,$D927)</f>
        <v>10599.141536143883</v>
      </c>
      <c r="P927" s="2">
        <f t="shared" si="198"/>
        <v>4.37635533863677E-8</v>
      </c>
      <c r="Q927" s="2">
        <f t="shared" si="199"/>
        <v>7.1296602113995342E-11</v>
      </c>
      <c r="R927" s="6">
        <f t="shared" si="200"/>
        <v>354.26011712010154</v>
      </c>
      <c r="S927" s="2">
        <f t="shared" si="201"/>
        <v>1.2799490313921976E-9</v>
      </c>
      <c r="T927" s="2">
        <f t="shared" ref="T927:T990" si="210">ABS((M927-R927)/M927)</f>
        <v>1.6642571713072688E-12</v>
      </c>
      <c r="U927" s="6">
        <f t="shared" si="202"/>
        <v>354.25827212563803</v>
      </c>
      <c r="V927" s="2">
        <f t="shared" si="207"/>
        <v>2.7263777681985072E-10</v>
      </c>
      <c r="W927" s="2">
        <f t="shared" si="208"/>
        <v>1.6649076690905053E-12</v>
      </c>
    </row>
    <row r="928" spans="1:23" x14ac:dyDescent="0.45">
      <c r="A928">
        <v>-15.27093</v>
      </c>
      <c r="B928">
        <v>105.7351</v>
      </c>
      <c r="C928">
        <v>-15.180289999999999</v>
      </c>
      <c r="D928">
        <v>105.78307</v>
      </c>
      <c r="E928" s="10">
        <v>11276.078</v>
      </c>
      <c r="F928" s="10" t="s">
        <v>2462</v>
      </c>
      <c r="G928" s="10" t="s">
        <v>2463</v>
      </c>
      <c r="H928" s="10">
        <v>11276.077537937899</v>
      </c>
      <c r="I928" s="10">
        <v>27.203308983104598</v>
      </c>
      <c r="J928" s="10">
        <v>27.1907110733429</v>
      </c>
      <c r="K928" s="4">
        <f t="shared" si="203"/>
        <v>27.203308333333332</v>
      </c>
      <c r="L928" s="4">
        <f t="shared" si="204"/>
        <v>27.190711111111113</v>
      </c>
      <c r="M928" s="4">
        <f t="shared" si="205"/>
        <v>27.203308983104591</v>
      </c>
      <c r="N928" s="4">
        <f t="shared" si="206"/>
        <v>27.190711073342925</v>
      </c>
      <c r="O928" s="3">
        <f t="shared" si="209"/>
        <v>11276.077538837446</v>
      </c>
      <c r="P928" s="2">
        <f t="shared" ref="P928:P991" si="211">ABS((E928-O928)/E928)</f>
        <v>4.089742493976564E-8</v>
      </c>
      <c r="Q928" s="2">
        <f t="shared" ref="Q928:Q991" si="212">ABS((H928-O928)/H928)</f>
        <v>7.9774783890803185E-11</v>
      </c>
      <c r="R928" s="6">
        <f t="shared" ref="R928:R991" si="213">VincentyInvFwdAzimuth($A928,$B928,$C928,$D928)</f>
        <v>27.203308980942506</v>
      </c>
      <c r="S928" s="2">
        <f t="shared" ref="S928:S991" si="214">ABS((K928-R928)/K928)</f>
        <v>2.3806265233009751E-8</v>
      </c>
      <c r="T928" s="2">
        <f t="shared" si="210"/>
        <v>7.9478773078359093E-11</v>
      </c>
      <c r="U928" s="6">
        <f t="shared" ref="U928:U991" si="215">VincentyInvRevAzimuth($A928,$B928,$C928,$D928)</f>
        <v>27.190711071181656</v>
      </c>
      <c r="V928" s="2">
        <f t="shared" si="207"/>
        <v>1.4684962416366621E-9</v>
      </c>
      <c r="W928" s="2">
        <f t="shared" si="208"/>
        <v>7.9485545327330007E-11</v>
      </c>
    </row>
    <row r="929" spans="1:23" x14ac:dyDescent="0.45">
      <c r="A929">
        <v>-42.531390000000002</v>
      </c>
      <c r="B929">
        <v>48.64846</v>
      </c>
      <c r="C929">
        <v>-42.4711</v>
      </c>
      <c r="D929">
        <v>48.587870000000002</v>
      </c>
      <c r="E929" s="10">
        <v>8346.0290000000005</v>
      </c>
      <c r="F929" s="10" t="s">
        <v>2464</v>
      </c>
      <c r="G929" s="10" t="s">
        <v>2465</v>
      </c>
      <c r="H929" s="10">
        <v>8346.0289964470503</v>
      </c>
      <c r="I929" s="10">
        <v>-36.656641823713201</v>
      </c>
      <c r="J929" s="10">
        <v>-36.615706834597297</v>
      </c>
      <c r="K929" s="4">
        <f t="shared" si="203"/>
        <v>323.34335833333336</v>
      </c>
      <c r="L929" s="4">
        <f t="shared" si="204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9"/>
        <v>8346.0289966021865</v>
      </c>
      <c r="P929" s="2">
        <f t="shared" si="211"/>
        <v>4.0711744449519E-10</v>
      </c>
      <c r="Q929" s="2">
        <f t="shared" si="212"/>
        <v>1.8588019443289468E-11</v>
      </c>
      <c r="R929" s="6">
        <f t="shared" si="213"/>
        <v>323.34335817655216</v>
      </c>
      <c r="S929" s="2">
        <f t="shared" si="214"/>
        <v>4.8487526884786707E-10</v>
      </c>
      <c r="T929" s="2">
        <f t="shared" si="210"/>
        <v>8.2062944091025886E-13</v>
      </c>
      <c r="U929" s="6">
        <f t="shared" si="215"/>
        <v>323.38429316566715</v>
      </c>
      <c r="V929" s="2">
        <f t="shared" si="207"/>
        <v>3.9543580571159364E-9</v>
      </c>
      <c r="W929" s="2">
        <f t="shared" si="208"/>
        <v>8.1771313613313589E-13</v>
      </c>
    </row>
    <row r="930" spans="1:23" x14ac:dyDescent="0.4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10">
        <v>17921.378000000001</v>
      </c>
      <c r="F930" s="10" t="s">
        <v>2466</v>
      </c>
      <c r="G930" s="10" t="s">
        <v>2467</v>
      </c>
      <c r="H930" s="10">
        <v>17921.377657653102</v>
      </c>
      <c r="I930" s="10">
        <v>-58.975223451239302</v>
      </c>
      <c r="J930" s="10">
        <v>-59.056639643301999</v>
      </c>
      <c r="K930" s="4">
        <f t="shared" si="203"/>
        <v>301.02477777777779</v>
      </c>
      <c r="L930" s="4">
        <f t="shared" si="204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9"/>
        <v>17921.377657218189</v>
      </c>
      <c r="P930" s="2">
        <f t="shared" si="211"/>
        <v>1.9126978512672802E-8</v>
      </c>
      <c r="Q930" s="2">
        <f t="shared" si="212"/>
        <v>2.4267838038917497E-11</v>
      </c>
      <c r="R930" s="6">
        <f t="shared" si="213"/>
        <v>301.02477654960904</v>
      </c>
      <c r="S930" s="2">
        <f t="shared" si="214"/>
        <v>4.07995896844325E-9</v>
      </c>
      <c r="T930" s="2">
        <f t="shared" si="210"/>
        <v>2.8181440504824497E-12</v>
      </c>
      <c r="U930" s="6">
        <f t="shared" si="215"/>
        <v>300.94336035754839</v>
      </c>
      <c r="V930" s="2">
        <f t="shared" si="207"/>
        <v>2.5040018888153475E-9</v>
      </c>
      <c r="W930" s="2">
        <f t="shared" si="208"/>
        <v>2.8257062895481864E-12</v>
      </c>
    </row>
    <row r="931" spans="1:23" x14ac:dyDescent="0.45">
      <c r="A931">
        <v>-73.167670000000001</v>
      </c>
      <c r="B931">
        <v>-112.94094</v>
      </c>
      <c r="C931">
        <v>-73.046449999999993</v>
      </c>
      <c r="D931">
        <v>-112.78610999999999</v>
      </c>
      <c r="E931" s="10">
        <v>14430.697</v>
      </c>
      <c r="F931" s="10" t="s">
        <v>2468</v>
      </c>
      <c r="G931" s="10" t="s">
        <v>2469</v>
      </c>
      <c r="H931" s="10">
        <v>14430.696843715899</v>
      </c>
      <c r="I931" s="10">
        <v>20.447283830498201</v>
      </c>
      <c r="J931" s="10">
        <v>20.2991347477913</v>
      </c>
      <c r="K931" s="4">
        <f t="shared" si="203"/>
        <v>20.447283333333335</v>
      </c>
      <c r="L931" s="4">
        <f t="shared" si="204"/>
        <v>20.299136111111125</v>
      </c>
      <c r="M931" s="4">
        <f t="shared" si="205"/>
        <v>20.447283830498179</v>
      </c>
      <c r="N931" s="4">
        <f t="shared" si="206"/>
        <v>20.2991347477913</v>
      </c>
      <c r="O931" s="3">
        <f t="shared" si="209"/>
        <v>14430.696835144814</v>
      </c>
      <c r="P931" s="2">
        <f t="shared" si="211"/>
        <v>1.1423924020117192E-8</v>
      </c>
      <c r="Q931" s="2">
        <f t="shared" si="212"/>
        <v>5.9394812587987525E-10</v>
      </c>
      <c r="R931" s="6">
        <f t="shared" si="213"/>
        <v>20.447283830072351</v>
      </c>
      <c r="S931" s="2">
        <f t="shared" si="214"/>
        <v>2.4293643710251103E-8</v>
      </c>
      <c r="T931" s="2">
        <f t="shared" si="210"/>
        <v>2.0825663940062456E-11</v>
      </c>
      <c r="U931" s="6">
        <f t="shared" si="215"/>
        <v>20.299134747369049</v>
      </c>
      <c r="V931" s="2">
        <f t="shared" si="207"/>
        <v>6.7182271612248096E-8</v>
      </c>
      <c r="W931" s="2">
        <f t="shared" si="208"/>
        <v>2.08014126765881E-11</v>
      </c>
    </row>
    <row r="932" spans="1:23" x14ac:dyDescent="0.4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10">
        <v>11379.204</v>
      </c>
      <c r="F932" s="10" t="s">
        <v>2470</v>
      </c>
      <c r="G932" s="10" t="s">
        <v>2471</v>
      </c>
      <c r="H932" s="10">
        <v>11379.2043139872</v>
      </c>
      <c r="I932" s="10">
        <v>-26.8306165123259</v>
      </c>
      <c r="J932" s="10">
        <v>-26.9220926175974</v>
      </c>
      <c r="K932" s="4">
        <f t="shared" si="203"/>
        <v>333.16938333333331</v>
      </c>
      <c r="L932" s="4">
        <f t="shared" si="204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9"/>
        <v>11379.204317319132</v>
      </c>
      <c r="P932" s="2">
        <f t="shared" si="211"/>
        <v>2.7885881349114129E-8</v>
      </c>
      <c r="Q932" s="2">
        <f t="shared" si="212"/>
        <v>2.9280887564872549E-10</v>
      </c>
      <c r="R932" s="6">
        <f t="shared" si="213"/>
        <v>333.16938349495615</v>
      </c>
      <c r="S932" s="2">
        <f t="shared" si="214"/>
        <v>4.8510710794159076E-10</v>
      </c>
      <c r="T932" s="2">
        <f t="shared" si="210"/>
        <v>2.1856869871330591E-11</v>
      </c>
      <c r="U932" s="6">
        <f t="shared" si="215"/>
        <v>333.07790738971414</v>
      </c>
      <c r="V932" s="2">
        <f t="shared" si="207"/>
        <v>2.8330283899008431E-9</v>
      </c>
      <c r="W932" s="2">
        <f t="shared" si="208"/>
        <v>2.195144568983977E-11</v>
      </c>
    </row>
    <row r="933" spans="1:23" x14ac:dyDescent="0.45">
      <c r="A933">
        <v>-68.163960000000003</v>
      </c>
      <c r="B933">
        <v>175.15158</v>
      </c>
      <c r="C933">
        <v>-68.213539999999995</v>
      </c>
      <c r="D933">
        <v>175.01906</v>
      </c>
      <c r="E933" s="10">
        <v>7797.3549999999996</v>
      </c>
      <c r="F933" s="10" t="s">
        <v>2472</v>
      </c>
      <c r="G933" s="10" t="s">
        <v>2473</v>
      </c>
      <c r="H933" s="10">
        <v>7797.3549595971199</v>
      </c>
      <c r="I933" s="10">
        <v>-135.23325942035299</v>
      </c>
      <c r="J933" s="10">
        <v>-135.11022612492499</v>
      </c>
      <c r="K933" s="4">
        <f t="shared" si="203"/>
        <v>224.76674166666666</v>
      </c>
      <c r="L933" s="4">
        <f t="shared" si="204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9"/>
        <v>7797.3549551356782</v>
      </c>
      <c r="P933" s="2">
        <f t="shared" si="211"/>
        <v>5.7537871948998862E-9</v>
      </c>
      <c r="Q933" s="2">
        <f t="shared" si="212"/>
        <v>5.7217373066344949E-10</v>
      </c>
      <c r="R933" s="6">
        <f t="shared" si="213"/>
        <v>224.76674057677377</v>
      </c>
      <c r="S933" s="2">
        <f t="shared" si="214"/>
        <v>4.848995374150114E-9</v>
      </c>
      <c r="T933" s="2">
        <f t="shared" si="210"/>
        <v>1.278318964824642E-11</v>
      </c>
      <c r="U933" s="6">
        <f t="shared" si="215"/>
        <v>224.88977387218793</v>
      </c>
      <c r="V933" s="2">
        <f t="shared" si="207"/>
        <v>5.0149547941943868E-9</v>
      </c>
      <c r="W933" s="2">
        <f t="shared" si="208"/>
        <v>1.2837743549620864E-11</v>
      </c>
    </row>
    <row r="934" spans="1:23" x14ac:dyDescent="0.45">
      <c r="A934">
        <v>-54.996740000000003</v>
      </c>
      <c r="B934">
        <v>107.54679</v>
      </c>
      <c r="C934">
        <v>-54.965969999999999</v>
      </c>
      <c r="D934">
        <v>107.42086</v>
      </c>
      <c r="E934" s="10">
        <v>8760.0010000000002</v>
      </c>
      <c r="F934" s="10" t="s">
        <v>2474</v>
      </c>
      <c r="G934" s="10" t="s">
        <v>2475</v>
      </c>
      <c r="H934" s="10">
        <v>8760.0011356188206</v>
      </c>
      <c r="I934" s="10">
        <v>-67.033037503786105</v>
      </c>
      <c r="J934" s="10">
        <v>-66.929905179885296</v>
      </c>
      <c r="K934" s="4">
        <f t="shared" si="203"/>
        <v>292.96696111111112</v>
      </c>
      <c r="L934" s="4">
        <f t="shared" si="204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9"/>
        <v>8760.0011301431277</v>
      </c>
      <c r="P934" s="2">
        <f t="shared" si="211"/>
        <v>1.4856519712169049E-8</v>
      </c>
      <c r="Q934" s="2">
        <f t="shared" si="212"/>
        <v>6.2507901571988312E-10</v>
      </c>
      <c r="R934" s="6">
        <f t="shared" si="213"/>
        <v>292.96696249620646</v>
      </c>
      <c r="S934" s="2">
        <f t="shared" si="214"/>
        <v>4.7278209796505366E-9</v>
      </c>
      <c r="T934" s="2">
        <f t="shared" si="210"/>
        <v>2.5417500346518022E-14</v>
      </c>
      <c r="U934" s="6">
        <f t="shared" si="215"/>
        <v>293.07009482010756</v>
      </c>
      <c r="V934" s="2">
        <f t="shared" si="207"/>
        <v>1.2818199429634887E-9</v>
      </c>
      <c r="W934" s="2">
        <f t="shared" si="208"/>
        <v>2.4438763637272453E-14</v>
      </c>
    </row>
    <row r="935" spans="1:23" x14ac:dyDescent="0.45">
      <c r="A935">
        <v>-19.89198</v>
      </c>
      <c r="B935">
        <v>-144.85908000000001</v>
      </c>
      <c r="C935">
        <v>-19.901769999999999</v>
      </c>
      <c r="D935">
        <v>-144.81505999999999</v>
      </c>
      <c r="E935" s="10">
        <v>4735.2510000000002</v>
      </c>
      <c r="F935" s="10" t="s">
        <v>2476</v>
      </c>
      <c r="G935" s="10" t="s">
        <v>2477</v>
      </c>
      <c r="H935" s="10">
        <v>4735.2509717906296</v>
      </c>
      <c r="I935" s="10">
        <v>103.238360150689</v>
      </c>
      <c r="J935" s="10">
        <v>103.22337889975501</v>
      </c>
      <c r="K935" s="4">
        <f t="shared" si="203"/>
        <v>103.23836111111112</v>
      </c>
      <c r="L935" s="4">
        <f t="shared" si="204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9"/>
        <v>4735.2509714485304</v>
      </c>
      <c r="P935" s="2">
        <f t="shared" si="211"/>
        <v>6.0295578350524722E-9</v>
      </c>
      <c r="Q935" s="2">
        <f t="shared" si="212"/>
        <v>7.224520055056519E-11</v>
      </c>
      <c r="R935" s="6">
        <f t="shared" si="213"/>
        <v>103.23836015160856</v>
      </c>
      <c r="S935" s="2">
        <f t="shared" si="214"/>
        <v>9.2940506521069688E-9</v>
      </c>
      <c r="T935" s="2">
        <f t="shared" si="210"/>
        <v>8.9071153936297208E-12</v>
      </c>
      <c r="U935" s="6">
        <f t="shared" si="215"/>
        <v>103.2233789006783</v>
      </c>
      <c r="V935" s="2">
        <f t="shared" si="207"/>
        <v>1.0878354671973103E-8</v>
      </c>
      <c r="W935" s="2">
        <f t="shared" si="208"/>
        <v>8.9446155661891514E-12</v>
      </c>
    </row>
    <row r="936" spans="1:23" x14ac:dyDescent="0.45">
      <c r="A936">
        <v>31.087910000000001</v>
      </c>
      <c r="B936">
        <v>-15.5951</v>
      </c>
      <c r="C936">
        <v>30.993649999999999</v>
      </c>
      <c r="D936">
        <v>-15.449009999999999</v>
      </c>
      <c r="E936" s="10">
        <v>17427.393</v>
      </c>
      <c r="F936" s="10" t="s">
        <v>2478</v>
      </c>
      <c r="G936" s="10" t="s">
        <v>2479</v>
      </c>
      <c r="H936" s="10">
        <v>17427.3925702989</v>
      </c>
      <c r="I936" s="10">
        <v>126.808317222591</v>
      </c>
      <c r="J936" s="10">
        <v>126.883648298851</v>
      </c>
      <c r="K936" s="4">
        <f t="shared" si="203"/>
        <v>126.80831666666667</v>
      </c>
      <c r="L936" s="4">
        <f t="shared" si="204"/>
        <v>126.88364722222224</v>
      </c>
      <c r="M936" s="4">
        <f t="shared" si="205"/>
        <v>126.80831722259097</v>
      </c>
      <c r="N936" s="4">
        <f t="shared" si="206"/>
        <v>126.88364829885097</v>
      </c>
      <c r="O936" s="3">
        <f t="shared" si="209"/>
        <v>17427.392335992772</v>
      </c>
      <c r="P936" s="2">
        <f t="shared" si="211"/>
        <v>3.8101351584654434E-8</v>
      </c>
      <c r="Q936" s="2">
        <f t="shared" si="212"/>
        <v>1.3444703611130834E-8</v>
      </c>
      <c r="R936" s="6">
        <f t="shared" si="213"/>
        <v>126.80831722348013</v>
      </c>
      <c r="S936" s="2">
        <f t="shared" si="214"/>
        <v>4.3909853529587611E-9</v>
      </c>
      <c r="T936" s="2">
        <f t="shared" si="210"/>
        <v>7.011834776694521E-12</v>
      </c>
      <c r="U936" s="6">
        <f t="shared" si="215"/>
        <v>126.88364829973692</v>
      </c>
      <c r="V936" s="2">
        <f t="shared" si="207"/>
        <v>8.4921477709183546E-9</v>
      </c>
      <c r="W936" s="2">
        <f t="shared" si="208"/>
        <v>6.9823600392002711E-12</v>
      </c>
    </row>
    <row r="937" spans="1:23" x14ac:dyDescent="0.4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10">
        <v>13210.514999999999</v>
      </c>
      <c r="F937" s="10" t="s">
        <v>2480</v>
      </c>
      <c r="G937" s="10" t="s">
        <v>2481</v>
      </c>
      <c r="H937" s="10">
        <v>13210.514529124501</v>
      </c>
      <c r="I937" s="10">
        <v>168.76904577095999</v>
      </c>
      <c r="J937" s="10">
        <v>168.75488567318999</v>
      </c>
      <c r="K937" s="4">
        <f t="shared" si="203"/>
        <v>168.76904444444443</v>
      </c>
      <c r="L937" s="4">
        <f t="shared" si="204"/>
        <v>168.75488611111109</v>
      </c>
      <c r="M937" s="4">
        <f t="shared" si="205"/>
        <v>168.76904577096002</v>
      </c>
      <c r="N937" s="4">
        <f t="shared" si="206"/>
        <v>168.75488567318996</v>
      </c>
      <c r="O937" s="3">
        <f t="shared" si="209"/>
        <v>13210.514522800526</v>
      </c>
      <c r="P937" s="2">
        <f t="shared" si="211"/>
        <v>3.6122700258655343E-8</v>
      </c>
      <c r="Q937" s="2">
        <f t="shared" si="212"/>
        <v>4.7870769484264601E-10</v>
      </c>
      <c r="R937" s="6">
        <f t="shared" si="213"/>
        <v>168.76904577129946</v>
      </c>
      <c r="S937" s="2">
        <f t="shared" si="214"/>
        <v>7.8619573393670945E-9</v>
      </c>
      <c r="T937" s="2">
        <f t="shared" si="210"/>
        <v>2.011272115551194E-12</v>
      </c>
      <c r="U937" s="6">
        <f t="shared" si="215"/>
        <v>168.75488567353003</v>
      </c>
      <c r="V937" s="2">
        <f t="shared" si="207"/>
        <v>2.5929978965351602E-9</v>
      </c>
      <c r="W937" s="2">
        <f t="shared" si="208"/>
        <v>2.0151461214186942E-12</v>
      </c>
    </row>
    <row r="938" spans="1:23" x14ac:dyDescent="0.45">
      <c r="A938">
        <v>-26.409579999999998</v>
      </c>
      <c r="B938">
        <v>-96.144710000000003</v>
      </c>
      <c r="C938">
        <v>-26.42427</v>
      </c>
      <c r="D938">
        <v>-96.079440000000005</v>
      </c>
      <c r="E938" s="10">
        <v>6711.7719999999999</v>
      </c>
      <c r="F938" s="10" t="s">
        <v>2482</v>
      </c>
      <c r="G938" s="10" t="s">
        <v>2483</v>
      </c>
      <c r="H938" s="10">
        <v>6711.77226732495</v>
      </c>
      <c r="I938" s="10">
        <v>104.04835088102099</v>
      </c>
      <c r="J938" s="10">
        <v>104.019312271546</v>
      </c>
      <c r="K938" s="4">
        <f t="shared" si="203"/>
        <v>104.04835</v>
      </c>
      <c r="L938" s="4">
        <f t="shared" si="204"/>
        <v>104.01931111111111</v>
      </c>
      <c r="M938" s="4">
        <f t="shared" si="205"/>
        <v>104.04835088102101</v>
      </c>
      <c r="N938" s="4">
        <f t="shared" si="206"/>
        <v>104.01931227154603</v>
      </c>
      <c r="O938" s="3">
        <f t="shared" si="209"/>
        <v>6711.7722670387138</v>
      </c>
      <c r="P938" s="2">
        <f t="shared" si="211"/>
        <v>3.9786618779742071E-8</v>
      </c>
      <c r="Q938" s="2">
        <f t="shared" si="212"/>
        <v>4.2646883884226083E-11</v>
      </c>
      <c r="R938" s="6">
        <f t="shared" si="213"/>
        <v>104.04835088165055</v>
      </c>
      <c r="S938" s="2">
        <f t="shared" si="214"/>
        <v>8.4734697849591996E-9</v>
      </c>
      <c r="T938" s="2">
        <f t="shared" si="210"/>
        <v>6.0504646018208106E-12</v>
      </c>
      <c r="U938" s="6">
        <f t="shared" si="215"/>
        <v>104.01931227217806</v>
      </c>
      <c r="V938" s="2">
        <f t="shared" si="207"/>
        <v>1.1162032655980955E-8</v>
      </c>
      <c r="W938" s="2">
        <f t="shared" si="208"/>
        <v>6.0760617394650589E-12</v>
      </c>
    </row>
    <row r="939" spans="1:23" x14ac:dyDescent="0.4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10">
        <v>15911.812</v>
      </c>
      <c r="F939" s="10" t="s">
        <v>2484</v>
      </c>
      <c r="G939" s="10" t="s">
        <v>2485</v>
      </c>
      <c r="H939" s="10">
        <v>15911.8121313969</v>
      </c>
      <c r="I939" s="10">
        <v>157.33362673450199</v>
      </c>
      <c r="J939" s="10">
        <v>157.347918567758</v>
      </c>
      <c r="K939" s="4">
        <f t="shared" si="203"/>
        <v>157.33362777777776</v>
      </c>
      <c r="L939" s="4">
        <f t="shared" si="204"/>
        <v>157.34791944444441</v>
      </c>
      <c r="M939" s="4">
        <f t="shared" si="205"/>
        <v>157.33362673450199</v>
      </c>
      <c r="N939" s="4">
        <f t="shared" si="206"/>
        <v>157.34791856775803</v>
      </c>
      <c r="O939" s="3">
        <f t="shared" si="209"/>
        <v>15911.812140320313</v>
      </c>
      <c r="P939" s="2">
        <f t="shared" si="211"/>
        <v>8.8186256361820604E-9</v>
      </c>
      <c r="Q939" s="2">
        <f t="shared" si="212"/>
        <v>5.6080430093745164E-10</v>
      </c>
      <c r="R939" s="6">
        <f t="shared" si="213"/>
        <v>157.33362673646579</v>
      </c>
      <c r="S939" s="2">
        <f t="shared" si="214"/>
        <v>6.6184959313634556E-9</v>
      </c>
      <c r="T939" s="2">
        <f t="shared" si="210"/>
        <v>1.2481743755946356E-11</v>
      </c>
      <c r="U939" s="6">
        <f t="shared" si="215"/>
        <v>157.34791856972058</v>
      </c>
      <c r="V939" s="2">
        <f t="shared" si="207"/>
        <v>5.5591700312249745E-9</v>
      </c>
      <c r="W939" s="2">
        <f t="shared" si="208"/>
        <v>1.2472662337974964E-11</v>
      </c>
    </row>
    <row r="940" spans="1:23" x14ac:dyDescent="0.45">
      <c r="A940">
        <v>-4.2992600000000003</v>
      </c>
      <c r="B940">
        <v>55.2729</v>
      </c>
      <c r="C940">
        <v>-4.4540800000000003</v>
      </c>
      <c r="D940">
        <v>55.144430000000099</v>
      </c>
      <c r="E940" s="10">
        <v>22280.925999999999</v>
      </c>
      <c r="F940" s="10" t="s">
        <v>2486</v>
      </c>
      <c r="G940" s="10" t="s">
        <v>2487</v>
      </c>
      <c r="H940" s="10">
        <v>22280.9257799228</v>
      </c>
      <c r="I940" s="10">
        <v>-140.213078829333</v>
      </c>
      <c r="J940" s="10">
        <v>-140.20327488043</v>
      </c>
      <c r="K940" s="4">
        <f t="shared" si="203"/>
        <v>219.78692222222222</v>
      </c>
      <c r="L940" s="4">
        <f t="shared" si="204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9"/>
        <v>22280.925780554655</v>
      </c>
      <c r="P940" s="2">
        <f t="shared" si="211"/>
        <v>9.8490226373636589E-9</v>
      </c>
      <c r="Q940" s="2">
        <f t="shared" si="212"/>
        <v>2.8358564603337559E-11</v>
      </c>
      <c r="R940" s="6">
        <f t="shared" si="213"/>
        <v>219.78692116717463</v>
      </c>
      <c r="S940" s="2">
        <f t="shared" si="214"/>
        <v>4.8003201462503434E-9</v>
      </c>
      <c r="T940" s="2">
        <f t="shared" si="210"/>
        <v>1.5889818971384041E-11</v>
      </c>
      <c r="U940" s="6">
        <f t="shared" si="215"/>
        <v>219.79672511607609</v>
      </c>
      <c r="V940" s="2">
        <f t="shared" si="207"/>
        <v>5.2810650524102894E-10</v>
      </c>
      <c r="W940" s="2">
        <f t="shared" si="208"/>
        <v>1.5896092901694959E-11</v>
      </c>
    </row>
    <row r="941" spans="1:23" x14ac:dyDescent="0.45">
      <c r="A941">
        <v>44.346139999999998</v>
      </c>
      <c r="B941">
        <v>-46.57685</v>
      </c>
      <c r="C941">
        <v>44.4604</v>
      </c>
      <c r="D941">
        <v>-46.444470000000003</v>
      </c>
      <c r="E941" s="10">
        <v>16504.878000000001</v>
      </c>
      <c r="F941" s="10" t="s">
        <v>2488</v>
      </c>
      <c r="G941" s="10" t="s">
        <v>2489</v>
      </c>
      <c r="H941" s="10">
        <v>16504.877663515301</v>
      </c>
      <c r="I941" s="10">
        <v>39.666010091398199</v>
      </c>
      <c r="J941" s="10">
        <v>39.758636989522699</v>
      </c>
      <c r="K941" s="4">
        <f t="shared" si="203"/>
        <v>39.666011111111111</v>
      </c>
      <c r="L941" s="4">
        <f t="shared" si="204"/>
        <v>39.758636111111116</v>
      </c>
      <c r="M941" s="4">
        <f t="shared" si="205"/>
        <v>39.666010091398221</v>
      </c>
      <c r="N941" s="4">
        <f t="shared" si="206"/>
        <v>39.758636989522699</v>
      </c>
      <c r="O941" s="3">
        <f t="shared" si="209"/>
        <v>16504.877665732954</v>
      </c>
      <c r="P941" s="2">
        <f t="shared" si="211"/>
        <v>2.0252621444880356E-8</v>
      </c>
      <c r="Q941" s="2">
        <f t="shared" si="212"/>
        <v>1.3436353291151063E-10</v>
      </c>
      <c r="R941" s="6">
        <f t="shared" si="213"/>
        <v>39.666010091222574</v>
      </c>
      <c r="S941" s="2">
        <f t="shared" si="214"/>
        <v>2.5711900635388157E-8</v>
      </c>
      <c r="T941" s="2">
        <f t="shared" si="210"/>
        <v>4.4281278574571467E-12</v>
      </c>
      <c r="U941" s="6">
        <f t="shared" si="215"/>
        <v>39.758636989347053</v>
      </c>
      <c r="V941" s="2">
        <f t="shared" si="207"/>
        <v>2.2089186732986191E-8</v>
      </c>
      <c r="W941" s="2">
        <f t="shared" si="208"/>
        <v>4.4178115141669343E-12</v>
      </c>
    </row>
    <row r="942" spans="1:23" x14ac:dyDescent="0.4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10">
        <v>11350.163</v>
      </c>
      <c r="F942" s="10" t="s">
        <v>2490</v>
      </c>
      <c r="G942" s="10" t="s">
        <v>2491</v>
      </c>
      <c r="H942" s="10">
        <v>11350.162805947301</v>
      </c>
      <c r="I942" s="10">
        <v>-3.7571202782761</v>
      </c>
      <c r="J942" s="10">
        <v>-3.6408449073677698</v>
      </c>
      <c r="K942" s="4">
        <f t="shared" si="203"/>
        <v>356.24288055555553</v>
      </c>
      <c r="L942" s="4">
        <f t="shared" si="204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9"/>
        <v>11350.162800411656</v>
      </c>
      <c r="P942" s="2">
        <f t="shared" si="211"/>
        <v>1.7584623666869523E-8</v>
      </c>
      <c r="Q942" s="2">
        <f t="shared" si="212"/>
        <v>4.8771502699578459E-10</v>
      </c>
      <c r="R942" s="6">
        <f t="shared" si="213"/>
        <v>356.24287972215217</v>
      </c>
      <c r="S942" s="2">
        <f t="shared" si="214"/>
        <v>2.3394246111577731E-9</v>
      </c>
      <c r="T942" s="2">
        <f t="shared" si="210"/>
        <v>1.2021526381996966E-12</v>
      </c>
      <c r="U942" s="6">
        <f t="shared" si="215"/>
        <v>356.35915509304721</v>
      </c>
      <c r="V942" s="2">
        <f t="shared" si="207"/>
        <v>1.2978713923394144E-9</v>
      </c>
      <c r="W942" s="2">
        <f t="shared" si="208"/>
        <v>1.1644346770774958E-12</v>
      </c>
    </row>
    <row r="943" spans="1:23" x14ac:dyDescent="0.45">
      <c r="A943">
        <v>-27.21688</v>
      </c>
      <c r="B943">
        <v>50.631219999999999</v>
      </c>
      <c r="C943">
        <v>-27.231110000000001</v>
      </c>
      <c r="D943">
        <v>50.474269999999997</v>
      </c>
      <c r="E943" s="10">
        <v>15626.824000000001</v>
      </c>
      <c r="F943" s="10" t="s">
        <v>2492</v>
      </c>
      <c r="G943" s="10" t="s">
        <v>2493</v>
      </c>
      <c r="H943" s="10">
        <v>15626.823520850399</v>
      </c>
      <c r="I943" s="10">
        <v>-95.827034432396403</v>
      </c>
      <c r="J943" s="10">
        <v>-95.755234422017296</v>
      </c>
      <c r="K943" s="4">
        <f t="shared" si="203"/>
        <v>264.17296666666664</v>
      </c>
      <c r="L943" s="4">
        <f t="shared" si="204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9"/>
        <v>15626.82352009657</v>
      </c>
      <c r="P943" s="2">
        <f t="shared" si="211"/>
        <v>3.0710234559477448E-8</v>
      </c>
      <c r="Q943" s="2">
        <f t="shared" si="212"/>
        <v>4.8239440702102341E-11</v>
      </c>
      <c r="R943" s="6">
        <f t="shared" si="213"/>
        <v>264.17296556736244</v>
      </c>
      <c r="S943" s="2">
        <f t="shared" si="214"/>
        <v>4.1613046692130353E-9</v>
      </c>
      <c r="T943" s="2">
        <f t="shared" si="210"/>
        <v>9.1277236597414414E-13</v>
      </c>
      <c r="U943" s="6">
        <f t="shared" si="215"/>
        <v>264.24476557773869</v>
      </c>
      <c r="V943" s="2">
        <f t="shared" si="207"/>
        <v>4.1209065962870817E-9</v>
      </c>
      <c r="W943" s="2">
        <f t="shared" si="208"/>
        <v>9.2349529284216661E-13</v>
      </c>
    </row>
    <row r="944" spans="1:23" x14ac:dyDescent="0.4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10">
        <v>8187.4380000000001</v>
      </c>
      <c r="F944" s="10" t="s">
        <v>2494</v>
      </c>
      <c r="G944" s="10" t="s">
        <v>2495</v>
      </c>
      <c r="H944" s="10">
        <v>8187.4380761730999</v>
      </c>
      <c r="I944" s="10">
        <v>89.773891732842102</v>
      </c>
      <c r="J944" s="10">
        <v>89.898671788422902</v>
      </c>
      <c r="K944" s="4">
        <f t="shared" si="203"/>
        <v>89.773891666666671</v>
      </c>
      <c r="L944" s="4">
        <f t="shared" si="204"/>
        <v>89.898672222222217</v>
      </c>
      <c r="M944" s="4">
        <f t="shared" si="205"/>
        <v>89.773891732842117</v>
      </c>
      <c r="N944" s="4">
        <f t="shared" si="206"/>
        <v>89.898671788422917</v>
      </c>
      <c r="O944" s="3">
        <f t="shared" si="209"/>
        <v>8187.4380744129348</v>
      </c>
      <c r="P944" s="2">
        <f t="shared" si="211"/>
        <v>9.0886715400783671E-9</v>
      </c>
      <c r="Q944" s="2">
        <f t="shared" si="212"/>
        <v>2.1498362355215611E-10</v>
      </c>
      <c r="R944" s="6">
        <f t="shared" si="213"/>
        <v>89.773891732848327</v>
      </c>
      <c r="S944" s="2">
        <f t="shared" si="214"/>
        <v>7.3720381819912809E-10</v>
      </c>
      <c r="T944" s="2">
        <f t="shared" si="210"/>
        <v>6.9175384854920016E-14</v>
      </c>
      <c r="U944" s="6">
        <f t="shared" si="215"/>
        <v>89.898671788427379</v>
      </c>
      <c r="V944" s="2">
        <f t="shared" si="207"/>
        <v>4.8253753648369268E-9</v>
      </c>
      <c r="W944" s="2">
        <f t="shared" si="208"/>
        <v>4.9635976725832663E-14</v>
      </c>
    </row>
    <row r="945" spans="1:23" x14ac:dyDescent="0.4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10">
        <v>1189.212</v>
      </c>
      <c r="F945" s="10" t="s">
        <v>2496</v>
      </c>
      <c r="G945" s="10" t="s">
        <v>2497</v>
      </c>
      <c r="H945" s="10">
        <v>1189.212190601</v>
      </c>
      <c r="I945" s="10">
        <v>165.35777075432301</v>
      </c>
      <c r="J945" s="10">
        <v>165.35489746887799</v>
      </c>
      <c r="K945" s="4">
        <f t="shared" ref="K945:K1008" si="216">ConvertDecimal(F945)</f>
        <v>165.35776944444444</v>
      </c>
      <c r="L945" s="4">
        <f t="shared" ref="L945:L1008" si="217">MOD(ConvertDecimal(G945)+180,360)</f>
        <v>165.35489722222223</v>
      </c>
      <c r="M945" s="4">
        <f t="shared" ref="M945:M1008" si="218">MOD(I945+360, 360)</f>
        <v>165.35777075432304</v>
      </c>
      <c r="N945" s="4">
        <f t="shared" ref="N945:N1008" si="219">MOD(J945+360, 360)</f>
        <v>165.35489746887799</v>
      </c>
      <c r="O945" s="3">
        <f t="shared" si="209"/>
        <v>1189.2121902213728</v>
      </c>
      <c r="P945" s="2">
        <f t="shared" si="211"/>
        <v>1.599558134331342E-7</v>
      </c>
      <c r="Q945" s="2">
        <f t="shared" si="212"/>
        <v>3.1922577337045589E-10</v>
      </c>
      <c r="R945" s="6">
        <f t="shared" si="213"/>
        <v>165.35777080885603</v>
      </c>
      <c r="S945" s="2">
        <f t="shared" si="214"/>
        <v>8.2512699145627303E-9</v>
      </c>
      <c r="T945" s="2">
        <f t="shared" si="210"/>
        <v>3.2978788617392722E-10</v>
      </c>
      <c r="U945" s="6">
        <f t="shared" si="215"/>
        <v>165.35489752341888</v>
      </c>
      <c r="V945" s="2">
        <f t="shared" si="207"/>
        <v>1.8215163560509699E-9</v>
      </c>
      <c r="W945" s="2">
        <f t="shared" si="208"/>
        <v>3.2984140022213749E-10</v>
      </c>
    </row>
    <row r="946" spans="1:23" x14ac:dyDescent="0.45">
      <c r="A946">
        <v>-83.66319</v>
      </c>
      <c r="B946">
        <v>81.776799999999994</v>
      </c>
      <c r="C946">
        <v>-83.496949999999998</v>
      </c>
      <c r="D946">
        <v>81.775760000000005</v>
      </c>
      <c r="E946" s="10">
        <v>18565.665000000001</v>
      </c>
      <c r="F946" s="10" t="s">
        <v>2498</v>
      </c>
      <c r="G946" s="10" t="s">
        <v>2499</v>
      </c>
      <c r="H946" s="10">
        <v>18565.664996098301</v>
      </c>
      <c r="I946" s="10">
        <v>-4.0599316218603798E-2</v>
      </c>
      <c r="J946" s="10">
        <v>-3.95658368823813E-2</v>
      </c>
      <c r="K946" s="4">
        <f t="shared" si="216"/>
        <v>359.95940000000002</v>
      </c>
      <c r="L946" s="4">
        <f t="shared" si="217"/>
        <v>359.9604333333333</v>
      </c>
      <c r="M946" s="4">
        <f t="shared" si="218"/>
        <v>359.95940068378138</v>
      </c>
      <c r="N946" s="4">
        <f t="shared" si="219"/>
        <v>359.96043416311761</v>
      </c>
      <c r="O946" s="3">
        <f t="shared" si="209"/>
        <v>18565.664989094286</v>
      </c>
      <c r="P946" s="2">
        <f t="shared" si="211"/>
        <v>5.8741308696300995E-10</v>
      </c>
      <c r="Q946" s="2">
        <f t="shared" si="212"/>
        <v>3.7725635261901225E-10</v>
      </c>
      <c r="R946" s="6">
        <f t="shared" si="213"/>
        <v>359.95940068385397</v>
      </c>
      <c r="S946" s="2">
        <f t="shared" si="214"/>
        <v>1.8998085750700959E-9</v>
      </c>
      <c r="T946" s="2">
        <f t="shared" si="210"/>
        <v>2.0165898083884233E-13</v>
      </c>
      <c r="U946" s="6">
        <f t="shared" si="215"/>
        <v>359.96043416318832</v>
      </c>
      <c r="V946" s="2">
        <f t="shared" si="207"/>
        <v>2.3054062300713718E-9</v>
      </c>
      <c r="W946" s="2">
        <f t="shared" si="208"/>
        <v>1.9644718238894326E-13</v>
      </c>
    </row>
    <row r="947" spans="1:23" x14ac:dyDescent="0.45">
      <c r="A947">
        <v>-43.860700000000001</v>
      </c>
      <c r="B947">
        <v>54.184629999999999</v>
      </c>
      <c r="C947">
        <v>-43.84901</v>
      </c>
      <c r="D947">
        <v>54.116</v>
      </c>
      <c r="E947" s="10">
        <v>5668.7619999999997</v>
      </c>
      <c r="F947" s="10" t="s">
        <v>2500</v>
      </c>
      <c r="G947" s="10" t="s">
        <v>2501</v>
      </c>
      <c r="H947" s="10">
        <v>5668.7615664257601</v>
      </c>
      <c r="I947" s="10">
        <v>-76.778068996874694</v>
      </c>
      <c r="J947" s="10">
        <v>-76.730519805158295</v>
      </c>
      <c r="K947" s="4">
        <f t="shared" si="216"/>
        <v>283.22193055555556</v>
      </c>
      <c r="L947" s="4">
        <f t="shared" si="217"/>
        <v>283.26948055555556</v>
      </c>
      <c r="M947" s="4">
        <f t="shared" si="218"/>
        <v>283.22193100312529</v>
      </c>
      <c r="N947" s="4">
        <f t="shared" si="219"/>
        <v>283.26948019484172</v>
      </c>
      <c r="O947" s="3">
        <f t="shared" si="209"/>
        <v>5668.7615666119536</v>
      </c>
      <c r="P947" s="2">
        <f t="shared" si="211"/>
        <v>7.6451974183479301E-8</v>
      </c>
      <c r="Q947" s="2">
        <f t="shared" si="212"/>
        <v>3.28455469778658E-11</v>
      </c>
      <c r="R947" s="6">
        <f t="shared" si="213"/>
        <v>283.22193100316986</v>
      </c>
      <c r="S947" s="2">
        <f t="shared" si="214"/>
        <v>1.5804365740649971E-9</v>
      </c>
      <c r="T947" s="2">
        <f t="shared" si="210"/>
        <v>1.5735095170430753E-13</v>
      </c>
      <c r="U947" s="6">
        <f t="shared" si="215"/>
        <v>283.26948019488395</v>
      </c>
      <c r="V947" s="2">
        <f t="shared" si="207"/>
        <v>1.2732455527906005E-9</v>
      </c>
      <c r="W947" s="2">
        <f t="shared" si="208"/>
        <v>1.4909710775947349E-13</v>
      </c>
    </row>
    <row r="948" spans="1:23" x14ac:dyDescent="0.4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10">
        <v>8266.1260000000002</v>
      </c>
      <c r="F948" s="10" t="s">
        <v>2502</v>
      </c>
      <c r="G948" s="10" t="s">
        <v>2503</v>
      </c>
      <c r="H948" s="10">
        <v>8266.1263129354593</v>
      </c>
      <c r="I948" s="10">
        <v>-164.81691903848699</v>
      </c>
      <c r="J948" s="10">
        <v>-164.66626288377799</v>
      </c>
      <c r="K948" s="4">
        <f t="shared" si="216"/>
        <v>195.18308055555556</v>
      </c>
      <c r="L948" s="4">
        <f t="shared" si="217"/>
        <v>195.33373611111111</v>
      </c>
      <c r="M948" s="4">
        <f t="shared" si="218"/>
        <v>195.18308096151301</v>
      </c>
      <c r="N948" s="4">
        <f t="shared" si="219"/>
        <v>195.33373711622201</v>
      </c>
      <c r="O948" s="3">
        <f t="shared" si="209"/>
        <v>8266.1263101019122</v>
      </c>
      <c r="P948" s="2">
        <f t="shared" si="211"/>
        <v>3.7514781647897866E-8</v>
      </c>
      <c r="Q948" s="2">
        <f t="shared" si="212"/>
        <v>3.4279020269071392E-10</v>
      </c>
      <c r="R948" s="6">
        <f t="shared" si="213"/>
        <v>195.18308096151671</v>
      </c>
      <c r="S948" s="2">
        <f t="shared" si="214"/>
        <v>2.0798992639790442E-9</v>
      </c>
      <c r="T948" s="2">
        <f t="shared" si="210"/>
        <v>1.8930033319235703E-14</v>
      </c>
      <c r="U948" s="6">
        <f t="shared" si="215"/>
        <v>195.33373711622551</v>
      </c>
      <c r="V948" s="2">
        <f t="shared" si="207"/>
        <v>5.1456262437451119E-9</v>
      </c>
      <c r="W948" s="2">
        <f t="shared" si="208"/>
        <v>1.7896909727681491E-14</v>
      </c>
    </row>
    <row r="949" spans="1:23" x14ac:dyDescent="0.45">
      <c r="A949">
        <v>-12.49606</v>
      </c>
      <c r="B949">
        <v>44.544510000000002</v>
      </c>
      <c r="C949">
        <v>-12.50287</v>
      </c>
      <c r="D949">
        <v>44.384099999999997</v>
      </c>
      <c r="E949" s="10">
        <v>17452.521000000001</v>
      </c>
      <c r="F949" s="10" t="s">
        <v>2504</v>
      </c>
      <c r="G949" s="10" t="s">
        <v>2505</v>
      </c>
      <c r="H949" s="10">
        <v>17452.520534690801</v>
      </c>
      <c r="I949" s="10">
        <v>-92.491387185939104</v>
      </c>
      <c r="J949" s="10">
        <v>-92.456669547979203</v>
      </c>
      <c r="K949" s="4">
        <f t="shared" si="216"/>
        <v>267.50861388888887</v>
      </c>
      <c r="L949" s="4">
        <f t="shared" si="217"/>
        <v>267.54333055555554</v>
      </c>
      <c r="M949" s="4">
        <f t="shared" si="218"/>
        <v>267.50861281406088</v>
      </c>
      <c r="N949" s="4">
        <f t="shared" si="219"/>
        <v>267.54333045202077</v>
      </c>
      <c r="O949" s="3">
        <f t="shared" si="209"/>
        <v>17452.520532798091</v>
      </c>
      <c r="P949" s="2">
        <f t="shared" si="211"/>
        <v>2.6769880952264882E-8</v>
      </c>
      <c r="Q949" s="2">
        <f t="shared" si="212"/>
        <v>1.0844905767797714E-10</v>
      </c>
      <c r="R949" s="6">
        <f t="shared" si="213"/>
        <v>267.50861281381185</v>
      </c>
      <c r="S949" s="2">
        <f t="shared" si="214"/>
        <v>4.0188501122702248E-9</v>
      </c>
      <c r="T949" s="2">
        <f t="shared" si="210"/>
        <v>9.309271032790846E-13</v>
      </c>
      <c r="U949" s="6">
        <f t="shared" si="215"/>
        <v>267.54333045176855</v>
      </c>
      <c r="V949" s="2">
        <f t="shared" si="207"/>
        <v>3.8792590223536245E-10</v>
      </c>
      <c r="W949" s="2">
        <f t="shared" si="208"/>
        <v>9.4270430535227041E-13</v>
      </c>
    </row>
    <row r="950" spans="1:23" x14ac:dyDescent="0.4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10">
        <v>3039.056</v>
      </c>
      <c r="F950" s="10" t="s">
        <v>2506</v>
      </c>
      <c r="G950" s="10" t="s">
        <v>2507</v>
      </c>
      <c r="H950" s="10">
        <v>3039.0559379433298</v>
      </c>
      <c r="I950" s="10">
        <v>-91.120482844610606</v>
      </c>
      <c r="J950" s="10">
        <v>-91.137417448770094</v>
      </c>
      <c r="K950" s="4">
        <f t="shared" si="216"/>
        <v>268.87951666666669</v>
      </c>
      <c r="L950" s="4">
        <f t="shared" si="217"/>
        <v>268.8625833333333</v>
      </c>
      <c r="M950" s="4">
        <f t="shared" si="218"/>
        <v>268.87951715538941</v>
      </c>
      <c r="N950" s="4">
        <f t="shared" si="219"/>
        <v>268.86258255122993</v>
      </c>
      <c r="O950" s="3">
        <f t="shared" si="209"/>
        <v>3039.0559378119437</v>
      </c>
      <c r="P950" s="2">
        <f t="shared" si="211"/>
        <v>2.0462951748939246E-8</v>
      </c>
      <c r="Q950" s="2">
        <f t="shared" si="212"/>
        <v>4.3232524194465185E-11</v>
      </c>
      <c r="R950" s="6">
        <f t="shared" si="213"/>
        <v>268.87951715534086</v>
      </c>
      <c r="S950" s="2">
        <f t="shared" si="214"/>
        <v>1.817446642873493E-9</v>
      </c>
      <c r="T950" s="2">
        <f t="shared" si="210"/>
        <v>1.8054286998394004E-13</v>
      </c>
      <c r="U950" s="6">
        <f t="shared" si="215"/>
        <v>268.86258255118565</v>
      </c>
      <c r="V950" s="2">
        <f t="shared" si="207"/>
        <v>2.9090981788451967E-9</v>
      </c>
      <c r="W950" s="2">
        <f t="shared" si="208"/>
        <v>1.6469760452491375E-13</v>
      </c>
    </row>
    <row r="951" spans="1:23" x14ac:dyDescent="0.45">
      <c r="A951">
        <v>61.795400000000001</v>
      </c>
      <c r="B951">
        <v>4.9847700000000001</v>
      </c>
      <c r="C951">
        <v>61.752369999999999</v>
      </c>
      <c r="D951">
        <v>5.13008000000002</v>
      </c>
      <c r="E951" s="10">
        <v>9045.9740000000002</v>
      </c>
      <c r="F951" s="10" t="s">
        <v>2508</v>
      </c>
      <c r="G951" s="10" t="s">
        <v>2509</v>
      </c>
      <c r="H951" s="10">
        <v>9045.9744276217807</v>
      </c>
      <c r="I951" s="10">
        <v>121.948716428461</v>
      </c>
      <c r="J951" s="10">
        <v>122.07674734656401</v>
      </c>
      <c r="K951" s="4">
        <f t="shared" si="216"/>
        <v>121.94871666666667</v>
      </c>
      <c r="L951" s="4">
        <f t="shared" si="217"/>
        <v>122.0767472222222</v>
      </c>
      <c r="M951" s="4">
        <f t="shared" si="218"/>
        <v>121.94871642846101</v>
      </c>
      <c r="N951" s="4">
        <f t="shared" si="219"/>
        <v>122.07674734656399</v>
      </c>
      <c r="O951" s="3">
        <f t="shared" si="209"/>
        <v>9045.974424329379</v>
      </c>
      <c r="P951" s="2">
        <f t="shared" si="211"/>
        <v>4.6908091798872392E-8</v>
      </c>
      <c r="Q951" s="2">
        <f t="shared" si="212"/>
        <v>3.6396319374776794E-10</v>
      </c>
      <c r="R951" s="6">
        <f t="shared" si="213"/>
        <v>121.94871642843178</v>
      </c>
      <c r="S951" s="2">
        <f t="shared" si="214"/>
        <v>1.9535661883568856E-9</v>
      </c>
      <c r="T951" s="2">
        <f t="shared" si="210"/>
        <v>2.3970509083889196E-13</v>
      </c>
      <c r="U951" s="6">
        <f t="shared" si="215"/>
        <v>122.0767473465357</v>
      </c>
      <c r="V951" s="2">
        <f t="shared" si="207"/>
        <v>1.0183225269635461E-9</v>
      </c>
      <c r="W951" s="2">
        <f t="shared" si="208"/>
        <v>2.3177068813640499E-13</v>
      </c>
    </row>
    <row r="952" spans="1:23" x14ac:dyDescent="0.45">
      <c r="A952">
        <v>56.26972</v>
      </c>
      <c r="B952">
        <v>55.966749999999998</v>
      </c>
      <c r="C952">
        <v>56.154739999999997</v>
      </c>
      <c r="D952">
        <v>55.994390000000003</v>
      </c>
      <c r="E952" s="10">
        <v>12916.894</v>
      </c>
      <c r="F952" s="10" t="s">
        <v>2510</v>
      </c>
      <c r="G952" s="10" t="s">
        <v>2511</v>
      </c>
      <c r="H952" s="10">
        <v>12916.893983919001</v>
      </c>
      <c r="I952" s="10">
        <v>172.358386039717</v>
      </c>
      <c r="J952" s="10">
        <v>172.38135774371</v>
      </c>
      <c r="K952" s="4">
        <f t="shared" si="216"/>
        <v>172.35838611111112</v>
      </c>
      <c r="L952" s="4">
        <f t="shared" si="217"/>
        <v>172.38135833333331</v>
      </c>
      <c r="M952" s="4">
        <f t="shared" si="218"/>
        <v>172.35838603971706</v>
      </c>
      <c r="N952" s="4">
        <f t="shared" si="219"/>
        <v>172.38135774370994</v>
      </c>
      <c r="O952" s="3">
        <f t="shared" si="209"/>
        <v>12916.893989704367</v>
      </c>
      <c r="P952" s="2">
        <f t="shared" si="211"/>
        <v>7.9706722213400877E-10</v>
      </c>
      <c r="Q952" s="2">
        <f t="shared" si="212"/>
        <v>4.4789147807258291E-10</v>
      </c>
      <c r="R952" s="6">
        <f t="shared" si="213"/>
        <v>172.35838604820731</v>
      </c>
      <c r="S952" s="2">
        <f t="shared" si="214"/>
        <v>3.6495937217590008E-10</v>
      </c>
      <c r="T952" s="2">
        <f t="shared" si="210"/>
        <v>4.9259261025637442E-11</v>
      </c>
      <c r="U952" s="6">
        <f t="shared" si="215"/>
        <v>172.38135775217424</v>
      </c>
      <c r="V952" s="2">
        <f t="shared" si="207"/>
        <v>3.3713568375841824E-9</v>
      </c>
      <c r="W952" s="2">
        <f t="shared" si="208"/>
        <v>4.9102164050491149E-11</v>
      </c>
    </row>
    <row r="953" spans="1:23" x14ac:dyDescent="0.45">
      <c r="A953">
        <v>-18.397220000000001</v>
      </c>
      <c r="B953">
        <v>117.01608</v>
      </c>
      <c r="C953">
        <v>-18.45158</v>
      </c>
      <c r="D953">
        <v>116.99928</v>
      </c>
      <c r="E953" s="10">
        <v>6273.1790000000001</v>
      </c>
      <c r="F953" s="10" t="s">
        <v>2512</v>
      </c>
      <c r="G953" s="10" t="s">
        <v>2513</v>
      </c>
      <c r="H953" s="10">
        <v>6273.1787789861</v>
      </c>
      <c r="I953" s="10">
        <v>-163.567228104001</v>
      </c>
      <c r="J953" s="10">
        <v>-163.56191841133699</v>
      </c>
      <c r="K953" s="4">
        <f t="shared" si="216"/>
        <v>196.43277222222221</v>
      </c>
      <c r="L953" s="4">
        <f t="shared" si="217"/>
        <v>196.43808055555556</v>
      </c>
      <c r="M953" s="4">
        <f t="shared" si="218"/>
        <v>196.432771895999</v>
      </c>
      <c r="N953" s="4">
        <f t="shared" si="219"/>
        <v>196.43808158866301</v>
      </c>
      <c r="O953" s="3">
        <f t="shared" si="209"/>
        <v>6273.1787784632261</v>
      </c>
      <c r="P953" s="2">
        <f t="shared" si="211"/>
        <v>3.531491354006974E-8</v>
      </c>
      <c r="Q953" s="2">
        <f t="shared" si="212"/>
        <v>8.3350718900119786E-11</v>
      </c>
      <c r="R953" s="6">
        <f t="shared" si="213"/>
        <v>196.43277189474031</v>
      </c>
      <c r="S953" s="2">
        <f t="shared" si="214"/>
        <v>1.66714492531546E-9</v>
      </c>
      <c r="T953" s="2">
        <f t="shared" si="210"/>
        <v>6.4077078976479543E-12</v>
      </c>
      <c r="U953" s="6">
        <f t="shared" si="215"/>
        <v>196.43808158740342</v>
      </c>
      <c r="V953" s="2">
        <f t="shared" si="207"/>
        <v>5.2527893562904776E-9</v>
      </c>
      <c r="W953" s="2">
        <f t="shared" si="208"/>
        <v>6.4121646289246774E-12</v>
      </c>
    </row>
    <row r="954" spans="1:23" x14ac:dyDescent="0.45">
      <c r="A954">
        <v>-28.80226</v>
      </c>
      <c r="B954">
        <v>-35.583840000000002</v>
      </c>
      <c r="C954">
        <v>-28.805099999999999</v>
      </c>
      <c r="D954">
        <v>-35.578510000000001</v>
      </c>
      <c r="E954" s="10">
        <v>608.12599999999998</v>
      </c>
      <c r="F954" s="10" t="s">
        <v>2514</v>
      </c>
      <c r="G954" s="10" t="s">
        <v>2515</v>
      </c>
      <c r="H954" s="10">
        <v>608.126228816256</v>
      </c>
      <c r="I954" s="10">
        <v>121.17249348956599</v>
      </c>
      <c r="J954" s="10">
        <v>121.169925442495</v>
      </c>
      <c r="K954" s="4">
        <f t="shared" si="216"/>
        <v>121.17249444444444</v>
      </c>
      <c r="L954" s="4">
        <f t="shared" si="217"/>
        <v>121.16992499999998</v>
      </c>
      <c r="M954" s="4">
        <f t="shared" si="218"/>
        <v>121.17249348956602</v>
      </c>
      <c r="N954" s="4">
        <f t="shared" si="219"/>
        <v>121.16992544249501</v>
      </c>
      <c r="O954" s="3">
        <f t="shared" si="209"/>
        <v>608.12622878136108</v>
      </c>
      <c r="P954" s="2">
        <f t="shared" si="211"/>
        <v>3.7620716940557939E-7</v>
      </c>
      <c r="Q954" s="2">
        <f t="shared" si="212"/>
        <v>5.7381054507975395E-11</v>
      </c>
      <c r="R954" s="6">
        <f t="shared" si="213"/>
        <v>121.17249349058166</v>
      </c>
      <c r="S954" s="2">
        <f t="shared" si="214"/>
        <v>7.8719414429387111E-9</v>
      </c>
      <c r="T954" s="2">
        <f t="shared" si="210"/>
        <v>8.3817337284408268E-12</v>
      </c>
      <c r="U954" s="6">
        <f t="shared" si="215"/>
        <v>121.16992544350076</v>
      </c>
      <c r="V954" s="2">
        <f t="shared" si="207"/>
        <v>3.6601556119546195E-9</v>
      </c>
      <c r="W954" s="2">
        <f t="shared" si="208"/>
        <v>8.300284225530032E-12</v>
      </c>
    </row>
    <row r="955" spans="1:23" x14ac:dyDescent="0.45">
      <c r="A955">
        <v>-78.84854</v>
      </c>
      <c r="B955">
        <v>-55.089280000000002</v>
      </c>
      <c r="C955">
        <v>-78.890469999999993</v>
      </c>
      <c r="D955">
        <v>-55.064720000000001</v>
      </c>
      <c r="E955" s="10">
        <v>4711.4129999999996</v>
      </c>
      <c r="F955" s="10" t="s">
        <v>2516</v>
      </c>
      <c r="G955" s="10" t="s">
        <v>2517</v>
      </c>
      <c r="H955" s="10">
        <v>4711.4128073848196</v>
      </c>
      <c r="I955" s="10">
        <v>173.559216896566</v>
      </c>
      <c r="J955" s="10">
        <v>173.53511886712701</v>
      </c>
      <c r="K955" s="4">
        <f t="shared" si="216"/>
        <v>173.55921666666666</v>
      </c>
      <c r="L955" s="4">
        <f t="shared" si="217"/>
        <v>173.53511944444449</v>
      </c>
      <c r="M955" s="4">
        <f t="shared" si="218"/>
        <v>173.559216896566</v>
      </c>
      <c r="N955" s="4">
        <f t="shared" si="219"/>
        <v>173.53511886712704</v>
      </c>
      <c r="O955" s="3">
        <f t="shared" si="209"/>
        <v>4711.4128070560473</v>
      </c>
      <c r="P955" s="2">
        <f t="shared" si="211"/>
        <v>4.0952459961116889E-8</v>
      </c>
      <c r="Q955" s="2">
        <f t="shared" si="212"/>
        <v>6.9782110736266995E-11</v>
      </c>
      <c r="R955" s="6">
        <f t="shared" si="213"/>
        <v>173.55921689657234</v>
      </c>
      <c r="S955" s="2">
        <f t="shared" si="214"/>
        <v>1.3246526729422234E-9</v>
      </c>
      <c r="T955" s="2">
        <f t="shared" si="210"/>
        <v>3.651803295907529E-14</v>
      </c>
      <c r="U955" s="6">
        <f t="shared" si="215"/>
        <v>173.53511886713366</v>
      </c>
      <c r="V955" s="2">
        <f t="shared" si="207"/>
        <v>3.3267665376546141E-9</v>
      </c>
      <c r="W955" s="2">
        <f t="shared" si="208"/>
        <v>3.8160911408109198E-14</v>
      </c>
    </row>
    <row r="956" spans="1:23" x14ac:dyDescent="0.45">
      <c r="A956">
        <v>31.314209999999999</v>
      </c>
      <c r="B956">
        <v>-170.32921999999999</v>
      </c>
      <c r="C956">
        <v>31.34074</v>
      </c>
      <c r="D956">
        <v>-170.39631</v>
      </c>
      <c r="E956" s="10">
        <v>7030.3339999999998</v>
      </c>
      <c r="F956" s="10" t="s">
        <v>2518</v>
      </c>
      <c r="G956" s="10" t="s">
        <v>2519</v>
      </c>
      <c r="H956" s="10">
        <v>7030.3342892912897</v>
      </c>
      <c r="I956" s="10">
        <v>-65.248725986661597</v>
      </c>
      <c r="J956" s="10">
        <v>-65.2836080130499</v>
      </c>
      <c r="K956" s="4">
        <f t="shared" si="216"/>
        <v>294.75127500000002</v>
      </c>
      <c r="L956" s="4">
        <f t="shared" si="217"/>
        <v>294.71639166666665</v>
      </c>
      <c r="M956" s="4">
        <f t="shared" si="218"/>
        <v>294.75127401333839</v>
      </c>
      <c r="N956" s="4">
        <f t="shared" si="219"/>
        <v>294.7163919869501</v>
      </c>
      <c r="O956" s="3">
        <f t="shared" si="209"/>
        <v>7030.3342892807932</v>
      </c>
      <c r="P956" s="2">
        <f t="shared" si="211"/>
        <v>4.1147517794695417E-8</v>
      </c>
      <c r="Q956" s="2">
        <f t="shared" si="212"/>
        <v>1.4930269203769952E-12</v>
      </c>
      <c r="R956" s="6">
        <f t="shared" si="213"/>
        <v>294.75127401398993</v>
      </c>
      <c r="S956" s="2">
        <f t="shared" si="214"/>
        <v>3.34522757578963E-9</v>
      </c>
      <c r="T956" s="2">
        <f t="shared" si="210"/>
        <v>2.2104714192112273E-12</v>
      </c>
      <c r="U956" s="6">
        <f t="shared" si="215"/>
        <v>294.71639198760374</v>
      </c>
      <c r="V956" s="2">
        <f t="shared" si="207"/>
        <v>1.0889692576035232E-9</v>
      </c>
      <c r="W956" s="2">
        <f t="shared" si="208"/>
        <v>2.2178694204066339E-12</v>
      </c>
    </row>
    <row r="957" spans="1:23" x14ac:dyDescent="0.45">
      <c r="A957">
        <v>-46.90448</v>
      </c>
      <c r="B957">
        <v>137.71643</v>
      </c>
      <c r="C957">
        <v>-46.988259999999997</v>
      </c>
      <c r="D957">
        <v>137.58946</v>
      </c>
      <c r="E957" s="10">
        <v>13423.407999999999</v>
      </c>
      <c r="F957" s="10" t="s">
        <v>2520</v>
      </c>
      <c r="G957" s="10" t="s">
        <v>2521</v>
      </c>
      <c r="H957" s="10">
        <v>13423.4079476483</v>
      </c>
      <c r="I957" s="10">
        <v>-133.98185356509899</v>
      </c>
      <c r="J957" s="10">
        <v>-133.88907463676901</v>
      </c>
      <c r="K957" s="4">
        <f t="shared" si="216"/>
        <v>226.01814722222221</v>
      </c>
      <c r="L957" s="4">
        <f t="shared" si="217"/>
        <v>226.11092500000001</v>
      </c>
      <c r="M957" s="4">
        <f t="shared" si="218"/>
        <v>226.01814643490101</v>
      </c>
      <c r="N957" s="4">
        <f t="shared" si="219"/>
        <v>226.11092536323099</v>
      </c>
      <c r="O957" s="3">
        <f t="shared" si="209"/>
        <v>13423.407950456203</v>
      </c>
      <c r="P957" s="2">
        <f t="shared" si="211"/>
        <v>3.6908508029022481E-9</v>
      </c>
      <c r="Q957" s="2">
        <f t="shared" si="212"/>
        <v>2.0917959229265083E-10</v>
      </c>
      <c r="R957" s="6">
        <f t="shared" si="213"/>
        <v>226.01814643480154</v>
      </c>
      <c r="S957" s="2">
        <f t="shared" si="214"/>
        <v>3.4838825294308018E-9</v>
      </c>
      <c r="T957" s="2">
        <f t="shared" si="210"/>
        <v>4.4012387755363546E-13</v>
      </c>
      <c r="U957" s="6">
        <f t="shared" si="215"/>
        <v>226.1109253631308</v>
      </c>
      <c r="V957" s="2">
        <f t="shared" si="207"/>
        <v>1.6059851808006635E-9</v>
      </c>
      <c r="W957" s="2">
        <f t="shared" si="208"/>
        <v>4.4308573582294467E-13</v>
      </c>
    </row>
    <row r="958" spans="1:23" x14ac:dyDescent="0.4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10">
        <v>2806.5929999999998</v>
      </c>
      <c r="F958" s="10" t="s">
        <v>2522</v>
      </c>
      <c r="G958" s="10" t="s">
        <v>2523</v>
      </c>
      <c r="H958" s="10">
        <v>2806.59337412798</v>
      </c>
      <c r="I958" s="10">
        <v>-142.35959209769899</v>
      </c>
      <c r="J958" s="10">
        <v>-142.265163705361</v>
      </c>
      <c r="K958" s="4">
        <f t="shared" si="216"/>
        <v>217.64040833333334</v>
      </c>
      <c r="L958" s="4">
        <f t="shared" si="217"/>
        <v>217.73483611111112</v>
      </c>
      <c r="M958" s="4">
        <f t="shared" si="218"/>
        <v>217.64040790230101</v>
      </c>
      <c r="N958" s="4">
        <f t="shared" si="219"/>
        <v>217.734836294639</v>
      </c>
      <c r="O958" s="3">
        <f t="shared" si="209"/>
        <v>2806.5933732208669</v>
      </c>
      <c r="P958" s="2">
        <f t="shared" si="211"/>
        <v>1.3298004627119793E-7</v>
      </c>
      <c r="Q958" s="2">
        <f t="shared" si="212"/>
        <v>3.2320791399936218E-10</v>
      </c>
      <c r="R958" s="6">
        <f t="shared" si="213"/>
        <v>217.64040790228535</v>
      </c>
      <c r="S958" s="2">
        <f t="shared" si="214"/>
        <v>1.9805513003948523E-9</v>
      </c>
      <c r="T958" s="2">
        <f t="shared" si="210"/>
        <v>7.1955212945486481E-14</v>
      </c>
      <c r="U958" s="6">
        <f t="shared" si="215"/>
        <v>217.73483629462388</v>
      </c>
      <c r="V958" s="2">
        <f t="shared" si="207"/>
        <v>8.428267920531834E-10</v>
      </c>
      <c r="W958" s="2">
        <f t="shared" si="208"/>
        <v>6.9443868855758383E-14</v>
      </c>
    </row>
    <row r="959" spans="1:23" x14ac:dyDescent="0.4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10">
        <v>13677.593999999999</v>
      </c>
      <c r="F959" s="10" t="s">
        <v>2524</v>
      </c>
      <c r="G959" s="10" t="s">
        <v>2525</v>
      </c>
      <c r="H959" s="10">
        <v>13677.5944832972</v>
      </c>
      <c r="I959" s="10">
        <v>-9.6773145326869905</v>
      </c>
      <c r="J959" s="10">
        <v>-9.7404824304754207</v>
      </c>
      <c r="K959" s="4">
        <f t="shared" si="216"/>
        <v>350.32268611111112</v>
      </c>
      <c r="L959" s="4">
        <f t="shared" si="217"/>
        <v>350.25951666666663</v>
      </c>
      <c r="M959" s="4">
        <f t="shared" si="218"/>
        <v>350.32268546731302</v>
      </c>
      <c r="N959" s="4">
        <f t="shared" si="219"/>
        <v>350.25951756952458</v>
      </c>
      <c r="O959" s="3">
        <f t="shared" si="209"/>
        <v>13677.594482724624</v>
      </c>
      <c r="P959" s="2">
        <f t="shared" si="211"/>
        <v>3.5293095029499369E-8</v>
      </c>
      <c r="Q959" s="2">
        <f t="shared" si="212"/>
        <v>4.1862333919840384E-11</v>
      </c>
      <c r="R959" s="6">
        <f t="shared" si="213"/>
        <v>350.32268546763771</v>
      </c>
      <c r="S959" s="2">
        <f t="shared" si="214"/>
        <v>1.83680200778039E-9</v>
      </c>
      <c r="T959" s="2">
        <f t="shared" si="210"/>
        <v>9.2683009694281039E-13</v>
      </c>
      <c r="U959" s="6">
        <f t="shared" si="215"/>
        <v>350.25951756985131</v>
      </c>
      <c r="V959" s="2">
        <f t="shared" si="207"/>
        <v>2.5786156875074579E-9</v>
      </c>
      <c r="W959" s="2">
        <f t="shared" si="208"/>
        <v>9.3283966665393816E-13</v>
      </c>
    </row>
    <row r="960" spans="1:23" x14ac:dyDescent="0.4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10">
        <v>9416.7870000000003</v>
      </c>
      <c r="F960" s="10" t="s">
        <v>2526</v>
      </c>
      <c r="G960" s="10" t="s">
        <v>2527</v>
      </c>
      <c r="H960" s="10">
        <v>9416.7867874034291</v>
      </c>
      <c r="I960" s="10">
        <v>-15.022320155487201</v>
      </c>
      <c r="J960" s="10">
        <v>-15.163634933104101</v>
      </c>
      <c r="K960" s="4">
        <f t="shared" si="216"/>
        <v>344.97768055555554</v>
      </c>
      <c r="L960" s="4">
        <f t="shared" si="217"/>
        <v>344.83636388888885</v>
      </c>
      <c r="M960" s="4">
        <f t="shared" si="218"/>
        <v>344.97767984451281</v>
      </c>
      <c r="N960" s="4">
        <f t="shared" si="219"/>
        <v>344.83636506689589</v>
      </c>
      <c r="O960" s="3">
        <f t="shared" si="209"/>
        <v>9416.7867849326012</v>
      </c>
      <c r="P960" s="2">
        <f t="shared" si="211"/>
        <v>2.2838723976657957E-8</v>
      </c>
      <c r="Q960" s="2">
        <f t="shared" si="212"/>
        <v>2.6238545589568604E-10</v>
      </c>
      <c r="R960" s="6">
        <f t="shared" si="213"/>
        <v>344.97767984451815</v>
      </c>
      <c r="S960" s="2">
        <f t="shared" si="214"/>
        <v>2.0611112755061867E-9</v>
      </c>
      <c r="T960" s="2">
        <f t="shared" si="210"/>
        <v>1.5488774158734732E-14</v>
      </c>
      <c r="U960" s="6">
        <f t="shared" si="215"/>
        <v>344.83636506690146</v>
      </c>
      <c r="V960" s="2">
        <f t="shared" si="207"/>
        <v>3.4161496103273668E-9</v>
      </c>
      <c r="W960" s="2">
        <f t="shared" si="208"/>
        <v>1.6154488368065578E-14</v>
      </c>
    </row>
    <row r="961" spans="1:23" x14ac:dyDescent="0.4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10">
        <v>12679.628000000001</v>
      </c>
      <c r="F961" s="10" t="s">
        <v>2528</v>
      </c>
      <c r="G961" s="10" t="s">
        <v>2529</v>
      </c>
      <c r="H961" s="10">
        <v>12679.628015628499</v>
      </c>
      <c r="I961" s="10">
        <v>-173.326251068457</v>
      </c>
      <c r="J961" s="10">
        <v>-173.367934244639</v>
      </c>
      <c r="K961" s="4">
        <f t="shared" si="216"/>
        <v>186.67375000000001</v>
      </c>
      <c r="L961" s="4">
        <f t="shared" si="217"/>
        <v>186.63206666666667</v>
      </c>
      <c r="M961" s="4">
        <f t="shared" si="218"/>
        <v>186.673748931543</v>
      </c>
      <c r="N961" s="4">
        <f t="shared" si="219"/>
        <v>186.632065755361</v>
      </c>
      <c r="O961" s="3">
        <f t="shared" si="209"/>
        <v>12679.628014253849</v>
      </c>
      <c r="P961" s="2">
        <f t="shared" si="211"/>
        <v>1.1241535121333381E-9</v>
      </c>
      <c r="Q961" s="2">
        <f t="shared" si="212"/>
        <v>1.0841408819975888E-10</v>
      </c>
      <c r="R961" s="6">
        <f t="shared" si="213"/>
        <v>186.67374893134831</v>
      </c>
      <c r="S961" s="2">
        <f t="shared" si="214"/>
        <v>5.7247025823822163E-9</v>
      </c>
      <c r="T961" s="2">
        <f t="shared" si="210"/>
        <v>1.0429356602768163E-12</v>
      </c>
      <c r="U961" s="6">
        <f t="shared" si="215"/>
        <v>186.63206575516753</v>
      </c>
      <c r="V961" s="2">
        <f t="shared" si="207"/>
        <v>4.8839363948023267E-9</v>
      </c>
      <c r="W961" s="2">
        <f t="shared" si="208"/>
        <v>1.036620236237206E-12</v>
      </c>
    </row>
    <row r="962" spans="1:23" x14ac:dyDescent="0.45">
      <c r="A962">
        <v>-60.31823</v>
      </c>
      <c r="B962">
        <v>-95.98245</v>
      </c>
      <c r="C962">
        <v>-60.450560000000003</v>
      </c>
      <c r="D962">
        <v>-95.865369999999999</v>
      </c>
      <c r="E962" s="10">
        <v>16096.002</v>
      </c>
      <c r="F962" s="10" t="s">
        <v>2530</v>
      </c>
      <c r="G962" s="10" t="s">
        <v>2531</v>
      </c>
      <c r="H962" s="10">
        <v>16096.0019679255</v>
      </c>
      <c r="I962" s="10">
        <v>156.39995931818501</v>
      </c>
      <c r="J962" s="10">
        <v>156.29817452970201</v>
      </c>
      <c r="K962" s="4">
        <f t="shared" si="216"/>
        <v>156.39995833333333</v>
      </c>
      <c r="L962" s="4">
        <f t="shared" si="217"/>
        <v>156.29817500000001</v>
      </c>
      <c r="M962" s="4">
        <f t="shared" si="218"/>
        <v>156.39995931818498</v>
      </c>
      <c r="N962" s="4">
        <f t="shared" si="219"/>
        <v>156.29817452970201</v>
      </c>
      <c r="O962" s="3">
        <f t="shared" si="209"/>
        <v>16096.001975086114</v>
      </c>
      <c r="P962" s="2">
        <f t="shared" si="211"/>
        <v>1.5478307340601482E-9</v>
      </c>
      <c r="Q962" s="2">
        <f t="shared" si="212"/>
        <v>4.4486908558933661E-10</v>
      </c>
      <c r="R962" s="6">
        <f t="shared" si="213"/>
        <v>156.39995931818808</v>
      </c>
      <c r="S962" s="2">
        <f t="shared" si="214"/>
        <v>6.2970269374483965E-9</v>
      </c>
      <c r="T962" s="2">
        <f t="shared" si="210"/>
        <v>1.9807974000884725E-14</v>
      </c>
      <c r="U962" s="6">
        <f t="shared" si="215"/>
        <v>156.29817452970499</v>
      </c>
      <c r="V962" s="2">
        <f t="shared" si="207"/>
        <v>3.0089604098366801E-9</v>
      </c>
      <c r="W962" s="2">
        <f t="shared" si="208"/>
        <v>1.9093501886199609E-14</v>
      </c>
    </row>
    <row r="963" spans="1:23" x14ac:dyDescent="0.4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10">
        <v>19171.261999999999</v>
      </c>
      <c r="F963" s="10" t="s">
        <v>2532</v>
      </c>
      <c r="G963" s="10" t="s">
        <v>2533</v>
      </c>
      <c r="H963" s="10">
        <v>19171.261569210001</v>
      </c>
      <c r="I963" s="10">
        <v>144.970285432879</v>
      </c>
      <c r="J963" s="10">
        <v>144.983024008537</v>
      </c>
      <c r="K963" s="4">
        <f t="shared" si="216"/>
        <v>144.97028611111111</v>
      </c>
      <c r="L963" s="4">
        <f t="shared" si="217"/>
        <v>144.983025</v>
      </c>
      <c r="M963" s="4">
        <f t="shared" si="218"/>
        <v>144.970285432879</v>
      </c>
      <c r="N963" s="4">
        <f t="shared" si="219"/>
        <v>144.98302400853697</v>
      </c>
      <c r="O963" s="3">
        <f t="shared" si="209"/>
        <v>19171.261569767259</v>
      </c>
      <c r="P963" s="2">
        <f t="shared" si="211"/>
        <v>2.2441545045151773E-8</v>
      </c>
      <c r="Q963" s="2">
        <f t="shared" si="212"/>
        <v>2.906737857083328E-11</v>
      </c>
      <c r="R963" s="6">
        <f t="shared" si="213"/>
        <v>144.97028543607473</v>
      </c>
      <c r="S963" s="2">
        <f t="shared" si="214"/>
        <v>4.6563774781013644E-9</v>
      </c>
      <c r="T963" s="2">
        <f t="shared" si="210"/>
        <v>2.2044083025788396E-11</v>
      </c>
      <c r="U963" s="6">
        <f t="shared" si="215"/>
        <v>144.98302401173092</v>
      </c>
      <c r="V963" s="2">
        <f t="shared" si="207"/>
        <v>6.8164468151798501E-9</v>
      </c>
      <c r="W963" s="2">
        <f t="shared" si="208"/>
        <v>2.2029795988200959E-11</v>
      </c>
    </row>
    <row r="964" spans="1:23" x14ac:dyDescent="0.4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10">
        <v>18585.341</v>
      </c>
      <c r="F964" s="10" t="s">
        <v>2534</v>
      </c>
      <c r="G964" s="10" t="s">
        <v>2535</v>
      </c>
      <c r="H964" s="10">
        <v>18585.341004406</v>
      </c>
      <c r="I964" s="10">
        <v>-170.47977998656501</v>
      </c>
      <c r="J964" s="10">
        <v>-170.60402604523401</v>
      </c>
      <c r="K964" s="4">
        <f t="shared" si="216"/>
        <v>189.52021944444445</v>
      </c>
      <c r="L964" s="4">
        <f t="shared" si="217"/>
        <v>189.39597499999999</v>
      </c>
      <c r="M964" s="4">
        <f t="shared" si="218"/>
        <v>189.52022001343499</v>
      </c>
      <c r="N964" s="4">
        <f t="shared" si="219"/>
        <v>189.39597395476599</v>
      </c>
      <c r="O964" s="3">
        <f t="shared" si="209"/>
        <v>18585.341005670682</v>
      </c>
      <c r="P964" s="2">
        <f t="shared" si="211"/>
        <v>3.0511580474418907E-10</v>
      </c>
      <c r="Q964" s="2">
        <f t="shared" si="212"/>
        <v>6.8047257585744441E-11</v>
      </c>
      <c r="R964" s="6">
        <f t="shared" si="213"/>
        <v>189.52022001340129</v>
      </c>
      <c r="S964" s="2">
        <f t="shared" si="214"/>
        <v>3.0020904212258926E-9</v>
      </c>
      <c r="T964" s="2">
        <f t="shared" si="210"/>
        <v>1.778604276739949E-13</v>
      </c>
      <c r="U964" s="6">
        <f t="shared" si="215"/>
        <v>189.39597395473285</v>
      </c>
      <c r="V964" s="2">
        <f t="shared" si="207"/>
        <v>5.5189511836152244E-9</v>
      </c>
      <c r="W964" s="2">
        <f t="shared" si="208"/>
        <v>1.7497580599979347E-13</v>
      </c>
    </row>
    <row r="965" spans="1:23" x14ac:dyDescent="0.45">
      <c r="A965">
        <v>-13.71679</v>
      </c>
      <c r="B965">
        <v>-43.847149999999999</v>
      </c>
      <c r="C965">
        <v>-13.61233</v>
      </c>
      <c r="D965">
        <v>-43.76285</v>
      </c>
      <c r="E965" s="10">
        <v>14722.295</v>
      </c>
      <c r="F965" s="10" t="s">
        <v>2536</v>
      </c>
      <c r="G965" s="10" t="s">
        <v>2537</v>
      </c>
      <c r="H965" s="10">
        <v>14722.2946943885</v>
      </c>
      <c r="I965" s="10">
        <v>38.288893646531498</v>
      </c>
      <c r="J965" s="10">
        <v>38.268978842705103</v>
      </c>
      <c r="K965" s="4">
        <f t="shared" si="216"/>
        <v>38.288894444444445</v>
      </c>
      <c r="L965" s="4">
        <f t="shared" si="217"/>
        <v>38.268977777777764</v>
      </c>
      <c r="M965" s="4">
        <f t="shared" si="218"/>
        <v>38.288893646531506</v>
      </c>
      <c r="N965" s="4">
        <f t="shared" si="219"/>
        <v>38.26897884270511</v>
      </c>
      <c r="O965" s="3">
        <f t="shared" si="209"/>
        <v>14722.294694348613</v>
      </c>
      <c r="P965" s="2">
        <f t="shared" si="211"/>
        <v>2.0761123653097355E-8</v>
      </c>
      <c r="Q965" s="2">
        <f t="shared" si="212"/>
        <v>2.7092787142860724E-12</v>
      </c>
      <c r="R965" s="6">
        <f t="shared" si="213"/>
        <v>38.288893643769676</v>
      </c>
      <c r="S965" s="2">
        <f t="shared" si="214"/>
        <v>2.0911409973307278E-8</v>
      </c>
      <c r="T965" s="2">
        <f t="shared" si="210"/>
        <v>7.213135750027589E-11</v>
      </c>
      <c r="U965" s="6">
        <f t="shared" si="215"/>
        <v>38.268978839945369</v>
      </c>
      <c r="V965" s="2">
        <f t="shared" si="207"/>
        <v>2.7755316893842983E-8</v>
      </c>
      <c r="W965" s="2">
        <f t="shared" si="208"/>
        <v>7.2114306775942035E-11</v>
      </c>
    </row>
    <row r="966" spans="1:23" x14ac:dyDescent="0.45">
      <c r="A966">
        <v>25.532720000000001</v>
      </c>
      <c r="B966">
        <v>105.77508</v>
      </c>
      <c r="C966">
        <v>25.499030000000001</v>
      </c>
      <c r="D966">
        <v>105.81137</v>
      </c>
      <c r="E966" s="10">
        <v>5218.9520000000002</v>
      </c>
      <c r="F966" s="10" t="s">
        <v>2538</v>
      </c>
      <c r="G966" s="10" t="s">
        <v>2539</v>
      </c>
      <c r="H966" s="10">
        <v>5218.9524888456199</v>
      </c>
      <c r="I966" s="10">
        <v>135.645561153719</v>
      </c>
      <c r="J966" s="10">
        <v>135.661193477339</v>
      </c>
      <c r="K966" s="4">
        <f t="shared" si="216"/>
        <v>135.64556111111111</v>
      </c>
      <c r="L966" s="4">
        <f t="shared" si="217"/>
        <v>135.66119444444445</v>
      </c>
      <c r="M966" s="4">
        <f t="shared" si="218"/>
        <v>135.64556115371897</v>
      </c>
      <c r="N966" s="4">
        <f t="shared" si="219"/>
        <v>135.661193477339</v>
      </c>
      <c r="O966" s="3">
        <f t="shared" si="209"/>
        <v>5218.9524881347934</v>
      </c>
      <c r="P966" s="2">
        <f t="shared" si="211"/>
        <v>9.3531190391994175E-8</v>
      </c>
      <c r="Q966" s="2">
        <f t="shared" si="212"/>
        <v>1.362009904528334E-10</v>
      </c>
      <c r="R966" s="6">
        <f t="shared" si="213"/>
        <v>135.64556115523359</v>
      </c>
      <c r="S966" s="2">
        <f t="shared" si="214"/>
        <v>3.2527778009060448E-10</v>
      </c>
      <c r="T966" s="2">
        <f t="shared" si="210"/>
        <v>1.116602197943824E-11</v>
      </c>
      <c r="U966" s="6">
        <f t="shared" si="215"/>
        <v>135.66119347885174</v>
      </c>
      <c r="V966" s="2">
        <f t="shared" si="207"/>
        <v>7.1176780391383885E-9</v>
      </c>
      <c r="W966" s="2">
        <f t="shared" si="208"/>
        <v>1.1150907976391524E-11</v>
      </c>
    </row>
    <row r="967" spans="1:23" x14ac:dyDescent="0.45">
      <c r="A967">
        <v>11.3225</v>
      </c>
      <c r="B967">
        <v>105.72385</v>
      </c>
      <c r="C967">
        <v>11.242940000000001</v>
      </c>
      <c r="D967">
        <v>105.80704</v>
      </c>
      <c r="E967" s="10">
        <v>12647.138999999999</v>
      </c>
      <c r="F967" s="10" t="s">
        <v>2540</v>
      </c>
      <c r="G967" s="10" t="s">
        <v>2541</v>
      </c>
      <c r="H967" s="10">
        <v>12647.1388141723</v>
      </c>
      <c r="I967" s="10">
        <v>134.08785407135699</v>
      </c>
      <c r="J967" s="10">
        <v>134.10413023391899</v>
      </c>
      <c r="K967" s="4">
        <f t="shared" si="216"/>
        <v>134.08785277777778</v>
      </c>
      <c r="L967" s="4">
        <f t="shared" si="217"/>
        <v>134.10413055555557</v>
      </c>
      <c r="M967" s="4">
        <f t="shared" si="218"/>
        <v>134.08785407135701</v>
      </c>
      <c r="N967" s="4">
        <f t="shared" si="219"/>
        <v>134.10413023391902</v>
      </c>
      <c r="O967" s="3">
        <f t="shared" si="209"/>
        <v>12647.138814370512</v>
      </c>
      <c r="P967" s="2">
        <f t="shared" si="211"/>
        <v>1.4677587360463407E-8</v>
      </c>
      <c r="Q967" s="2">
        <f t="shared" si="212"/>
        <v>1.5672448941848432E-11</v>
      </c>
      <c r="R967" s="6">
        <f t="shared" si="213"/>
        <v>134.08785407443796</v>
      </c>
      <c r="S967" s="2">
        <f t="shared" si="214"/>
        <v>9.6702284819212679E-9</v>
      </c>
      <c r="T967" s="2">
        <f t="shared" si="210"/>
        <v>2.297703804198143E-11</v>
      </c>
      <c r="U967" s="6">
        <f t="shared" si="215"/>
        <v>134.1041302369978</v>
      </c>
      <c r="V967" s="2">
        <f t="shared" si="207"/>
        <v>2.3754508195398453E-9</v>
      </c>
      <c r="W967" s="2">
        <f t="shared" si="208"/>
        <v>2.2958142069734674E-11</v>
      </c>
    </row>
    <row r="968" spans="1:23" x14ac:dyDescent="0.45">
      <c r="A968">
        <v>-24.931319999999999</v>
      </c>
      <c r="B968">
        <v>160.61526000000001</v>
      </c>
      <c r="C968">
        <v>-24.927230000000002</v>
      </c>
      <c r="D968">
        <v>160.69457</v>
      </c>
      <c r="E968" s="10">
        <v>8023.73</v>
      </c>
      <c r="F968" s="10" t="s">
        <v>2542</v>
      </c>
      <c r="G968" s="10" t="s">
        <v>2543</v>
      </c>
      <c r="H968" s="10">
        <v>8023.7296123692604</v>
      </c>
      <c r="I968" s="10">
        <v>86.779809432021594</v>
      </c>
      <c r="J968" s="10">
        <v>86.746380325390703</v>
      </c>
      <c r="K968" s="4">
        <f t="shared" si="216"/>
        <v>86.779808333333335</v>
      </c>
      <c r="L968" s="4">
        <f t="shared" si="217"/>
        <v>86.746380555555561</v>
      </c>
      <c r="M968" s="4">
        <f t="shared" si="218"/>
        <v>86.77980943202158</v>
      </c>
      <c r="N968" s="4">
        <f t="shared" si="219"/>
        <v>86.746380325390703</v>
      </c>
      <c r="O968" s="3">
        <f t="shared" si="209"/>
        <v>8023.7296118947261</v>
      </c>
      <c r="P968" s="2">
        <f t="shared" si="211"/>
        <v>4.8369682614802811E-8</v>
      </c>
      <c r="Q968" s="2">
        <f t="shared" si="212"/>
        <v>5.9141364495471158E-11</v>
      </c>
      <c r="R968" s="6">
        <f t="shared" si="213"/>
        <v>86.779809431851973</v>
      </c>
      <c r="S968" s="2">
        <f t="shared" si="214"/>
        <v>1.265868937636385E-8</v>
      </c>
      <c r="T968" s="2">
        <f t="shared" si="210"/>
        <v>1.9544471477411592E-12</v>
      </c>
      <c r="U968" s="6">
        <f t="shared" si="215"/>
        <v>86.746380325221395</v>
      </c>
      <c r="V968" s="2">
        <f t="shared" si="207"/>
        <v>2.6552596717867301E-9</v>
      </c>
      <c r="W968" s="2">
        <f t="shared" si="208"/>
        <v>1.9517600900675288E-12</v>
      </c>
    </row>
    <row r="969" spans="1:23" x14ac:dyDescent="0.45">
      <c r="A969">
        <v>26.17822</v>
      </c>
      <c r="B969">
        <v>15.9649</v>
      </c>
      <c r="C969">
        <v>26.03586</v>
      </c>
      <c r="D969">
        <v>15.926159999999999</v>
      </c>
      <c r="E969" s="10">
        <v>16241.067999999999</v>
      </c>
      <c r="F969" s="10" t="s">
        <v>2544</v>
      </c>
      <c r="G969" s="10" t="s">
        <v>2545</v>
      </c>
      <c r="H969" s="10">
        <v>16241.067936514401</v>
      </c>
      <c r="I969" s="10">
        <v>-166.1878382477</v>
      </c>
      <c r="J969" s="10">
        <v>-166.204885779379</v>
      </c>
      <c r="K969" s="4">
        <f t="shared" si="216"/>
        <v>193.81216111111112</v>
      </c>
      <c r="L969" s="4">
        <f t="shared" si="217"/>
        <v>193.79511388888889</v>
      </c>
      <c r="M969" s="4">
        <f t="shared" si="218"/>
        <v>193.8121617523</v>
      </c>
      <c r="N969" s="4">
        <f t="shared" si="219"/>
        <v>193.795114220621</v>
      </c>
      <c r="O969" s="3">
        <f t="shared" si="209"/>
        <v>16241.067929490357</v>
      </c>
      <c r="P969" s="2">
        <f t="shared" si="211"/>
        <v>4.3414412576030552E-9</v>
      </c>
      <c r="Q969" s="2">
        <f t="shared" si="212"/>
        <v>4.324865815569288E-10</v>
      </c>
      <c r="R969" s="6">
        <f t="shared" si="213"/>
        <v>193.81216175162808</v>
      </c>
      <c r="S969" s="2">
        <f t="shared" si="214"/>
        <v>3.3048336848999089E-9</v>
      </c>
      <c r="T969" s="2">
        <f t="shared" si="210"/>
        <v>3.4668496887358379E-12</v>
      </c>
      <c r="U969" s="6">
        <f t="shared" si="215"/>
        <v>193.79511421995031</v>
      </c>
      <c r="V969" s="2">
        <f t="shared" si="207"/>
        <v>1.7083063039274076E-9</v>
      </c>
      <c r="W969" s="2">
        <f t="shared" si="208"/>
        <v>3.4608483389067176E-12</v>
      </c>
    </row>
    <row r="970" spans="1:23" x14ac:dyDescent="0.45">
      <c r="A970">
        <v>23.179860000000001</v>
      </c>
      <c r="B970">
        <v>-59.313989999999997</v>
      </c>
      <c r="C970">
        <v>23.27271</v>
      </c>
      <c r="D970">
        <v>-59.216720000000002</v>
      </c>
      <c r="E970" s="10">
        <v>14312.68</v>
      </c>
      <c r="F970" s="10" t="s">
        <v>2546</v>
      </c>
      <c r="G970" s="10" t="s">
        <v>2547</v>
      </c>
      <c r="H970" s="10">
        <v>14312.6796004151</v>
      </c>
      <c r="I970" s="10">
        <v>44.054573129448201</v>
      </c>
      <c r="J970" s="10">
        <v>44.092932890520402</v>
      </c>
      <c r="K970" s="4">
        <f t="shared" si="216"/>
        <v>44.05457222222222</v>
      </c>
      <c r="L970" s="4">
        <f t="shared" si="217"/>
        <v>44.092933333333349</v>
      </c>
      <c r="M970" s="4">
        <f t="shared" si="218"/>
        <v>44.054573129448215</v>
      </c>
      <c r="N970" s="4">
        <f t="shared" si="219"/>
        <v>44.092932890520387</v>
      </c>
      <c r="O970" s="3">
        <f t="shared" si="209"/>
        <v>14312.679598349496</v>
      </c>
      <c r="P970" s="2">
        <f t="shared" si="211"/>
        <v>2.8062564418413568E-8</v>
      </c>
      <c r="Q970" s="2">
        <f t="shared" si="212"/>
        <v>1.4431989023494171E-10</v>
      </c>
      <c r="R970" s="6">
        <f t="shared" si="213"/>
        <v>44.054573127698021</v>
      </c>
      <c r="S970" s="2">
        <f t="shared" si="214"/>
        <v>2.0553503423838744E-8</v>
      </c>
      <c r="T970" s="2">
        <f t="shared" si="210"/>
        <v>3.9727876847810119E-11</v>
      </c>
      <c r="U970" s="6">
        <f t="shared" si="215"/>
        <v>44.092932888768587</v>
      </c>
      <c r="V970" s="2">
        <f t="shared" si="207"/>
        <v>1.0082449233563927E-8</v>
      </c>
      <c r="W970" s="2">
        <f t="shared" si="208"/>
        <v>3.9729733714969183E-11</v>
      </c>
    </row>
    <row r="971" spans="1:23" x14ac:dyDescent="0.4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10">
        <v>11423.776</v>
      </c>
      <c r="F971" s="10" t="s">
        <v>2548</v>
      </c>
      <c r="G971" s="10" t="s">
        <v>2549</v>
      </c>
      <c r="H971" s="10">
        <v>11423.7755862703</v>
      </c>
      <c r="I971" s="10">
        <v>144.997350586604</v>
      </c>
      <c r="J971" s="10">
        <v>144.931465897538</v>
      </c>
      <c r="K971" s="4">
        <f t="shared" si="216"/>
        <v>144.99735000000001</v>
      </c>
      <c r="L971" s="4">
        <f t="shared" si="217"/>
        <v>144.93146666666667</v>
      </c>
      <c r="M971" s="4">
        <f t="shared" si="218"/>
        <v>144.997350586604</v>
      </c>
      <c r="N971" s="4">
        <f t="shared" si="219"/>
        <v>144.93146589753803</v>
      </c>
      <c r="O971" s="3">
        <f t="shared" si="209"/>
        <v>11423.775588966761</v>
      </c>
      <c r="P971" s="2">
        <f t="shared" si="211"/>
        <v>3.5980505857990563E-8</v>
      </c>
      <c r="Q971" s="2">
        <f t="shared" si="212"/>
        <v>2.3603937039082855E-10</v>
      </c>
      <c r="R971" s="6">
        <f t="shared" si="213"/>
        <v>144.99735058670083</v>
      </c>
      <c r="S971" s="2">
        <f t="shared" si="214"/>
        <v>4.0462865097810458E-9</v>
      </c>
      <c r="T971" s="2">
        <f t="shared" si="210"/>
        <v>6.6782436808423055E-13</v>
      </c>
      <c r="U971" s="6">
        <f t="shared" si="215"/>
        <v>144.9314658976366</v>
      </c>
      <c r="V971" s="2">
        <f t="shared" si="207"/>
        <v>5.306163554275511E-9</v>
      </c>
      <c r="W971" s="2">
        <f t="shared" si="208"/>
        <v>6.8009032886153574E-13</v>
      </c>
    </row>
    <row r="972" spans="1:23" x14ac:dyDescent="0.45">
      <c r="A972">
        <v>49.375880000000002</v>
      </c>
      <c r="B972">
        <v>174.13990000000001</v>
      </c>
      <c r="C972">
        <v>49.530279999999998</v>
      </c>
      <c r="D972">
        <v>174.25591</v>
      </c>
      <c r="E972" s="10">
        <v>19121.55</v>
      </c>
      <c r="F972" s="10" t="s">
        <v>2550</v>
      </c>
      <c r="G972" s="10" t="s">
        <v>2551</v>
      </c>
      <c r="H972" s="10">
        <v>19121.549664005401</v>
      </c>
      <c r="I972" s="10">
        <v>26.052851807038799</v>
      </c>
      <c r="J972" s="10">
        <v>26.1410048678839</v>
      </c>
      <c r="K972" s="4">
        <f t="shared" si="216"/>
        <v>26.052852777777776</v>
      </c>
      <c r="L972" s="4">
        <f t="shared" si="217"/>
        <v>26.14100555555558</v>
      </c>
      <c r="M972" s="4">
        <f t="shared" si="218"/>
        <v>26.052851807038792</v>
      </c>
      <c r="N972" s="4">
        <f t="shared" si="219"/>
        <v>26.141004867883908</v>
      </c>
      <c r="O972" s="3">
        <f t="shared" si="209"/>
        <v>19121.549668648218</v>
      </c>
      <c r="P972" s="2">
        <f t="shared" si="211"/>
        <v>1.7328709279043883E-8</v>
      </c>
      <c r="Q972" s="2">
        <f t="shared" si="212"/>
        <v>2.4280551205431786E-10</v>
      </c>
      <c r="R972" s="6">
        <f t="shared" si="213"/>
        <v>26.052851806982861</v>
      </c>
      <c r="S972" s="2">
        <f t="shared" si="214"/>
        <v>3.726251873294733E-8</v>
      </c>
      <c r="T972" s="2">
        <f t="shared" si="210"/>
        <v>2.1468041909425586E-12</v>
      </c>
      <c r="U972" s="6">
        <f t="shared" si="215"/>
        <v>26.141004867827341</v>
      </c>
      <c r="V972" s="2">
        <f t="shared" si="207"/>
        <v>2.6308407966182915E-8</v>
      </c>
      <c r="W972" s="2">
        <f t="shared" si="208"/>
        <v>2.1638918427101985E-12</v>
      </c>
    </row>
    <row r="973" spans="1:23" x14ac:dyDescent="0.45">
      <c r="A973">
        <v>-16.225269999999998</v>
      </c>
      <c r="B973">
        <v>68.373649999999998</v>
      </c>
      <c r="C973">
        <v>-16.23677</v>
      </c>
      <c r="D973">
        <v>68.531899999999993</v>
      </c>
      <c r="E973" s="10">
        <v>16966.385999999999</v>
      </c>
      <c r="F973" s="10" t="s">
        <v>2552</v>
      </c>
      <c r="G973" s="10" t="s">
        <v>2553</v>
      </c>
      <c r="H973" s="10">
        <v>16966.386283860302</v>
      </c>
      <c r="I973" s="10">
        <v>94.323753802089399</v>
      </c>
      <c r="J973" s="10">
        <v>94.279521164903798</v>
      </c>
      <c r="K973" s="4">
        <f t="shared" si="216"/>
        <v>94.323752777777784</v>
      </c>
      <c r="L973" s="4">
        <f t="shared" si="217"/>
        <v>94.279522222222226</v>
      </c>
      <c r="M973" s="4">
        <f t="shared" si="218"/>
        <v>94.323753802089414</v>
      </c>
      <c r="N973" s="4">
        <f t="shared" si="219"/>
        <v>94.279521164903827</v>
      </c>
      <c r="O973" s="3">
        <f t="shared" si="209"/>
        <v>16966.386282289379</v>
      </c>
      <c r="P973" s="2">
        <f t="shared" si="211"/>
        <v>1.6638156191063051E-8</v>
      </c>
      <c r="Q973" s="2">
        <f t="shared" si="212"/>
        <v>9.2590306407338277E-11</v>
      </c>
      <c r="R973" s="6">
        <f t="shared" si="213"/>
        <v>94.323753802458484</v>
      </c>
      <c r="S973" s="2">
        <f t="shared" si="214"/>
        <v>1.0863442868054329E-8</v>
      </c>
      <c r="T973" s="2">
        <f t="shared" si="210"/>
        <v>3.9128013138969857E-12</v>
      </c>
      <c r="U973" s="6">
        <f t="shared" si="215"/>
        <v>94.27952116527743</v>
      </c>
      <c r="V973" s="2">
        <f t="shared" ref="V973:V1036" si="220">ABS((L973-U973)/L973)</f>
        <v>1.121075681824426E-8</v>
      </c>
      <c r="W973" s="2">
        <f t="shared" ref="W973:W1036" si="221">ABS((N973-U973)/N973)</f>
        <v>3.9627202795100424E-12</v>
      </c>
    </row>
    <row r="974" spans="1:23" x14ac:dyDescent="0.45">
      <c r="A974">
        <v>-30.425429999999999</v>
      </c>
      <c r="B974">
        <v>84.17201</v>
      </c>
      <c r="C974">
        <v>-30.57798</v>
      </c>
      <c r="D974">
        <v>84.154649999999904</v>
      </c>
      <c r="E974" s="10">
        <v>16993.748</v>
      </c>
      <c r="F974" s="10" t="s">
        <v>2554</v>
      </c>
      <c r="G974" s="10" t="s">
        <v>2555</v>
      </c>
      <c r="H974" s="10">
        <v>16993.748128336301</v>
      </c>
      <c r="I974" s="10">
        <v>-174.37657948566201</v>
      </c>
      <c r="J974" s="10">
        <v>-174.36776816668601</v>
      </c>
      <c r="K974" s="4">
        <f t="shared" si="216"/>
        <v>185.62341944444444</v>
      </c>
      <c r="L974" s="4">
        <f t="shared" si="217"/>
        <v>185.63223055555557</v>
      </c>
      <c r="M974" s="4">
        <f t="shared" si="218"/>
        <v>185.62342051433799</v>
      </c>
      <c r="N974" s="4">
        <f t="shared" si="219"/>
        <v>185.63223183331399</v>
      </c>
      <c r="O974" s="3">
        <f t="shared" si="209"/>
        <v>16993.7481194953</v>
      </c>
      <c r="P974" s="2">
        <f t="shared" si="211"/>
        <v>7.0317213229616671E-9</v>
      </c>
      <c r="Q974" s="2">
        <f t="shared" si="212"/>
        <v>5.2025024016550444E-10</v>
      </c>
      <c r="R974" s="6">
        <f t="shared" si="213"/>
        <v>185.62342051415732</v>
      </c>
      <c r="S974" s="2">
        <f t="shared" si="214"/>
        <v>5.7628120592462833E-9</v>
      </c>
      <c r="T974" s="2">
        <f t="shared" si="210"/>
        <v>9.733513494603574E-13</v>
      </c>
      <c r="U974" s="6">
        <f t="shared" si="215"/>
        <v>185.63223183313278</v>
      </c>
      <c r="V974" s="2">
        <f t="shared" si="220"/>
        <v>6.882302756362137E-9</v>
      </c>
      <c r="W974" s="2">
        <f t="shared" si="221"/>
        <v>9.7621419264611973E-13</v>
      </c>
    </row>
    <row r="975" spans="1:23" x14ac:dyDescent="0.45">
      <c r="A975">
        <v>-44.331209999999999</v>
      </c>
      <c r="B975">
        <v>69.867279999999994</v>
      </c>
      <c r="C975">
        <v>-44.33775</v>
      </c>
      <c r="D975">
        <v>69.855050000000006</v>
      </c>
      <c r="E975" s="10">
        <v>1216.3520000000001</v>
      </c>
      <c r="F975" s="10" t="s">
        <v>2556</v>
      </c>
      <c r="G975" s="10" t="s">
        <v>2557</v>
      </c>
      <c r="H975" s="10">
        <v>1216.3516009370701</v>
      </c>
      <c r="I975" s="10">
        <v>-126.692199724977</v>
      </c>
      <c r="J975" s="10">
        <v>-126.68365284013601</v>
      </c>
      <c r="K975" s="4">
        <f t="shared" si="216"/>
        <v>233.30779999999999</v>
      </c>
      <c r="L975" s="4">
        <f t="shared" si="217"/>
        <v>233.31634722222222</v>
      </c>
      <c r="M975" s="4">
        <f t="shared" si="218"/>
        <v>233.307800275023</v>
      </c>
      <c r="N975" s="4">
        <f t="shared" si="219"/>
        <v>233.31634715986399</v>
      </c>
      <c r="O975" s="3">
        <f t="shared" si="209"/>
        <v>1216.3516011184818</v>
      </c>
      <c r="P975" s="2">
        <f t="shared" si="211"/>
        <v>3.2793263654107854E-7</v>
      </c>
      <c r="Q975" s="2">
        <f t="shared" si="212"/>
        <v>1.4914411131481418E-10</v>
      </c>
      <c r="R975" s="6">
        <f t="shared" si="213"/>
        <v>233.30780027484354</v>
      </c>
      <c r="S975" s="2">
        <f t="shared" si="214"/>
        <v>1.1780298716565584E-9</v>
      </c>
      <c r="T975" s="2">
        <f t="shared" si="210"/>
        <v>7.6917562607006673E-13</v>
      </c>
      <c r="U975" s="6">
        <f t="shared" si="215"/>
        <v>233.31634715969739</v>
      </c>
      <c r="V975" s="2">
        <f t="shared" si="220"/>
        <v>2.6798307986223396E-10</v>
      </c>
      <c r="W975" s="2">
        <f t="shared" si="221"/>
        <v>7.1408652976583579E-13</v>
      </c>
    </row>
    <row r="976" spans="1:23" x14ac:dyDescent="0.4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10">
        <v>9132.19</v>
      </c>
      <c r="F976" s="10" t="s">
        <v>2558</v>
      </c>
      <c r="G976" s="10" t="s">
        <v>2559</v>
      </c>
      <c r="H976" s="10">
        <v>9132.1901744224906</v>
      </c>
      <c r="I976" s="10">
        <v>0.29028573939950097</v>
      </c>
      <c r="J976" s="10">
        <v>0.234076970200186</v>
      </c>
      <c r="K976" s="4">
        <f t="shared" si="216"/>
        <v>0.29028611111111108</v>
      </c>
      <c r="L976" s="4">
        <f t="shared" si="217"/>
        <v>0.23407777777777028</v>
      </c>
      <c r="M976" s="4">
        <f t="shared" si="218"/>
        <v>0.29028573939950775</v>
      </c>
      <c r="N976" s="4">
        <f t="shared" si="219"/>
        <v>0.23407697020019214</v>
      </c>
      <c r="O976" s="3">
        <f t="shared" si="209"/>
        <v>9132.1901696368695</v>
      </c>
      <c r="P976" s="2">
        <f t="shared" si="211"/>
        <v>1.857570517387609E-8</v>
      </c>
      <c r="Q976" s="2">
        <f t="shared" si="212"/>
        <v>5.2403869905695566E-10</v>
      </c>
      <c r="R976" s="6">
        <f t="shared" si="213"/>
        <v>0.29028573939964381</v>
      </c>
      <c r="S976" s="2">
        <f t="shared" si="214"/>
        <v>1.2805003513609961E-6</v>
      </c>
      <c r="T976" s="2">
        <f t="shared" si="210"/>
        <v>4.6870311972357138E-13</v>
      </c>
      <c r="U976" s="6">
        <f t="shared" si="215"/>
        <v>0.23407697020030949</v>
      </c>
      <c r="V976" s="2">
        <f t="shared" si="220"/>
        <v>3.4500389932771165E-6</v>
      </c>
      <c r="W976" s="2">
        <f t="shared" si="221"/>
        <v>5.0133327342077299E-13</v>
      </c>
    </row>
    <row r="977" spans="1:23" x14ac:dyDescent="0.4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10">
        <v>10188.924000000001</v>
      </c>
      <c r="F977" s="10" t="s">
        <v>2560</v>
      </c>
      <c r="G977" s="10" t="s">
        <v>2561</v>
      </c>
      <c r="H977" s="10">
        <v>10188.924272311</v>
      </c>
      <c r="I977" s="10">
        <v>-0.31213989380857199</v>
      </c>
      <c r="J977" s="10">
        <v>-0.41819833389952599</v>
      </c>
      <c r="K977" s="4">
        <f t="shared" si="216"/>
        <v>359.68786111111109</v>
      </c>
      <c r="L977" s="4">
        <f t="shared" si="217"/>
        <v>359.58180277777774</v>
      </c>
      <c r="M977" s="4">
        <f t="shared" si="218"/>
        <v>359.68786010619141</v>
      </c>
      <c r="N977" s="4">
        <f t="shared" si="219"/>
        <v>359.58180166610049</v>
      </c>
      <c r="O977" s="3">
        <f t="shared" si="209"/>
        <v>10188.924266966649</v>
      </c>
      <c r="P977" s="2">
        <f t="shared" si="211"/>
        <v>2.6201652722982583E-8</v>
      </c>
      <c r="Q977" s="2">
        <f t="shared" si="212"/>
        <v>5.2452553339794917E-10</v>
      </c>
      <c r="R977" s="6">
        <f t="shared" si="213"/>
        <v>359.68786010619124</v>
      </c>
      <c r="S977" s="2">
        <f t="shared" si="214"/>
        <v>2.7938664627623754E-9</v>
      </c>
      <c r="T977" s="2">
        <f t="shared" si="210"/>
        <v>4.7410623347721004E-16</v>
      </c>
      <c r="U977" s="6">
        <f t="shared" si="215"/>
        <v>359.58180166610032</v>
      </c>
      <c r="V977" s="2">
        <f t="shared" si="220"/>
        <v>3.0915842007365095E-9</v>
      </c>
      <c r="W977" s="2">
        <f t="shared" si="221"/>
        <v>4.7424607083084416E-16</v>
      </c>
    </row>
    <row r="978" spans="1:23" x14ac:dyDescent="0.45">
      <c r="A978">
        <v>26.988849999999999</v>
      </c>
      <c r="B978">
        <v>-13.80307</v>
      </c>
      <c r="C978">
        <v>27.083939999999998</v>
      </c>
      <c r="D978">
        <v>-13.968450000000001</v>
      </c>
      <c r="E978" s="10">
        <v>19500.922999999999</v>
      </c>
      <c r="F978" s="10" t="s">
        <v>2562</v>
      </c>
      <c r="G978" s="10" t="s">
        <v>2563</v>
      </c>
      <c r="H978" s="10">
        <v>19500.922763238701</v>
      </c>
      <c r="I978" s="10">
        <v>-57.2583333034177</v>
      </c>
      <c r="J978" s="10">
        <v>-57.333507906248499</v>
      </c>
      <c r="K978" s="4">
        <f t="shared" si="216"/>
        <v>302.74166666666667</v>
      </c>
      <c r="L978" s="4">
        <f t="shared" si="217"/>
        <v>302.66649166666667</v>
      </c>
      <c r="M978" s="4">
        <f t="shared" si="218"/>
        <v>302.74166669658229</v>
      </c>
      <c r="N978" s="4">
        <f t="shared" si="219"/>
        <v>302.66649209375151</v>
      </c>
      <c r="O978" s="3">
        <f t="shared" si="209"/>
        <v>19500.922762924514</v>
      </c>
      <c r="P978" s="2">
        <f t="shared" si="211"/>
        <v>1.2157141721943558E-8</v>
      </c>
      <c r="Q978" s="2">
        <f t="shared" si="212"/>
        <v>1.6111379319400046E-11</v>
      </c>
      <c r="R978" s="6">
        <f t="shared" si="213"/>
        <v>302.74166669776207</v>
      </c>
      <c r="S978" s="2">
        <f t="shared" si="214"/>
        <v>1.0271264217547735E-10</v>
      </c>
      <c r="T978" s="2">
        <f t="shared" si="210"/>
        <v>3.8970029177995181E-12</v>
      </c>
      <c r="U978" s="6">
        <f t="shared" si="215"/>
        <v>302.66649209493499</v>
      </c>
      <c r="V978" s="2">
        <f t="shared" si="220"/>
        <v>1.4149842613258574E-9</v>
      </c>
      <c r="W978" s="2">
        <f t="shared" si="221"/>
        <v>3.9101784029513179E-12</v>
      </c>
    </row>
    <row r="979" spans="1:23" x14ac:dyDescent="0.45">
      <c r="A979">
        <v>43.0321</v>
      </c>
      <c r="B979">
        <v>10.43601</v>
      </c>
      <c r="C979">
        <v>43.064399999999999</v>
      </c>
      <c r="D979">
        <v>10.326569999999901</v>
      </c>
      <c r="E979" s="10">
        <v>9611.7849999999999</v>
      </c>
      <c r="F979" s="10" t="s">
        <v>2564</v>
      </c>
      <c r="G979" s="10" t="s">
        <v>2565</v>
      </c>
      <c r="H979" s="10">
        <v>9611.7851508957992</v>
      </c>
      <c r="I979" s="10">
        <v>-68.041791726573095</v>
      </c>
      <c r="J979" s="10">
        <v>-68.116497018618901</v>
      </c>
      <c r="K979" s="4">
        <f t="shared" si="216"/>
        <v>291.95820833333335</v>
      </c>
      <c r="L979" s="4">
        <f t="shared" si="217"/>
        <v>291.88350277777778</v>
      </c>
      <c r="M979" s="4">
        <f t="shared" si="218"/>
        <v>291.95820827342692</v>
      </c>
      <c r="N979" s="4">
        <f t="shared" si="219"/>
        <v>291.88350298138107</v>
      </c>
      <c r="O979" s="3">
        <f t="shared" si="209"/>
        <v>9611.7851512512243</v>
      </c>
      <c r="P979" s="2">
        <f t="shared" si="211"/>
        <v>1.5736018278779472E-8</v>
      </c>
      <c r="Q979" s="2">
        <f t="shared" si="212"/>
        <v>3.6978050060921804E-11</v>
      </c>
      <c r="R979" s="6">
        <f t="shared" si="213"/>
        <v>291.95820827352065</v>
      </c>
      <c r="S979" s="2">
        <f t="shared" si="214"/>
        <v>2.0486730628286387E-10</v>
      </c>
      <c r="T979" s="2">
        <f t="shared" si="210"/>
        <v>3.2105553139196961E-13</v>
      </c>
      <c r="U979" s="6">
        <f t="shared" si="215"/>
        <v>291.88350298147338</v>
      </c>
      <c r="V979" s="2">
        <f t="shared" si="220"/>
        <v>6.97866115150957E-10</v>
      </c>
      <c r="W979" s="2">
        <f t="shared" si="221"/>
        <v>3.1626902955128921E-13</v>
      </c>
    </row>
    <row r="980" spans="1:23" x14ac:dyDescent="0.45">
      <c r="A980">
        <v>-84.256739999999994</v>
      </c>
      <c r="B980">
        <v>122.37854</v>
      </c>
      <c r="C980">
        <v>-84.211079999999995</v>
      </c>
      <c r="D980">
        <v>122.40808</v>
      </c>
      <c r="E980" s="10">
        <v>5110.1890000000003</v>
      </c>
      <c r="F980" s="10" t="s">
        <v>2566</v>
      </c>
      <c r="G980" s="10" t="s">
        <v>2567</v>
      </c>
      <c r="H980" s="10">
        <v>5110.1885702803202</v>
      </c>
      <c r="I980" s="10">
        <v>3.7338279949114899</v>
      </c>
      <c r="J980" s="10">
        <v>3.7044374548140202</v>
      </c>
      <c r="K980" s="4">
        <f t="shared" si="216"/>
        <v>3.7338277777777775</v>
      </c>
      <c r="L980" s="4">
        <f t="shared" si="217"/>
        <v>3.7044361111111357</v>
      </c>
      <c r="M980" s="4">
        <f t="shared" si="218"/>
        <v>3.7338279949115076</v>
      </c>
      <c r="N980" s="4">
        <f t="shared" si="219"/>
        <v>3.7044374548140127</v>
      </c>
      <c r="O980" s="3">
        <f t="shared" si="209"/>
        <v>5110.1885681820268</v>
      </c>
      <c r="P980" s="2">
        <f t="shared" si="211"/>
        <v>8.4501370409037056E-8</v>
      </c>
      <c r="Q980" s="2">
        <f t="shared" si="212"/>
        <v>4.106097805615453E-10</v>
      </c>
      <c r="R980" s="6">
        <f t="shared" si="213"/>
        <v>3.7338279905983747</v>
      </c>
      <c r="S980" s="2">
        <f t="shared" si="214"/>
        <v>5.6997968254413375E-8</v>
      </c>
      <c r="T980" s="2">
        <f t="shared" si="210"/>
        <v>1.1551504160810984E-9</v>
      </c>
      <c r="U980" s="6">
        <f t="shared" si="215"/>
        <v>3.7044374505349333</v>
      </c>
      <c r="V980" s="2">
        <f t="shared" si="220"/>
        <v>3.6157292432044976E-7</v>
      </c>
      <c r="W980" s="2">
        <f t="shared" si="221"/>
        <v>1.1551225699726105E-9</v>
      </c>
    </row>
    <row r="981" spans="1:23" x14ac:dyDescent="0.4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10">
        <v>5373.7330000000002</v>
      </c>
      <c r="F981" s="10" t="s">
        <v>2568</v>
      </c>
      <c r="G981" s="10" t="s">
        <v>2569</v>
      </c>
      <c r="H981" s="10">
        <v>5373.7332077354904</v>
      </c>
      <c r="I981" s="10">
        <v>3.2677990295099599</v>
      </c>
      <c r="J981" s="10">
        <v>3.4015297624355401</v>
      </c>
      <c r="K981" s="4">
        <f t="shared" si="216"/>
        <v>3.2677999999999998</v>
      </c>
      <c r="L981" s="4">
        <f t="shared" si="217"/>
        <v>3.4015305555555528</v>
      </c>
      <c r="M981" s="4">
        <f t="shared" si="218"/>
        <v>3.2677990295099448</v>
      </c>
      <c r="N981" s="4">
        <f t="shared" si="219"/>
        <v>3.4015297624355298</v>
      </c>
      <c r="O981" s="3">
        <f t="shared" si="209"/>
        <v>5373.7332049470524</v>
      </c>
      <c r="P981" s="2">
        <f t="shared" si="211"/>
        <v>3.8138674218681782E-8</v>
      </c>
      <c r="Q981" s="2">
        <f t="shared" si="212"/>
        <v>5.1890145793723047E-10</v>
      </c>
      <c r="R981" s="6">
        <f t="shared" si="213"/>
        <v>3.2677990295018944</v>
      </c>
      <c r="S981" s="2">
        <f t="shared" si="214"/>
        <v>2.9698822003635901E-7</v>
      </c>
      <c r="T981" s="2">
        <f t="shared" si="210"/>
        <v>2.4635692475155733E-12</v>
      </c>
      <c r="U981" s="6">
        <f t="shared" si="215"/>
        <v>3.4015297624272085</v>
      </c>
      <c r="V981" s="2">
        <f t="shared" si="220"/>
        <v>2.3316807871642238E-7</v>
      </c>
      <c r="W981" s="2">
        <f t="shared" si="221"/>
        <v>2.4463533161068999E-12</v>
      </c>
    </row>
    <row r="982" spans="1:23" x14ac:dyDescent="0.45">
      <c r="A982">
        <v>-49.55829</v>
      </c>
      <c r="B982">
        <v>-85.551069999999996</v>
      </c>
      <c r="C982">
        <v>-49.394210000000001</v>
      </c>
      <c r="D982">
        <v>-85.664760000000001</v>
      </c>
      <c r="E982" s="10">
        <v>20022.603999999999</v>
      </c>
      <c r="F982" s="10" t="s">
        <v>2570</v>
      </c>
      <c r="G982" s="10" t="s">
        <v>2571</v>
      </c>
      <c r="H982" s="10">
        <v>20022.604360622499</v>
      </c>
      <c r="I982" s="10">
        <v>-24.342298318856699</v>
      </c>
      <c r="J982" s="10">
        <v>-24.255878277366602</v>
      </c>
      <c r="K982" s="4">
        <f t="shared" si="216"/>
        <v>335.65770277777779</v>
      </c>
      <c r="L982" s="4">
        <f t="shared" si="217"/>
        <v>335.74412222222225</v>
      </c>
      <c r="M982" s="4">
        <f t="shared" si="218"/>
        <v>335.65770168114329</v>
      </c>
      <c r="N982" s="4">
        <f t="shared" si="219"/>
        <v>335.74412172263339</v>
      </c>
      <c r="O982" s="3">
        <f t="shared" si="209"/>
        <v>20022.604365306262</v>
      </c>
      <c r="P982" s="2">
        <f t="shared" si="211"/>
        <v>1.8244693003974233E-8</v>
      </c>
      <c r="Q982" s="2">
        <f t="shared" si="212"/>
        <v>2.3392377058231504E-10</v>
      </c>
      <c r="R982" s="6">
        <f t="shared" si="213"/>
        <v>335.65770168120406</v>
      </c>
      <c r="S982" s="2">
        <f t="shared" si="214"/>
        <v>3.2669404484689189E-9</v>
      </c>
      <c r="T982" s="2">
        <f t="shared" si="210"/>
        <v>1.8103447189758757E-13</v>
      </c>
      <c r="U982" s="6">
        <f t="shared" si="215"/>
        <v>335.74412172269388</v>
      </c>
      <c r="V982" s="2">
        <f t="shared" si="220"/>
        <v>1.4878246135332356E-9</v>
      </c>
      <c r="W982" s="2">
        <f t="shared" si="221"/>
        <v>1.8014134501471606E-13</v>
      </c>
    </row>
    <row r="983" spans="1:23" x14ac:dyDescent="0.45">
      <c r="A983">
        <v>16.99661</v>
      </c>
      <c r="B983">
        <v>142.86963</v>
      </c>
      <c r="C983">
        <v>17.1006</v>
      </c>
      <c r="D983">
        <v>142.78934000000001</v>
      </c>
      <c r="E983" s="10">
        <v>14335.521000000001</v>
      </c>
      <c r="F983" s="10" t="s">
        <v>2572</v>
      </c>
      <c r="G983" s="10" t="s">
        <v>2573</v>
      </c>
      <c r="H983" s="10">
        <v>14335.521141862</v>
      </c>
      <c r="I983" s="10">
        <v>-36.589958888919099</v>
      </c>
      <c r="J983" s="10">
        <v>-36.613498553162501</v>
      </c>
      <c r="K983" s="4">
        <f t="shared" si="216"/>
        <v>323.41004166666664</v>
      </c>
      <c r="L983" s="4">
        <f t="shared" si="217"/>
        <v>323.38650277777776</v>
      </c>
      <c r="M983" s="4">
        <f t="shared" si="218"/>
        <v>323.41004111108089</v>
      </c>
      <c r="N983" s="4">
        <f t="shared" si="219"/>
        <v>323.38650144683749</v>
      </c>
      <c r="O983" s="3">
        <f t="shared" si="209"/>
        <v>14335.521140331077</v>
      </c>
      <c r="P983" s="2">
        <f t="shared" si="211"/>
        <v>9.7890461170968329E-9</v>
      </c>
      <c r="Q983" s="2">
        <f t="shared" si="212"/>
        <v>1.0679230371286426E-10</v>
      </c>
      <c r="R983" s="6">
        <f t="shared" si="213"/>
        <v>323.41004111343841</v>
      </c>
      <c r="S983" s="2">
        <f t="shared" si="214"/>
        <v>1.7106093247794204E-9</v>
      </c>
      <c r="T983" s="2">
        <f t="shared" si="210"/>
        <v>7.2895818130254604E-12</v>
      </c>
      <c r="U983" s="6">
        <f t="shared" si="215"/>
        <v>323.38650144919723</v>
      </c>
      <c r="V983" s="2">
        <f t="shared" si="220"/>
        <v>4.1083363919556164E-9</v>
      </c>
      <c r="W983" s="2">
        <f t="shared" si="221"/>
        <v>7.2969676737006544E-12</v>
      </c>
    </row>
    <row r="984" spans="1:23" x14ac:dyDescent="0.45">
      <c r="A984">
        <v>87.933639999999997</v>
      </c>
      <c r="B984">
        <v>-110.04489</v>
      </c>
      <c r="C984">
        <v>87.971580000000003</v>
      </c>
      <c r="D984">
        <v>-109.9132</v>
      </c>
      <c r="E984" s="10">
        <v>4270.07</v>
      </c>
      <c r="F984" s="10" t="s">
        <v>2574</v>
      </c>
      <c r="G984" s="10" t="s">
        <v>2575</v>
      </c>
      <c r="H984" s="10">
        <v>4270.0700505934101</v>
      </c>
      <c r="I984" s="10">
        <v>7.0031665383815103</v>
      </c>
      <c r="J984" s="10">
        <v>7.1347724773272896</v>
      </c>
      <c r="K984" s="4">
        <f t="shared" si="216"/>
        <v>7.003166666666667</v>
      </c>
      <c r="L984" s="4">
        <f t="shared" si="217"/>
        <v>7.1347722222221819</v>
      </c>
      <c r="M984" s="4">
        <f t="shared" si="218"/>
        <v>7.0031665383814925</v>
      </c>
      <c r="N984" s="4">
        <f t="shared" si="219"/>
        <v>7.1347724773273171</v>
      </c>
      <c r="O984" s="3">
        <f t="shared" si="209"/>
        <v>4270.0700484127501</v>
      </c>
      <c r="P984" s="2">
        <f t="shared" si="211"/>
        <v>1.1337694792438777E-8</v>
      </c>
      <c r="Q984" s="2">
        <f t="shared" si="212"/>
        <v>5.106848249116043E-10</v>
      </c>
      <c r="R984" s="6">
        <f t="shared" si="213"/>
        <v>7.0031665382593804</v>
      </c>
      <c r="S984" s="2">
        <f t="shared" si="214"/>
        <v>1.8335603405337273E-8</v>
      </c>
      <c r="T984" s="2">
        <f t="shared" si="210"/>
        <v>1.7436697748317839E-11</v>
      </c>
      <c r="U984" s="6">
        <f t="shared" si="215"/>
        <v>7.134772477202719</v>
      </c>
      <c r="V984" s="2">
        <f t="shared" si="220"/>
        <v>3.5737726333383338E-8</v>
      </c>
      <c r="W984" s="2">
        <f t="shared" si="221"/>
        <v>1.7463501464633456E-11</v>
      </c>
    </row>
    <row r="985" spans="1:23" x14ac:dyDescent="0.45">
      <c r="A985">
        <v>-63.323700000000002</v>
      </c>
      <c r="B985">
        <v>35.038049999999998</v>
      </c>
      <c r="C985">
        <v>-63.164490000000001</v>
      </c>
      <c r="D985">
        <v>35.19753</v>
      </c>
      <c r="E985" s="10">
        <v>19471.91</v>
      </c>
      <c r="F985" s="10" t="s">
        <v>2576</v>
      </c>
      <c r="G985" s="10" t="s">
        <v>2577</v>
      </c>
      <c r="H985" s="10">
        <v>19471.910453725101</v>
      </c>
      <c r="I985" s="10">
        <v>24.373725596290999</v>
      </c>
      <c r="J985" s="10">
        <v>24.2313205568658</v>
      </c>
      <c r="K985" s="4">
        <f t="shared" si="216"/>
        <v>24.373725</v>
      </c>
      <c r="L985" s="4">
        <f t="shared" si="217"/>
        <v>24.231319444444466</v>
      </c>
      <c r="M985" s="4">
        <f t="shared" si="218"/>
        <v>24.373725596291024</v>
      </c>
      <c r="N985" s="4">
        <f t="shared" si="219"/>
        <v>24.231320556865796</v>
      </c>
      <c r="O985" s="3">
        <f t="shared" si="209"/>
        <v>19471.910460122304</v>
      </c>
      <c r="P985" s="2">
        <f t="shared" si="211"/>
        <v>2.3630055012727287E-8</v>
      </c>
      <c r="Q985" s="2">
        <f t="shared" si="212"/>
        <v>3.2853498625794043E-10</v>
      </c>
      <c r="R985" s="6">
        <f t="shared" si="213"/>
        <v>24.373725589449066</v>
      </c>
      <c r="S985" s="2">
        <f t="shared" si="214"/>
        <v>2.4183790764760047E-8</v>
      </c>
      <c r="T985" s="2">
        <f t="shared" si="210"/>
        <v>2.8071039382761842E-10</v>
      </c>
      <c r="U985" s="6">
        <f t="shared" si="215"/>
        <v>24.231320550069039</v>
      </c>
      <c r="V985" s="2">
        <f t="shared" si="220"/>
        <v>4.5627914557545987E-8</v>
      </c>
      <c r="W985" s="2">
        <f t="shared" si="221"/>
        <v>2.8049469772376721E-10</v>
      </c>
    </row>
    <row r="986" spans="1:23" x14ac:dyDescent="0.4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10">
        <v>8319.59</v>
      </c>
      <c r="F986" s="10" t="s">
        <v>2578</v>
      </c>
      <c r="G986" s="10" t="s">
        <v>2579</v>
      </c>
      <c r="H986" s="10">
        <v>8319.5897276568994</v>
      </c>
      <c r="I986" s="10">
        <v>-175.06882415982801</v>
      </c>
      <c r="J986" s="10">
        <v>-175.04731121605499</v>
      </c>
      <c r="K986" s="4">
        <f t="shared" si="216"/>
        <v>184.931175</v>
      </c>
      <c r="L986" s="4">
        <f t="shared" si="217"/>
        <v>184.9526888888889</v>
      </c>
      <c r="M986" s="4">
        <f t="shared" si="218"/>
        <v>184.93117584017199</v>
      </c>
      <c r="N986" s="4">
        <f t="shared" si="219"/>
        <v>184.95268878394501</v>
      </c>
      <c r="O986" s="3">
        <f t="shared" si="209"/>
        <v>8319.5897252121649</v>
      </c>
      <c r="P986" s="2">
        <f t="shared" si="211"/>
        <v>3.3029011672910936E-8</v>
      </c>
      <c r="Q986" s="2">
        <f t="shared" si="212"/>
        <v>2.9385277054761477E-10</v>
      </c>
      <c r="R986" s="6">
        <f t="shared" si="213"/>
        <v>184.93117584006475</v>
      </c>
      <c r="S986" s="2">
        <f t="shared" si="214"/>
        <v>4.5425805428023442E-9</v>
      </c>
      <c r="T986" s="2">
        <f t="shared" si="210"/>
        <v>5.7986496432377084E-13</v>
      </c>
      <c r="U986" s="6">
        <f t="shared" si="215"/>
        <v>184.95268878383806</v>
      </c>
      <c r="V986" s="2">
        <f t="shared" si="220"/>
        <v>5.6798765726990128E-10</v>
      </c>
      <c r="W986" s="2">
        <f t="shared" si="221"/>
        <v>5.7826081518364095E-13</v>
      </c>
    </row>
    <row r="987" spans="1:23" x14ac:dyDescent="0.45">
      <c r="A987">
        <v>-40.048839999999998</v>
      </c>
      <c r="B987">
        <v>-125.82129</v>
      </c>
      <c r="C987">
        <v>-40.196159999999999</v>
      </c>
      <c r="D987">
        <v>-125.82666</v>
      </c>
      <c r="E987" s="10">
        <v>16364.371999999999</v>
      </c>
      <c r="F987" s="10" t="s">
        <v>2580</v>
      </c>
      <c r="G987" s="10" t="s">
        <v>2581</v>
      </c>
      <c r="H987" s="10">
        <v>16364.3722924626</v>
      </c>
      <c r="I987" s="10">
        <v>-178.39884216818601</v>
      </c>
      <c r="J987" s="10">
        <v>-178.39538160863</v>
      </c>
      <c r="K987" s="4">
        <f t="shared" si="216"/>
        <v>181.60115833333333</v>
      </c>
      <c r="L987" s="4">
        <f t="shared" si="217"/>
        <v>181.60461944444444</v>
      </c>
      <c r="M987" s="4">
        <f t="shared" si="218"/>
        <v>181.60115783181399</v>
      </c>
      <c r="N987" s="4">
        <f t="shared" si="219"/>
        <v>181.60461839137</v>
      </c>
      <c r="O987" s="3">
        <f t="shared" si="209"/>
        <v>16364.372289660885</v>
      </c>
      <c r="P987" s="2">
        <f t="shared" si="211"/>
        <v>1.7700702829014054E-8</v>
      </c>
      <c r="Q987" s="2">
        <f t="shared" si="212"/>
        <v>1.7120820460718815E-10</v>
      </c>
      <c r="R987" s="6">
        <f t="shared" si="213"/>
        <v>181.60115781968486</v>
      </c>
      <c r="S987" s="2">
        <f t="shared" si="214"/>
        <v>2.8284427137051058E-9</v>
      </c>
      <c r="T987" s="2">
        <f t="shared" si="210"/>
        <v>6.6789965298099202E-11</v>
      </c>
      <c r="U987" s="6">
        <f t="shared" si="215"/>
        <v>181.6046183792142</v>
      </c>
      <c r="V987" s="2">
        <f t="shared" si="220"/>
        <v>5.8656560594219426E-9</v>
      </c>
      <c r="W987" s="2">
        <f t="shared" si="221"/>
        <v>6.6935492614679373E-11</v>
      </c>
    </row>
    <row r="988" spans="1:23" x14ac:dyDescent="0.45">
      <c r="A988">
        <v>27.92492</v>
      </c>
      <c r="B988">
        <v>-54.82826</v>
      </c>
      <c r="C988">
        <v>27.76737</v>
      </c>
      <c r="D988">
        <v>-54.768700000000003</v>
      </c>
      <c r="E988" s="10">
        <v>18418.542000000001</v>
      </c>
      <c r="F988" s="10" t="s">
        <v>2582</v>
      </c>
      <c r="G988" s="10" t="s">
        <v>2583</v>
      </c>
      <c r="H988" s="10">
        <v>18418.5416648225</v>
      </c>
      <c r="I988" s="10">
        <v>161.41244694643299</v>
      </c>
      <c r="J988" s="10">
        <v>161.44026738615099</v>
      </c>
      <c r="K988" s="4">
        <f t="shared" si="216"/>
        <v>161.41244722222223</v>
      </c>
      <c r="L988" s="4">
        <f t="shared" si="217"/>
        <v>161.44026666666673</v>
      </c>
      <c r="M988" s="4">
        <f t="shared" si="218"/>
        <v>161.41244694643296</v>
      </c>
      <c r="N988" s="4">
        <f t="shared" si="219"/>
        <v>161.44026738615094</v>
      </c>
      <c r="O988" s="3">
        <f t="shared" si="209"/>
        <v>18418.541657108311</v>
      </c>
      <c r="P988" s="2">
        <f t="shared" si="211"/>
        <v>1.8616657594146033E-8</v>
      </c>
      <c r="Q988" s="2">
        <f t="shared" si="212"/>
        <v>4.1882732529356502E-10</v>
      </c>
      <c r="R988" s="6">
        <f t="shared" si="213"/>
        <v>161.4124469471864</v>
      </c>
      <c r="S988" s="2">
        <f t="shared" si="214"/>
        <v>1.7039319785302498E-9</v>
      </c>
      <c r="T988" s="2">
        <f t="shared" si="210"/>
        <v>4.6677385142461585E-12</v>
      </c>
      <c r="U988" s="6">
        <f t="shared" si="215"/>
        <v>161.44026738690354</v>
      </c>
      <c r="V988" s="2">
        <f t="shared" si="220"/>
        <v>4.461320755247072E-9</v>
      </c>
      <c r="W988" s="2">
        <f t="shared" si="221"/>
        <v>4.6618286620953659E-12</v>
      </c>
    </row>
    <row r="989" spans="1:23" x14ac:dyDescent="0.45">
      <c r="A989">
        <v>48.04907</v>
      </c>
      <c r="B989">
        <v>81.865170000000006</v>
      </c>
      <c r="C989">
        <v>48.16534</v>
      </c>
      <c r="D989">
        <v>81.815770000000001</v>
      </c>
      <c r="E989" s="10">
        <v>13441.574000000001</v>
      </c>
      <c r="F989" s="10" t="s">
        <v>2584</v>
      </c>
      <c r="G989" s="10" t="s">
        <v>2585</v>
      </c>
      <c r="H989" s="10">
        <v>13441.5739148146</v>
      </c>
      <c r="I989" s="10">
        <v>-15.8656838993408</v>
      </c>
      <c r="J989" s="10">
        <v>-15.9024570580609</v>
      </c>
      <c r="K989" s="4">
        <f t="shared" si="216"/>
        <v>344.13431666666668</v>
      </c>
      <c r="L989" s="4">
        <f t="shared" si="217"/>
        <v>344.09754166666664</v>
      </c>
      <c r="M989" s="4">
        <f t="shared" si="218"/>
        <v>344.13431610065919</v>
      </c>
      <c r="N989" s="4">
        <f t="shared" si="219"/>
        <v>344.09754294193908</v>
      </c>
      <c r="O989" s="3">
        <f t="shared" si="209"/>
        <v>13441.573915860041</v>
      </c>
      <c r="P989" s="2">
        <f t="shared" si="211"/>
        <v>6.2596805741529578E-9</v>
      </c>
      <c r="Q989" s="2">
        <f t="shared" si="212"/>
        <v>7.7776644271806964E-11</v>
      </c>
      <c r="R989" s="6">
        <f t="shared" si="213"/>
        <v>344.13431610069853</v>
      </c>
      <c r="S989" s="2">
        <f t="shared" si="214"/>
        <v>1.644614103149284E-9</v>
      </c>
      <c r="T989" s="2">
        <f t="shared" si="210"/>
        <v>1.1430317760049678E-13</v>
      </c>
      <c r="U989" s="6">
        <f t="shared" si="215"/>
        <v>344.09754294197865</v>
      </c>
      <c r="V989" s="2">
        <f t="shared" si="220"/>
        <v>3.7062514181399349E-9</v>
      </c>
      <c r="W989" s="2">
        <f t="shared" si="221"/>
        <v>1.1497617561831298E-13</v>
      </c>
    </row>
    <row r="990" spans="1:23" x14ac:dyDescent="0.45">
      <c r="A990">
        <v>89.605909999999994</v>
      </c>
      <c r="B990">
        <v>-10.43768</v>
      </c>
      <c r="C990">
        <v>89.674090000000007</v>
      </c>
      <c r="D990">
        <v>-10.542590000000001</v>
      </c>
      <c r="E990" s="10">
        <v>7615.6450000000004</v>
      </c>
      <c r="F990" s="10" t="s">
        <v>2586</v>
      </c>
      <c r="G990" s="10" t="s">
        <v>2587</v>
      </c>
      <c r="H990" s="10">
        <v>7615.6451806068299</v>
      </c>
      <c r="I990" s="10">
        <v>-0.50146502866712495</v>
      </c>
      <c r="J990" s="10">
        <v>-0.60637297640365095</v>
      </c>
      <c r="K990" s="4">
        <f t="shared" si="216"/>
        <v>359.49853611111109</v>
      </c>
      <c r="L990" s="4">
        <f t="shared" si="217"/>
        <v>359.39362777777774</v>
      </c>
      <c r="M990" s="4">
        <f t="shared" si="218"/>
        <v>359.4985349713329</v>
      </c>
      <c r="N990" s="4">
        <f t="shared" si="219"/>
        <v>359.39362702359637</v>
      </c>
      <c r="O990" s="3">
        <f t="shared" si="209"/>
        <v>7615.645176616038</v>
      </c>
      <c r="P990" s="2">
        <f t="shared" si="211"/>
        <v>2.3191211986172714E-8</v>
      </c>
      <c r="Q990" s="2">
        <f t="shared" si="212"/>
        <v>5.2402543923072798E-10</v>
      </c>
      <c r="R990" s="6">
        <f t="shared" si="213"/>
        <v>359.4985349713329</v>
      </c>
      <c r="S990" s="2">
        <f t="shared" si="214"/>
        <v>3.17046685129024E-9</v>
      </c>
      <c r="T990" s="2">
        <f t="shared" si="210"/>
        <v>0</v>
      </c>
      <c r="U990" s="6">
        <f t="shared" si="215"/>
        <v>359.39362702359642</v>
      </c>
      <c r="V990" s="2">
        <f t="shared" si="220"/>
        <v>2.098482712105943E-9</v>
      </c>
      <c r="W990" s="2">
        <f t="shared" si="221"/>
        <v>1.5816479365972704E-16</v>
      </c>
    </row>
    <row r="991" spans="1:23" x14ac:dyDescent="0.45">
      <c r="A991">
        <v>68.535939999999997</v>
      </c>
      <c r="B991">
        <v>175.52838</v>
      </c>
      <c r="C991">
        <v>68.527690000000007</v>
      </c>
      <c r="D991">
        <v>175.40531999999999</v>
      </c>
      <c r="E991" s="10">
        <v>5111.723</v>
      </c>
      <c r="F991" s="10" t="s">
        <v>2588</v>
      </c>
      <c r="G991" s="10" t="s">
        <v>2589</v>
      </c>
      <c r="H991" s="10">
        <v>5111.7233145229002</v>
      </c>
      <c r="I991" s="10">
        <v>-100.3138465159</v>
      </c>
      <c r="J991" s="10">
        <v>-100.428368734244</v>
      </c>
      <c r="K991" s="4">
        <f t="shared" si="216"/>
        <v>259.68615277777775</v>
      </c>
      <c r="L991" s="4">
        <f t="shared" si="217"/>
        <v>259.57163055555554</v>
      </c>
      <c r="M991" s="4">
        <f t="shared" si="218"/>
        <v>259.68615348410003</v>
      </c>
      <c r="N991" s="4">
        <f t="shared" si="219"/>
        <v>259.57163126575597</v>
      </c>
      <c r="O991" s="3">
        <f t="shared" ref="O991:O1054" si="222">VincentyInvDistance($A991,$B991,$C991,$D991)</f>
        <v>5111.7233124992754</v>
      </c>
      <c r="P991" s="2">
        <f t="shared" si="211"/>
        <v>6.1133843798609777E-8</v>
      </c>
      <c r="Q991" s="2">
        <f t="shared" si="212"/>
        <v>3.9587917370268258E-10</v>
      </c>
      <c r="R991" s="6">
        <f t="shared" si="213"/>
        <v>259.68615348317326</v>
      </c>
      <c r="S991" s="2">
        <f t="shared" si="214"/>
        <v>2.7163385486420835E-9</v>
      </c>
      <c r="T991" s="2">
        <f t="shared" ref="T991:T1054" si="223">ABS((M991-R991)/M991)</f>
        <v>3.5688275584680265E-12</v>
      </c>
      <c r="U991" s="6">
        <f t="shared" si="215"/>
        <v>259.57163126484096</v>
      </c>
      <c r="V991" s="2">
        <f t="shared" si="220"/>
        <v>2.7325228672341803E-9</v>
      </c>
      <c r="W991" s="2">
        <f t="shared" si="221"/>
        <v>3.5250713220876509E-12</v>
      </c>
    </row>
    <row r="992" spans="1:23" x14ac:dyDescent="0.4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10">
        <v>16645.358</v>
      </c>
      <c r="F992" s="10" t="s">
        <v>2590</v>
      </c>
      <c r="G992" s="10" t="s">
        <v>2591</v>
      </c>
      <c r="H992" s="10">
        <v>16645.358181914002</v>
      </c>
      <c r="I992" s="10">
        <v>-63.144495045000902</v>
      </c>
      <c r="J992" s="10">
        <v>-63.237768798874598</v>
      </c>
      <c r="K992" s="4">
        <f t="shared" si="216"/>
        <v>296.85550555555557</v>
      </c>
      <c r="L992" s="4">
        <f t="shared" si="217"/>
        <v>296.76223055555556</v>
      </c>
      <c r="M992" s="4">
        <f t="shared" si="218"/>
        <v>296.85550495499911</v>
      </c>
      <c r="N992" s="4">
        <f t="shared" si="219"/>
        <v>296.76223120112542</v>
      </c>
      <c r="O992" s="3">
        <f t="shared" si="222"/>
        <v>16645.358182390904</v>
      </c>
      <c r="P992" s="2">
        <f t="shared" ref="P992:P1055" si="224">ABS((E992-O992)/E992)</f>
        <v>1.0957463590069295E-8</v>
      </c>
      <c r="Q992" s="2">
        <f t="shared" ref="Q992:Q1055" si="225">ABS((H992-O992)/H992)</f>
        <v>2.8650788803080895E-11</v>
      </c>
      <c r="R992" s="6">
        <f t="shared" ref="R992:R1055" si="226">VincentyInvFwdAzimuth($A992,$B992,$C992,$D992)</f>
        <v>296.85550495546596</v>
      </c>
      <c r="S992" s="2">
        <f t="shared" ref="S992:S1055" si="227">ABS((K992-R992)/K992)</f>
        <v>2.0214872057959286E-9</v>
      </c>
      <c r="T992" s="2">
        <f t="shared" si="223"/>
        <v>1.5726674806808371E-12</v>
      </c>
      <c r="U992" s="6">
        <f t="shared" ref="U992:U1055" si="228">VincentyInvRevAzimuth($A992,$B992,$C992,$D992)</f>
        <v>296.76223120159483</v>
      </c>
      <c r="V992" s="2">
        <f t="shared" si="220"/>
        <v>2.1769592009550694E-9</v>
      </c>
      <c r="W992" s="2">
        <f t="shared" si="221"/>
        <v>1.5817813171596495E-12</v>
      </c>
    </row>
    <row r="993" spans="1:23" x14ac:dyDescent="0.45">
      <c r="A993">
        <v>-10.40157</v>
      </c>
      <c r="B993">
        <v>60.462679999999999</v>
      </c>
      <c r="C993">
        <v>-10.39433</v>
      </c>
      <c r="D993">
        <v>60.520389999999999</v>
      </c>
      <c r="E993" s="10">
        <v>6369.9769999999999</v>
      </c>
      <c r="F993" s="10" t="s">
        <v>2592</v>
      </c>
      <c r="G993" s="10" t="s">
        <v>2593</v>
      </c>
      <c r="H993" s="10">
        <v>6369.9765593348502</v>
      </c>
      <c r="I993" s="10">
        <v>82.782996516056599</v>
      </c>
      <c r="J993" s="10">
        <v>82.772580786211094</v>
      </c>
      <c r="K993" s="4">
        <f t="shared" si="216"/>
        <v>82.782997222222221</v>
      </c>
      <c r="L993" s="4">
        <f t="shared" si="217"/>
        <v>82.772580555555578</v>
      </c>
      <c r="M993" s="4">
        <f t="shared" si="218"/>
        <v>82.782996516056585</v>
      </c>
      <c r="N993" s="4">
        <f t="shared" si="219"/>
        <v>82.772580786211108</v>
      </c>
      <c r="O993" s="3">
        <f t="shared" si="222"/>
        <v>6369.9765586052245</v>
      </c>
      <c r="P993" s="2">
        <f t="shared" si="224"/>
        <v>6.9292993586537095E-8</v>
      </c>
      <c r="Q993" s="2">
        <f t="shared" si="225"/>
        <v>1.1454135612531782E-10</v>
      </c>
      <c r="R993" s="6">
        <f t="shared" si="226"/>
        <v>82.782996515281468</v>
      </c>
      <c r="S993" s="2">
        <f t="shared" si="227"/>
        <v>8.5396854036378292E-9</v>
      </c>
      <c r="T993" s="2">
        <f t="shared" si="223"/>
        <v>9.3632375271126655E-12</v>
      </c>
      <c r="U993" s="6">
        <f t="shared" si="228"/>
        <v>82.772580785436517</v>
      </c>
      <c r="V993" s="2">
        <f t="shared" si="220"/>
        <v>2.7772595421125845E-9</v>
      </c>
      <c r="W993" s="2">
        <f t="shared" si="221"/>
        <v>9.3580633901239067E-12</v>
      </c>
    </row>
    <row r="994" spans="1:23" x14ac:dyDescent="0.45">
      <c r="A994">
        <v>-11.86347</v>
      </c>
      <c r="B994">
        <v>-58.650460000000002</v>
      </c>
      <c r="C994">
        <v>-11.822430000000001</v>
      </c>
      <c r="D994">
        <v>-58.487209999999997</v>
      </c>
      <c r="E994" s="10">
        <v>18358.764999999999</v>
      </c>
      <c r="F994" s="10" t="s">
        <v>2594</v>
      </c>
      <c r="G994" s="10" t="s">
        <v>2595</v>
      </c>
      <c r="H994" s="10">
        <v>18358.764963214599</v>
      </c>
      <c r="I994" s="10">
        <v>75.699719337563707</v>
      </c>
      <c r="J994" s="10">
        <v>75.6662155533039</v>
      </c>
      <c r="K994" s="4">
        <f t="shared" si="216"/>
        <v>75.69971944444444</v>
      </c>
      <c r="L994" s="4">
        <f t="shared" si="217"/>
        <v>75.666216666666628</v>
      </c>
      <c r="M994" s="4">
        <f t="shared" si="218"/>
        <v>75.699719337563693</v>
      </c>
      <c r="N994" s="4">
        <f t="shared" si="219"/>
        <v>75.666215553303914</v>
      </c>
      <c r="O994" s="3">
        <f t="shared" si="222"/>
        <v>18358.764961290173</v>
      </c>
      <c r="P994" s="2">
        <f t="shared" si="224"/>
        <v>2.1085201638219131E-9</v>
      </c>
      <c r="Q994" s="2">
        <f t="shared" si="225"/>
        <v>1.048232443298312E-10</v>
      </c>
      <c r="R994" s="6">
        <f t="shared" si="226"/>
        <v>75.699719336130343</v>
      </c>
      <c r="S994" s="2">
        <f t="shared" si="227"/>
        <v>1.4308388200350798E-9</v>
      </c>
      <c r="T994" s="2">
        <f t="shared" si="223"/>
        <v>1.89346730963131E-11</v>
      </c>
      <c r="U994" s="6">
        <f t="shared" si="228"/>
        <v>75.666215551873577</v>
      </c>
      <c r="V994" s="2">
        <f t="shared" si="220"/>
        <v>1.4733035426780575E-8</v>
      </c>
      <c r="W994" s="2">
        <f t="shared" si="221"/>
        <v>1.8903241393540822E-11</v>
      </c>
    </row>
    <row r="995" spans="1:23" x14ac:dyDescent="0.4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10">
        <v>15746.016</v>
      </c>
      <c r="F995" s="10" t="s">
        <v>2596</v>
      </c>
      <c r="G995" s="10" t="s">
        <v>2597</v>
      </c>
      <c r="H995" s="10">
        <v>15746.016058684299</v>
      </c>
      <c r="I995" s="10">
        <v>-61.517438002010401</v>
      </c>
      <c r="J995" s="10">
        <v>-61.534158915517096</v>
      </c>
      <c r="K995" s="4">
        <f t="shared" si="216"/>
        <v>298.48256111111112</v>
      </c>
      <c r="L995" s="4">
        <f t="shared" si="217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22"/>
        <v>15746.016057338393</v>
      </c>
      <c r="P995" s="2">
        <f t="shared" si="224"/>
        <v>3.6414540136599565E-9</v>
      </c>
      <c r="Q995" s="2">
        <f t="shared" si="225"/>
        <v>8.5476010849700032E-11</v>
      </c>
      <c r="R995" s="6">
        <f t="shared" si="226"/>
        <v>298.48256200080118</v>
      </c>
      <c r="S995" s="2">
        <f t="shared" si="227"/>
        <v>2.9807103417566181E-9</v>
      </c>
      <c r="T995" s="2">
        <f t="shared" si="223"/>
        <v>9.4196095238294795E-12</v>
      </c>
      <c r="U995" s="6">
        <f t="shared" si="228"/>
        <v>298.4658410872965</v>
      </c>
      <c r="V995" s="2">
        <f t="shared" si="220"/>
        <v>1.9411607607778678E-9</v>
      </c>
      <c r="W995" s="2">
        <f t="shared" si="221"/>
        <v>9.4268030576973481E-12</v>
      </c>
    </row>
    <row r="996" spans="1:23" x14ac:dyDescent="0.45">
      <c r="A996">
        <v>-10.32147</v>
      </c>
      <c r="B996">
        <v>31.61589</v>
      </c>
      <c r="C996">
        <v>-10.39404</v>
      </c>
      <c r="D996">
        <v>31.6038600000001</v>
      </c>
      <c r="E996" s="10">
        <v>8134.384</v>
      </c>
      <c r="F996" s="10" t="s">
        <v>2598</v>
      </c>
      <c r="G996" s="10" t="s">
        <v>2599</v>
      </c>
      <c r="H996" s="10">
        <v>8134.3842102037297</v>
      </c>
      <c r="I996" s="10">
        <v>-170.68005536342599</v>
      </c>
      <c r="J996" s="10">
        <v>-170.67789244242701</v>
      </c>
      <c r="K996" s="4">
        <f t="shared" si="216"/>
        <v>189.31994444444445</v>
      </c>
      <c r="L996" s="4">
        <f t="shared" si="217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22"/>
        <v>8134.3842110890891</v>
      </c>
      <c r="P996" s="2">
        <f t="shared" si="224"/>
        <v>2.5950224274447237E-8</v>
      </c>
      <c r="Q996" s="2">
        <f t="shared" si="225"/>
        <v>1.0884160595234605E-10</v>
      </c>
      <c r="R996" s="6">
        <f t="shared" si="226"/>
        <v>189.31994463552189</v>
      </c>
      <c r="S996" s="2">
        <f t="shared" si="227"/>
        <v>1.0092832414395284E-9</v>
      </c>
      <c r="T996" s="2">
        <f t="shared" si="223"/>
        <v>5.557337562687209E-12</v>
      </c>
      <c r="U996" s="6">
        <f t="shared" si="228"/>
        <v>189.32210755652056</v>
      </c>
      <c r="V996" s="2">
        <f t="shared" si="220"/>
        <v>4.103127679203641E-9</v>
      </c>
      <c r="W996" s="2">
        <f t="shared" si="221"/>
        <v>5.5589254317718076E-12</v>
      </c>
    </row>
    <row r="997" spans="1:23" x14ac:dyDescent="0.4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10">
        <v>5304.8159999999998</v>
      </c>
      <c r="F997" s="10" t="s">
        <v>2600</v>
      </c>
      <c r="G997" s="10" t="s">
        <v>2601</v>
      </c>
      <c r="H997" s="10">
        <v>5304.8156502318398</v>
      </c>
      <c r="I997" s="10">
        <v>-165.54266096213999</v>
      </c>
      <c r="J997" s="10">
        <v>-165.61426029503301</v>
      </c>
      <c r="K997" s="4">
        <f t="shared" si="216"/>
        <v>194.4573388888889</v>
      </c>
      <c r="L997" s="4">
        <f t="shared" si="217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22"/>
        <v>5304.8156490284846</v>
      </c>
      <c r="P997" s="2">
        <f t="shared" si="224"/>
        <v>6.6160921550847294E-8</v>
      </c>
      <c r="Q997" s="2">
        <f t="shared" si="225"/>
        <v>2.2684203330369749E-10</v>
      </c>
      <c r="R997" s="6">
        <f t="shared" si="226"/>
        <v>194.45733903785623</v>
      </c>
      <c r="S997" s="2">
        <f t="shared" si="227"/>
        <v>7.6606690067019038E-10</v>
      </c>
      <c r="T997" s="2">
        <f t="shared" si="223"/>
        <v>1.9439160141483611E-14</v>
      </c>
      <c r="U997" s="6">
        <f t="shared" si="228"/>
        <v>194.3857397049637</v>
      </c>
      <c r="V997" s="2">
        <f t="shared" si="220"/>
        <v>4.1982237034292625E-9</v>
      </c>
      <c r="W997" s="2">
        <f t="shared" si="221"/>
        <v>1.6960700403902215E-14</v>
      </c>
    </row>
    <row r="998" spans="1:23" x14ac:dyDescent="0.45">
      <c r="A998">
        <v>-19.90672</v>
      </c>
      <c r="B998">
        <v>120.17301</v>
      </c>
      <c r="C998">
        <v>-19.882909999999999</v>
      </c>
      <c r="D998">
        <v>120.19853000000001</v>
      </c>
      <c r="E998" s="10">
        <v>3753.5540000000001</v>
      </c>
      <c r="F998" s="10" t="s">
        <v>2602</v>
      </c>
      <c r="G998" s="10" t="s">
        <v>2603</v>
      </c>
      <c r="H998" s="10">
        <v>3753.5537322056498</v>
      </c>
      <c r="I998" s="10">
        <v>45.398582519686997</v>
      </c>
      <c r="J998" s="10">
        <v>45.389898204824803</v>
      </c>
      <c r="K998" s="4">
        <f t="shared" si="216"/>
        <v>45.398583333333335</v>
      </c>
      <c r="L998" s="4">
        <f t="shared" si="217"/>
        <v>45.389897222222203</v>
      </c>
      <c r="M998" s="4">
        <f t="shared" si="218"/>
        <v>45.398582519687011</v>
      </c>
      <c r="N998" s="4">
        <f t="shared" si="219"/>
        <v>45.389898204824817</v>
      </c>
      <c r="O998" s="3">
        <f t="shared" si="222"/>
        <v>3753.5537317246321</v>
      </c>
      <c r="P998" s="2">
        <f t="shared" si="224"/>
        <v>7.1472361379033181E-8</v>
      </c>
      <c r="Q998" s="2">
        <f t="shared" si="225"/>
        <v>1.2814993068373378E-10</v>
      </c>
      <c r="R998" s="6">
        <f t="shared" si="226"/>
        <v>45.398582517546799</v>
      </c>
      <c r="S998" s="2">
        <f t="shared" si="227"/>
        <v>1.796942713439719E-8</v>
      </c>
      <c r="T998" s="2">
        <f t="shared" si="223"/>
        <v>4.7142695757079721E-11</v>
      </c>
      <c r="U998" s="6">
        <f t="shared" si="228"/>
        <v>45.389898202685607</v>
      </c>
      <c r="V998" s="2">
        <f t="shared" si="220"/>
        <v>2.160091704740082E-8</v>
      </c>
      <c r="W998" s="2">
        <f t="shared" si="221"/>
        <v>4.7129643001567007E-11</v>
      </c>
    </row>
    <row r="999" spans="1:23" x14ac:dyDescent="0.45">
      <c r="A999">
        <v>74.393379999999993</v>
      </c>
      <c r="B999">
        <v>28.14359</v>
      </c>
      <c r="C999">
        <v>74.549109999999999</v>
      </c>
      <c r="D999">
        <v>28.147810000000099</v>
      </c>
      <c r="E999" s="10">
        <v>17381.965</v>
      </c>
      <c r="F999" s="10" t="s">
        <v>2604</v>
      </c>
      <c r="G999" s="10" t="s">
        <v>2605</v>
      </c>
      <c r="H999" s="10">
        <v>17381.965354819102</v>
      </c>
      <c r="I999" s="10">
        <v>0.41382882510220698</v>
      </c>
      <c r="J999" s="10">
        <v>0.41789478287749698</v>
      </c>
      <c r="K999" s="4">
        <f t="shared" si="216"/>
        <v>0.41382777777777779</v>
      </c>
      <c r="L999" s="4">
        <f t="shared" si="217"/>
        <v>0.41789444444441415</v>
      </c>
      <c r="M999" s="4">
        <f t="shared" si="218"/>
        <v>0.41382882510220043</v>
      </c>
      <c r="N999" s="4">
        <f t="shared" si="219"/>
        <v>0.41789478287751081</v>
      </c>
      <c r="O999" s="3">
        <f t="shared" si="222"/>
        <v>17381.965336555138</v>
      </c>
      <c r="P999" s="2">
        <f t="shared" si="224"/>
        <v>1.9362318261873104E-8</v>
      </c>
      <c r="Q999" s="2">
        <f t="shared" si="225"/>
        <v>1.0507421290485612E-9</v>
      </c>
      <c r="R999" s="6">
        <f t="shared" si="226"/>
        <v>0.4138288251013324</v>
      </c>
      <c r="S999" s="2">
        <f t="shared" si="227"/>
        <v>2.530819850295793E-6</v>
      </c>
      <c r="T999" s="2">
        <f t="shared" si="223"/>
        <v>2.0975529473782011E-12</v>
      </c>
      <c r="U999" s="6">
        <f t="shared" si="228"/>
        <v>0.41789478287661413</v>
      </c>
      <c r="V999" s="2">
        <f t="shared" si="220"/>
        <v>8.0985091925923953E-7</v>
      </c>
      <c r="W999" s="2">
        <f t="shared" si="221"/>
        <v>2.1456875332691845E-12</v>
      </c>
    </row>
    <row r="1000" spans="1:23" x14ac:dyDescent="0.45">
      <c r="A1000">
        <v>-57.052860000000003</v>
      </c>
      <c r="B1000">
        <v>86.024870000000007</v>
      </c>
      <c r="C1000">
        <v>-57.11871</v>
      </c>
      <c r="D1000">
        <v>86.007220000000004</v>
      </c>
      <c r="E1000" s="10">
        <v>7410.8239999999996</v>
      </c>
      <c r="F1000" s="10" t="s">
        <v>2606</v>
      </c>
      <c r="G1000" s="10" t="s">
        <v>2607</v>
      </c>
      <c r="H1000" s="10">
        <v>7410.8241120225503</v>
      </c>
      <c r="I1000" s="10">
        <v>-171.70458440885</v>
      </c>
      <c r="J1000" s="10">
        <v>-171.68976749474101</v>
      </c>
      <c r="K1000" s="4">
        <f t="shared" si="216"/>
        <v>188.29541666666665</v>
      </c>
      <c r="L1000" s="4">
        <f t="shared" si="217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22"/>
        <v>7410.8241154797361</v>
      </c>
      <c r="P1000" s="2">
        <f t="shared" si="224"/>
        <v>1.5582577112970451E-8</v>
      </c>
      <c r="Q1000" s="2">
        <f t="shared" si="225"/>
        <v>4.6650490688153079E-10</v>
      </c>
      <c r="R1000" s="6">
        <f t="shared" si="226"/>
        <v>188.29541558311473</v>
      </c>
      <c r="S1000" s="2">
        <f t="shared" si="227"/>
        <v>5.754531582059621E-9</v>
      </c>
      <c r="T1000" s="2">
        <f t="shared" si="223"/>
        <v>4.2673752720423436E-11</v>
      </c>
      <c r="U1000" s="6">
        <f t="shared" si="228"/>
        <v>188.31023249720965</v>
      </c>
      <c r="V1000" s="2">
        <f t="shared" si="220"/>
        <v>4.4401394156634666E-9</v>
      </c>
      <c r="W1000" s="2">
        <f t="shared" si="221"/>
        <v>4.2745105469875901E-11</v>
      </c>
    </row>
    <row r="1001" spans="1:23" x14ac:dyDescent="0.45">
      <c r="A1001">
        <v>13.37185</v>
      </c>
      <c r="B1001">
        <v>20.81917</v>
      </c>
      <c r="C1001">
        <v>13.512829999999999</v>
      </c>
      <c r="D1001">
        <v>20.748799999999999</v>
      </c>
      <c r="E1001" s="10">
        <v>17359.226999999999</v>
      </c>
      <c r="F1001" s="10" t="s">
        <v>2608</v>
      </c>
      <c r="G1001" s="10" t="s">
        <v>2609</v>
      </c>
      <c r="H1001" s="10">
        <v>17359.226581971201</v>
      </c>
      <c r="I1001" s="10">
        <v>-26.030546122181502</v>
      </c>
      <c r="J1001" s="10">
        <v>-26.046904817876499</v>
      </c>
      <c r="K1001" s="4">
        <f t="shared" si="216"/>
        <v>333.9694527777778</v>
      </c>
      <c r="L1001" s="4">
        <f t="shared" si="217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22"/>
        <v>17359.226542057073</v>
      </c>
      <c r="P1001" s="2">
        <f t="shared" si="224"/>
        <v>2.6380375462845314E-8</v>
      </c>
      <c r="Q1001" s="2">
        <f t="shared" si="225"/>
        <v>2.2993033675363216E-9</v>
      </c>
      <c r="R1001" s="6">
        <f t="shared" si="226"/>
        <v>333.96945388009976</v>
      </c>
      <c r="S1001" s="2">
        <f t="shared" si="227"/>
        <v>3.3006670243797484E-9</v>
      </c>
      <c r="T1001" s="2">
        <f t="shared" si="223"/>
        <v>6.8306848402864125E-12</v>
      </c>
      <c r="U1001" s="6">
        <f t="shared" si="228"/>
        <v>333.95309518440632</v>
      </c>
      <c r="V1001" s="2">
        <f t="shared" si="220"/>
        <v>2.2157658933876204E-9</v>
      </c>
      <c r="W1001" s="2">
        <f t="shared" si="221"/>
        <v>6.8357854273070674E-12</v>
      </c>
    </row>
    <row r="1002" spans="1:23" x14ac:dyDescent="0.4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10">
        <v>21624.302</v>
      </c>
      <c r="F1002" s="10" t="s">
        <v>2610</v>
      </c>
      <c r="G1002" s="10" t="s">
        <v>2611</v>
      </c>
      <c r="H1002" s="10">
        <v>21624.302207762001</v>
      </c>
      <c r="I1002" s="10">
        <v>-40.469567262957398</v>
      </c>
      <c r="J1002" s="10">
        <v>-40.381263565310199</v>
      </c>
      <c r="K1002" s="4">
        <f t="shared" si="216"/>
        <v>319.53043333333335</v>
      </c>
      <c r="L1002" s="4">
        <f t="shared" si="217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22"/>
        <v>21624.302208367364</v>
      </c>
      <c r="P1002" s="2">
        <f t="shared" si="224"/>
        <v>9.6357960776620675E-9</v>
      </c>
      <c r="Q1002" s="2">
        <f t="shared" si="225"/>
        <v>2.7994582468495754E-11</v>
      </c>
      <c r="R1002" s="6">
        <f t="shared" si="226"/>
        <v>319.53043273766764</v>
      </c>
      <c r="S1002" s="2">
        <f t="shared" si="227"/>
        <v>1.8641908513076735E-9</v>
      </c>
      <c r="T1002" s="2">
        <f t="shared" si="223"/>
        <v>1.9561524341809084E-12</v>
      </c>
      <c r="U1002" s="6">
        <f t="shared" si="228"/>
        <v>319.61873643531277</v>
      </c>
      <c r="V1002" s="2">
        <f t="shared" si="220"/>
        <v>1.014338735488679E-9</v>
      </c>
      <c r="W1002" s="2">
        <f t="shared" si="221"/>
        <v>1.9490316313883764E-12</v>
      </c>
    </row>
    <row r="1003" spans="1:23" x14ac:dyDescent="0.45">
      <c r="A1003">
        <v>81.20993</v>
      </c>
      <c r="B1003">
        <v>11.69046</v>
      </c>
      <c r="C1003">
        <v>81.060100000000006</v>
      </c>
      <c r="D1003">
        <v>11.607729999999901</v>
      </c>
      <c r="E1003" s="10">
        <v>16791.569</v>
      </c>
      <c r="F1003" s="10" t="s">
        <v>2612</v>
      </c>
      <c r="G1003" s="10" t="s">
        <v>2613</v>
      </c>
      <c r="H1003" s="10">
        <v>16791.568706009701</v>
      </c>
      <c r="I1003" s="10">
        <v>-175.094692498303</v>
      </c>
      <c r="J1003" s="10">
        <v>-175.17643429488399</v>
      </c>
      <c r="K1003" s="4">
        <f t="shared" si="216"/>
        <v>184.90530833333332</v>
      </c>
      <c r="L1003" s="4">
        <f t="shared" si="217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22"/>
        <v>16791.56870190247</v>
      </c>
      <c r="P1003" s="2">
        <f t="shared" si="224"/>
        <v>1.7752809734104538E-8</v>
      </c>
      <c r="Q1003" s="2">
        <f t="shared" si="225"/>
        <v>2.4460077860456686E-10</v>
      </c>
      <c r="R1003" s="6">
        <f t="shared" si="226"/>
        <v>184.90530750169771</v>
      </c>
      <c r="S1003" s="2">
        <f t="shared" si="227"/>
        <v>4.497629758474823E-9</v>
      </c>
      <c r="T1003" s="2">
        <f t="shared" si="223"/>
        <v>3.842738455485271E-15</v>
      </c>
      <c r="U1003" s="6">
        <f t="shared" si="228"/>
        <v>184.82356570511735</v>
      </c>
      <c r="V1003" s="2">
        <f t="shared" si="220"/>
        <v>5.2025254989493479E-9</v>
      </c>
      <c r="W1003" s="2">
        <f t="shared" si="221"/>
        <v>7.2275434040715084E-15</v>
      </c>
    </row>
    <row r="1004" spans="1:23" x14ac:dyDescent="0.4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10">
        <v>13525.477999999999</v>
      </c>
      <c r="F1004" s="10" t="s">
        <v>2614</v>
      </c>
      <c r="G1004" s="10" t="s">
        <v>2615</v>
      </c>
      <c r="H1004" s="10">
        <v>13525.4781792045</v>
      </c>
      <c r="I1004" s="10">
        <v>140.10740767632601</v>
      </c>
      <c r="J1004" s="10">
        <v>140.000047503926</v>
      </c>
      <c r="K1004" s="4">
        <f t="shared" si="216"/>
        <v>140.10740833333332</v>
      </c>
      <c r="L1004" s="4">
        <f t="shared" si="217"/>
        <v>140.00004722222224</v>
      </c>
      <c r="M1004" s="4">
        <f t="shared" si="218"/>
        <v>140.10740767632603</v>
      </c>
      <c r="N1004" s="4">
        <f t="shared" si="219"/>
        <v>140.000047503926</v>
      </c>
      <c r="O1004" s="3">
        <f t="shared" si="222"/>
        <v>13525.478183625972</v>
      </c>
      <c r="P1004" s="2">
        <f t="shared" si="224"/>
        <v>1.3576301892459894E-8</v>
      </c>
      <c r="Q1004" s="2">
        <f t="shared" si="225"/>
        <v>3.2689950435017213E-10</v>
      </c>
      <c r="R1004" s="6">
        <f t="shared" si="226"/>
        <v>140.10740767634476</v>
      </c>
      <c r="S1004" s="2">
        <f t="shared" si="227"/>
        <v>4.6891778896417353E-9</v>
      </c>
      <c r="T1004" s="2">
        <f t="shared" si="223"/>
        <v>1.3368248563920177E-13</v>
      </c>
      <c r="U1004" s="6">
        <f t="shared" si="228"/>
        <v>140.00004750394436</v>
      </c>
      <c r="V1004" s="2">
        <f t="shared" si="220"/>
        <v>2.0123001995579591E-9</v>
      </c>
      <c r="W1004" s="2">
        <f t="shared" si="221"/>
        <v>1.3114584330070396E-13</v>
      </c>
    </row>
    <row r="1005" spans="1:23" x14ac:dyDescent="0.45">
      <c r="A1005">
        <v>29.51418</v>
      </c>
      <c r="B1005">
        <v>-122.42158999999999</v>
      </c>
      <c r="C1005">
        <v>29.616009999999999</v>
      </c>
      <c r="D1005">
        <v>-122.31140000000001</v>
      </c>
      <c r="E1005" s="10">
        <v>15537.743</v>
      </c>
      <c r="F1005" s="10" t="s">
        <v>2616</v>
      </c>
      <c r="G1005" s="10" t="s">
        <v>2617</v>
      </c>
      <c r="H1005" s="10">
        <v>15537.7434050546</v>
      </c>
      <c r="I1005" s="10">
        <v>43.383406019468801</v>
      </c>
      <c r="J1005" s="10">
        <v>43.4377751300093</v>
      </c>
      <c r="K1005" s="4">
        <f t="shared" si="216"/>
        <v>43.383405555555555</v>
      </c>
      <c r="L1005" s="4">
        <f t="shared" si="217"/>
        <v>43.437774999999988</v>
      </c>
      <c r="M1005" s="4">
        <f t="shared" si="218"/>
        <v>43.383406019468794</v>
      </c>
      <c r="N1005" s="4">
        <f t="shared" si="219"/>
        <v>43.4377751300093</v>
      </c>
      <c r="O1005" s="3">
        <f t="shared" si="222"/>
        <v>15537.743403435206</v>
      </c>
      <c r="P1005" s="2">
        <f t="shared" si="224"/>
        <v>2.5964852549912077E-8</v>
      </c>
      <c r="Q1005" s="2">
        <f t="shared" si="225"/>
        <v>1.0422321138070581E-10</v>
      </c>
      <c r="R1005" s="6">
        <f t="shared" si="226"/>
        <v>43.38340601838231</v>
      </c>
      <c r="S1005" s="2">
        <f t="shared" si="227"/>
        <v>1.066829007018422E-8</v>
      </c>
      <c r="T1005" s="2">
        <f t="shared" si="223"/>
        <v>2.504376422948073E-11</v>
      </c>
      <c r="U1005" s="6">
        <f t="shared" si="228"/>
        <v>43.437775128920087</v>
      </c>
      <c r="V1005" s="2">
        <f t="shared" si="220"/>
        <v>2.9679259465921226E-9</v>
      </c>
      <c r="W1005" s="2">
        <f t="shared" si="221"/>
        <v>2.5075231700258981E-11</v>
      </c>
    </row>
    <row r="1006" spans="1:23" x14ac:dyDescent="0.4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10">
        <v>13367.573</v>
      </c>
      <c r="F1006" s="10" t="s">
        <v>2618</v>
      </c>
      <c r="G1006" s="10" t="s">
        <v>2619</v>
      </c>
      <c r="H1006" s="10">
        <v>13367.572612726501</v>
      </c>
      <c r="I1006" s="10">
        <v>127.669910968466</v>
      </c>
      <c r="J1006" s="10">
        <v>127.612079107396</v>
      </c>
      <c r="K1006" s="4">
        <f t="shared" si="216"/>
        <v>127.66991111111111</v>
      </c>
      <c r="L1006" s="4">
        <f t="shared" si="217"/>
        <v>127.61207777777776</v>
      </c>
      <c r="M1006" s="4">
        <f t="shared" si="218"/>
        <v>127.66991096846601</v>
      </c>
      <c r="N1006" s="4">
        <f t="shared" si="219"/>
        <v>127.61207910739597</v>
      </c>
      <c r="O1006" s="3">
        <f t="shared" si="222"/>
        <v>13367.572619472941</v>
      </c>
      <c r="P1006" s="2">
        <f t="shared" si="224"/>
        <v>2.8466428344993858E-8</v>
      </c>
      <c r="Q1006" s="2">
        <f t="shared" si="225"/>
        <v>5.0468704373756751E-10</v>
      </c>
      <c r="R1006" s="6">
        <f t="shared" si="226"/>
        <v>127.66991096934579</v>
      </c>
      <c r="S1006" s="2">
        <f t="shared" si="227"/>
        <v>1.1104050370545448E-9</v>
      </c>
      <c r="T1006" s="2">
        <f t="shared" si="223"/>
        <v>6.8910505058685529E-12</v>
      </c>
      <c r="U1006" s="6">
        <f t="shared" si="228"/>
        <v>127.61207910827736</v>
      </c>
      <c r="V1006" s="2">
        <f t="shared" si="220"/>
        <v>1.0426125986198327E-8</v>
      </c>
      <c r="W1006" s="2">
        <f t="shared" si="221"/>
        <v>6.9067570821763733E-12</v>
      </c>
    </row>
    <row r="1007" spans="1:23" x14ac:dyDescent="0.4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10">
        <v>773.76199999999994</v>
      </c>
      <c r="F1007" s="10" t="s">
        <v>2620</v>
      </c>
      <c r="G1007" s="10" t="s">
        <v>2621</v>
      </c>
      <c r="H1007" s="10">
        <v>773.76244101551197</v>
      </c>
      <c r="I1007" s="10">
        <v>158.65683811230099</v>
      </c>
      <c r="J1007" s="10">
        <v>158.65529765535601</v>
      </c>
      <c r="K1007" s="4">
        <f t="shared" si="216"/>
        <v>158.6568388888889</v>
      </c>
      <c r="L1007" s="4">
        <f t="shared" si="217"/>
        <v>158.6552972222222</v>
      </c>
      <c r="M1007" s="4">
        <f t="shared" si="218"/>
        <v>158.65683811230099</v>
      </c>
      <c r="N1007" s="4">
        <f t="shared" si="219"/>
        <v>158.65529765535598</v>
      </c>
      <c r="O1007" s="3">
        <f t="shared" si="222"/>
        <v>773.76243922886681</v>
      </c>
      <c r="P1007" s="2">
        <f t="shared" si="224"/>
        <v>5.6765370600632985E-7</v>
      </c>
      <c r="Q1007" s="2">
        <f t="shared" si="225"/>
        <v>2.3090357743504453E-9</v>
      </c>
      <c r="R1007" s="6">
        <f t="shared" si="226"/>
        <v>158.65683839692139</v>
      </c>
      <c r="S1007" s="2">
        <f t="shared" si="227"/>
        <v>3.1008276447910059E-9</v>
      </c>
      <c r="T1007" s="2">
        <f t="shared" si="223"/>
        <v>1.793937164935788E-9</v>
      </c>
      <c r="U1007" s="6">
        <f t="shared" si="228"/>
        <v>158.65529793999985</v>
      </c>
      <c r="V1007" s="2">
        <f t="shared" si="220"/>
        <v>4.5241329157796943E-9</v>
      </c>
      <c r="W1007" s="2">
        <f t="shared" si="221"/>
        <v>1.7941025537714709E-9</v>
      </c>
    </row>
    <row r="1008" spans="1:23" x14ac:dyDescent="0.45">
      <c r="A1008">
        <v>35.88373</v>
      </c>
      <c r="B1008">
        <v>-3.7313999999999998</v>
      </c>
      <c r="C1008">
        <v>35.87426</v>
      </c>
      <c r="D1008">
        <v>-3.7232500000000099</v>
      </c>
      <c r="E1008" s="10">
        <v>1282.8589999999999</v>
      </c>
      <c r="F1008" s="10" t="s">
        <v>2622</v>
      </c>
      <c r="G1008" s="10" t="s">
        <v>2623</v>
      </c>
      <c r="H1008" s="10">
        <v>1282.85907337394</v>
      </c>
      <c r="I1008" s="10">
        <v>144.990127437121</v>
      </c>
      <c r="J1008" s="10">
        <v>144.99490395125201</v>
      </c>
      <c r="K1008" s="4">
        <f t="shared" si="216"/>
        <v>144.99012777777779</v>
      </c>
      <c r="L1008" s="4">
        <f t="shared" si="217"/>
        <v>144.99490277777778</v>
      </c>
      <c r="M1008" s="4">
        <f t="shared" si="218"/>
        <v>144.99012743712103</v>
      </c>
      <c r="N1008" s="4">
        <f t="shared" si="219"/>
        <v>144.99490395125201</v>
      </c>
      <c r="O1008" s="3">
        <f t="shared" si="222"/>
        <v>1282.8590733311789</v>
      </c>
      <c r="P1008" s="2">
        <f t="shared" si="224"/>
        <v>5.716230623161495E-8</v>
      </c>
      <c r="Q1008" s="2">
        <f t="shared" si="225"/>
        <v>3.3332601499063524E-11</v>
      </c>
      <c r="R1008" s="6">
        <f t="shared" si="226"/>
        <v>144.99012743765397</v>
      </c>
      <c r="S1008" s="2">
        <f t="shared" si="227"/>
        <v>2.3458412245035628E-9</v>
      </c>
      <c r="T1008" s="2">
        <f t="shared" si="223"/>
        <v>3.6756673226639356E-12</v>
      </c>
      <c r="U1008" s="6">
        <f t="shared" si="228"/>
        <v>144.99490395177924</v>
      </c>
      <c r="V1008" s="2">
        <f t="shared" si="220"/>
        <v>8.0968463841319994E-9</v>
      </c>
      <c r="W1008" s="2">
        <f t="shared" si="221"/>
        <v>3.6361464821636018E-12</v>
      </c>
    </row>
    <row r="1009" spans="1:23" x14ac:dyDescent="0.45">
      <c r="A1009">
        <v>-57.968539999999997</v>
      </c>
      <c r="B1009">
        <v>-116.19098</v>
      </c>
      <c r="C1009">
        <v>-57.964480000000002</v>
      </c>
      <c r="D1009">
        <v>-116.20393</v>
      </c>
      <c r="E1009" s="10">
        <v>889.93100000000004</v>
      </c>
      <c r="F1009" s="10" t="s">
        <v>2624</v>
      </c>
      <c r="G1009" s="10" t="s">
        <v>2625</v>
      </c>
      <c r="H1009" s="10">
        <v>889.93056935902405</v>
      </c>
      <c r="I1009" s="10">
        <v>-59.466854169763799</v>
      </c>
      <c r="J1009" s="10">
        <v>-59.455875959952898</v>
      </c>
      <c r="K1009" s="4">
        <f t="shared" ref="K1009:K1072" si="229">ConvertDecimal(F1009)</f>
        <v>300.53314444444442</v>
      </c>
      <c r="L1009" s="4">
        <f t="shared" ref="L1009:L1072" si="230">MOD(ConvertDecimal(G1009)+180,360)</f>
        <v>300.54412500000001</v>
      </c>
      <c r="M1009" s="4">
        <f t="shared" ref="M1009:M1072" si="231">MOD(I1009+360, 360)</f>
        <v>300.53314583023621</v>
      </c>
      <c r="N1009" s="4">
        <f t="shared" ref="N1009:N1072" si="232">MOD(J1009+360, 360)</f>
        <v>300.54412404004711</v>
      </c>
      <c r="O1009" s="3">
        <f t="shared" si="222"/>
        <v>889.93056876465869</v>
      </c>
      <c r="P1009" s="2">
        <f t="shared" si="224"/>
        <v>4.8457165932243748E-7</v>
      </c>
      <c r="Q1009" s="2">
        <f t="shared" si="225"/>
        <v>6.6787835023198566E-10</v>
      </c>
      <c r="R1009" s="6">
        <f t="shared" si="226"/>
        <v>300.5331458514558</v>
      </c>
      <c r="S1009" s="2">
        <f t="shared" si="227"/>
        <v>4.6817178340569792E-9</v>
      </c>
      <c r="T1009" s="2">
        <f t="shared" si="223"/>
        <v>7.0606492866870658E-11</v>
      </c>
      <c r="U1009" s="6">
        <f t="shared" si="228"/>
        <v>300.54412406125408</v>
      </c>
      <c r="V1009" s="2">
        <f t="shared" si="220"/>
        <v>3.1234878646014725E-9</v>
      </c>
      <c r="W1009" s="2">
        <f t="shared" si="221"/>
        <v>7.0561925793990475E-11</v>
      </c>
    </row>
    <row r="1010" spans="1:23" x14ac:dyDescent="0.4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10">
        <v>1682.297</v>
      </c>
      <c r="F1010" s="10" t="s">
        <v>2626</v>
      </c>
      <c r="G1010" s="10" t="s">
        <v>2627</v>
      </c>
      <c r="H1010" s="10">
        <v>1682.2966841263899</v>
      </c>
      <c r="I1010" s="10">
        <v>109.345986301135</v>
      </c>
      <c r="J1010" s="10">
        <v>109.345818865814</v>
      </c>
      <c r="K1010" s="4">
        <f t="shared" si="229"/>
        <v>109.34598611111112</v>
      </c>
      <c r="L1010" s="4">
        <f t="shared" si="230"/>
        <v>109.34581944444443</v>
      </c>
      <c r="M1010" s="4">
        <f t="shared" si="231"/>
        <v>109.34598630113499</v>
      </c>
      <c r="N1010" s="4">
        <f t="shared" si="232"/>
        <v>109.34581886581401</v>
      </c>
      <c r="O1010" s="3">
        <f t="shared" si="222"/>
        <v>1682.2966839257062</v>
      </c>
      <c r="P1010" s="2">
        <f t="shared" si="224"/>
        <v>1.8788257589355592E-7</v>
      </c>
      <c r="Q1010" s="2">
        <f t="shared" si="225"/>
        <v>1.1929146970245498E-10</v>
      </c>
      <c r="R1010" s="6">
        <f t="shared" si="226"/>
        <v>109.34598630340624</v>
      </c>
      <c r="S1010" s="2">
        <f t="shared" si="227"/>
        <v>1.7585932994354987E-9</v>
      </c>
      <c r="T1010" s="2">
        <f t="shared" si="223"/>
        <v>2.0771222901609013E-11</v>
      </c>
      <c r="U1010" s="6">
        <f t="shared" si="228"/>
        <v>109.34581886808543</v>
      </c>
      <c r="V1010" s="2">
        <f t="shared" si="220"/>
        <v>5.2709742591534282E-9</v>
      </c>
      <c r="W1010" s="2">
        <f t="shared" si="221"/>
        <v>2.0772814257316626E-11</v>
      </c>
    </row>
    <row r="1011" spans="1:23" x14ac:dyDescent="0.45">
      <c r="A1011">
        <v>72.937640000000002</v>
      </c>
      <c r="B1011">
        <v>-118.24793</v>
      </c>
      <c r="C1011">
        <v>72.931610000000006</v>
      </c>
      <c r="D1011">
        <v>-118.24165000000001</v>
      </c>
      <c r="E1011" s="10">
        <v>703.69100000000003</v>
      </c>
      <c r="F1011" s="10" t="s">
        <v>2628</v>
      </c>
      <c r="G1011" s="10" t="s">
        <v>2629</v>
      </c>
      <c r="H1011" s="10">
        <v>703.69103214560198</v>
      </c>
      <c r="I1011" s="10">
        <v>162.99300809941599</v>
      </c>
      <c r="J1011" s="10">
        <v>162.99901159438301</v>
      </c>
      <c r="K1011" s="4">
        <f t="shared" si="229"/>
        <v>162.99300833333334</v>
      </c>
      <c r="L1011" s="4">
        <f t="shared" si="230"/>
        <v>162.99901111111103</v>
      </c>
      <c r="M1011" s="4">
        <f t="shared" si="231"/>
        <v>162.99300809941599</v>
      </c>
      <c r="N1011" s="4">
        <f t="shared" si="232"/>
        <v>162.99901159438298</v>
      </c>
      <c r="O1011" s="3">
        <f t="shared" si="222"/>
        <v>703.69103189798818</v>
      </c>
      <c r="P1011" s="2">
        <f t="shared" si="224"/>
        <v>4.5329538321913979E-8</v>
      </c>
      <c r="Q1011" s="2">
        <f t="shared" si="225"/>
        <v>3.5187857539575411E-10</v>
      </c>
      <c r="R1011" s="6">
        <f t="shared" si="226"/>
        <v>162.99300809986784</v>
      </c>
      <c r="S1011" s="2">
        <f t="shared" si="227"/>
        <v>1.4323651165451313E-9</v>
      </c>
      <c r="T1011" s="2">
        <f t="shared" si="223"/>
        <v>2.7721945977520853E-12</v>
      </c>
      <c r="U1011" s="6">
        <f t="shared" si="228"/>
        <v>162.99901159483849</v>
      </c>
      <c r="V1011" s="2">
        <f t="shared" si="220"/>
        <v>2.9676711431844593E-9</v>
      </c>
      <c r="W1011" s="2">
        <f t="shared" si="221"/>
        <v>2.7945858848188396E-12</v>
      </c>
    </row>
    <row r="1012" spans="1:23" x14ac:dyDescent="0.4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10">
        <v>1046.2660000000001</v>
      </c>
      <c r="F1012" s="10" t="s">
        <v>2630</v>
      </c>
      <c r="G1012" s="10" t="s">
        <v>2631</v>
      </c>
      <c r="H1012" s="10">
        <v>1046.26588459351</v>
      </c>
      <c r="I1012" s="10">
        <v>154.79970511001</v>
      </c>
      <c r="J1012" s="10">
        <v>154.79666815698201</v>
      </c>
      <c r="K1012" s="4">
        <f t="shared" si="229"/>
        <v>154.79970555555556</v>
      </c>
      <c r="L1012" s="4">
        <f t="shared" si="230"/>
        <v>154.79666944444443</v>
      </c>
      <c r="M1012" s="4">
        <f t="shared" si="231"/>
        <v>154.79970511001</v>
      </c>
      <c r="N1012" s="4">
        <f t="shared" si="232"/>
        <v>154.79666815698204</v>
      </c>
      <c r="O1012" s="3">
        <f t="shared" si="222"/>
        <v>1046.2658826325567</v>
      </c>
      <c r="P1012" s="2">
        <f t="shared" si="224"/>
        <v>1.121774418823812E-7</v>
      </c>
      <c r="Q1012" s="2">
        <f t="shared" si="225"/>
        <v>1.8742399708484756E-9</v>
      </c>
      <c r="R1012" s="6">
        <f t="shared" si="226"/>
        <v>154.79970532326166</v>
      </c>
      <c r="S1012" s="2">
        <f t="shared" si="227"/>
        <v>1.500609441326807E-9</v>
      </c>
      <c r="T1012" s="2">
        <f t="shared" si="223"/>
        <v>1.3775973722957678E-9</v>
      </c>
      <c r="U1012" s="6">
        <f t="shared" si="228"/>
        <v>154.79666837025795</v>
      </c>
      <c r="V1012" s="2">
        <f t="shared" si="220"/>
        <v>6.9393384844403858E-9</v>
      </c>
      <c r="W1012" s="2">
        <f t="shared" si="221"/>
        <v>1.3777810158909025E-9</v>
      </c>
    </row>
    <row r="1013" spans="1:23" x14ac:dyDescent="0.4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10">
        <v>897.79899999999998</v>
      </c>
      <c r="F1013" s="10" t="s">
        <v>2632</v>
      </c>
      <c r="G1013" s="10" t="s">
        <v>2633</v>
      </c>
      <c r="H1013" s="10">
        <v>897.79918623567801</v>
      </c>
      <c r="I1013" s="10">
        <v>147.096751791918</v>
      </c>
      <c r="J1013" s="10">
        <v>147.090328149832</v>
      </c>
      <c r="K1013" s="4">
        <f t="shared" si="229"/>
        <v>147.09675277777777</v>
      </c>
      <c r="L1013" s="4">
        <f t="shared" si="230"/>
        <v>147.09032777777776</v>
      </c>
      <c r="M1013" s="4">
        <f t="shared" si="231"/>
        <v>147.096751791918</v>
      </c>
      <c r="N1013" s="4">
        <f t="shared" si="232"/>
        <v>147.09032814983198</v>
      </c>
      <c r="O1013" s="3">
        <f t="shared" si="222"/>
        <v>897.79918626517019</v>
      </c>
      <c r="P1013" s="2">
        <f t="shared" si="224"/>
        <v>2.0746867641201242E-7</v>
      </c>
      <c r="Q1013" s="2">
        <f t="shared" si="225"/>
        <v>3.2849422394830352E-11</v>
      </c>
      <c r="R1013" s="6">
        <f t="shared" si="226"/>
        <v>147.09675182346058</v>
      </c>
      <c r="S1013" s="2">
        <f t="shared" si="227"/>
        <v>6.4876835758132869E-9</v>
      </c>
      <c r="T1013" s="2">
        <f t="shared" si="223"/>
        <v>2.1443426365212238E-10</v>
      </c>
      <c r="U1013" s="6">
        <f t="shared" si="228"/>
        <v>147.09032818139025</v>
      </c>
      <c r="V1013" s="2">
        <f t="shared" si="220"/>
        <v>2.7439770874529855E-9</v>
      </c>
      <c r="W1013" s="2">
        <f t="shared" si="221"/>
        <v>2.145502891772601E-10</v>
      </c>
    </row>
    <row r="1014" spans="1:23" x14ac:dyDescent="0.45">
      <c r="A1014">
        <v>28.16131</v>
      </c>
      <c r="B1014">
        <v>-129.42841000000001</v>
      </c>
      <c r="C1014">
        <v>28.159269999999999</v>
      </c>
      <c r="D1014">
        <v>-129.43432000000001</v>
      </c>
      <c r="E1014" s="10">
        <v>622.92899999999997</v>
      </c>
      <c r="F1014" s="10" t="s">
        <v>2634</v>
      </c>
      <c r="G1014" s="10" t="s">
        <v>2635</v>
      </c>
      <c r="H1014" s="10">
        <v>622.92869744428197</v>
      </c>
      <c r="I1014" s="10">
        <v>-111.27860046798899</v>
      </c>
      <c r="J1014" s="10">
        <v>-111.281389632483</v>
      </c>
      <c r="K1014" s="4">
        <f t="shared" si="229"/>
        <v>248.72139999999999</v>
      </c>
      <c r="L1014" s="4">
        <f t="shared" si="230"/>
        <v>248.7186111111111</v>
      </c>
      <c r="M1014" s="4">
        <f t="shared" si="231"/>
        <v>248.72139953201099</v>
      </c>
      <c r="N1014" s="4">
        <f t="shared" si="232"/>
        <v>248.71861036751699</v>
      </c>
      <c r="O1014" s="3">
        <f t="shared" si="222"/>
        <v>622.92869742830896</v>
      </c>
      <c r="P1014" s="2">
        <f t="shared" si="224"/>
        <v>4.8572420132756615E-7</v>
      </c>
      <c r="Q1014" s="2">
        <f t="shared" si="225"/>
        <v>2.5641780135383412E-11</v>
      </c>
      <c r="R1014" s="6">
        <f t="shared" si="226"/>
        <v>248.72139953128027</v>
      </c>
      <c r="S1014" s="2">
        <f t="shared" si="227"/>
        <v>1.8845170501526433E-9</v>
      </c>
      <c r="T1014" s="2">
        <f t="shared" si="223"/>
        <v>2.9379142720754973E-12</v>
      </c>
      <c r="U1014" s="6">
        <f t="shared" si="228"/>
        <v>248.71861036679817</v>
      </c>
      <c r="V1014" s="2">
        <f t="shared" si="220"/>
        <v>2.9925903992915748E-9</v>
      </c>
      <c r="W1014" s="2">
        <f t="shared" si="221"/>
        <v>2.8900670204863201E-12</v>
      </c>
    </row>
    <row r="1015" spans="1:23" x14ac:dyDescent="0.45">
      <c r="A1015">
        <v>-86.595160000000007</v>
      </c>
      <c r="B1015">
        <v>100.38227999999999</v>
      </c>
      <c r="C1015">
        <v>-86.607830000000007</v>
      </c>
      <c r="D1015">
        <v>100.39197</v>
      </c>
      <c r="E1015" s="10">
        <v>1416.566</v>
      </c>
      <c r="F1015" s="10" t="s">
        <v>2636</v>
      </c>
      <c r="G1015" s="10" t="s">
        <v>2637</v>
      </c>
      <c r="H1015" s="10">
        <v>1416.5661404861901</v>
      </c>
      <c r="I1015" s="10">
        <v>177.408904197749</v>
      </c>
      <c r="J1015" s="10">
        <v>177.39923123876599</v>
      </c>
      <c r="K1015" s="4">
        <f t="shared" si="229"/>
        <v>177.40890555555555</v>
      </c>
      <c r="L1015" s="4">
        <f t="shared" si="230"/>
        <v>177.3992305555555</v>
      </c>
      <c r="M1015" s="4">
        <f t="shared" si="231"/>
        <v>177.40890419774905</v>
      </c>
      <c r="N1015" s="4">
        <f t="shared" si="232"/>
        <v>177.39923123876599</v>
      </c>
      <c r="O1015" s="3">
        <f t="shared" si="222"/>
        <v>1416.5661398025172</v>
      </c>
      <c r="P1015" s="2">
        <f t="shared" si="224"/>
        <v>9.8691142662315449E-8</v>
      </c>
      <c r="Q1015" s="2">
        <f t="shared" si="225"/>
        <v>4.8262684821052394E-10</v>
      </c>
      <c r="R1015" s="6">
        <f t="shared" si="226"/>
        <v>177.4089041981174</v>
      </c>
      <c r="S1015" s="2">
        <f t="shared" si="227"/>
        <v>7.6514656745461815E-9</v>
      </c>
      <c r="T1015" s="2">
        <f t="shared" si="223"/>
        <v>2.0762506588026684E-12</v>
      </c>
      <c r="U1015" s="6">
        <f t="shared" si="228"/>
        <v>177.39923123913536</v>
      </c>
      <c r="V1015" s="2">
        <f t="shared" si="220"/>
        <v>3.8533417179465474E-9</v>
      </c>
      <c r="W1015" s="2">
        <f t="shared" si="221"/>
        <v>2.0821315468971129E-12</v>
      </c>
    </row>
    <row r="1016" spans="1:23" x14ac:dyDescent="0.45">
      <c r="A1016">
        <v>1.2164999999999999</v>
      </c>
      <c r="B1016">
        <v>-159.40684999999999</v>
      </c>
      <c r="C1016">
        <v>1.2302599999999999</v>
      </c>
      <c r="D1016">
        <v>-159.39254</v>
      </c>
      <c r="E1016" s="10">
        <v>2202.5970000000002</v>
      </c>
      <c r="F1016" s="10" t="s">
        <v>2638</v>
      </c>
      <c r="G1016" s="10" t="s">
        <v>2639</v>
      </c>
      <c r="H1016" s="10">
        <v>2202.5966510834401</v>
      </c>
      <c r="I1016" s="10">
        <v>46.307988858261602</v>
      </c>
      <c r="J1016" s="10">
        <v>46.308294382297902</v>
      </c>
      <c r="K1016" s="4">
        <f t="shared" si="229"/>
        <v>46.307988888888886</v>
      </c>
      <c r="L1016" s="4">
        <f t="shared" si="230"/>
        <v>46.308294444444414</v>
      </c>
      <c r="M1016" s="4">
        <f t="shared" si="231"/>
        <v>46.307988858261581</v>
      </c>
      <c r="N1016" s="4">
        <f t="shared" si="232"/>
        <v>46.308294382297902</v>
      </c>
      <c r="O1016" s="3">
        <f t="shared" si="222"/>
        <v>2202.5966510465555</v>
      </c>
      <c r="P1016" s="2">
        <f t="shared" si="224"/>
        <v>1.5842818486535358E-7</v>
      </c>
      <c r="Q1016" s="2">
        <f t="shared" si="225"/>
        <v>1.6745942845349318E-11</v>
      </c>
      <c r="R1016" s="6">
        <f t="shared" si="226"/>
        <v>46.307988854647448</v>
      </c>
      <c r="S1016" s="2">
        <f t="shared" si="227"/>
        <v>7.3942831357922366E-10</v>
      </c>
      <c r="T1016" s="2">
        <f t="shared" si="223"/>
        <v>7.8045561510815301E-11</v>
      </c>
      <c r="U1016" s="6">
        <f t="shared" si="228"/>
        <v>46.308294378683868</v>
      </c>
      <c r="V1016" s="2">
        <f t="shared" si="220"/>
        <v>1.4200597591081276E-9</v>
      </c>
      <c r="W1016" s="2">
        <f t="shared" si="221"/>
        <v>7.8042898472160537E-11</v>
      </c>
    </row>
    <row r="1017" spans="1:23" x14ac:dyDescent="0.4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10">
        <v>284.74299999999999</v>
      </c>
      <c r="F1017" s="10" t="s">
        <v>2640</v>
      </c>
      <c r="G1017" s="10" t="s">
        <v>2641</v>
      </c>
      <c r="H1017" s="10">
        <v>284.74299032766299</v>
      </c>
      <c r="I1017" s="10">
        <v>-8.8011394565815806</v>
      </c>
      <c r="J1017" s="10">
        <v>-8.7988119115434493</v>
      </c>
      <c r="K1017" s="4">
        <f t="shared" si="229"/>
        <v>351.19886111111111</v>
      </c>
      <c r="L1017" s="4">
        <f t="shared" si="230"/>
        <v>351.20118888888885</v>
      </c>
      <c r="M1017" s="4">
        <f t="shared" si="231"/>
        <v>351.19886054341839</v>
      </c>
      <c r="N1017" s="4">
        <f t="shared" si="232"/>
        <v>351.20118808845655</v>
      </c>
      <c r="O1017" s="3">
        <f t="shared" si="222"/>
        <v>284.74299021233708</v>
      </c>
      <c r="P1017" s="2">
        <f t="shared" si="224"/>
        <v>3.4373673517418122E-8</v>
      </c>
      <c r="Q1017" s="2">
        <f t="shared" si="225"/>
        <v>4.050175829500075E-10</v>
      </c>
      <c r="R1017" s="6">
        <f t="shared" si="226"/>
        <v>351.1988606167493</v>
      </c>
      <c r="S1017" s="2">
        <f t="shared" si="227"/>
        <v>1.4076407085820561E-9</v>
      </c>
      <c r="T1017" s="2">
        <f t="shared" si="223"/>
        <v>2.0880167216755081E-10</v>
      </c>
      <c r="U1017" s="6">
        <f t="shared" si="228"/>
        <v>351.20118816176841</v>
      </c>
      <c r="V1017" s="2">
        <f t="shared" si="220"/>
        <v>2.0703814786340916E-9</v>
      </c>
      <c r="W1017" s="2">
        <f t="shared" si="221"/>
        <v>2.0874606717167742E-10</v>
      </c>
    </row>
    <row r="1018" spans="1:23" x14ac:dyDescent="0.45">
      <c r="A1018">
        <v>19.130179999999999</v>
      </c>
      <c r="B1018">
        <v>28.10445</v>
      </c>
      <c r="C1018">
        <v>19.12434</v>
      </c>
      <c r="D1018">
        <v>28.0916999999999</v>
      </c>
      <c r="E1018" s="10">
        <v>1489.088</v>
      </c>
      <c r="F1018" s="10" t="s">
        <v>2642</v>
      </c>
      <c r="G1018" s="10" t="s">
        <v>2643</v>
      </c>
      <c r="H1018" s="10">
        <v>1489.08847434217</v>
      </c>
      <c r="I1018" s="10">
        <v>-115.72754309618701</v>
      </c>
      <c r="J1018" s="10">
        <v>-115.731720856153</v>
      </c>
      <c r="K1018" s="4">
        <f t="shared" si="229"/>
        <v>244.27245555555555</v>
      </c>
      <c r="L1018" s="4">
        <f t="shared" si="230"/>
        <v>244.26827777777777</v>
      </c>
      <c r="M1018" s="4">
        <f t="shared" si="231"/>
        <v>244.27245690381301</v>
      </c>
      <c r="N1018" s="4">
        <f t="shared" si="232"/>
        <v>244.268279143847</v>
      </c>
      <c r="O1018" s="3">
        <f t="shared" si="222"/>
        <v>1489.0884742360915</v>
      </c>
      <c r="P1018" s="2">
        <f t="shared" si="224"/>
        <v>3.1847418794392305E-7</v>
      </c>
      <c r="Q1018" s="2">
        <f t="shared" si="225"/>
        <v>7.1237177388533981E-11</v>
      </c>
      <c r="R1018" s="6">
        <f t="shared" si="226"/>
        <v>244.27245690218263</v>
      </c>
      <c r="S1018" s="2">
        <f t="shared" si="227"/>
        <v>5.5128076962243699E-9</v>
      </c>
      <c r="T1018" s="2">
        <f t="shared" si="223"/>
        <v>6.6744444315622949E-12</v>
      </c>
      <c r="U1018" s="6">
        <f t="shared" si="228"/>
        <v>244.26827914221033</v>
      </c>
      <c r="V1018" s="2">
        <f t="shared" si="220"/>
        <v>5.5857951584650392E-9</v>
      </c>
      <c r="W1018" s="2">
        <f t="shared" si="221"/>
        <v>6.7002729264981664E-12</v>
      </c>
    </row>
    <row r="1019" spans="1:23" x14ac:dyDescent="0.45">
      <c r="A1019">
        <v>-60.211750000000002</v>
      </c>
      <c r="B1019">
        <v>-149.5446</v>
      </c>
      <c r="C1019">
        <v>-60.22401</v>
      </c>
      <c r="D1019">
        <v>-149.54175000000001</v>
      </c>
      <c r="E1019" s="10">
        <v>1375.066</v>
      </c>
      <c r="F1019" s="10" t="s">
        <v>2644</v>
      </c>
      <c r="G1019" s="10" t="s">
        <v>2645</v>
      </c>
      <c r="H1019" s="10">
        <v>1375.0655408976299</v>
      </c>
      <c r="I1019" s="10">
        <v>173.40387784133799</v>
      </c>
      <c r="J1019" s="10">
        <v>173.401404267901</v>
      </c>
      <c r="K1019" s="4">
        <f t="shared" si="229"/>
        <v>173.40387777777778</v>
      </c>
      <c r="L1019" s="4">
        <f t="shared" si="230"/>
        <v>173.40140555555558</v>
      </c>
      <c r="M1019" s="4">
        <f t="shared" si="231"/>
        <v>173.40387784133804</v>
      </c>
      <c r="N1019" s="4">
        <f t="shared" si="232"/>
        <v>173.40140426790094</v>
      </c>
      <c r="O1019" s="3">
        <f t="shared" si="222"/>
        <v>1375.0655415971776</v>
      </c>
      <c r="P1019" s="2">
        <f t="shared" si="224"/>
        <v>3.3336786922220631E-7</v>
      </c>
      <c r="Q1019" s="2">
        <f t="shared" si="225"/>
        <v>5.0873766095544341E-10</v>
      </c>
      <c r="R1019" s="6">
        <f t="shared" si="226"/>
        <v>173.4038778451359</v>
      </c>
      <c r="S1019" s="2">
        <f t="shared" si="227"/>
        <v>3.8844641995858763E-10</v>
      </c>
      <c r="T1019" s="2">
        <f t="shared" si="223"/>
        <v>2.1901764654379368E-11</v>
      </c>
      <c r="U1019" s="6">
        <f t="shared" si="228"/>
        <v>173.40140427169939</v>
      </c>
      <c r="V1019" s="2">
        <f t="shared" si="220"/>
        <v>7.4039549379638936E-9</v>
      </c>
      <c r="W1019" s="2">
        <f t="shared" si="221"/>
        <v>2.1905519131017328E-11</v>
      </c>
    </row>
    <row r="1020" spans="1:23" x14ac:dyDescent="0.4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10">
        <v>1194.9860000000001</v>
      </c>
      <c r="F1020" s="10" t="s">
        <v>2646</v>
      </c>
      <c r="G1020" s="10" t="s">
        <v>2647</v>
      </c>
      <c r="H1020" s="10">
        <v>1194.9861123968701</v>
      </c>
      <c r="I1020" s="10">
        <v>-138.560549926612</v>
      </c>
      <c r="J1020" s="10">
        <v>-138.54831449661401</v>
      </c>
      <c r="K1020" s="4">
        <f t="shared" si="229"/>
        <v>221.43944999999999</v>
      </c>
      <c r="L1020" s="4">
        <f t="shared" si="230"/>
        <v>221.45168611111112</v>
      </c>
      <c r="M1020" s="4">
        <f t="shared" si="231"/>
        <v>221.439450073388</v>
      </c>
      <c r="N1020" s="4">
        <f t="shared" si="232"/>
        <v>221.45168550338599</v>
      </c>
      <c r="O1020" s="3">
        <f t="shared" si="222"/>
        <v>1194.9861123958433</v>
      </c>
      <c r="P1020" s="2">
        <f t="shared" si="224"/>
        <v>9.4056200816583598E-8</v>
      </c>
      <c r="Q1020" s="2">
        <f t="shared" si="225"/>
        <v>8.5927318121050773E-13</v>
      </c>
      <c r="R1020" s="6">
        <f t="shared" si="226"/>
        <v>221.4394500562058</v>
      </c>
      <c r="S1020" s="2">
        <f t="shared" si="227"/>
        <v>2.538202033623473E-10</v>
      </c>
      <c r="T1020" s="2">
        <f t="shared" si="223"/>
        <v>7.7593230663773684E-11</v>
      </c>
      <c r="U1020" s="6">
        <f t="shared" si="228"/>
        <v>221.45168548619429</v>
      </c>
      <c r="V1020" s="2">
        <f t="shared" si="220"/>
        <v>2.8219104277934149E-9</v>
      </c>
      <c r="W1020" s="2">
        <f t="shared" si="221"/>
        <v>7.7631810024270441E-11</v>
      </c>
    </row>
    <row r="1021" spans="1:23" x14ac:dyDescent="0.4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10">
        <v>414.61900000000003</v>
      </c>
      <c r="F1021" s="10" t="s">
        <v>2648</v>
      </c>
      <c r="G1021" s="10" t="s">
        <v>2649</v>
      </c>
      <c r="H1021" s="10">
        <v>414.61903108173499</v>
      </c>
      <c r="I1021" s="10">
        <v>-165.77189412617699</v>
      </c>
      <c r="J1021" s="10">
        <v>-165.76789699303799</v>
      </c>
      <c r="K1021" s="4">
        <f t="shared" si="229"/>
        <v>194.22810555555554</v>
      </c>
      <c r="L1021" s="4">
        <f t="shared" si="230"/>
        <v>194.23210277777778</v>
      </c>
      <c r="M1021" s="4">
        <f t="shared" si="231"/>
        <v>194.22810587382301</v>
      </c>
      <c r="N1021" s="4">
        <f t="shared" si="232"/>
        <v>194.23210300696201</v>
      </c>
      <c r="O1021" s="3">
        <f t="shared" si="222"/>
        <v>414.61903112468326</v>
      </c>
      <c r="P1021" s="2">
        <f t="shared" si="224"/>
        <v>7.5068154697492388E-8</v>
      </c>
      <c r="Q1021" s="2">
        <f t="shared" si="225"/>
        <v>1.0358490391024146E-10</v>
      </c>
      <c r="R1021" s="6">
        <f t="shared" si="226"/>
        <v>194.22810587390089</v>
      </c>
      <c r="S1021" s="2">
        <f t="shared" si="227"/>
        <v>1.6390282037968646E-9</v>
      </c>
      <c r="T1021" s="2">
        <f t="shared" si="223"/>
        <v>4.0094858305366714E-13</v>
      </c>
      <c r="U1021" s="6">
        <f t="shared" si="228"/>
        <v>194.23210300703931</v>
      </c>
      <c r="V1021" s="2">
        <f t="shared" si="220"/>
        <v>1.1803482913997354E-9</v>
      </c>
      <c r="W1021" s="2">
        <f t="shared" si="221"/>
        <v>3.9801376010395113E-13</v>
      </c>
    </row>
    <row r="1022" spans="1:23" x14ac:dyDescent="0.45">
      <c r="A1022">
        <v>-29.75432</v>
      </c>
      <c r="B1022">
        <v>121.91710999999999</v>
      </c>
      <c r="C1022">
        <v>-29.739920000000001</v>
      </c>
      <c r="D1022">
        <v>121.92086</v>
      </c>
      <c r="E1022" s="10">
        <v>1636.9110000000001</v>
      </c>
      <c r="F1022" s="10" t="s">
        <v>2650</v>
      </c>
      <c r="G1022" s="10" t="s">
        <v>2651</v>
      </c>
      <c r="H1022" s="10">
        <v>1636.9109366350001</v>
      </c>
      <c r="I1022" s="10">
        <v>12.803881693783101</v>
      </c>
      <c r="J1022" s="10">
        <v>12.802021045533101</v>
      </c>
      <c r="K1022" s="4">
        <f t="shared" si="229"/>
        <v>12.803880555555555</v>
      </c>
      <c r="L1022" s="4">
        <f t="shared" si="230"/>
        <v>12.802022222222263</v>
      </c>
      <c r="M1022" s="4">
        <f t="shared" si="231"/>
        <v>12.803881693783126</v>
      </c>
      <c r="N1022" s="4">
        <f t="shared" si="232"/>
        <v>12.802021045533081</v>
      </c>
      <c r="O1022" s="3">
        <f t="shared" si="222"/>
        <v>1636.9109358543781</v>
      </c>
      <c r="P1022" s="2">
        <f t="shared" si="224"/>
        <v>3.918699427823148E-8</v>
      </c>
      <c r="Q1022" s="2">
        <f t="shared" si="225"/>
        <v>4.7688729639777181E-10</v>
      </c>
      <c r="R1022" s="6">
        <f t="shared" si="226"/>
        <v>12.803881693510059</v>
      </c>
      <c r="S1022" s="2">
        <f t="shared" si="227"/>
        <v>8.8875751302327239E-8</v>
      </c>
      <c r="T1022" s="2">
        <f t="shared" si="223"/>
        <v>2.1326884217909578E-11</v>
      </c>
      <c r="U1022" s="6">
        <f t="shared" si="228"/>
        <v>12.802021045260879</v>
      </c>
      <c r="V1022" s="2">
        <f t="shared" si="220"/>
        <v>9.1935583537844672E-8</v>
      </c>
      <c r="W1022" s="2">
        <f t="shared" si="221"/>
        <v>2.1262409714387577E-11</v>
      </c>
    </row>
    <row r="1023" spans="1:23" x14ac:dyDescent="0.4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10">
        <v>285.51799999999997</v>
      </c>
      <c r="F1023" s="10" t="s">
        <v>2652</v>
      </c>
      <c r="G1023" s="10" t="s">
        <v>2653</v>
      </c>
      <c r="H1023" s="10">
        <v>285.51825579718701</v>
      </c>
      <c r="I1023" s="10">
        <v>-4.0017476856959799</v>
      </c>
      <c r="J1023" s="10">
        <v>-4.0180667066933298</v>
      </c>
      <c r="K1023" s="4">
        <f t="shared" si="229"/>
        <v>355.99825277777779</v>
      </c>
      <c r="L1023" s="4">
        <f t="shared" si="230"/>
        <v>355.98193333333336</v>
      </c>
      <c r="M1023" s="4">
        <f t="shared" si="231"/>
        <v>355.99825231430401</v>
      </c>
      <c r="N1023" s="4">
        <f t="shared" si="232"/>
        <v>355.98193329330667</v>
      </c>
      <c r="O1023" s="3">
        <f t="shared" si="222"/>
        <v>285.51825564730757</v>
      </c>
      <c r="P1023" s="2">
        <f t="shared" si="224"/>
        <v>8.9538070313245904E-7</v>
      </c>
      <c r="Q1023" s="2">
        <f t="shared" si="225"/>
        <v>5.2493820402394447E-10</v>
      </c>
      <c r="R1023" s="6">
        <f t="shared" si="226"/>
        <v>355.9982523142935</v>
      </c>
      <c r="S1023" s="2">
        <f t="shared" si="227"/>
        <v>1.3019285753110857E-9</v>
      </c>
      <c r="T1023" s="2">
        <f t="shared" si="223"/>
        <v>2.9539562121122659E-14</v>
      </c>
      <c r="U1023" s="6">
        <f t="shared" si="228"/>
        <v>355.98193329329609</v>
      </c>
      <c r="V1023" s="2">
        <f t="shared" si="220"/>
        <v>1.1246993294232188E-10</v>
      </c>
      <c r="W1023" s="2">
        <f t="shared" si="221"/>
        <v>2.9700596910346314E-14</v>
      </c>
    </row>
    <row r="1024" spans="1:23" x14ac:dyDescent="0.45">
      <c r="A1024">
        <v>19.44462</v>
      </c>
      <c r="B1024">
        <v>70.114400000000003</v>
      </c>
      <c r="C1024">
        <v>19.431850000000001</v>
      </c>
      <c r="D1024">
        <v>70.130390000000006</v>
      </c>
      <c r="E1024" s="10">
        <v>2194.9639999999999</v>
      </c>
      <c r="F1024" s="10" t="s">
        <v>2654</v>
      </c>
      <c r="G1024" s="10" t="s">
        <v>2655</v>
      </c>
      <c r="H1024" s="10">
        <v>2194.9640773023102</v>
      </c>
      <c r="I1024" s="10">
        <v>130.08973120518201</v>
      </c>
      <c r="J1024" s="10">
        <v>130.09505252526901</v>
      </c>
      <c r="K1024" s="4">
        <f t="shared" si="229"/>
        <v>130.08973055555555</v>
      </c>
      <c r="L1024" s="4">
        <f t="shared" si="230"/>
        <v>130.09505277777777</v>
      </c>
      <c r="M1024" s="4">
        <f t="shared" si="231"/>
        <v>130.08973120518203</v>
      </c>
      <c r="N1024" s="4">
        <f t="shared" si="232"/>
        <v>130.09505252526901</v>
      </c>
      <c r="O1024" s="3">
        <f t="shared" si="222"/>
        <v>2194.9640770616011</v>
      </c>
      <c r="P1024" s="2">
        <f t="shared" si="224"/>
        <v>3.510836675786026E-8</v>
      </c>
      <c r="Q1024" s="2">
        <f t="shared" si="225"/>
        <v>1.0966427377883005E-10</v>
      </c>
      <c r="R1024" s="6">
        <f t="shared" si="226"/>
        <v>130.08973120738864</v>
      </c>
      <c r="S1024" s="2">
        <f t="shared" si="227"/>
        <v>5.0106421762193137E-9</v>
      </c>
      <c r="T1024" s="2">
        <f t="shared" si="223"/>
        <v>1.6962174157139068E-11</v>
      </c>
      <c r="U1024" s="6">
        <f t="shared" si="228"/>
        <v>130.09505252747087</v>
      </c>
      <c r="V1024" s="2">
        <f t="shared" si="220"/>
        <v>1.9240308654534514E-9</v>
      </c>
      <c r="W1024" s="2">
        <f t="shared" si="221"/>
        <v>1.6924996058978882E-11</v>
      </c>
    </row>
    <row r="1025" spans="1:23" x14ac:dyDescent="0.45">
      <c r="A1025">
        <v>12.11539</v>
      </c>
      <c r="B1025">
        <v>-142.04301000000001</v>
      </c>
      <c r="C1025">
        <v>12.10069</v>
      </c>
      <c r="D1025">
        <v>-142.05652000000001</v>
      </c>
      <c r="E1025" s="10">
        <v>2192.5590000000002</v>
      </c>
      <c r="F1025" s="10" t="s">
        <v>2656</v>
      </c>
      <c r="G1025" s="10" t="s">
        <v>2657</v>
      </c>
      <c r="H1025" s="10">
        <v>2192.5590772844598</v>
      </c>
      <c r="I1025" s="10">
        <v>-137.87264473731</v>
      </c>
      <c r="J1025" s="10">
        <v>-137.875478537768</v>
      </c>
      <c r="K1025" s="4">
        <f t="shared" si="229"/>
        <v>222.12735555555557</v>
      </c>
      <c r="L1025" s="4">
        <f t="shared" si="230"/>
        <v>222.12452222222223</v>
      </c>
      <c r="M1025" s="4">
        <f t="shared" si="231"/>
        <v>222.12735526269</v>
      </c>
      <c r="N1025" s="4">
        <f t="shared" si="232"/>
        <v>222.124521462232</v>
      </c>
      <c r="O1025" s="3">
        <f t="shared" si="222"/>
        <v>2192.5590773787821</v>
      </c>
      <c r="P1025" s="2">
        <f t="shared" si="224"/>
        <v>3.529153922543251E-8</v>
      </c>
      <c r="Q1025" s="2">
        <f t="shared" si="225"/>
        <v>4.3019288399580245E-11</v>
      </c>
      <c r="R1025" s="6">
        <f t="shared" si="226"/>
        <v>222.12735525976129</v>
      </c>
      <c r="S1025" s="2">
        <f t="shared" si="227"/>
        <v>1.3316427370990916E-9</v>
      </c>
      <c r="T1025" s="2">
        <f t="shared" si="223"/>
        <v>1.3184846345433022E-11</v>
      </c>
      <c r="U1025" s="6">
        <f t="shared" si="228"/>
        <v>222.12452145930143</v>
      </c>
      <c r="V1025" s="2">
        <f t="shared" si="220"/>
        <v>3.4346536068959176E-9</v>
      </c>
      <c r="W1025" s="2">
        <f t="shared" si="221"/>
        <v>1.3193331560501495E-11</v>
      </c>
    </row>
    <row r="1026" spans="1:23" x14ac:dyDescent="0.45">
      <c r="A1026">
        <v>18.57124</v>
      </c>
      <c r="B1026">
        <v>127.5219</v>
      </c>
      <c r="C1026">
        <v>18.559010000000001</v>
      </c>
      <c r="D1026">
        <v>127.53417</v>
      </c>
      <c r="E1026" s="10">
        <v>1873.549</v>
      </c>
      <c r="F1026" s="10" t="s">
        <v>2658</v>
      </c>
      <c r="G1026" s="10" t="s">
        <v>2659</v>
      </c>
      <c r="H1026" s="10">
        <v>1873.54861243092</v>
      </c>
      <c r="I1026" s="10">
        <v>136.262070604472</v>
      </c>
      <c r="J1026" s="10">
        <v>136.26597715605499</v>
      </c>
      <c r="K1026" s="4">
        <f t="shared" si="229"/>
        <v>136.26206944444445</v>
      </c>
      <c r="L1026" s="4">
        <f t="shared" si="230"/>
        <v>136.26597777777778</v>
      </c>
      <c r="M1026" s="4">
        <f t="shared" si="231"/>
        <v>136.262070604472</v>
      </c>
      <c r="N1026" s="4">
        <f t="shared" si="232"/>
        <v>136.26597715605499</v>
      </c>
      <c r="O1026" s="3">
        <f t="shared" si="222"/>
        <v>1873.5486121952897</v>
      </c>
      <c r="P1026" s="2">
        <f t="shared" si="224"/>
        <v>2.0698936097837121E-7</v>
      </c>
      <c r="Q1026" s="2">
        <f t="shared" si="225"/>
        <v>1.2576684381510283E-10</v>
      </c>
      <c r="R1026" s="6">
        <f t="shared" si="226"/>
        <v>136.26207060679727</v>
      </c>
      <c r="S1026" s="2">
        <f t="shared" si="227"/>
        <v>8.5302742091237201E-9</v>
      </c>
      <c r="T1026" s="2">
        <f t="shared" si="223"/>
        <v>1.7064655654464492E-11</v>
      </c>
      <c r="U1026" s="6">
        <f t="shared" si="228"/>
        <v>136.26597715838184</v>
      </c>
      <c r="V1026" s="2">
        <f t="shared" si="220"/>
        <v>4.5454921599310833E-9</v>
      </c>
      <c r="W1026" s="2">
        <f t="shared" si="221"/>
        <v>1.707584664874178E-11</v>
      </c>
    </row>
    <row r="1027" spans="1:23" x14ac:dyDescent="0.45">
      <c r="A1027">
        <v>-4.56813</v>
      </c>
      <c r="B1027">
        <v>117.96935000000001</v>
      </c>
      <c r="C1027">
        <v>-4.5796999999999999</v>
      </c>
      <c r="D1027">
        <v>117.96642</v>
      </c>
      <c r="E1027" s="10">
        <v>1320.0920000000001</v>
      </c>
      <c r="F1027" s="10" t="s">
        <v>2660</v>
      </c>
      <c r="G1027" s="10" t="s">
        <v>2661</v>
      </c>
      <c r="H1027" s="10">
        <v>1320.0921835295401</v>
      </c>
      <c r="I1027" s="10">
        <v>-165.74164209752999</v>
      </c>
      <c r="J1027" s="10">
        <v>-165.74140844434601</v>
      </c>
      <c r="K1027" s="4">
        <f t="shared" si="229"/>
        <v>194.25835833333332</v>
      </c>
      <c r="L1027" s="4">
        <f t="shared" si="230"/>
        <v>194.25859166666666</v>
      </c>
      <c r="M1027" s="4">
        <f t="shared" si="231"/>
        <v>194.25835790247001</v>
      </c>
      <c r="N1027" s="4">
        <f t="shared" si="232"/>
        <v>194.25859155565399</v>
      </c>
      <c r="O1027" s="3">
        <f t="shared" si="222"/>
        <v>1320.0921840013898</v>
      </c>
      <c r="P1027" s="2">
        <f t="shared" si="224"/>
        <v>1.3938527746406788E-7</v>
      </c>
      <c r="Q1027" s="2">
        <f t="shared" si="225"/>
        <v>3.5743694457055998E-10</v>
      </c>
      <c r="R1027" s="6">
        <f t="shared" si="226"/>
        <v>194.25835790063573</v>
      </c>
      <c r="S1027" s="2">
        <f t="shared" si="227"/>
        <v>2.2274335759386622E-9</v>
      </c>
      <c r="T1027" s="2">
        <f t="shared" si="223"/>
        <v>9.4424780638799526E-12</v>
      </c>
      <c r="U1027" s="6">
        <f t="shared" si="228"/>
        <v>194.25859155381929</v>
      </c>
      <c r="V1027" s="2">
        <f t="shared" si="220"/>
        <v>5.8091316910974694E-10</v>
      </c>
      <c r="W1027" s="2">
        <f t="shared" si="221"/>
        <v>9.4446613360482268E-12</v>
      </c>
    </row>
    <row r="1028" spans="1:23" x14ac:dyDescent="0.45">
      <c r="A1028">
        <v>2.3120699999999998</v>
      </c>
      <c r="B1028">
        <v>93.526420000000002</v>
      </c>
      <c r="C1028">
        <v>2.29691</v>
      </c>
      <c r="D1028">
        <v>93.53295</v>
      </c>
      <c r="E1028" s="10">
        <v>1826.924</v>
      </c>
      <c r="F1028" s="10" t="s">
        <v>2662</v>
      </c>
      <c r="G1028" s="10" t="s">
        <v>2663</v>
      </c>
      <c r="H1028" s="10">
        <v>1826.92412167356</v>
      </c>
      <c r="I1028" s="10">
        <v>156.57344223219201</v>
      </c>
      <c r="J1028" s="10">
        <v>156.573704804112</v>
      </c>
      <c r="K1028" s="4">
        <f t="shared" si="229"/>
        <v>156.57344166666667</v>
      </c>
      <c r="L1028" s="4">
        <f t="shared" si="230"/>
        <v>156.57370555555553</v>
      </c>
      <c r="M1028" s="4">
        <f t="shared" si="231"/>
        <v>156.57344223219206</v>
      </c>
      <c r="N1028" s="4">
        <f t="shared" si="232"/>
        <v>156.57370480411203</v>
      </c>
      <c r="O1028" s="3">
        <f t="shared" si="222"/>
        <v>1826.9241221748603</v>
      </c>
      <c r="P1028" s="2">
        <f t="shared" si="224"/>
        <v>6.6874626574619887E-8</v>
      </c>
      <c r="Q1028" s="2">
        <f t="shared" si="225"/>
        <v>2.7439579235772775E-10</v>
      </c>
      <c r="R1028" s="6">
        <f t="shared" si="226"/>
        <v>156.57344223492558</v>
      </c>
      <c r="S1028" s="2">
        <f t="shared" si="227"/>
        <v>3.6293441970561282E-9</v>
      </c>
      <c r="T1028" s="2">
        <f t="shared" si="223"/>
        <v>1.7458355062758821E-11</v>
      </c>
      <c r="U1028" s="6">
        <f t="shared" si="228"/>
        <v>156.57370480684577</v>
      </c>
      <c r="V1028" s="2">
        <f t="shared" si="220"/>
        <v>4.7818358997671669E-9</v>
      </c>
      <c r="W1028" s="2">
        <f t="shared" si="221"/>
        <v>1.7459777968360459E-11</v>
      </c>
    </row>
    <row r="1029" spans="1:23" x14ac:dyDescent="0.45">
      <c r="A1029">
        <v>14.01699</v>
      </c>
      <c r="B1029">
        <v>-115.60964</v>
      </c>
      <c r="C1029">
        <v>14.01942</v>
      </c>
      <c r="D1029">
        <v>-115.59381999999999</v>
      </c>
      <c r="E1029" s="10">
        <v>1729.982</v>
      </c>
      <c r="F1029" s="10" t="s">
        <v>2664</v>
      </c>
      <c r="G1029" s="10" t="s">
        <v>2665</v>
      </c>
      <c r="H1029" s="10">
        <v>1729.9818979268</v>
      </c>
      <c r="I1029" s="10">
        <v>81.057595681721097</v>
      </c>
      <c r="J1029" s="10">
        <v>81.061427763230895</v>
      </c>
      <c r="K1029" s="4">
        <f t="shared" si="229"/>
        <v>81.057594444444447</v>
      </c>
      <c r="L1029" s="4">
        <f t="shared" si="230"/>
        <v>81.061427777777794</v>
      </c>
      <c r="M1029" s="4">
        <f t="shared" si="231"/>
        <v>81.057595681721068</v>
      </c>
      <c r="N1029" s="4">
        <f t="shared" si="232"/>
        <v>81.061427763230881</v>
      </c>
      <c r="O1029" s="3">
        <f t="shared" si="222"/>
        <v>1729.9818977539476</v>
      </c>
      <c r="P1029" s="2">
        <f t="shared" si="224"/>
        <v>5.9102379326911685E-8</v>
      </c>
      <c r="Q1029" s="2">
        <f t="shared" si="225"/>
        <v>9.9915741394098447E-11</v>
      </c>
      <c r="R1029" s="6">
        <f t="shared" si="226"/>
        <v>81.057595680847299</v>
      </c>
      <c r="S1029" s="2">
        <f t="shared" si="227"/>
        <v>1.5253386935236432E-8</v>
      </c>
      <c r="T1029" s="2">
        <f t="shared" si="223"/>
        <v>1.0779601907387318E-11</v>
      </c>
      <c r="U1029" s="6">
        <f t="shared" si="228"/>
        <v>81.061427762359315</v>
      </c>
      <c r="V1029" s="2">
        <f t="shared" si="220"/>
        <v>1.9020734473507488E-10</v>
      </c>
      <c r="W1029" s="2">
        <f t="shared" si="221"/>
        <v>1.0751919310917845E-11</v>
      </c>
    </row>
    <row r="1030" spans="1:23" x14ac:dyDescent="0.4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10">
        <v>1401.3510000000001</v>
      </c>
      <c r="F1030" s="10" t="s">
        <v>2666</v>
      </c>
      <c r="G1030" s="10" t="s">
        <v>2667</v>
      </c>
      <c r="H1030" s="10">
        <v>1401.3513498790201</v>
      </c>
      <c r="I1030" s="10">
        <v>98.394722988523796</v>
      </c>
      <c r="J1030" s="10">
        <v>98.393768148759804</v>
      </c>
      <c r="K1030" s="4">
        <f t="shared" si="229"/>
        <v>98.394722222222228</v>
      </c>
      <c r="L1030" s="4">
        <f t="shared" si="230"/>
        <v>98.393769444444445</v>
      </c>
      <c r="M1030" s="4">
        <f t="shared" si="231"/>
        <v>98.394722988523768</v>
      </c>
      <c r="N1030" s="4">
        <f t="shared" si="232"/>
        <v>98.393768148759818</v>
      </c>
      <c r="O1030" s="3">
        <f t="shared" si="222"/>
        <v>1401.351349701413</v>
      </c>
      <c r="P1030" s="2">
        <f t="shared" si="224"/>
        <v>2.4954591170608762E-7</v>
      </c>
      <c r="Q1030" s="2">
        <f t="shared" si="225"/>
        <v>1.2673983214291846E-10</v>
      </c>
      <c r="R1030" s="6">
        <f t="shared" si="226"/>
        <v>98.394722989507898</v>
      </c>
      <c r="S1030" s="2">
        <f t="shared" si="227"/>
        <v>7.7980368493171813E-9</v>
      </c>
      <c r="T1030" s="2">
        <f t="shared" si="223"/>
        <v>1.0001858644918923E-11</v>
      </c>
      <c r="U1030" s="6">
        <f t="shared" si="228"/>
        <v>98.393768149745114</v>
      </c>
      <c r="V1030" s="2">
        <f t="shared" si="220"/>
        <v>1.3158346693761324E-8</v>
      </c>
      <c r="W1030" s="2">
        <f t="shared" si="221"/>
        <v>1.0013798834639251E-11</v>
      </c>
    </row>
    <row r="1031" spans="1:23" x14ac:dyDescent="0.45">
      <c r="A1031">
        <v>75.179220000000001</v>
      </c>
      <c r="B1031">
        <v>148.47328999999999</v>
      </c>
      <c r="C1031">
        <v>75.16525</v>
      </c>
      <c r="D1031">
        <v>148.47783000000001</v>
      </c>
      <c r="E1031" s="10">
        <v>1564.721</v>
      </c>
      <c r="F1031" s="10" t="s">
        <v>2668</v>
      </c>
      <c r="G1031" s="10" t="s">
        <v>2669</v>
      </c>
      <c r="H1031" s="10">
        <v>1564.72066250894</v>
      </c>
      <c r="I1031" s="10">
        <v>175.24150845799201</v>
      </c>
      <c r="J1031" s="10">
        <v>175.24589727370301</v>
      </c>
      <c r="K1031" s="4">
        <f t="shared" si="229"/>
        <v>175.24150833333334</v>
      </c>
      <c r="L1031" s="4">
        <f t="shared" si="230"/>
        <v>175.2458972222222</v>
      </c>
      <c r="M1031" s="4">
        <f t="shared" si="231"/>
        <v>175.24150845799204</v>
      </c>
      <c r="N1031" s="4">
        <f t="shared" si="232"/>
        <v>175.24589727370301</v>
      </c>
      <c r="O1031" s="3">
        <f t="shared" si="222"/>
        <v>1564.7206681393072</v>
      </c>
      <c r="P1031" s="2">
        <f t="shared" si="224"/>
        <v>2.1208937105580146E-7</v>
      </c>
      <c r="Q1031" s="2">
        <f t="shared" si="225"/>
        <v>3.5983210139598267E-9</v>
      </c>
      <c r="R1031" s="6">
        <f t="shared" si="226"/>
        <v>175.24150845807836</v>
      </c>
      <c r="S1031" s="2">
        <f t="shared" si="227"/>
        <v>7.1184627149504087E-10</v>
      </c>
      <c r="T1031" s="2">
        <f t="shared" si="223"/>
        <v>4.9255871111625562E-13</v>
      </c>
      <c r="U1031" s="6">
        <f t="shared" si="228"/>
        <v>175.24589727378824</v>
      </c>
      <c r="V1031" s="2">
        <f t="shared" si="220"/>
        <v>2.9424967003177461E-10</v>
      </c>
      <c r="W1031" s="2">
        <f t="shared" si="221"/>
        <v>4.8638346407994362E-13</v>
      </c>
    </row>
    <row r="1032" spans="1:23" x14ac:dyDescent="0.4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10">
        <v>1046.3440000000001</v>
      </c>
      <c r="F1032" s="10" t="s">
        <v>2670</v>
      </c>
      <c r="G1032" s="10" t="s">
        <v>2671</v>
      </c>
      <c r="H1032" s="10">
        <v>1046.3437249226799</v>
      </c>
      <c r="I1032" s="10">
        <v>154.80256968931201</v>
      </c>
      <c r="J1032" s="10">
        <v>154.80911928533499</v>
      </c>
      <c r="K1032" s="4">
        <f t="shared" si="229"/>
        <v>154.80256944444446</v>
      </c>
      <c r="L1032" s="4">
        <f t="shared" si="230"/>
        <v>154.80911944444438</v>
      </c>
      <c r="M1032" s="4">
        <f t="shared" si="231"/>
        <v>154.80256968931201</v>
      </c>
      <c r="N1032" s="4">
        <f t="shared" si="232"/>
        <v>154.80911928533499</v>
      </c>
      <c r="O1032" s="3">
        <f t="shared" si="222"/>
        <v>1046.343725244509</v>
      </c>
      <c r="P1032" s="2">
        <f t="shared" si="224"/>
        <v>2.6258619640493722E-7</v>
      </c>
      <c r="Q1032" s="2">
        <f t="shared" si="225"/>
        <v>3.0757485581133082E-10</v>
      </c>
      <c r="R1032" s="6">
        <f t="shared" si="226"/>
        <v>154.80256970594226</v>
      </c>
      <c r="S1032" s="2">
        <f t="shared" si="227"/>
        <v>1.6892342543497699E-9</v>
      </c>
      <c r="T1032" s="2">
        <f t="shared" si="223"/>
        <v>1.0742878986984505E-10</v>
      </c>
      <c r="U1032" s="6">
        <f t="shared" si="228"/>
        <v>154.80911930195549</v>
      </c>
      <c r="V1032" s="2">
        <f t="shared" si="220"/>
        <v>9.2041662002187164E-10</v>
      </c>
      <c r="W1032" s="2">
        <f t="shared" si="221"/>
        <v>1.0736127277810158E-10</v>
      </c>
    </row>
    <row r="1033" spans="1:23" x14ac:dyDescent="0.4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10">
        <v>1700.1</v>
      </c>
      <c r="F1033" s="10" t="s">
        <v>2672</v>
      </c>
      <c r="G1033" s="10" t="s">
        <v>2673</v>
      </c>
      <c r="H1033" s="10">
        <v>1700.09965670786</v>
      </c>
      <c r="I1033" s="10">
        <v>-35.267007293432101</v>
      </c>
      <c r="J1033" s="10">
        <v>-35.271177717682797</v>
      </c>
      <c r="K1033" s="4">
        <f t="shared" si="229"/>
        <v>324.73299166666669</v>
      </c>
      <c r="L1033" s="4">
        <f t="shared" si="230"/>
        <v>324.72882222222222</v>
      </c>
      <c r="M1033" s="4">
        <f t="shared" si="231"/>
        <v>324.73299270656787</v>
      </c>
      <c r="N1033" s="4">
        <f t="shared" si="232"/>
        <v>324.7288222823172</v>
      </c>
      <c r="O1033" s="3">
        <f t="shared" si="222"/>
        <v>1700.0996563223462</v>
      </c>
      <c r="P1033" s="2">
        <f t="shared" si="224"/>
        <v>2.021514344718219E-7</v>
      </c>
      <c r="Q1033" s="2">
        <f t="shared" si="225"/>
        <v>2.2675958093534809E-10</v>
      </c>
      <c r="R1033" s="6">
        <f t="shared" si="226"/>
        <v>324.73299270802829</v>
      </c>
      <c r="S1033" s="2">
        <f t="shared" si="227"/>
        <v>3.2068241488917802E-9</v>
      </c>
      <c r="T1033" s="2">
        <f t="shared" si="223"/>
        <v>4.4972982424718737E-12</v>
      </c>
      <c r="U1033" s="6">
        <f t="shared" si="228"/>
        <v>324.72882228377642</v>
      </c>
      <c r="V1033" s="2">
        <f t="shared" si="220"/>
        <v>1.8955571325891197E-10</v>
      </c>
      <c r="W1033" s="2">
        <f t="shared" si="221"/>
        <v>4.4936799737079062E-12</v>
      </c>
    </row>
    <row r="1034" spans="1:23" x14ac:dyDescent="0.45">
      <c r="A1034">
        <v>23.195959999999999</v>
      </c>
      <c r="B1034">
        <v>103.46209</v>
      </c>
      <c r="C1034">
        <v>23.201090000000001</v>
      </c>
      <c r="D1034">
        <v>103.47753</v>
      </c>
      <c r="E1034" s="10">
        <v>1679.626</v>
      </c>
      <c r="F1034" s="10" t="s">
        <v>2674</v>
      </c>
      <c r="G1034" s="10" t="s">
        <v>2675</v>
      </c>
      <c r="H1034" s="10">
        <v>1679.6260555886399</v>
      </c>
      <c r="I1034" s="10">
        <v>70.226758030741806</v>
      </c>
      <c r="J1034" s="10">
        <v>70.232840128522199</v>
      </c>
      <c r="K1034" s="4">
        <f t="shared" si="229"/>
        <v>70.226758333333336</v>
      </c>
      <c r="L1034" s="4">
        <f t="shared" si="230"/>
        <v>70.232838888888864</v>
      </c>
      <c r="M1034" s="4">
        <f t="shared" si="231"/>
        <v>70.226758030741792</v>
      </c>
      <c r="N1034" s="4">
        <f t="shared" si="232"/>
        <v>70.232840128522184</v>
      </c>
      <c r="O1034" s="3">
        <f t="shared" si="222"/>
        <v>1679.6260554978505</v>
      </c>
      <c r="P1034" s="2">
        <f t="shared" si="224"/>
        <v>3.30417905851454E-8</v>
      </c>
      <c r="Q1034" s="2">
        <f t="shared" si="225"/>
        <v>5.4053340508559112E-11</v>
      </c>
      <c r="R1034" s="6">
        <f t="shared" si="226"/>
        <v>70.226758029645623</v>
      </c>
      <c r="S1034" s="2">
        <f t="shared" si="227"/>
        <v>4.3243874615076819E-9</v>
      </c>
      <c r="T1034" s="2">
        <f t="shared" si="223"/>
        <v>1.5608986090913858E-11</v>
      </c>
      <c r="U1034" s="6">
        <f t="shared" si="228"/>
        <v>70.232840127431857</v>
      </c>
      <c r="V1034" s="2">
        <f t="shared" si="220"/>
        <v>1.7634813175774668E-8</v>
      </c>
      <c r="W1034" s="2">
        <f t="shared" si="221"/>
        <v>1.5524472967754608E-11</v>
      </c>
    </row>
    <row r="1035" spans="1:23" x14ac:dyDescent="0.45">
      <c r="A1035">
        <v>6.0963099999999999</v>
      </c>
      <c r="B1035">
        <v>-145.72367</v>
      </c>
      <c r="C1035">
        <v>6.1054000000000004</v>
      </c>
      <c r="D1035">
        <v>-145.70702</v>
      </c>
      <c r="E1035" s="10">
        <v>2099.357</v>
      </c>
      <c r="F1035" s="10" t="s">
        <v>2676</v>
      </c>
      <c r="G1035" s="10" t="s">
        <v>2677</v>
      </c>
      <c r="H1035" s="10">
        <v>2099.356778934</v>
      </c>
      <c r="I1035" s="10">
        <v>61.390125813125699</v>
      </c>
      <c r="J1035" s="10">
        <v>61.391895356985103</v>
      </c>
      <c r="K1035" s="4">
        <f t="shared" si="229"/>
        <v>61.390124999999998</v>
      </c>
      <c r="L1035" s="4">
        <f t="shared" si="230"/>
        <v>61.391894444444461</v>
      </c>
      <c r="M1035" s="4">
        <f t="shared" si="231"/>
        <v>61.390125813125678</v>
      </c>
      <c r="N1035" s="4">
        <f t="shared" si="232"/>
        <v>61.391895356985117</v>
      </c>
      <c r="O1035" s="3">
        <f t="shared" si="222"/>
        <v>2099.3567787210477</v>
      </c>
      <c r="P1035" s="2">
        <f t="shared" si="224"/>
        <v>1.0540320310805259E-7</v>
      </c>
      <c r="Q1035" s="2">
        <f t="shared" si="225"/>
        <v>1.0143691384020079E-10</v>
      </c>
      <c r="R1035" s="6">
        <f t="shared" si="226"/>
        <v>61.390125810238004</v>
      </c>
      <c r="S1035" s="2">
        <f t="shared" si="227"/>
        <v>1.3198181408909405E-8</v>
      </c>
      <c r="T1035" s="2">
        <f t="shared" si="223"/>
        <v>4.7038087340441168E-11</v>
      </c>
      <c r="U1035" s="6">
        <f t="shared" si="228"/>
        <v>61.39189535409713</v>
      </c>
      <c r="V1035" s="2">
        <f t="shared" si="220"/>
        <v>1.4817146104802433E-8</v>
      </c>
      <c r="W1035" s="2">
        <f t="shared" si="221"/>
        <v>4.7041824036364753E-11</v>
      </c>
    </row>
    <row r="1036" spans="1:23" x14ac:dyDescent="0.4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10">
        <v>1223.894</v>
      </c>
      <c r="F1036" s="10" t="s">
        <v>2678</v>
      </c>
      <c r="G1036" s="10" t="s">
        <v>2679</v>
      </c>
      <c r="H1036" s="10">
        <v>1223.8940906058499</v>
      </c>
      <c r="I1036" s="10">
        <v>32.180154899387702</v>
      </c>
      <c r="J1036" s="10">
        <v>32.184961835173098</v>
      </c>
      <c r="K1036" s="4">
        <f t="shared" si="229"/>
        <v>32.180155555555558</v>
      </c>
      <c r="L1036" s="4">
        <f t="shared" si="230"/>
        <v>32.184961111111079</v>
      </c>
      <c r="M1036" s="4">
        <f t="shared" si="231"/>
        <v>32.18015489938773</v>
      </c>
      <c r="N1036" s="4">
        <f t="shared" si="232"/>
        <v>32.184961835173112</v>
      </c>
      <c r="O1036" s="3">
        <f t="shared" si="222"/>
        <v>1223.8940910290714</v>
      </c>
      <c r="P1036" s="2">
        <f t="shared" si="224"/>
        <v>7.4376597505444702E-8</v>
      </c>
      <c r="Q1036" s="2">
        <f t="shared" si="225"/>
        <v>3.4579914985079039E-10</v>
      </c>
      <c r="R1036" s="6">
        <f t="shared" si="226"/>
        <v>32.18015489902389</v>
      </c>
      <c r="S1036" s="2">
        <f t="shared" si="227"/>
        <v>2.0401755579095741E-8</v>
      </c>
      <c r="T1036" s="2">
        <f t="shared" si="223"/>
        <v>1.1306363018166809E-11</v>
      </c>
      <c r="U1036" s="6">
        <f t="shared" si="228"/>
        <v>32.184961834804803</v>
      </c>
      <c r="V1036" s="2">
        <f t="shared" si="220"/>
        <v>2.2485462111200832E-8</v>
      </c>
      <c r="W1036" s="2">
        <f t="shared" si="221"/>
        <v>1.1443537791576409E-11</v>
      </c>
    </row>
    <row r="1037" spans="1:23" x14ac:dyDescent="0.4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10">
        <v>1663.26</v>
      </c>
      <c r="F1037" s="10" t="s">
        <v>2680</v>
      </c>
      <c r="G1037" s="10" t="s">
        <v>2681</v>
      </c>
      <c r="H1037" s="10">
        <v>1663.2604008989399</v>
      </c>
      <c r="I1037" s="10">
        <v>-1.9070302718891401</v>
      </c>
      <c r="J1037" s="10">
        <v>-1.9059704736899501</v>
      </c>
      <c r="K1037" s="4">
        <f t="shared" si="229"/>
        <v>358.09296944444446</v>
      </c>
      <c r="L1037" s="4">
        <f t="shared" si="230"/>
        <v>358.09403055555555</v>
      </c>
      <c r="M1037" s="4">
        <f t="shared" si="231"/>
        <v>358.09296972811086</v>
      </c>
      <c r="N1037" s="4">
        <f t="shared" si="232"/>
        <v>358.09402952631007</v>
      </c>
      <c r="O1037" s="3">
        <f t="shared" si="222"/>
        <v>1663.2604016263708</v>
      </c>
      <c r="P1037" s="2">
        <f t="shared" si="224"/>
        <v>2.4146938592333987E-7</v>
      </c>
      <c r="Q1037" s="2">
        <f t="shared" si="225"/>
        <v>4.3735239239177024E-10</v>
      </c>
      <c r="R1037" s="6">
        <f t="shared" si="226"/>
        <v>358.09296972853025</v>
      </c>
      <c r="S1037" s="2">
        <f t="shared" si="227"/>
        <v>7.9332969437297339E-10</v>
      </c>
      <c r="T1037" s="2">
        <f t="shared" si="223"/>
        <v>1.1711783805012207E-12</v>
      </c>
      <c r="U1037" s="6">
        <f t="shared" si="228"/>
        <v>358.09402952672889</v>
      </c>
      <c r="V1037" s="2">
        <f t="shared" ref="V1037:V1100" si="233">ABS((L1037-U1037)/L1037)</f>
        <v>2.8730628595664249E-9</v>
      </c>
      <c r="W1037" s="2">
        <f t="shared" ref="W1037:W1100" si="234">ABS((N1037-U1037)/N1037)</f>
        <v>1.1695875262719552E-12</v>
      </c>
    </row>
    <row r="1038" spans="1:23" x14ac:dyDescent="0.4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10">
        <v>1545.7429999999999</v>
      </c>
      <c r="F1038" s="10" t="s">
        <v>2682</v>
      </c>
      <c r="G1038" s="10" t="s">
        <v>2683</v>
      </c>
      <c r="H1038" s="10">
        <v>1545.74277701094</v>
      </c>
      <c r="I1038" s="10">
        <v>24.7831701035959</v>
      </c>
      <c r="J1038" s="10">
        <v>24.783849592176001</v>
      </c>
      <c r="K1038" s="4">
        <f t="shared" si="229"/>
        <v>24.783169444444443</v>
      </c>
      <c r="L1038" s="4">
        <f t="shared" si="230"/>
        <v>24.783850000000029</v>
      </c>
      <c r="M1038" s="4">
        <f t="shared" si="231"/>
        <v>24.783170103595921</v>
      </c>
      <c r="N1038" s="4">
        <f t="shared" si="232"/>
        <v>24.783849592176011</v>
      </c>
      <c r="O1038" s="3">
        <f t="shared" si="222"/>
        <v>1545.7427772616095</v>
      </c>
      <c r="P1038" s="2">
        <f t="shared" si="224"/>
        <v>1.4409794542060674E-7</v>
      </c>
      <c r="Q1038" s="2">
        <f t="shared" si="225"/>
        <v>1.6216764940617913E-10</v>
      </c>
      <c r="R1038" s="6">
        <f t="shared" si="226"/>
        <v>24.783170100894832</v>
      </c>
      <c r="S1038" s="2">
        <f t="shared" si="227"/>
        <v>2.6487749705691294E-8</v>
      </c>
      <c r="T1038" s="2">
        <f t="shared" si="223"/>
        <v>1.0898884682027174E-10</v>
      </c>
      <c r="U1038" s="6">
        <f t="shared" si="228"/>
        <v>24.783849589475789</v>
      </c>
      <c r="V1038" s="2">
        <f t="shared" si="233"/>
        <v>1.656418354612267E-8</v>
      </c>
      <c r="W1038" s="2">
        <f t="shared" si="234"/>
        <v>1.089508818216988E-10</v>
      </c>
    </row>
    <row r="1039" spans="1:23" x14ac:dyDescent="0.45">
      <c r="A1039">
        <v>74.239410000000007</v>
      </c>
      <c r="B1039">
        <v>179.54470000000001</v>
      </c>
      <c r="C1039">
        <v>74.23348</v>
      </c>
      <c r="D1039">
        <v>179.53985</v>
      </c>
      <c r="E1039" s="10">
        <v>678.00800000000004</v>
      </c>
      <c r="F1039" s="10" t="s">
        <v>2684</v>
      </c>
      <c r="G1039" s="10" t="s">
        <v>2685</v>
      </c>
      <c r="H1039" s="10">
        <v>678.00785547277997</v>
      </c>
      <c r="I1039" s="10">
        <v>-167.46454890986601</v>
      </c>
      <c r="J1039" s="10">
        <v>-167.469216506186</v>
      </c>
      <c r="K1039" s="4">
        <f t="shared" si="229"/>
        <v>192.53545</v>
      </c>
      <c r="L1039" s="4">
        <f t="shared" si="230"/>
        <v>192.53078333333335</v>
      </c>
      <c r="M1039" s="4">
        <f t="shared" si="231"/>
        <v>192.53545109013399</v>
      </c>
      <c r="N1039" s="4">
        <f t="shared" si="232"/>
        <v>192.530783493814</v>
      </c>
      <c r="O1039" s="3">
        <f t="shared" si="222"/>
        <v>678.00785456380493</v>
      </c>
      <c r="P1039" s="2">
        <f t="shared" si="224"/>
        <v>2.1450513137288923E-7</v>
      </c>
      <c r="Q1039" s="2">
        <f t="shared" si="225"/>
        <v>1.3406556161563462E-9</v>
      </c>
      <c r="R1039" s="6">
        <f t="shared" si="226"/>
        <v>192.53545108999734</v>
      </c>
      <c r="S1039" s="2">
        <f t="shared" si="227"/>
        <v>5.6612812881296254E-9</v>
      </c>
      <c r="T1039" s="2">
        <f t="shared" si="223"/>
        <v>7.0974762397087112E-13</v>
      </c>
      <c r="U1039" s="6">
        <f t="shared" si="228"/>
        <v>192.5307834936803</v>
      </c>
      <c r="V1039" s="2">
        <f t="shared" si="233"/>
        <v>8.3283802345448115E-10</v>
      </c>
      <c r="W1039" s="2">
        <f t="shared" si="234"/>
        <v>6.9441218040291244E-13</v>
      </c>
    </row>
    <row r="1040" spans="1:23" x14ac:dyDescent="0.45">
      <c r="A1040">
        <v>78.508849999999995</v>
      </c>
      <c r="B1040">
        <v>105.3862</v>
      </c>
      <c r="C1040">
        <v>78.503609999999995</v>
      </c>
      <c r="D1040">
        <v>105.37600999999999</v>
      </c>
      <c r="E1040" s="10">
        <v>627.45100000000002</v>
      </c>
      <c r="F1040" s="10" t="s">
        <v>2686</v>
      </c>
      <c r="G1040" s="10" t="s">
        <v>2687</v>
      </c>
      <c r="H1040" s="10">
        <v>627.45069884547195</v>
      </c>
      <c r="I1040" s="10">
        <v>-158.80874444647301</v>
      </c>
      <c r="J1040" s="10">
        <v>-158.81873010006501</v>
      </c>
      <c r="K1040" s="4">
        <f t="shared" si="229"/>
        <v>201.19125555555556</v>
      </c>
      <c r="L1040" s="4">
        <f t="shared" si="230"/>
        <v>201.18126944444444</v>
      </c>
      <c r="M1040" s="4">
        <f t="shared" si="231"/>
        <v>201.19125555352699</v>
      </c>
      <c r="N1040" s="4">
        <f t="shared" si="232"/>
        <v>201.18126989993499</v>
      </c>
      <c r="O1040" s="3">
        <f t="shared" si="222"/>
        <v>627.4506987829493</v>
      </c>
      <c r="P1040" s="2">
        <f t="shared" si="224"/>
        <v>4.8006465958148186E-7</v>
      </c>
      <c r="Q1040" s="2">
        <f t="shared" si="225"/>
        <v>9.9645509924899089E-11</v>
      </c>
      <c r="R1040" s="6">
        <f t="shared" si="226"/>
        <v>201.19125555340909</v>
      </c>
      <c r="S1040" s="2">
        <f t="shared" si="227"/>
        <v>1.0668775507543177E-11</v>
      </c>
      <c r="T1040" s="2">
        <f t="shared" si="223"/>
        <v>5.8597601766022228E-13</v>
      </c>
      <c r="U1040" s="6">
        <f t="shared" si="228"/>
        <v>201.18126989981985</v>
      </c>
      <c r="V1040" s="2">
        <f t="shared" si="233"/>
        <v>2.2635080048901255E-9</v>
      </c>
      <c r="W1040" s="2">
        <f t="shared" si="234"/>
        <v>5.7230151176515581E-13</v>
      </c>
    </row>
    <row r="1041" spans="1:23" x14ac:dyDescent="0.45">
      <c r="A1041">
        <v>21.391670000000001</v>
      </c>
      <c r="B1041">
        <v>142.4187</v>
      </c>
      <c r="C1041">
        <v>21.399940000000001</v>
      </c>
      <c r="D1041">
        <v>142.40584000000001</v>
      </c>
      <c r="E1041" s="10">
        <v>1617.617</v>
      </c>
      <c r="F1041" s="10" t="s">
        <v>2688</v>
      </c>
      <c r="G1041" s="10" t="s">
        <v>2689</v>
      </c>
      <c r="H1041" s="10">
        <v>1617.61736738067</v>
      </c>
      <c r="I1041" s="10">
        <v>-55.5215422671045</v>
      </c>
      <c r="J1041" s="10">
        <v>-55.526233705918401</v>
      </c>
      <c r="K1041" s="4">
        <f t="shared" si="229"/>
        <v>304.47845833333332</v>
      </c>
      <c r="L1041" s="4">
        <f t="shared" si="230"/>
        <v>304.47376666666668</v>
      </c>
      <c r="M1041" s="4">
        <f t="shared" si="231"/>
        <v>304.47845773289549</v>
      </c>
      <c r="N1041" s="4">
        <f t="shared" si="232"/>
        <v>304.4737662940816</v>
      </c>
      <c r="O1041" s="3">
        <f t="shared" si="222"/>
        <v>1617.6173672460741</v>
      </c>
      <c r="P1041" s="2">
        <f t="shared" si="224"/>
        <v>2.2702906443241861E-7</v>
      </c>
      <c r="Q1041" s="2">
        <f t="shared" si="225"/>
        <v>8.3206261416224071E-11</v>
      </c>
      <c r="R1041" s="6">
        <f t="shared" si="226"/>
        <v>304.4784577347329</v>
      </c>
      <c r="S1041" s="2">
        <f t="shared" si="227"/>
        <v>1.9659861188209043E-9</v>
      </c>
      <c r="T1041" s="2">
        <f t="shared" si="223"/>
        <v>6.0346031865040123E-12</v>
      </c>
      <c r="U1041" s="6">
        <f t="shared" si="228"/>
        <v>304.47376629591378</v>
      </c>
      <c r="V1041" s="2">
        <f t="shared" si="233"/>
        <v>1.2176842177223148E-9</v>
      </c>
      <c r="W1041" s="2">
        <f t="shared" si="234"/>
        <v>6.0175203237441546E-12</v>
      </c>
    </row>
    <row r="1042" spans="1:23" x14ac:dyDescent="0.4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10">
        <v>986.15</v>
      </c>
      <c r="F1042" s="10" t="s">
        <v>2690</v>
      </c>
      <c r="G1042" s="10" t="s">
        <v>2691</v>
      </c>
      <c r="H1042" s="10">
        <v>986.15003576171205</v>
      </c>
      <c r="I1042" s="10">
        <v>3.4764511729966499</v>
      </c>
      <c r="J1042" s="10">
        <v>3.4772596371343099</v>
      </c>
      <c r="K1042" s="4">
        <f t="shared" si="229"/>
        <v>3.4764499999999998</v>
      </c>
      <c r="L1042" s="4">
        <f t="shared" si="230"/>
        <v>3.4772583333333387</v>
      </c>
      <c r="M1042" s="4">
        <f t="shared" si="231"/>
        <v>3.476451172996633</v>
      </c>
      <c r="N1042" s="4">
        <f t="shared" si="232"/>
        <v>3.4772596371342956</v>
      </c>
      <c r="O1042" s="3">
        <f t="shared" si="222"/>
        <v>986.1500362260897</v>
      </c>
      <c r="P1042" s="2">
        <f t="shared" si="224"/>
        <v>3.6734867635850102E-8</v>
      </c>
      <c r="Q1042" s="2">
        <f t="shared" si="225"/>
        <v>4.7089959172828566E-10</v>
      </c>
      <c r="R1042" s="6">
        <f t="shared" si="226"/>
        <v>3.4764511692515909</v>
      </c>
      <c r="S1042" s="2">
        <f t="shared" si="227"/>
        <v>3.3633493681898775E-7</v>
      </c>
      <c r="T1042" s="2">
        <f t="shared" si="223"/>
        <v>1.0772600758319473E-9</v>
      </c>
      <c r="U1042" s="6">
        <f t="shared" si="228"/>
        <v>3.4772596333877765</v>
      </c>
      <c r="V1042" s="2">
        <f t="shared" si="233"/>
        <v>3.7387341211265653E-7</v>
      </c>
      <c r="W1042" s="2">
        <f t="shared" si="234"/>
        <v>1.0774343839472353E-9</v>
      </c>
    </row>
    <row r="1043" spans="1:23" x14ac:dyDescent="0.45">
      <c r="A1043">
        <v>-56.815989999999999</v>
      </c>
      <c r="B1043">
        <v>102.50293000000001</v>
      </c>
      <c r="C1043">
        <v>-56.801220000000001</v>
      </c>
      <c r="D1043">
        <v>102.51172</v>
      </c>
      <c r="E1043" s="10">
        <v>1730.1569999999999</v>
      </c>
      <c r="F1043" s="10" t="s">
        <v>2692</v>
      </c>
      <c r="G1043" s="10" t="s">
        <v>2693</v>
      </c>
      <c r="H1043" s="10">
        <v>1730.15676372386</v>
      </c>
      <c r="I1043" s="10">
        <v>18.0830495113951</v>
      </c>
      <c r="J1043" s="10">
        <v>18.075693630242</v>
      </c>
      <c r="K1043" s="4">
        <f t="shared" si="229"/>
        <v>18.08305</v>
      </c>
      <c r="L1043" s="4">
        <f t="shared" si="230"/>
        <v>18.07569444444448</v>
      </c>
      <c r="M1043" s="4">
        <f t="shared" si="231"/>
        <v>18.083049511395075</v>
      </c>
      <c r="N1043" s="4">
        <f t="shared" si="232"/>
        <v>18.075693630241972</v>
      </c>
      <c r="O1043" s="3">
        <f t="shared" si="222"/>
        <v>1730.1567643598189</v>
      </c>
      <c r="P1043" s="2">
        <f t="shared" si="224"/>
        <v>1.3619583715091504E-7</v>
      </c>
      <c r="Q1043" s="2">
        <f t="shared" si="225"/>
        <v>3.675730164770702E-10</v>
      </c>
      <c r="R1043" s="6">
        <f t="shared" si="226"/>
        <v>18.083049494123365</v>
      </c>
      <c r="S1043" s="2">
        <f t="shared" si="227"/>
        <v>2.7975183102644792E-8</v>
      </c>
      <c r="T1043" s="2">
        <f t="shared" si="223"/>
        <v>9.5513256130518721E-10</v>
      </c>
      <c r="U1043" s="6">
        <f t="shared" si="228"/>
        <v>18.075693612979013</v>
      </c>
      <c r="V1043" s="2">
        <f t="shared" si="233"/>
        <v>4.5999088427791643E-8</v>
      </c>
      <c r="W1043" s="2">
        <f t="shared" si="234"/>
        <v>9.5503715737658884E-10</v>
      </c>
    </row>
    <row r="1044" spans="1:23" x14ac:dyDescent="0.4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10">
        <v>1542.845</v>
      </c>
      <c r="F1044" s="10" t="s">
        <v>2694</v>
      </c>
      <c r="G1044" s="10" t="s">
        <v>2695</v>
      </c>
      <c r="H1044" s="10">
        <v>1542.8445930073799</v>
      </c>
      <c r="I1044" s="10">
        <v>99.654404483610307</v>
      </c>
      <c r="J1044" s="10">
        <v>99.655261925331601</v>
      </c>
      <c r="K1044" s="4">
        <f t="shared" si="229"/>
        <v>99.654405555555556</v>
      </c>
      <c r="L1044" s="4">
        <f t="shared" si="230"/>
        <v>99.655261111111088</v>
      </c>
      <c r="M1044" s="4">
        <f t="shared" si="231"/>
        <v>99.654404483610278</v>
      </c>
      <c r="N1044" s="4">
        <f t="shared" si="232"/>
        <v>99.655261925331615</v>
      </c>
      <c r="O1044" s="3">
        <f t="shared" si="222"/>
        <v>1542.8445928081558</v>
      </c>
      <c r="P1044" s="2">
        <f t="shared" si="224"/>
        <v>2.6392271696801932E-7</v>
      </c>
      <c r="Q1044" s="2">
        <f t="shared" si="225"/>
        <v>1.2912780276463052E-10</v>
      </c>
      <c r="R1044" s="6">
        <f t="shared" si="226"/>
        <v>99.654404484806818</v>
      </c>
      <c r="S1044" s="2">
        <f t="shared" si="227"/>
        <v>1.0744620187192352E-8</v>
      </c>
      <c r="T1044" s="2">
        <f t="shared" si="223"/>
        <v>1.2006892844982914E-11</v>
      </c>
      <c r="U1044" s="6">
        <f t="shared" si="228"/>
        <v>99.655261926527885</v>
      </c>
      <c r="V1044" s="2">
        <f t="shared" si="233"/>
        <v>8.1823758033814125E-9</v>
      </c>
      <c r="W1044" s="2">
        <f t="shared" si="234"/>
        <v>1.2004080133992622E-11</v>
      </c>
    </row>
    <row r="1045" spans="1:23" x14ac:dyDescent="0.45">
      <c r="A1045">
        <v>3.76294</v>
      </c>
      <c r="B1045">
        <v>-163.57273000000001</v>
      </c>
      <c r="C1045">
        <v>3.7467999999999901</v>
      </c>
      <c r="D1045">
        <v>-163.58038999999999</v>
      </c>
      <c r="E1045" s="10">
        <v>1977.202</v>
      </c>
      <c r="F1045" s="10" t="s">
        <v>2696</v>
      </c>
      <c r="G1045" s="10" t="s">
        <v>2697</v>
      </c>
      <c r="H1045" s="10">
        <v>1977.2023915823499</v>
      </c>
      <c r="I1045" s="10">
        <v>-154.509974710503</v>
      </c>
      <c r="J1045" s="10">
        <v>-154.51047634816399</v>
      </c>
      <c r="K1045" s="4">
        <f t="shared" si="229"/>
        <v>205.490025</v>
      </c>
      <c r="L1045" s="4">
        <f t="shared" si="230"/>
        <v>205.48952500000001</v>
      </c>
      <c r="M1045" s="4">
        <f t="shared" si="231"/>
        <v>205.490025289497</v>
      </c>
      <c r="N1045" s="4">
        <f t="shared" si="232"/>
        <v>205.48952365183601</v>
      </c>
      <c r="O1045" s="3">
        <f t="shared" si="222"/>
        <v>1977.2023920253823</v>
      </c>
      <c r="P1045" s="2">
        <f t="shared" si="224"/>
        <v>1.982728028422491E-7</v>
      </c>
      <c r="Q1045" s="2">
        <f t="shared" si="225"/>
        <v>2.2407032223547172E-10</v>
      </c>
      <c r="R1045" s="6">
        <f t="shared" si="226"/>
        <v>205.4900252867871</v>
      </c>
      <c r="S1045" s="2">
        <f t="shared" si="227"/>
        <v>1.395625403021752E-9</v>
      </c>
      <c r="T1045" s="2">
        <f t="shared" si="223"/>
        <v>1.3187483448569163E-11</v>
      </c>
      <c r="U1045" s="6">
        <f t="shared" si="228"/>
        <v>205.48952364912594</v>
      </c>
      <c r="V1045" s="2">
        <f t="shared" si="233"/>
        <v>6.5739315527594815E-9</v>
      </c>
      <c r="W1045" s="2">
        <f t="shared" si="234"/>
        <v>1.3188345514876905E-11</v>
      </c>
    </row>
    <row r="1046" spans="1:23" x14ac:dyDescent="0.45">
      <c r="A1046">
        <v>79.306939999999997</v>
      </c>
      <c r="B1046">
        <v>33.284829999999999</v>
      </c>
      <c r="C1046">
        <v>79.30641</v>
      </c>
      <c r="D1046">
        <v>33.269520000000099</v>
      </c>
      <c r="E1046" s="10">
        <v>322.73599999999999</v>
      </c>
      <c r="F1046" s="10" t="s">
        <v>2698</v>
      </c>
      <c r="G1046" s="10" t="s">
        <v>2699</v>
      </c>
      <c r="H1046" s="10">
        <v>322.735602264671</v>
      </c>
      <c r="I1046" s="10">
        <v>-100.55808386557101</v>
      </c>
      <c r="J1046" s="10">
        <v>-100.57312799854699</v>
      </c>
      <c r="K1046" s="4">
        <f t="shared" si="229"/>
        <v>259.44191666666666</v>
      </c>
      <c r="L1046" s="4">
        <f t="shared" si="230"/>
        <v>259.42687222222219</v>
      </c>
      <c r="M1046" s="4">
        <f t="shared" si="231"/>
        <v>259.44191613442899</v>
      </c>
      <c r="N1046" s="4">
        <f t="shared" si="232"/>
        <v>259.42687200145303</v>
      </c>
      <c r="O1046" s="3">
        <f t="shared" si="222"/>
        <v>322.73560211439496</v>
      </c>
      <c r="P1046" s="2">
        <f t="shared" si="224"/>
        <v>1.2328516342313666E-6</v>
      </c>
      <c r="Q1046" s="2">
        <f t="shared" si="225"/>
        <v>4.6563204026179011E-10</v>
      </c>
      <c r="R1046" s="6">
        <f t="shared" si="226"/>
        <v>259.44191613451534</v>
      </c>
      <c r="S1046" s="2">
        <f t="shared" si="227"/>
        <v>2.0511385569589112E-9</v>
      </c>
      <c r="T1046" s="2">
        <f t="shared" si="223"/>
        <v>3.328111144724506E-13</v>
      </c>
      <c r="U1046" s="6">
        <f t="shared" si="228"/>
        <v>259.42687200152113</v>
      </c>
      <c r="V1046" s="2">
        <f t="shared" si="233"/>
        <v>8.5072549341683918E-10</v>
      </c>
      <c r="W1046" s="2">
        <f t="shared" si="234"/>
        <v>2.6249561300213567E-13</v>
      </c>
    </row>
    <row r="1047" spans="1:23" x14ac:dyDescent="0.45">
      <c r="A1047">
        <v>52.785359999999997</v>
      </c>
      <c r="B1047">
        <v>24.786860000000001</v>
      </c>
      <c r="C1047">
        <v>52.79571</v>
      </c>
      <c r="D1047">
        <v>24.794979999999999</v>
      </c>
      <c r="E1047" s="10">
        <v>1275.403</v>
      </c>
      <c r="F1047" s="10" t="s">
        <v>2700</v>
      </c>
      <c r="G1047" s="10" t="s">
        <v>2701</v>
      </c>
      <c r="H1047" s="10">
        <v>1275.40250437482</v>
      </c>
      <c r="I1047" s="10">
        <v>25.432777840665501</v>
      </c>
      <c r="J1047" s="10">
        <v>25.439244852540799</v>
      </c>
      <c r="K1047" s="4">
        <f t="shared" si="229"/>
        <v>25.432777777777776</v>
      </c>
      <c r="L1047" s="4">
        <f t="shared" si="230"/>
        <v>25.439244444444455</v>
      </c>
      <c r="M1047" s="4">
        <f t="shared" si="231"/>
        <v>25.432777840665494</v>
      </c>
      <c r="N1047" s="4">
        <f t="shared" si="232"/>
        <v>25.43924485254081</v>
      </c>
      <c r="O1047" s="3">
        <f t="shared" si="222"/>
        <v>1275.4025044013954</v>
      </c>
      <c r="P1047" s="2">
        <f t="shared" si="224"/>
        <v>3.8858196556678684E-7</v>
      </c>
      <c r="Q1047" s="2">
        <f t="shared" si="225"/>
        <v>2.0836900582088616E-11</v>
      </c>
      <c r="R1047" s="6">
        <f t="shared" si="226"/>
        <v>25.432777799290665</v>
      </c>
      <c r="S1047" s="2">
        <f t="shared" si="227"/>
        <v>8.4587257576657608E-10</v>
      </c>
      <c r="T1047" s="2">
        <f t="shared" si="223"/>
        <v>1.6268309012697582E-9</v>
      </c>
      <c r="U1047" s="6">
        <f t="shared" si="228"/>
        <v>25.439244811157916</v>
      </c>
      <c r="V1047" s="2">
        <f t="shared" si="233"/>
        <v>1.441526544453019E-8</v>
      </c>
      <c r="W1047" s="2">
        <f t="shared" si="234"/>
        <v>1.6267343545868277E-9</v>
      </c>
    </row>
    <row r="1048" spans="1:23" x14ac:dyDescent="0.45">
      <c r="A1048">
        <v>-14.77899</v>
      </c>
      <c r="B1048">
        <v>168.72504000000001</v>
      </c>
      <c r="C1048">
        <v>-14.77366</v>
      </c>
      <c r="D1048">
        <v>168.72167999999999</v>
      </c>
      <c r="E1048" s="10">
        <v>691.851</v>
      </c>
      <c r="F1048" s="10" t="s">
        <v>2702</v>
      </c>
      <c r="G1048" s="10" t="s">
        <v>2703</v>
      </c>
      <c r="H1048" s="10">
        <v>691.85120461310203</v>
      </c>
      <c r="I1048" s="10">
        <v>-31.5248383516441</v>
      </c>
      <c r="J1048" s="10">
        <v>-31.523981396282501</v>
      </c>
      <c r="K1048" s="4">
        <f t="shared" si="229"/>
        <v>328.47516111111111</v>
      </c>
      <c r="L1048" s="4">
        <f t="shared" si="230"/>
        <v>328.47601944444443</v>
      </c>
      <c r="M1048" s="4">
        <f t="shared" si="231"/>
        <v>328.47516164835588</v>
      </c>
      <c r="N1048" s="4">
        <f t="shared" si="232"/>
        <v>328.47601860371748</v>
      </c>
      <c r="O1048" s="3">
        <f t="shared" si="222"/>
        <v>691.8512046379609</v>
      </c>
      <c r="P1048" s="2">
        <f t="shared" si="224"/>
        <v>2.9578328412552607E-7</v>
      </c>
      <c r="Q1048" s="2">
        <f t="shared" si="225"/>
        <v>3.5930959514550385E-11</v>
      </c>
      <c r="R1048" s="6">
        <f t="shared" si="226"/>
        <v>328.47516165090514</v>
      </c>
      <c r="S1048" s="2">
        <f t="shared" si="227"/>
        <v>1.6433328720901412E-9</v>
      </c>
      <c r="T1048" s="2">
        <f t="shared" si="223"/>
        <v>7.7608815012312123E-12</v>
      </c>
      <c r="U1048" s="6">
        <f t="shared" si="228"/>
        <v>328.47601860626969</v>
      </c>
      <c r="V1048" s="2">
        <f t="shared" si="233"/>
        <v>2.5517075598845181E-9</v>
      </c>
      <c r="W1048" s="2">
        <f t="shared" si="234"/>
        <v>7.7698599559271895E-12</v>
      </c>
    </row>
    <row r="1049" spans="1:23" x14ac:dyDescent="0.45">
      <c r="A1049">
        <v>-76.711770000000001</v>
      </c>
      <c r="B1049">
        <v>152.99822</v>
      </c>
      <c r="C1049">
        <v>-76.696039999999996</v>
      </c>
      <c r="D1049">
        <v>152.98639</v>
      </c>
      <c r="E1049" s="10">
        <v>1782.0989999999999</v>
      </c>
      <c r="F1049" s="10" t="s">
        <v>2704</v>
      </c>
      <c r="G1049" s="10" t="s">
        <v>2705</v>
      </c>
      <c r="H1049" s="10">
        <v>1782.0986076353399</v>
      </c>
      <c r="I1049" s="10">
        <v>-9.8221344709112408</v>
      </c>
      <c r="J1049" s="10">
        <v>-9.8106215792790596</v>
      </c>
      <c r="K1049" s="4">
        <f t="shared" si="229"/>
        <v>350.17786666666666</v>
      </c>
      <c r="L1049" s="4">
        <f t="shared" si="230"/>
        <v>350.18937777777774</v>
      </c>
      <c r="M1049" s="4">
        <f t="shared" si="231"/>
        <v>350.17786552908876</v>
      </c>
      <c r="N1049" s="4">
        <f t="shared" si="232"/>
        <v>350.18937842072091</v>
      </c>
      <c r="O1049" s="3">
        <f t="shared" si="222"/>
        <v>1782.0986080382449</v>
      </c>
      <c r="P1049" s="2">
        <f t="shared" si="224"/>
        <v>2.1994387235807848E-7</v>
      </c>
      <c r="Q1049" s="2">
        <f t="shared" si="225"/>
        <v>2.2608458044397621E-10</v>
      </c>
      <c r="R1049" s="6">
        <f t="shared" si="226"/>
        <v>350.17786552912276</v>
      </c>
      <c r="S1049" s="2">
        <f t="shared" si="227"/>
        <v>3.2484745973072222E-9</v>
      </c>
      <c r="T1049" s="2">
        <f t="shared" si="223"/>
        <v>9.7071710764481473E-14</v>
      </c>
      <c r="U1049" s="6">
        <f t="shared" si="228"/>
        <v>350.18937842075422</v>
      </c>
      <c r="V1049" s="2">
        <f t="shared" si="233"/>
        <v>1.8360822139506624E-9</v>
      </c>
      <c r="W1049" s="2">
        <f t="shared" si="234"/>
        <v>9.5120656150839177E-14</v>
      </c>
    </row>
    <row r="1050" spans="1:23" x14ac:dyDescent="0.4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10">
        <v>852.22400000000005</v>
      </c>
      <c r="F1050" s="10" t="s">
        <v>2706</v>
      </c>
      <c r="G1050" s="10" t="s">
        <v>2707</v>
      </c>
      <c r="H1050" s="10">
        <v>852.22369310244903</v>
      </c>
      <c r="I1050" s="10">
        <v>2.96317313189589</v>
      </c>
      <c r="J1050" s="10">
        <v>2.95517282278227</v>
      </c>
      <c r="K1050" s="4">
        <f t="shared" si="229"/>
        <v>2.9631722222222221</v>
      </c>
      <c r="L1050" s="4">
        <f t="shared" si="230"/>
        <v>2.9551722222222452</v>
      </c>
      <c r="M1050" s="4">
        <f t="shared" si="231"/>
        <v>2.9631731318958714</v>
      </c>
      <c r="N1050" s="4">
        <f t="shared" si="232"/>
        <v>2.9551728227822878</v>
      </c>
      <c r="O1050" s="3">
        <f t="shared" si="222"/>
        <v>852.22369267868248</v>
      </c>
      <c r="P1050" s="2">
        <f t="shared" si="224"/>
        <v>3.6061096327250421E-7</v>
      </c>
      <c r="Q1050" s="2">
        <f t="shared" si="225"/>
        <v>4.9724802791654372E-10</v>
      </c>
      <c r="R1050" s="6">
        <f t="shared" si="226"/>
        <v>2.9631731317044587</v>
      </c>
      <c r="S1050" s="2">
        <f t="shared" si="227"/>
        <v>3.0692857803277916E-7</v>
      </c>
      <c r="T1050" s="2">
        <f t="shared" si="223"/>
        <v>6.4597191921329136E-11</v>
      </c>
      <c r="U1050" s="6">
        <f t="shared" si="228"/>
        <v>2.9551728225913756</v>
      </c>
      <c r="V1050" s="2">
        <f t="shared" si="233"/>
        <v>2.0315876208348479E-7</v>
      </c>
      <c r="W1050" s="2">
        <f t="shared" si="234"/>
        <v>6.4602710706428052E-11</v>
      </c>
    </row>
    <row r="1051" spans="1:23" x14ac:dyDescent="0.4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10">
        <v>330.45800000000003</v>
      </c>
      <c r="F1051" s="10" t="s">
        <v>2708</v>
      </c>
      <c r="G1051" s="10" t="s">
        <v>2709</v>
      </c>
      <c r="H1051" s="10">
        <v>330.457819188234</v>
      </c>
      <c r="I1051" s="10">
        <v>-22.768024720859401</v>
      </c>
      <c r="J1051" s="10">
        <v>-22.763807430144801</v>
      </c>
      <c r="K1051" s="4">
        <f t="shared" si="229"/>
        <v>337.23197499999998</v>
      </c>
      <c r="L1051" s="4">
        <f t="shared" si="230"/>
        <v>337.23619166666663</v>
      </c>
      <c r="M1051" s="4">
        <f t="shared" si="231"/>
        <v>337.23197527914061</v>
      </c>
      <c r="N1051" s="4">
        <f t="shared" si="232"/>
        <v>337.23619256985518</v>
      </c>
      <c r="O1051" s="3">
        <f t="shared" si="222"/>
        <v>330.45781939484624</v>
      </c>
      <c r="P1051" s="2">
        <f t="shared" si="224"/>
        <v>5.4652982765412846E-7</v>
      </c>
      <c r="Q1051" s="2">
        <f t="shared" si="225"/>
        <v>6.2523030167502194E-10</v>
      </c>
      <c r="R1051" s="6">
        <f t="shared" si="226"/>
        <v>337.23197527937589</v>
      </c>
      <c r="S1051" s="2">
        <f t="shared" si="227"/>
        <v>8.2843837939721364E-10</v>
      </c>
      <c r="T1051" s="2">
        <f t="shared" si="223"/>
        <v>6.9766489512193425E-13</v>
      </c>
      <c r="U1051" s="6">
        <f t="shared" si="228"/>
        <v>337.236192570085</v>
      </c>
      <c r="V1051" s="2">
        <f t="shared" si="233"/>
        <v>2.6788891287307221E-9</v>
      </c>
      <c r="W1051" s="2">
        <f t="shared" si="234"/>
        <v>6.8147472755802234E-13</v>
      </c>
    </row>
    <row r="1052" spans="1:23" x14ac:dyDescent="0.45">
      <c r="A1052">
        <v>-39.632620000000003</v>
      </c>
      <c r="B1052">
        <v>163.01391000000001</v>
      </c>
      <c r="C1052">
        <v>-39.625340000000001</v>
      </c>
      <c r="D1052">
        <v>163.00027</v>
      </c>
      <c r="E1052" s="10">
        <v>1422.912</v>
      </c>
      <c r="F1052" s="10" t="s">
        <v>2710</v>
      </c>
      <c r="G1052" s="10" t="s">
        <v>2711</v>
      </c>
      <c r="H1052" s="10">
        <v>1422.9121222127101</v>
      </c>
      <c r="I1052" s="10">
        <v>-55.390234278961401</v>
      </c>
      <c r="J1052" s="10">
        <v>-55.381534500991997</v>
      </c>
      <c r="K1052" s="4">
        <f t="shared" si="229"/>
        <v>304.60976666666664</v>
      </c>
      <c r="L1052" s="4">
        <f t="shared" si="230"/>
        <v>304.61846666666668</v>
      </c>
      <c r="M1052" s="4">
        <f t="shared" si="231"/>
        <v>304.60976572103857</v>
      </c>
      <c r="N1052" s="4">
        <f t="shared" si="232"/>
        <v>304.61846549900798</v>
      </c>
      <c r="O1052" s="3">
        <f t="shared" si="222"/>
        <v>1422.9121223321524</v>
      </c>
      <c r="P1052" s="2">
        <f t="shared" si="224"/>
        <v>8.5973097694489625E-8</v>
      </c>
      <c r="Q1052" s="2">
        <f t="shared" si="225"/>
        <v>8.3942181462598582E-11</v>
      </c>
      <c r="R1052" s="6">
        <f t="shared" si="226"/>
        <v>304.60976572130318</v>
      </c>
      <c r="S1052" s="2">
        <f t="shared" si="227"/>
        <v>3.1035231662246554E-9</v>
      </c>
      <c r="T1052" s="2">
        <f t="shared" si="223"/>
        <v>8.6867246088028381E-13</v>
      </c>
      <c r="U1052" s="6">
        <f t="shared" si="228"/>
        <v>304.61846549926236</v>
      </c>
      <c r="V1052" s="2">
        <f t="shared" si="233"/>
        <v>3.8323491465969554E-9</v>
      </c>
      <c r="W1052" s="2">
        <f t="shared" si="234"/>
        <v>8.350586987082839E-13</v>
      </c>
    </row>
    <row r="1053" spans="1:23" x14ac:dyDescent="0.45">
      <c r="A1053">
        <v>40.855229999999999</v>
      </c>
      <c r="B1053">
        <v>149.37409</v>
      </c>
      <c r="C1053">
        <v>40.846080000000001</v>
      </c>
      <c r="D1053">
        <v>149.37535</v>
      </c>
      <c r="E1053" s="10">
        <v>1021.657</v>
      </c>
      <c r="F1053" s="10" t="s">
        <v>2712</v>
      </c>
      <c r="G1053" s="10" t="s">
        <v>2713</v>
      </c>
      <c r="H1053" s="10">
        <v>1021.6566764596</v>
      </c>
      <c r="I1053" s="10">
        <v>174.030203887292</v>
      </c>
      <c r="J1053" s="10">
        <v>174.03102804019801</v>
      </c>
      <c r="K1053" s="4">
        <f t="shared" si="229"/>
        <v>174.03020277777779</v>
      </c>
      <c r="L1053" s="4">
        <f t="shared" si="230"/>
        <v>174.03102777777781</v>
      </c>
      <c r="M1053" s="4">
        <f t="shared" si="231"/>
        <v>174.03020388729203</v>
      </c>
      <c r="N1053" s="4">
        <f t="shared" si="232"/>
        <v>174.03102804019795</v>
      </c>
      <c r="O1053" s="3">
        <f t="shared" si="222"/>
        <v>1021.6566762892083</v>
      </c>
      <c r="P1053" s="2">
        <f t="shared" si="224"/>
        <v>3.1684879728739289E-7</v>
      </c>
      <c r="Q1053" s="2">
        <f t="shared" si="225"/>
        <v>1.6677977666402427E-10</v>
      </c>
      <c r="R1053" s="6">
        <f t="shared" si="226"/>
        <v>174.03020392952013</v>
      </c>
      <c r="S1053" s="2">
        <f t="shared" si="227"/>
        <v>6.6180600864136381E-9</v>
      </c>
      <c r="T1053" s="2">
        <f t="shared" si="223"/>
        <v>2.4264807978993295E-10</v>
      </c>
      <c r="U1053" s="6">
        <f t="shared" si="228"/>
        <v>174.031028082419</v>
      </c>
      <c r="V1053" s="2">
        <f t="shared" si="233"/>
        <v>1.7504992896158326E-9</v>
      </c>
      <c r="W1053" s="2">
        <f t="shared" si="234"/>
        <v>2.4260642880883812E-10</v>
      </c>
    </row>
    <row r="1054" spans="1:23" x14ac:dyDescent="0.45">
      <c r="A1054">
        <v>17.782340000000001</v>
      </c>
      <c r="B1054">
        <v>-165.09997000000001</v>
      </c>
      <c r="C1054">
        <v>17.77101</v>
      </c>
      <c r="D1054">
        <v>-165.10229000000001</v>
      </c>
      <c r="E1054" s="10">
        <v>1277.883</v>
      </c>
      <c r="F1054" s="10" t="s">
        <v>2714</v>
      </c>
      <c r="G1054" s="10" t="s">
        <v>2715</v>
      </c>
      <c r="H1054" s="10">
        <v>1277.88321186337</v>
      </c>
      <c r="I1054" s="10">
        <v>-168.90026748061601</v>
      </c>
      <c r="J1054" s="10">
        <v>-168.900975794413</v>
      </c>
      <c r="K1054" s="4">
        <f t="shared" si="229"/>
        <v>191.09973333333335</v>
      </c>
      <c r="L1054" s="4">
        <f t="shared" si="230"/>
        <v>191.09902500000001</v>
      </c>
      <c r="M1054" s="4">
        <f t="shared" si="231"/>
        <v>191.09973251938399</v>
      </c>
      <c r="N1054" s="4">
        <f t="shared" si="232"/>
        <v>191.099024205587</v>
      </c>
      <c r="O1054" s="3">
        <f t="shared" si="222"/>
        <v>1277.8832118803086</v>
      </c>
      <c r="P1054" s="2">
        <f t="shared" si="224"/>
        <v>1.6580571820562294E-7</v>
      </c>
      <c r="Q1054" s="2">
        <f t="shared" si="225"/>
        <v>1.3255246287174421E-11</v>
      </c>
      <c r="R1054" s="6">
        <f t="shared" si="226"/>
        <v>191.09973251834168</v>
      </c>
      <c r="S1054" s="2">
        <f t="shared" si="227"/>
        <v>4.2647451728463177E-9</v>
      </c>
      <c r="T1054" s="2">
        <f t="shared" si="223"/>
        <v>5.4542690154497242E-12</v>
      </c>
      <c r="U1054" s="6">
        <f t="shared" si="228"/>
        <v>191.09902420454495</v>
      </c>
      <c r="V1054" s="2">
        <f t="shared" si="233"/>
        <v>4.1625281205498174E-9</v>
      </c>
      <c r="W1054" s="2">
        <f t="shared" si="234"/>
        <v>5.4529506829677834E-12</v>
      </c>
    </row>
    <row r="1055" spans="1:23" x14ac:dyDescent="0.45">
      <c r="A1055">
        <v>-71.849580000000003</v>
      </c>
      <c r="B1055">
        <v>164.75148999999999</v>
      </c>
      <c r="C1055">
        <v>-71.835279999999997</v>
      </c>
      <c r="D1055">
        <v>164.7542</v>
      </c>
      <c r="E1055" s="10">
        <v>1598.441</v>
      </c>
      <c r="F1055" s="10" t="s">
        <v>2716</v>
      </c>
      <c r="G1055" s="10" t="s">
        <v>2717</v>
      </c>
      <c r="H1055" s="10">
        <v>1598.4409779345699</v>
      </c>
      <c r="I1055" s="10">
        <v>3.3833089803695202</v>
      </c>
      <c r="J1055" s="10">
        <v>3.38073392997955</v>
      </c>
      <c r="K1055" s="4">
        <f t="shared" si="229"/>
        <v>3.3833083333333334</v>
      </c>
      <c r="L1055" s="4">
        <f t="shared" si="230"/>
        <v>3.3807333333332963</v>
      </c>
      <c r="M1055" s="4">
        <f t="shared" si="231"/>
        <v>3.3833089803695202</v>
      </c>
      <c r="N1055" s="4">
        <f t="shared" si="232"/>
        <v>3.3807339299795558</v>
      </c>
      <c r="O1055" s="3">
        <f t="shared" ref="O1055:O1118" si="235">VincentyInvDistance($A1055,$B1055,$C1055,$D1055)</f>
        <v>1598.4409779216335</v>
      </c>
      <c r="P1055" s="2">
        <f t="shared" si="224"/>
        <v>1.3812437591023756E-8</v>
      </c>
      <c r="Q1055" s="2">
        <f t="shared" si="225"/>
        <v>8.0931516664810032E-12</v>
      </c>
      <c r="R1055" s="6">
        <f t="shared" si="226"/>
        <v>3.3833089802871328</v>
      </c>
      <c r="S1055" s="2">
        <f t="shared" si="227"/>
        <v>1.9121928470053763E-7</v>
      </c>
      <c r="T1055" s="2">
        <f t="shared" ref="T1055:T1118" si="236">ABS((M1055-R1055)/M1055)</f>
        <v>2.435113987206258E-11</v>
      </c>
      <c r="U1055" s="6">
        <f t="shared" si="228"/>
        <v>3.3807339298969064</v>
      </c>
      <c r="V1055" s="2">
        <f t="shared" si="233"/>
        <v>1.7645982431826038E-7</v>
      </c>
      <c r="W1055" s="2">
        <f t="shared" si="234"/>
        <v>2.444718944377115E-11</v>
      </c>
    </row>
    <row r="1056" spans="1:23" x14ac:dyDescent="0.45">
      <c r="A1056">
        <v>2.82131</v>
      </c>
      <c r="B1056">
        <v>29.210039999999999</v>
      </c>
      <c r="C1056">
        <v>2.8199299999999998</v>
      </c>
      <c r="D1056">
        <v>29.196370000000002</v>
      </c>
      <c r="E1056" s="10">
        <v>1527.547</v>
      </c>
      <c r="F1056" s="10" t="s">
        <v>2718</v>
      </c>
      <c r="G1056" s="10" t="s">
        <v>2719</v>
      </c>
      <c r="H1056" s="10">
        <v>1527.5471660875701</v>
      </c>
      <c r="I1056" s="10">
        <v>-95.732858906729106</v>
      </c>
      <c r="J1056" s="10">
        <v>-95.733531596822502</v>
      </c>
      <c r="K1056" s="4">
        <f t="shared" si="229"/>
        <v>264.26714166666665</v>
      </c>
      <c r="L1056" s="4">
        <f t="shared" si="230"/>
        <v>264.26646944444445</v>
      </c>
      <c r="M1056" s="4">
        <f t="shared" si="231"/>
        <v>264.26714109327088</v>
      </c>
      <c r="N1056" s="4">
        <f t="shared" si="232"/>
        <v>264.2664684031775</v>
      </c>
      <c r="O1056" s="3">
        <f t="shared" si="235"/>
        <v>1527.5471658872852</v>
      </c>
      <c r="P1056" s="2">
        <f t="shared" ref="P1056:P1119" si="237">ABS((E1056-O1056)/E1056)</f>
        <v>1.0859717260442955E-7</v>
      </c>
      <c r="Q1056" s="2">
        <f t="shared" ref="Q1056:Q1119" si="238">ABS((H1056-O1056)/H1056)</f>
        <v>1.3111531672783353E-10</v>
      </c>
      <c r="R1056" s="6">
        <f t="shared" ref="R1056:R1119" si="239">VincentyInvFwdAzimuth($A1056,$B1056,$C1056,$D1056)</f>
        <v>264.26714109255965</v>
      </c>
      <c r="S1056" s="2">
        <f t="shared" ref="S1056:S1119" si="240">ABS((K1056-R1056)/K1056)</f>
        <v>2.1724493921544058E-9</v>
      </c>
      <c r="T1056" s="2">
        <f t="shared" si="236"/>
        <v>2.6913102167908535E-12</v>
      </c>
      <c r="U1056" s="6">
        <f t="shared" ref="U1056:U1119" si="241">VincentyInvRevAzimuth($A1056,$B1056,$C1056,$D1056)</f>
        <v>264.26646840246508</v>
      </c>
      <c r="V1056" s="2">
        <f t="shared" si="233"/>
        <v>3.9429117741846916E-9</v>
      </c>
      <c r="W1056" s="2">
        <f t="shared" si="234"/>
        <v>2.6958341437991567E-12</v>
      </c>
    </row>
    <row r="1057" spans="1:23" x14ac:dyDescent="0.45">
      <c r="A1057">
        <v>55.192619999999998</v>
      </c>
      <c r="B1057">
        <v>139.84251</v>
      </c>
      <c r="C1057">
        <v>55.192869999999999</v>
      </c>
      <c r="D1057">
        <v>139.84404000000001</v>
      </c>
      <c r="E1057" s="10">
        <v>101.33799999999999</v>
      </c>
      <c r="F1057" s="10" t="s">
        <v>2720</v>
      </c>
      <c r="G1057" s="10" t="s">
        <v>2721</v>
      </c>
      <c r="H1057" s="10">
        <v>101.337927667706</v>
      </c>
      <c r="I1057" s="10">
        <v>74.058621788094001</v>
      </c>
      <c r="J1057" s="10">
        <v>74.059878035807102</v>
      </c>
      <c r="K1057" s="4">
        <f t="shared" si="229"/>
        <v>74.058622222222226</v>
      </c>
      <c r="L1057" s="4">
        <f t="shared" si="230"/>
        <v>74.059877777777785</v>
      </c>
      <c r="M1057" s="4">
        <f t="shared" si="231"/>
        <v>74.058621788094001</v>
      </c>
      <c r="N1057" s="4">
        <f t="shared" si="232"/>
        <v>74.059878035807117</v>
      </c>
      <c r="O1057" s="3">
        <f t="shared" si="235"/>
        <v>101.33792754487061</v>
      </c>
      <c r="P1057" s="2">
        <f t="shared" si="237"/>
        <v>7.1498479725524845E-7</v>
      </c>
      <c r="Q1057" s="2">
        <f t="shared" si="238"/>
        <v>1.212136372929558E-9</v>
      </c>
      <c r="R1057" s="6">
        <f t="shared" si="239"/>
        <v>74.058621768286997</v>
      </c>
      <c r="S1057" s="2">
        <f t="shared" si="240"/>
        <v>6.1294041846891222E-9</v>
      </c>
      <c r="T1057" s="2">
        <f t="shared" si="236"/>
        <v>2.6745034620809706E-10</v>
      </c>
      <c r="U1057" s="6">
        <f t="shared" si="241"/>
        <v>74.059878015978072</v>
      </c>
      <c r="V1057" s="2">
        <f t="shared" si="233"/>
        <v>3.216320270970742E-9</v>
      </c>
      <c r="W1057" s="2">
        <f t="shared" si="234"/>
        <v>2.6774342057377438E-10</v>
      </c>
    </row>
    <row r="1058" spans="1:23" x14ac:dyDescent="0.45">
      <c r="A1058">
        <v>-24.45692</v>
      </c>
      <c r="B1058">
        <v>-6.3863899999999996</v>
      </c>
      <c r="C1058">
        <v>-24.45722</v>
      </c>
      <c r="D1058">
        <v>-6.39733999999999</v>
      </c>
      <c r="E1058" s="10">
        <v>1110.7090000000001</v>
      </c>
      <c r="F1058" s="10" t="s">
        <v>2722</v>
      </c>
      <c r="G1058" s="10" t="s">
        <v>2723</v>
      </c>
      <c r="H1058" s="10">
        <v>1110.70861406991</v>
      </c>
      <c r="I1058" s="10">
        <v>-91.716660499033097</v>
      </c>
      <c r="J1058" s="10">
        <v>-91.7121270750701</v>
      </c>
      <c r="K1058" s="4">
        <f t="shared" si="229"/>
        <v>268.28333888888886</v>
      </c>
      <c r="L1058" s="4">
        <f t="shared" si="230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35"/>
        <v>1110.7086140020028</v>
      </c>
      <c r="P1058" s="2">
        <f t="shared" si="237"/>
        <v>3.4752396642829497E-7</v>
      </c>
      <c r="Q1058" s="2">
        <f t="shared" si="238"/>
        <v>6.1138622383931604E-11</v>
      </c>
      <c r="R1058" s="6">
        <f t="shared" si="239"/>
        <v>268.28333950092025</v>
      </c>
      <c r="S1058" s="2">
        <f t="shared" si="240"/>
        <v>2.2812873438451969E-9</v>
      </c>
      <c r="T1058" s="2">
        <f t="shared" si="236"/>
        <v>1.7395208726539347E-13</v>
      </c>
      <c r="U1058" s="6">
        <f t="shared" si="241"/>
        <v>268.28787292489363</v>
      </c>
      <c r="V1058" s="2">
        <f t="shared" si="233"/>
        <v>2.6190949086015619E-9</v>
      </c>
      <c r="W1058" s="2">
        <f t="shared" si="234"/>
        <v>1.3517607351318184E-13</v>
      </c>
    </row>
    <row r="1059" spans="1:23" x14ac:dyDescent="0.45">
      <c r="A1059">
        <v>15.65471</v>
      </c>
      <c r="B1059">
        <v>-160.46109000000001</v>
      </c>
      <c r="C1059">
        <v>15.668010000000001</v>
      </c>
      <c r="D1059">
        <v>-160.46944999999999</v>
      </c>
      <c r="E1059" s="10">
        <v>1723.165</v>
      </c>
      <c r="F1059" s="10" t="s">
        <v>2724</v>
      </c>
      <c r="G1059" s="10" t="s">
        <v>2725</v>
      </c>
      <c r="H1059" s="10">
        <v>1723.1645399239101</v>
      </c>
      <c r="I1059" s="10">
        <v>-31.340989772206299</v>
      </c>
      <c r="J1059" s="10">
        <v>-31.3432465638374</v>
      </c>
      <c r="K1059" s="4">
        <f t="shared" si="229"/>
        <v>328.65901111111111</v>
      </c>
      <c r="L1059" s="4">
        <f t="shared" si="230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35"/>
        <v>1723.1645398813957</v>
      </c>
      <c r="P1059" s="2">
        <f t="shared" si="237"/>
        <v>2.6701946953639404E-7</v>
      </c>
      <c r="Q1059" s="2">
        <f t="shared" si="238"/>
        <v>2.4672240432856656E-11</v>
      </c>
      <c r="R1059" s="6">
        <f t="shared" si="239"/>
        <v>328.65901023014248</v>
      </c>
      <c r="S1059" s="2">
        <f t="shared" si="240"/>
        <v>2.6804943666299267E-9</v>
      </c>
      <c r="T1059" s="2">
        <f t="shared" si="236"/>
        <v>7.1465257127764534E-12</v>
      </c>
      <c r="U1059" s="6">
        <f t="shared" si="241"/>
        <v>328.65675343850921</v>
      </c>
      <c r="V1059" s="2">
        <f t="shared" si="233"/>
        <v>2.0103996362835061E-9</v>
      </c>
      <c r="W1059" s="2">
        <f t="shared" si="234"/>
        <v>7.1400024276929265E-12</v>
      </c>
    </row>
    <row r="1060" spans="1:23" x14ac:dyDescent="0.45">
      <c r="A1060">
        <v>62.698320000000002</v>
      </c>
      <c r="B1060">
        <v>-127.27108</v>
      </c>
      <c r="C1060">
        <v>62.69576</v>
      </c>
      <c r="D1060">
        <v>-127.27967</v>
      </c>
      <c r="E1060" s="10">
        <v>524.23599999999999</v>
      </c>
      <c r="F1060" s="10" t="s">
        <v>2726</v>
      </c>
      <c r="G1060" s="10" t="s">
        <v>2727</v>
      </c>
      <c r="H1060" s="10">
        <v>524.23572813843202</v>
      </c>
      <c r="I1060" s="10">
        <v>-122.971457117672</v>
      </c>
      <c r="J1060" s="10">
        <v>-122.97909013615801</v>
      </c>
      <c r="K1060" s="4">
        <f t="shared" si="229"/>
        <v>237.02854166666665</v>
      </c>
      <c r="L1060" s="4">
        <f t="shared" si="230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35"/>
        <v>524.23572774785532</v>
      </c>
      <c r="P1060" s="2">
        <f t="shared" si="237"/>
        <v>5.1933126429418763E-7</v>
      </c>
      <c r="Q1060" s="2">
        <f t="shared" si="238"/>
        <v>7.4504021890038517E-10</v>
      </c>
      <c r="R1060" s="6">
        <f t="shared" si="239"/>
        <v>237.02854287293661</v>
      </c>
      <c r="S1060" s="2">
        <f t="shared" si="240"/>
        <v>5.0891337740535897E-9</v>
      </c>
      <c r="T1060" s="2">
        <f t="shared" si="236"/>
        <v>3.9621327173878449E-11</v>
      </c>
      <c r="U1060" s="6">
        <f t="shared" si="241"/>
        <v>237.02090985447001</v>
      </c>
      <c r="V1060" s="2">
        <f t="shared" si="233"/>
        <v>5.3018153244107616E-9</v>
      </c>
      <c r="W1060" s="2">
        <f t="shared" si="234"/>
        <v>3.954082298747676E-11</v>
      </c>
    </row>
    <row r="1061" spans="1:23" x14ac:dyDescent="0.4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10">
        <v>1047.4280000000001</v>
      </c>
      <c r="F1061" s="10" t="s">
        <v>2728</v>
      </c>
      <c r="G1061" s="10" t="s">
        <v>2729</v>
      </c>
      <c r="H1061" s="10">
        <v>1047.4275437235201</v>
      </c>
      <c r="I1061" s="10">
        <v>-32.368970869597099</v>
      </c>
      <c r="J1061" s="10">
        <v>-32.369449822730203</v>
      </c>
      <c r="K1061" s="4">
        <f t="shared" si="229"/>
        <v>327.63102777777777</v>
      </c>
      <c r="L1061" s="4">
        <f t="shared" si="230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35"/>
        <v>1047.4275438252193</v>
      </c>
      <c r="P1061" s="2">
        <f t="shared" si="237"/>
        <v>4.3551898628416478E-7</v>
      </c>
      <c r="Q1061" s="2">
        <f t="shared" si="238"/>
        <v>9.7094298707636972E-11</v>
      </c>
      <c r="R1061" s="6">
        <f t="shared" si="239"/>
        <v>327.63102913363502</v>
      </c>
      <c r="S1061" s="2">
        <f t="shared" si="240"/>
        <v>4.1383664412673639E-9</v>
      </c>
      <c r="T1061" s="2">
        <f t="shared" si="236"/>
        <v>9.8651119981041373E-12</v>
      </c>
      <c r="U1061" s="6">
        <f t="shared" si="241"/>
        <v>327.63055018050028</v>
      </c>
      <c r="V1061" s="2">
        <f t="shared" si="233"/>
        <v>5.5092636518027845E-10</v>
      </c>
      <c r="W1061" s="2">
        <f t="shared" si="234"/>
        <v>9.8600949622392764E-12</v>
      </c>
    </row>
    <row r="1062" spans="1:23" x14ac:dyDescent="0.45">
      <c r="A1062">
        <v>-18.43451</v>
      </c>
      <c r="B1062">
        <v>126.04848</v>
      </c>
      <c r="C1062">
        <v>-18.418959999999998</v>
      </c>
      <c r="D1062">
        <v>126.06346000000001</v>
      </c>
      <c r="E1062" s="10">
        <v>2338.16</v>
      </c>
      <c r="F1062" s="10" t="s">
        <v>2730</v>
      </c>
      <c r="G1062" s="10" t="s">
        <v>2731</v>
      </c>
      <c r="H1062" s="10">
        <v>2338.1601294455099</v>
      </c>
      <c r="I1062" s="10">
        <v>42.600787098091203</v>
      </c>
      <c r="J1062" s="10">
        <v>42.596052043440402</v>
      </c>
      <c r="K1062" s="4">
        <f t="shared" si="229"/>
        <v>42.600786111111113</v>
      </c>
      <c r="L1062" s="4">
        <f t="shared" si="230"/>
        <v>42.5960527777778</v>
      </c>
      <c r="M1062" s="4">
        <f t="shared" si="231"/>
        <v>42.600787098091189</v>
      </c>
      <c r="N1062" s="4">
        <f t="shared" si="232"/>
        <v>42.596052043440409</v>
      </c>
      <c r="O1062" s="3">
        <f t="shared" si="235"/>
        <v>2338.1601291516463</v>
      </c>
      <c r="P1062" s="2">
        <f t="shared" si="237"/>
        <v>5.5236445082225484E-8</v>
      </c>
      <c r="Q1062" s="2">
        <f t="shared" si="238"/>
        <v>1.2568157593555571E-10</v>
      </c>
      <c r="R1062" s="6">
        <f t="shared" si="239"/>
        <v>42.600787095870615</v>
      </c>
      <c r="S1062" s="2">
        <f t="shared" si="240"/>
        <v>2.3115993677173805E-8</v>
      </c>
      <c r="T1062" s="2">
        <f t="shared" si="236"/>
        <v>5.2125185899258822E-11</v>
      </c>
      <c r="U1062" s="6">
        <f t="shared" si="241"/>
        <v>42.59605204121862</v>
      </c>
      <c r="V1062" s="2">
        <f t="shared" si="233"/>
        <v>1.7291723806261117E-8</v>
      </c>
      <c r="W1062" s="2">
        <f t="shared" si="234"/>
        <v>5.2159504659142343E-11</v>
      </c>
    </row>
    <row r="1063" spans="1:23" x14ac:dyDescent="0.4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10">
        <v>305.55700000000002</v>
      </c>
      <c r="F1063" s="10" t="s">
        <v>2732</v>
      </c>
      <c r="G1063" s="10" t="s">
        <v>2733</v>
      </c>
      <c r="H1063" s="10">
        <v>305.55685174909399</v>
      </c>
      <c r="I1063" s="10">
        <v>38.564675829636599</v>
      </c>
      <c r="J1063" s="10">
        <v>38.572102439895701</v>
      </c>
      <c r="K1063" s="4">
        <f t="shared" si="229"/>
        <v>38.564675000000001</v>
      </c>
      <c r="L1063" s="4">
        <f t="shared" si="230"/>
        <v>38.572102777777786</v>
      </c>
      <c r="M1063" s="4">
        <f t="shared" si="231"/>
        <v>38.564675829636599</v>
      </c>
      <c r="N1063" s="4">
        <f t="shared" si="232"/>
        <v>38.57210243989573</v>
      </c>
      <c r="O1063" s="3">
        <f t="shared" si="235"/>
        <v>305.55685170595524</v>
      </c>
      <c r="P1063" s="2">
        <f t="shared" si="237"/>
        <v>4.8532367046813111E-7</v>
      </c>
      <c r="Q1063" s="2">
        <f t="shared" si="238"/>
        <v>1.4118078041327842E-10</v>
      </c>
      <c r="R1063" s="6">
        <f t="shared" si="239"/>
        <v>38.564675829715725</v>
      </c>
      <c r="S1063" s="2">
        <f t="shared" si="240"/>
        <v>2.1514915494102089E-8</v>
      </c>
      <c r="T1063" s="2">
        <f t="shared" si="236"/>
        <v>2.05177503381053E-12</v>
      </c>
      <c r="U1063" s="6">
        <f t="shared" si="241"/>
        <v>38.572102439991113</v>
      </c>
      <c r="V1063" s="2">
        <f t="shared" si="233"/>
        <v>8.7572791985192176E-9</v>
      </c>
      <c r="W1063" s="2">
        <f t="shared" si="234"/>
        <v>2.4728560491890493E-12</v>
      </c>
    </row>
    <row r="1064" spans="1:23" x14ac:dyDescent="0.45">
      <c r="A1064">
        <v>-14.81948</v>
      </c>
      <c r="B1064">
        <v>-162.23168999999999</v>
      </c>
      <c r="C1064">
        <v>-14.82006</v>
      </c>
      <c r="D1064">
        <v>-162.22567000000001</v>
      </c>
      <c r="E1064" s="10">
        <v>651.16300000000001</v>
      </c>
      <c r="F1064" s="10" t="s">
        <v>2734</v>
      </c>
      <c r="G1064" s="10" t="s">
        <v>2735</v>
      </c>
      <c r="H1064" s="10">
        <v>651.16316291827104</v>
      </c>
      <c r="I1064" s="10">
        <v>95.656723633755604</v>
      </c>
      <c r="J1064" s="10">
        <v>95.655183842087297</v>
      </c>
      <c r="K1064" s="4">
        <f t="shared" si="229"/>
        <v>95.656724999999994</v>
      </c>
      <c r="L1064" s="4">
        <f t="shared" si="230"/>
        <v>95.655183333333355</v>
      </c>
      <c r="M1064" s="4">
        <f t="shared" si="231"/>
        <v>95.656723633755632</v>
      </c>
      <c r="N1064" s="4">
        <f t="shared" si="232"/>
        <v>95.655183842087297</v>
      </c>
      <c r="O1064" s="3">
        <f t="shared" si="235"/>
        <v>651.16316285623805</v>
      </c>
      <c r="P1064" s="2">
        <f t="shared" si="237"/>
        <v>2.5010057087809359E-7</v>
      </c>
      <c r="Q1064" s="2">
        <f t="shared" si="238"/>
        <v>9.5264903117546665E-11</v>
      </c>
      <c r="R1064" s="6">
        <f t="shared" si="239"/>
        <v>95.656723634285953</v>
      </c>
      <c r="S1064" s="2">
        <f t="shared" si="240"/>
        <v>1.4277240219258004E-8</v>
      </c>
      <c r="T1064" s="2">
        <f t="shared" si="236"/>
        <v>5.5439979137521622E-12</v>
      </c>
      <c r="U1064" s="6">
        <f t="shared" si="241"/>
        <v>95.65518384262613</v>
      </c>
      <c r="V1064" s="2">
        <f t="shared" si="233"/>
        <v>5.3242569541588617E-9</v>
      </c>
      <c r="W1064" s="2">
        <f t="shared" si="234"/>
        <v>5.6330766048795511E-12</v>
      </c>
    </row>
    <row r="1065" spans="1:23" x14ac:dyDescent="0.4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10">
        <v>1252.204</v>
      </c>
      <c r="F1065" s="10" t="s">
        <v>2736</v>
      </c>
      <c r="G1065" s="10" t="s">
        <v>2737</v>
      </c>
      <c r="H1065" s="10">
        <v>1252.20386799311</v>
      </c>
      <c r="I1065" s="10">
        <v>42.727825046284799</v>
      </c>
      <c r="J1065" s="10">
        <v>42.736744364312301</v>
      </c>
      <c r="K1065" s="4">
        <f t="shared" si="229"/>
        <v>42.727825000000003</v>
      </c>
      <c r="L1065" s="4">
        <f t="shared" si="230"/>
        <v>42.736744444444412</v>
      </c>
      <c r="M1065" s="4">
        <f t="shared" si="231"/>
        <v>42.727825046284806</v>
      </c>
      <c r="N1065" s="4">
        <f t="shared" si="232"/>
        <v>42.736744364312301</v>
      </c>
      <c r="O1065" s="3">
        <f t="shared" si="235"/>
        <v>1252.2038666778039</v>
      </c>
      <c r="P1065" s="2">
        <f t="shared" si="237"/>
        <v>1.0647002885049253E-7</v>
      </c>
      <c r="Q1065" s="2">
        <f t="shared" si="238"/>
        <v>1.0503928647157884E-9</v>
      </c>
      <c r="R1065" s="6">
        <f t="shared" si="239"/>
        <v>42.727824964808207</v>
      </c>
      <c r="S1065" s="2">
        <f t="shared" si="240"/>
        <v>8.2362713627157547E-10</v>
      </c>
      <c r="T1065" s="2">
        <f t="shared" si="236"/>
        <v>1.9068744922309557E-9</v>
      </c>
      <c r="U1065" s="6">
        <f t="shared" si="241"/>
        <v>42.736744282816076</v>
      </c>
      <c r="V1065" s="2">
        <f t="shared" si="233"/>
        <v>3.781952455793631E-9</v>
      </c>
      <c r="W1065" s="2">
        <f t="shared" si="234"/>
        <v>1.9069357315781711E-9</v>
      </c>
    </row>
    <row r="1066" spans="1:23" x14ac:dyDescent="0.4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10">
        <v>964.66300000000001</v>
      </c>
      <c r="F1066" s="10" t="s">
        <v>2738</v>
      </c>
      <c r="G1066" s="10" t="s">
        <v>2739</v>
      </c>
      <c r="H1066" s="10">
        <v>964.66340266958298</v>
      </c>
      <c r="I1066" s="10">
        <v>73.794188906976302</v>
      </c>
      <c r="J1066" s="10">
        <v>73.798146529926399</v>
      </c>
      <c r="K1066" s="4">
        <f t="shared" si="229"/>
        <v>73.794188888888883</v>
      </c>
      <c r="L1066" s="4">
        <f t="shared" si="230"/>
        <v>73.798147222222212</v>
      </c>
      <c r="M1066" s="4">
        <f t="shared" si="231"/>
        <v>73.794188906976274</v>
      </c>
      <c r="N1066" s="4">
        <f t="shared" si="232"/>
        <v>73.798146529926385</v>
      </c>
      <c r="O1066" s="3">
        <f t="shared" si="235"/>
        <v>964.66340262723452</v>
      </c>
      <c r="P1066" s="2">
        <f t="shared" si="237"/>
        <v>4.173760520588389E-7</v>
      </c>
      <c r="Q1066" s="2">
        <f t="shared" si="238"/>
        <v>4.3899727740210445E-11</v>
      </c>
      <c r="R1066" s="6">
        <f t="shared" si="239"/>
        <v>73.794188906234837</v>
      </c>
      <c r="S1066" s="2">
        <f t="shared" si="240"/>
        <v>2.3505853601297086E-10</v>
      </c>
      <c r="T1066" s="2">
        <f t="shared" si="236"/>
        <v>1.0047364770762541E-11</v>
      </c>
      <c r="U1066" s="6">
        <f t="shared" si="241"/>
        <v>73.798146529174673</v>
      </c>
      <c r="V1066" s="2">
        <f t="shared" si="233"/>
        <v>9.3911238349992435E-9</v>
      </c>
      <c r="W1066" s="2">
        <f t="shared" si="234"/>
        <v>1.0186049612576771E-11</v>
      </c>
    </row>
    <row r="1067" spans="1:23" x14ac:dyDescent="0.45">
      <c r="A1067">
        <v>1.2677400000000001</v>
      </c>
      <c r="B1067">
        <v>-32.323030000000003</v>
      </c>
      <c r="C1067">
        <v>1.25127999999999</v>
      </c>
      <c r="D1067">
        <v>-32.32385</v>
      </c>
      <c r="E1067" s="10">
        <v>1822.348</v>
      </c>
      <c r="F1067" s="10" t="s">
        <v>2740</v>
      </c>
      <c r="G1067" s="10" t="s">
        <v>2741</v>
      </c>
      <c r="H1067" s="10">
        <v>1822.3479193457899</v>
      </c>
      <c r="I1067" s="10">
        <v>-177.12951542945501</v>
      </c>
      <c r="J1067" s="10">
        <v>-177.12953345373199</v>
      </c>
      <c r="K1067" s="4">
        <f t="shared" si="229"/>
        <v>182.87048333333334</v>
      </c>
      <c r="L1067" s="4">
        <f t="shared" si="230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35"/>
        <v>1822.3479201068094</v>
      </c>
      <c r="P1067" s="2">
        <f t="shared" si="237"/>
        <v>4.3840798003033785E-8</v>
      </c>
      <c r="Q1067" s="2">
        <f t="shared" si="238"/>
        <v>4.1760382650093671E-10</v>
      </c>
      <c r="R1067" s="6">
        <f t="shared" si="239"/>
        <v>182.8704844627116</v>
      </c>
      <c r="S1067" s="2">
        <f t="shared" si="240"/>
        <v>6.1758368077521095E-9</v>
      </c>
      <c r="T1067" s="2">
        <f t="shared" si="236"/>
        <v>5.8967080946748406E-10</v>
      </c>
      <c r="U1067" s="6">
        <f t="shared" si="241"/>
        <v>182.87046643843473</v>
      </c>
      <c r="V1067" s="2">
        <f t="shared" si="233"/>
        <v>1.2480524054161214E-9</v>
      </c>
      <c r="W1067" s="2">
        <f t="shared" si="234"/>
        <v>5.896702459076613E-10</v>
      </c>
    </row>
    <row r="1068" spans="1:23" x14ac:dyDescent="0.45">
      <c r="A1068">
        <v>18.417760000000001</v>
      </c>
      <c r="B1068">
        <v>-152.83123000000001</v>
      </c>
      <c r="C1068">
        <v>18.4071</v>
      </c>
      <c r="D1068">
        <v>-152.83159000000001</v>
      </c>
      <c r="E1068" s="10">
        <v>1180.5170000000001</v>
      </c>
      <c r="F1068" s="10" t="s">
        <v>2742</v>
      </c>
      <c r="G1068" s="10" t="s">
        <v>2743</v>
      </c>
      <c r="H1068" s="10">
        <v>1180.5165198348</v>
      </c>
      <c r="I1068" s="10">
        <v>-178.15355657384899</v>
      </c>
      <c r="J1068" s="10">
        <v>-178.15367028160699</v>
      </c>
      <c r="K1068" s="4">
        <f t="shared" si="229"/>
        <v>181.84644444444444</v>
      </c>
      <c r="L1068" s="4">
        <f t="shared" si="230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35"/>
        <v>1180.5165197779638</v>
      </c>
      <c r="P1068" s="2">
        <f t="shared" si="237"/>
        <v>4.0678959831224009E-7</v>
      </c>
      <c r="Q1068" s="2">
        <f t="shared" si="238"/>
        <v>4.8145148287418638E-11</v>
      </c>
      <c r="R1068" s="6">
        <f t="shared" si="239"/>
        <v>181.84644337531842</v>
      </c>
      <c r="S1068" s="2">
        <f t="shared" si="240"/>
        <v>5.8792792559839302E-9</v>
      </c>
      <c r="T1068" s="2">
        <f t="shared" si="236"/>
        <v>2.7953583166526764E-10</v>
      </c>
      <c r="U1068" s="6">
        <f t="shared" si="241"/>
        <v>181.846329667563</v>
      </c>
      <c r="V1068" s="2">
        <f t="shared" si="233"/>
        <v>4.8832031277687551E-9</v>
      </c>
      <c r="W1068" s="2">
        <f t="shared" si="234"/>
        <v>2.7952178359418791E-10</v>
      </c>
    </row>
    <row r="1069" spans="1:23" x14ac:dyDescent="0.45">
      <c r="A1069">
        <v>3.4719099999999998</v>
      </c>
      <c r="B1069">
        <v>-43.696249999999999</v>
      </c>
      <c r="C1069">
        <v>3.48285</v>
      </c>
      <c r="D1069">
        <v>-43.703949999999999</v>
      </c>
      <c r="E1069" s="10">
        <v>1481.7149999999999</v>
      </c>
      <c r="F1069" s="10" t="s">
        <v>2744</v>
      </c>
      <c r="G1069" s="10" t="s">
        <v>2745</v>
      </c>
      <c r="H1069" s="10">
        <v>1481.7147053291601</v>
      </c>
      <c r="I1069" s="10">
        <v>-35.270031195239604</v>
      </c>
      <c r="J1069" s="10">
        <v>-35.270498234720598</v>
      </c>
      <c r="K1069" s="4">
        <f t="shared" si="229"/>
        <v>324.72996944444446</v>
      </c>
      <c r="L1069" s="4">
        <f t="shared" si="230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35"/>
        <v>1481.71470546052</v>
      </c>
      <c r="P1069" s="2">
        <f t="shared" si="237"/>
        <v>1.9878281579782359E-7</v>
      </c>
      <c r="Q1069" s="2">
        <f t="shared" si="238"/>
        <v>8.865398373947485E-11</v>
      </c>
      <c r="R1069" s="6">
        <f t="shared" si="239"/>
        <v>324.72996880821489</v>
      </c>
      <c r="S1069" s="2">
        <f t="shared" si="240"/>
        <v>1.959257327637044E-9</v>
      </c>
      <c r="T1069" s="2">
        <f t="shared" si="236"/>
        <v>1.0638033390401334E-11</v>
      </c>
      <c r="U1069" s="6">
        <f t="shared" si="241"/>
        <v>324.72950176873422</v>
      </c>
      <c r="V1069" s="2">
        <f t="shared" si="233"/>
        <v>3.1073356421601178E-9</v>
      </c>
      <c r="W1069" s="2">
        <f t="shared" si="234"/>
        <v>1.0639098981586851E-11</v>
      </c>
    </row>
    <row r="1070" spans="1:23" x14ac:dyDescent="0.45">
      <c r="A1070">
        <v>24.707519999999999</v>
      </c>
      <c r="B1070">
        <v>-38.407380000000003</v>
      </c>
      <c r="C1070">
        <v>24.69511</v>
      </c>
      <c r="D1070">
        <v>-38.417729999999999</v>
      </c>
      <c r="E1070" s="10">
        <v>1728.1659999999999</v>
      </c>
      <c r="F1070" s="10" t="s">
        <v>2746</v>
      </c>
      <c r="G1070" s="10" t="s">
        <v>2747</v>
      </c>
      <c r="H1070" s="10">
        <v>1728.16594175565</v>
      </c>
      <c r="I1070" s="10">
        <v>-142.69381026252699</v>
      </c>
      <c r="J1070" s="10">
        <v>-142.69813540258599</v>
      </c>
      <c r="K1070" s="4">
        <f t="shared" si="229"/>
        <v>217.3061888888889</v>
      </c>
      <c r="L1070" s="4">
        <f t="shared" si="230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35"/>
        <v>1728.1659414015633</v>
      </c>
      <c r="P1070" s="2">
        <f t="shared" si="237"/>
        <v>3.3907874984676193E-8</v>
      </c>
      <c r="Q1070" s="2">
        <f t="shared" si="238"/>
        <v>2.0489163828287975E-10</v>
      </c>
      <c r="R1070" s="6">
        <f t="shared" si="239"/>
        <v>217.30618973591271</v>
      </c>
      <c r="S1070" s="2">
        <f t="shared" si="240"/>
        <v>3.897835663114512E-9</v>
      </c>
      <c r="T1070" s="2">
        <f t="shared" si="236"/>
        <v>7.1801682510530751E-12</v>
      </c>
      <c r="U1070" s="6">
        <f t="shared" si="241"/>
        <v>217.30186459585644</v>
      </c>
      <c r="V1070" s="2">
        <f t="shared" si="233"/>
        <v>3.2533893464086319E-9</v>
      </c>
      <c r="W1070" s="2">
        <f t="shared" si="234"/>
        <v>7.1677549711349146E-12</v>
      </c>
    </row>
    <row r="1071" spans="1:23" x14ac:dyDescent="0.4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10">
        <v>1743.779</v>
      </c>
      <c r="F1071" s="10" t="s">
        <v>2748</v>
      </c>
      <c r="G1071" s="10" t="s">
        <v>2749</v>
      </c>
      <c r="H1071" s="10">
        <v>1743.7785213463501</v>
      </c>
      <c r="I1071" s="10">
        <v>159.12391848451799</v>
      </c>
      <c r="J1071" s="10">
        <v>159.11109513310799</v>
      </c>
      <c r="K1071" s="4">
        <f t="shared" si="229"/>
        <v>159.12391944444445</v>
      </c>
      <c r="L1071" s="4">
        <f t="shared" si="230"/>
        <v>159.11109444444446</v>
      </c>
      <c r="M1071" s="4">
        <f t="shared" si="231"/>
        <v>159.12391848451796</v>
      </c>
      <c r="N1071" s="4">
        <f t="shared" si="232"/>
        <v>159.11109513310794</v>
      </c>
      <c r="O1071" s="3">
        <f t="shared" si="235"/>
        <v>1743.77852180985</v>
      </c>
      <c r="P1071" s="2">
        <f t="shared" si="237"/>
        <v>2.7422634980332777E-7</v>
      </c>
      <c r="Q1071" s="2">
        <f t="shared" si="238"/>
        <v>2.658020313216803E-10</v>
      </c>
      <c r="R1071" s="6">
        <f t="shared" si="239"/>
        <v>159.12391848743053</v>
      </c>
      <c r="S1071" s="2">
        <f t="shared" si="240"/>
        <v>6.0142681719316703E-9</v>
      </c>
      <c r="T1071" s="2">
        <f t="shared" si="236"/>
        <v>1.8303794583734386E-11</v>
      </c>
      <c r="U1071" s="6">
        <f t="shared" si="241"/>
        <v>159.11109513602074</v>
      </c>
      <c r="V1071" s="2">
        <f t="shared" si="233"/>
        <v>4.3464993925948186E-9</v>
      </c>
      <c r="W1071" s="2">
        <f t="shared" si="234"/>
        <v>1.8306698778851267E-11</v>
      </c>
    </row>
    <row r="1072" spans="1:23" x14ac:dyDescent="0.4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10">
        <v>1575.5519999999999</v>
      </c>
      <c r="F1072" s="10" t="s">
        <v>2750</v>
      </c>
      <c r="G1072" s="10" t="s">
        <v>2751</v>
      </c>
      <c r="H1072" s="10">
        <v>1575.55178653808</v>
      </c>
      <c r="I1072" s="10">
        <v>-20.310281544378402</v>
      </c>
      <c r="J1072" s="10">
        <v>-20.326089685265401</v>
      </c>
      <c r="K1072" s="4">
        <f t="shared" si="229"/>
        <v>339.68971944444445</v>
      </c>
      <c r="L1072" s="4">
        <f t="shared" si="230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35"/>
        <v>1575.5517858870371</v>
      </c>
      <c r="P1072" s="2">
        <f t="shared" si="237"/>
        <v>1.3589710958088867E-7</v>
      </c>
      <c r="Q1072" s="2">
        <f t="shared" si="238"/>
        <v>4.1321581163613099E-10</v>
      </c>
      <c r="R1072" s="6">
        <f t="shared" si="239"/>
        <v>339.68971845609474</v>
      </c>
      <c r="S1072" s="2">
        <f t="shared" si="240"/>
        <v>2.909566156498555E-9</v>
      </c>
      <c r="T1072" s="2">
        <f t="shared" si="236"/>
        <v>1.3929318224542673E-12</v>
      </c>
      <c r="U1072" s="6">
        <f t="shared" si="241"/>
        <v>339.6739103152056</v>
      </c>
      <c r="V1072" s="2">
        <f t="shared" si="233"/>
        <v>2.3431458672861264E-9</v>
      </c>
      <c r="W1072" s="2">
        <f t="shared" si="234"/>
        <v>1.3866374613352919E-12</v>
      </c>
    </row>
    <row r="1073" spans="1:23" x14ac:dyDescent="0.45">
      <c r="A1073">
        <v>73.23706</v>
      </c>
      <c r="B1073">
        <v>-64.701459999999997</v>
      </c>
      <c r="C1073">
        <v>73.229299999999995</v>
      </c>
      <c r="D1073">
        <v>-64.704139999999995</v>
      </c>
      <c r="E1073" s="10">
        <v>870.30899999999997</v>
      </c>
      <c r="F1073" s="10" t="s">
        <v>2752</v>
      </c>
      <c r="G1073" s="10" t="s">
        <v>2753</v>
      </c>
      <c r="H1073" s="10">
        <v>870.30879423491103</v>
      </c>
      <c r="I1073" s="10">
        <v>-174.306013266402</v>
      </c>
      <c r="J1073" s="10">
        <v>-174.308579330805</v>
      </c>
      <c r="K1073" s="4">
        <f t="shared" ref="K1073:K1136" si="242">ConvertDecimal(F1073)</f>
        <v>185.69398611111112</v>
      </c>
      <c r="L1073" s="4">
        <f t="shared" ref="L1073:L1136" si="243">MOD(ConvertDecimal(G1073)+180,360)</f>
        <v>185.69141944444445</v>
      </c>
      <c r="M1073" s="4">
        <f t="shared" ref="M1073:M1136" si="244">MOD(I1073+360, 360)</f>
        <v>185.693986733598</v>
      </c>
      <c r="N1073" s="4">
        <f t="shared" ref="N1073:N1136" si="245">MOD(J1073+360, 360)</f>
        <v>185.691420669195</v>
      </c>
      <c r="O1073" s="3">
        <f t="shared" si="235"/>
        <v>870.30879401316258</v>
      </c>
      <c r="P1073" s="2">
        <f t="shared" si="237"/>
        <v>2.3668241668908719E-7</v>
      </c>
      <c r="Q1073" s="2">
        <f t="shared" si="238"/>
        <v>2.5479284155425049E-10</v>
      </c>
      <c r="R1073" s="6">
        <f t="shared" si="239"/>
        <v>185.6939867334705</v>
      </c>
      <c r="S1073" s="2">
        <f t="shared" si="240"/>
        <v>3.3515322335695864E-9</v>
      </c>
      <c r="T1073" s="2">
        <f t="shared" si="236"/>
        <v>6.8661237096334891E-13</v>
      </c>
      <c r="U1073" s="6">
        <f t="shared" si="241"/>
        <v>185.6914206690663</v>
      </c>
      <c r="V1073" s="2">
        <f t="shared" si="233"/>
        <v>6.5949296863234896E-9</v>
      </c>
      <c r="W1073" s="2">
        <f t="shared" si="234"/>
        <v>6.9305032961180187E-13</v>
      </c>
    </row>
    <row r="1074" spans="1:23" x14ac:dyDescent="0.45">
      <c r="A1074">
        <v>25.774840000000001</v>
      </c>
      <c r="B1074">
        <v>-162.11797000000001</v>
      </c>
      <c r="C1074">
        <v>25.788270000000001</v>
      </c>
      <c r="D1074">
        <v>-162.12857</v>
      </c>
      <c r="E1074" s="10">
        <v>1828.6780000000001</v>
      </c>
      <c r="F1074" s="10" t="s">
        <v>2754</v>
      </c>
      <c r="G1074" s="10" t="s">
        <v>2755</v>
      </c>
      <c r="H1074" s="10">
        <v>1828.6776334804299</v>
      </c>
      <c r="I1074" s="10">
        <v>-35.547136962631399</v>
      </c>
      <c r="J1074" s="10">
        <v>-35.551747339826598</v>
      </c>
      <c r="K1074" s="4">
        <f t="shared" si="242"/>
        <v>324.45286388888888</v>
      </c>
      <c r="L1074" s="4">
        <f t="shared" si="243"/>
        <v>324.44825277777778</v>
      </c>
      <c r="M1074" s="4">
        <f t="shared" si="244"/>
        <v>324.45286303736862</v>
      </c>
      <c r="N1074" s="4">
        <f t="shared" si="245"/>
        <v>324.44825266017341</v>
      </c>
      <c r="O1074" s="3">
        <f t="shared" si="235"/>
        <v>1828.6776330714522</v>
      </c>
      <c r="P1074" s="2">
        <f t="shared" si="237"/>
        <v>2.0065235537316442E-7</v>
      </c>
      <c r="Q1074" s="2">
        <f t="shared" si="238"/>
        <v>2.236466967457688E-10</v>
      </c>
      <c r="R1074" s="6">
        <f t="shared" si="239"/>
        <v>324.45286303869483</v>
      </c>
      <c r="S1074" s="2">
        <f t="shared" si="240"/>
        <v>2.6203931301797972E-9</v>
      </c>
      <c r="T1074" s="2">
        <f t="shared" si="236"/>
        <v>4.0875392284295119E-12</v>
      </c>
      <c r="U1074" s="6">
        <f t="shared" si="241"/>
        <v>324.44825266150474</v>
      </c>
      <c r="V1074" s="2">
        <f t="shared" si="233"/>
        <v>3.5837161012287635E-10</v>
      </c>
      <c r="W1074" s="2">
        <f t="shared" si="234"/>
        <v>4.1033653355298451E-12</v>
      </c>
    </row>
    <row r="1075" spans="1:23" x14ac:dyDescent="0.4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10">
        <v>526.87</v>
      </c>
      <c r="F1075" s="10" t="s">
        <v>2756</v>
      </c>
      <c r="G1075" s="10" t="s">
        <v>2757</v>
      </c>
      <c r="H1075" s="10">
        <v>526.87047834932901</v>
      </c>
      <c r="I1075" s="10">
        <v>66.610333241879701</v>
      </c>
      <c r="J1075" s="10">
        <v>66.6090096473297</v>
      </c>
      <c r="K1075" s="4">
        <f t="shared" si="242"/>
        <v>66.61033333333333</v>
      </c>
      <c r="L1075" s="4">
        <f t="shared" si="243"/>
        <v>66.60900833333335</v>
      </c>
      <c r="M1075" s="4">
        <f t="shared" si="244"/>
        <v>66.610333241879687</v>
      </c>
      <c r="N1075" s="4">
        <f t="shared" si="245"/>
        <v>66.609009647329685</v>
      </c>
      <c r="O1075" s="3">
        <f t="shared" si="235"/>
        <v>526.87047830938013</v>
      </c>
      <c r="P1075" s="2">
        <f t="shared" si="237"/>
        <v>9.0783187527841636E-7</v>
      </c>
      <c r="Q1075" s="2">
        <f t="shared" si="238"/>
        <v>7.5822947566749768E-11</v>
      </c>
      <c r="R1075" s="6">
        <f t="shared" si="239"/>
        <v>66.610333240147284</v>
      </c>
      <c r="S1075" s="2">
        <f t="shared" si="240"/>
        <v>1.3989728152285415E-9</v>
      </c>
      <c r="T1075" s="2">
        <f t="shared" si="236"/>
        <v>2.6008016796362808E-11</v>
      </c>
      <c r="U1075" s="6">
        <f t="shared" si="241"/>
        <v>66.609009645582148</v>
      </c>
      <c r="V1075" s="2">
        <f t="shared" si="233"/>
        <v>1.9700770681736603E-8</v>
      </c>
      <c r="W1075" s="2">
        <f t="shared" si="234"/>
        <v>2.6235748516460319E-11</v>
      </c>
    </row>
    <row r="1076" spans="1:23" x14ac:dyDescent="0.45">
      <c r="A1076">
        <v>3.0989</v>
      </c>
      <c r="B1076">
        <v>47.998019999999997</v>
      </c>
      <c r="C1076">
        <v>3.1054100000000102</v>
      </c>
      <c r="D1076">
        <v>48.005000000000003</v>
      </c>
      <c r="E1076" s="10">
        <v>1058.3889999999999</v>
      </c>
      <c r="F1076" s="10" t="s">
        <v>2758</v>
      </c>
      <c r="G1076" s="10" t="s">
        <v>2759</v>
      </c>
      <c r="H1076" s="10">
        <v>1058.3885353989101</v>
      </c>
      <c r="I1076" s="10">
        <v>47.144686072638201</v>
      </c>
      <c r="J1076" s="10">
        <v>47.145063804900097</v>
      </c>
      <c r="K1076" s="4">
        <f t="shared" si="242"/>
        <v>47.144686111111113</v>
      </c>
      <c r="L1076" s="4">
        <f t="shared" si="243"/>
        <v>47.145063888888899</v>
      </c>
      <c r="M1076" s="4">
        <f t="shared" si="244"/>
        <v>47.144686072638194</v>
      </c>
      <c r="N1076" s="4">
        <f t="shared" si="245"/>
        <v>47.145063804900076</v>
      </c>
      <c r="O1076" s="3">
        <f t="shared" si="235"/>
        <v>1058.3885353694172</v>
      </c>
      <c r="P1076" s="2">
        <f t="shared" si="237"/>
        <v>4.3899793238161525E-7</v>
      </c>
      <c r="Q1076" s="2">
        <f t="shared" si="238"/>
        <v>2.7865822265640015E-11</v>
      </c>
      <c r="R1076" s="6">
        <f t="shared" si="239"/>
        <v>47.14468606908391</v>
      </c>
      <c r="S1076" s="2">
        <f t="shared" si="240"/>
        <v>8.9145154030658528E-10</v>
      </c>
      <c r="T1076" s="2">
        <f t="shared" si="236"/>
        <v>7.539097773968133E-11</v>
      </c>
      <c r="U1076" s="6">
        <f t="shared" si="241"/>
        <v>47.145063801345948</v>
      </c>
      <c r="V1076" s="2">
        <f t="shared" si="233"/>
        <v>1.856884760463905E-9</v>
      </c>
      <c r="W1076" s="2">
        <f t="shared" si="234"/>
        <v>7.5387057986657375E-11</v>
      </c>
    </row>
    <row r="1077" spans="1:23" x14ac:dyDescent="0.4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10">
        <v>1388.374</v>
      </c>
      <c r="F1077" s="10" t="s">
        <v>2760</v>
      </c>
      <c r="G1077" s="10" t="s">
        <v>2761</v>
      </c>
      <c r="H1077" s="10">
        <v>1388.37389902475</v>
      </c>
      <c r="I1077" s="10">
        <v>-159.62545169863199</v>
      </c>
      <c r="J1077" s="10">
        <v>-159.60953004967899</v>
      </c>
      <c r="K1077" s="4">
        <f t="shared" si="242"/>
        <v>200.37454722222222</v>
      </c>
      <c r="L1077" s="4">
        <f t="shared" si="243"/>
        <v>200.39046944444445</v>
      </c>
      <c r="M1077" s="4">
        <f t="shared" si="244"/>
        <v>200.37454830136801</v>
      </c>
      <c r="N1077" s="4">
        <f t="shared" si="245"/>
        <v>200.39046995032101</v>
      </c>
      <c r="O1077" s="3">
        <f t="shared" si="235"/>
        <v>1388.3739002703853</v>
      </c>
      <c r="P1077" s="2">
        <f t="shared" si="237"/>
        <v>7.1831952127735138E-8</v>
      </c>
      <c r="Q1077" s="2">
        <f t="shared" si="238"/>
        <v>8.9719008994876688E-10</v>
      </c>
      <c r="R1077" s="6">
        <f t="shared" si="239"/>
        <v>200.37454830121033</v>
      </c>
      <c r="S1077" s="2">
        <f t="shared" si="240"/>
        <v>5.3848561153677224E-9</v>
      </c>
      <c r="T1077" s="2">
        <f t="shared" si="236"/>
        <v>7.8694447601559426E-13</v>
      </c>
      <c r="U1077" s="6">
        <f t="shared" si="241"/>
        <v>200.39046995016085</v>
      </c>
      <c r="V1077" s="2">
        <f t="shared" si="233"/>
        <v>2.5236549508266045E-9</v>
      </c>
      <c r="W1077" s="2">
        <f t="shared" si="234"/>
        <v>7.9922130368790039E-13</v>
      </c>
    </row>
    <row r="1078" spans="1:23" x14ac:dyDescent="0.45">
      <c r="A1078">
        <v>83.092399999999998</v>
      </c>
      <c r="B1078">
        <v>1.341E-2</v>
      </c>
      <c r="C1078">
        <v>83.097160000000002</v>
      </c>
      <c r="D1078">
        <v>1.3300000000526801E-3</v>
      </c>
      <c r="E1078" s="10">
        <v>555.78399999999999</v>
      </c>
      <c r="F1078" s="10" t="s">
        <v>2762</v>
      </c>
      <c r="G1078" s="10" t="s">
        <v>2763</v>
      </c>
      <c r="H1078" s="10">
        <v>555.783693713861</v>
      </c>
      <c r="I1078" s="10">
        <v>-16.963275937283999</v>
      </c>
      <c r="J1078" s="10">
        <v>-16.975268313717599</v>
      </c>
      <c r="K1078" s="4">
        <f t="shared" si="242"/>
        <v>343.03672499999999</v>
      </c>
      <c r="L1078" s="4">
        <f t="shared" si="243"/>
        <v>343.02473055555555</v>
      </c>
      <c r="M1078" s="4">
        <f t="shared" si="244"/>
        <v>343.03672406271602</v>
      </c>
      <c r="N1078" s="4">
        <f t="shared" si="245"/>
        <v>343.02473168628239</v>
      </c>
      <c r="O1078" s="3">
        <f t="shared" si="235"/>
        <v>555.78369339780863</v>
      </c>
      <c r="P1078" s="2">
        <f t="shared" si="237"/>
        <v>5.5165710304408137E-7</v>
      </c>
      <c r="Q1078" s="2">
        <f t="shared" si="238"/>
        <v>5.6866073671925566E-10</v>
      </c>
      <c r="R1078" s="6">
        <f t="shared" si="239"/>
        <v>343.03672410064604</v>
      </c>
      <c r="S1078" s="2">
        <f t="shared" si="240"/>
        <v>2.6217424665974113E-9</v>
      </c>
      <c r="T1078" s="2">
        <f t="shared" si="236"/>
        <v>1.1057131534160317E-10</v>
      </c>
      <c r="U1078" s="6">
        <f t="shared" si="241"/>
        <v>343.02473172423885</v>
      </c>
      <c r="V1078" s="2">
        <f t="shared" si="233"/>
        <v>3.4069942881356304E-9</v>
      </c>
      <c r="W1078" s="2">
        <f t="shared" si="234"/>
        <v>1.1065223721120177E-10</v>
      </c>
    </row>
    <row r="1079" spans="1:23" x14ac:dyDescent="0.4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10">
        <v>1707.829</v>
      </c>
      <c r="F1079" s="10" t="s">
        <v>2764</v>
      </c>
      <c r="G1079" s="10" t="s">
        <v>2765</v>
      </c>
      <c r="H1079" s="10">
        <v>1707.8287096479801</v>
      </c>
      <c r="I1079" s="10">
        <v>-94.128056253384699</v>
      </c>
      <c r="J1079" s="10">
        <v>-94.122907474523402</v>
      </c>
      <c r="K1079" s="4">
        <f t="shared" si="242"/>
        <v>265.87194444444447</v>
      </c>
      <c r="L1079" s="4">
        <f t="shared" si="243"/>
        <v>265.87709166666667</v>
      </c>
      <c r="M1079" s="4">
        <f t="shared" si="244"/>
        <v>265.87194374661533</v>
      </c>
      <c r="N1079" s="4">
        <f t="shared" si="245"/>
        <v>265.8770925254766</v>
      </c>
      <c r="O1079" s="3">
        <f t="shared" si="235"/>
        <v>1707.8287095082735</v>
      </c>
      <c r="P1079" s="2">
        <f t="shared" si="237"/>
        <v>1.7009415254449203E-7</v>
      </c>
      <c r="Q1079" s="2">
        <f t="shared" si="238"/>
        <v>8.1803620500930821E-11</v>
      </c>
      <c r="R1079" s="6">
        <f t="shared" si="239"/>
        <v>265.87194374629729</v>
      </c>
      <c r="S1079" s="2">
        <f t="shared" si="240"/>
        <v>2.6258775708171802E-9</v>
      </c>
      <c r="T1079" s="2">
        <f t="shared" si="236"/>
        <v>1.196210942924171E-12</v>
      </c>
      <c r="U1079" s="6">
        <f t="shared" si="241"/>
        <v>265.8770925251581</v>
      </c>
      <c r="V1079" s="2">
        <f t="shared" si="233"/>
        <v>3.2289033524016413E-9</v>
      </c>
      <c r="W1079" s="2">
        <f t="shared" si="234"/>
        <v>1.1978981447850343E-12</v>
      </c>
    </row>
    <row r="1080" spans="1:23" x14ac:dyDescent="0.4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10">
        <v>403.61099999999999</v>
      </c>
      <c r="F1080" s="10" t="s">
        <v>2766</v>
      </c>
      <c r="G1080" s="10" t="s">
        <v>2767</v>
      </c>
      <c r="H1080" s="10">
        <v>403.610981884951</v>
      </c>
      <c r="I1080" s="10">
        <v>165.16486281634499</v>
      </c>
      <c r="J1080" s="10">
        <v>165.165830746452</v>
      </c>
      <c r="K1080" s="4">
        <f t="shared" si="242"/>
        <v>165.1648638888889</v>
      </c>
      <c r="L1080" s="4">
        <f t="shared" si="243"/>
        <v>165.16583055555554</v>
      </c>
      <c r="M1080" s="4">
        <f t="shared" si="244"/>
        <v>165.16486281634502</v>
      </c>
      <c r="N1080" s="4">
        <f t="shared" si="245"/>
        <v>165.165830746452</v>
      </c>
      <c r="O1080" s="3">
        <f t="shared" si="235"/>
        <v>403.61098171448236</v>
      </c>
      <c r="P1080" s="2">
        <f t="shared" si="237"/>
        <v>4.5304804939116981E-8</v>
      </c>
      <c r="Q1080" s="2">
        <f t="shared" si="238"/>
        <v>4.2235877111235514E-10</v>
      </c>
      <c r="R1080" s="6">
        <f t="shared" si="239"/>
        <v>165.16486287525865</v>
      </c>
      <c r="S1080" s="2">
        <f t="shared" si="240"/>
        <v>6.1370816385747657E-9</v>
      </c>
      <c r="T1080" s="2">
        <f t="shared" si="236"/>
        <v>3.5669589009084936E-10</v>
      </c>
      <c r="U1080" s="6">
        <f t="shared" si="241"/>
        <v>165.16583080536262</v>
      </c>
      <c r="V1080" s="2">
        <f t="shared" si="233"/>
        <v>1.5124621840058584E-9</v>
      </c>
      <c r="W1080" s="2">
        <f t="shared" si="234"/>
        <v>3.5667555926409476E-10</v>
      </c>
    </row>
    <row r="1081" spans="1:23" x14ac:dyDescent="0.45">
      <c r="A1081">
        <v>-49.310519999999997</v>
      </c>
      <c r="B1081">
        <v>59.918729999999996</v>
      </c>
      <c r="C1081">
        <v>-49.30592</v>
      </c>
      <c r="D1081">
        <v>59.926160000000003</v>
      </c>
      <c r="E1081" s="10">
        <v>744.08</v>
      </c>
      <c r="F1081" s="10" t="s">
        <v>2768</v>
      </c>
      <c r="G1081" s="10" t="s">
        <v>2769</v>
      </c>
      <c r="H1081" s="10">
        <v>744.07987511404497</v>
      </c>
      <c r="I1081" s="10">
        <v>46.566321857391301</v>
      </c>
      <c r="J1081" s="10">
        <v>46.560688224217301</v>
      </c>
      <c r="K1081" s="4">
        <f t="shared" si="242"/>
        <v>46.566322222222219</v>
      </c>
      <c r="L1081" s="4">
        <f t="shared" si="243"/>
        <v>46.560688888888876</v>
      </c>
      <c r="M1081" s="4">
        <f t="shared" si="244"/>
        <v>46.566321857391301</v>
      </c>
      <c r="N1081" s="4">
        <f t="shared" si="245"/>
        <v>46.560688224217301</v>
      </c>
      <c r="O1081" s="3">
        <f t="shared" si="235"/>
        <v>744.07987415052901</v>
      </c>
      <c r="P1081" s="2">
        <f t="shared" si="237"/>
        <v>1.6913432834208626E-7</v>
      </c>
      <c r="Q1081" s="2">
        <f t="shared" si="238"/>
        <v>1.2949093112166984E-9</v>
      </c>
      <c r="R1081" s="6">
        <f t="shared" si="239"/>
        <v>46.566321773892575</v>
      </c>
      <c r="S1081" s="2">
        <f t="shared" si="240"/>
        <v>9.6277657808672777E-9</v>
      </c>
      <c r="T1081" s="2">
        <f t="shared" si="236"/>
        <v>1.7931140537844804E-9</v>
      </c>
      <c r="U1081" s="6">
        <f t="shared" si="241"/>
        <v>46.560688140721872</v>
      </c>
      <c r="V1081" s="2">
        <f t="shared" si="233"/>
        <v>1.6068641202688583E-8</v>
      </c>
      <c r="W1081" s="2">
        <f t="shared" si="234"/>
        <v>1.79326020343956E-9</v>
      </c>
    </row>
    <row r="1082" spans="1:23" x14ac:dyDescent="0.4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10">
        <v>1602.3040000000001</v>
      </c>
      <c r="F1082" s="10" t="s">
        <v>2770</v>
      </c>
      <c r="G1082" s="10" t="s">
        <v>2771</v>
      </c>
      <c r="H1082" s="10">
        <v>1602.3036094839399</v>
      </c>
      <c r="I1082" s="10">
        <v>-148.034970805813</v>
      </c>
      <c r="J1082" s="10">
        <v>-148.029387338059</v>
      </c>
      <c r="K1082" s="4">
        <f t="shared" si="242"/>
        <v>211.96503055555556</v>
      </c>
      <c r="L1082" s="4">
        <f t="shared" si="243"/>
        <v>211.97061388888889</v>
      </c>
      <c r="M1082" s="4">
        <f t="shared" si="244"/>
        <v>211.965029194187</v>
      </c>
      <c r="N1082" s="4">
        <f t="shared" si="245"/>
        <v>211.970612661941</v>
      </c>
      <c r="O1082" s="3">
        <f t="shared" si="235"/>
        <v>1602.3036093808105</v>
      </c>
      <c r="P1082" s="2">
        <f t="shared" si="237"/>
        <v>2.4378594174522952E-7</v>
      </c>
      <c r="Q1082" s="2">
        <f t="shared" si="238"/>
        <v>6.4363222183997432E-11</v>
      </c>
      <c r="R1082" s="6">
        <f t="shared" si="239"/>
        <v>211.96502919367902</v>
      </c>
      <c r="S1082" s="2">
        <f t="shared" si="240"/>
        <v>6.4250057598452044E-9</v>
      </c>
      <c r="T1082" s="2">
        <f t="shared" si="236"/>
        <v>2.3965331195469761E-12</v>
      </c>
      <c r="U1082" s="6">
        <f t="shared" si="241"/>
        <v>211.97061266143018</v>
      </c>
      <c r="V1082" s="2">
        <f t="shared" si="233"/>
        <v>5.7907022494943658E-9</v>
      </c>
      <c r="W1082" s="2">
        <f t="shared" si="234"/>
        <v>2.409878318403185E-12</v>
      </c>
    </row>
    <row r="1083" spans="1:23" x14ac:dyDescent="0.4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10">
        <v>514.39599999999996</v>
      </c>
      <c r="F1083" s="10" t="s">
        <v>2772</v>
      </c>
      <c r="G1083" s="10" t="s">
        <v>2773</v>
      </c>
      <c r="H1083" s="10">
        <v>514.39582473871803</v>
      </c>
      <c r="I1083" s="10">
        <v>-177.22555011067101</v>
      </c>
      <c r="J1083" s="10">
        <v>-177.21402227481599</v>
      </c>
      <c r="K1083" s="4">
        <f t="shared" si="242"/>
        <v>182.77445</v>
      </c>
      <c r="L1083" s="4">
        <f t="shared" si="243"/>
        <v>182.78597777777779</v>
      </c>
      <c r="M1083" s="4">
        <f t="shared" si="244"/>
        <v>182.77444988932899</v>
      </c>
      <c r="N1083" s="4">
        <f t="shared" si="245"/>
        <v>182.78597772518401</v>
      </c>
      <c r="O1083" s="3">
        <f t="shared" si="235"/>
        <v>514.39582447181601</v>
      </c>
      <c r="P1083" s="2">
        <f t="shared" si="237"/>
        <v>3.4123162688874288E-7</v>
      </c>
      <c r="Q1083" s="2">
        <f t="shared" si="238"/>
        <v>5.188650600350798E-10</v>
      </c>
      <c r="R1083" s="6">
        <f t="shared" si="239"/>
        <v>182.77444988932083</v>
      </c>
      <c r="S1083" s="2">
        <f t="shared" si="240"/>
        <v>6.0555054147098993E-10</v>
      </c>
      <c r="T1083" s="2">
        <f t="shared" si="236"/>
        <v>4.4628943550179359E-14</v>
      </c>
      <c r="U1083" s="6">
        <f t="shared" si="241"/>
        <v>182.78597772517617</v>
      </c>
      <c r="V1083" s="2">
        <f t="shared" si="233"/>
        <v>2.8777711220724948E-10</v>
      </c>
      <c r="W1083" s="2">
        <f t="shared" si="234"/>
        <v>4.2915719796544962E-14</v>
      </c>
    </row>
    <row r="1084" spans="1:23" x14ac:dyDescent="0.4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10">
        <v>223.66</v>
      </c>
      <c r="F1084" s="10" t="s">
        <v>2774</v>
      </c>
      <c r="G1084" s="10" t="s">
        <v>2775</v>
      </c>
      <c r="H1084" s="10">
        <v>223.66003786377701</v>
      </c>
      <c r="I1084" s="10">
        <v>155.54157851552</v>
      </c>
      <c r="J1084" s="10">
        <v>155.541359659888</v>
      </c>
      <c r="K1084" s="4">
        <f t="shared" si="242"/>
        <v>155.54157777777777</v>
      </c>
      <c r="L1084" s="4">
        <f t="shared" si="243"/>
        <v>155.54135833333339</v>
      </c>
      <c r="M1084" s="4">
        <f t="shared" si="244"/>
        <v>155.54157851551997</v>
      </c>
      <c r="N1084" s="4">
        <f t="shared" si="245"/>
        <v>155.54135965988803</v>
      </c>
      <c r="O1084" s="3">
        <f t="shared" si="235"/>
        <v>223.6600367482111</v>
      </c>
      <c r="P1084" s="2">
        <f t="shared" si="237"/>
        <v>1.6430390370055907E-7</v>
      </c>
      <c r="Q1084" s="2">
        <f t="shared" si="238"/>
        <v>4.9877748333995637E-9</v>
      </c>
      <c r="R1084" s="6">
        <f t="shared" si="239"/>
        <v>155.54157918236859</v>
      </c>
      <c r="S1084" s="2">
        <f t="shared" si="240"/>
        <v>9.0303238454490048E-9</v>
      </c>
      <c r="T1084" s="2">
        <f t="shared" si="236"/>
        <v>4.2872692120758588E-9</v>
      </c>
      <c r="U1084" s="6">
        <f t="shared" si="241"/>
        <v>155.5413603267402</v>
      </c>
      <c r="V1084" s="2">
        <f t="shared" si="233"/>
        <v>1.2815927759805028E-8</v>
      </c>
      <c r="W1084" s="2">
        <f t="shared" si="234"/>
        <v>4.2872980854681271E-9</v>
      </c>
    </row>
    <row r="1085" spans="1:23" x14ac:dyDescent="0.4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10">
        <v>1151.817</v>
      </c>
      <c r="F1085" s="10" t="s">
        <v>2776</v>
      </c>
      <c r="G1085" s="10" t="s">
        <v>2777</v>
      </c>
      <c r="H1085" s="10">
        <v>1151.8165821693501</v>
      </c>
      <c r="I1085" s="10">
        <v>123.45676524309</v>
      </c>
      <c r="J1085" s="10">
        <v>123.44711157418899</v>
      </c>
      <c r="K1085" s="4">
        <f t="shared" si="242"/>
        <v>123.45676388888889</v>
      </c>
      <c r="L1085" s="4">
        <f t="shared" si="243"/>
        <v>123.4471111111111</v>
      </c>
      <c r="M1085" s="4">
        <f t="shared" si="244"/>
        <v>123.45676524308999</v>
      </c>
      <c r="N1085" s="4">
        <f t="shared" si="245"/>
        <v>123.44711157418897</v>
      </c>
      <c r="O1085" s="3">
        <f t="shared" si="235"/>
        <v>1151.8165796910785</v>
      </c>
      <c r="P1085" s="2">
        <f t="shared" si="237"/>
        <v>3.6490946178775356E-7</v>
      </c>
      <c r="Q1085" s="2">
        <f t="shared" si="238"/>
        <v>2.1516200513491172E-9</v>
      </c>
      <c r="R1085" s="6">
        <f t="shared" si="239"/>
        <v>123.45676533038994</v>
      </c>
      <c r="S1085" s="2">
        <f t="shared" si="240"/>
        <v>1.1676161030007642E-8</v>
      </c>
      <c r="T1085" s="2">
        <f t="shared" si="236"/>
        <v>7.0712975497354238E-10</v>
      </c>
      <c r="U1085" s="6">
        <f t="shared" si="241"/>
        <v>123.44711166153311</v>
      </c>
      <c r="V1085" s="2">
        <f t="shared" si="233"/>
        <v>4.4587678931285098E-9</v>
      </c>
      <c r="W1085" s="2">
        <f t="shared" si="234"/>
        <v>7.0754306682862122E-10</v>
      </c>
    </row>
    <row r="1086" spans="1:23" x14ac:dyDescent="0.45">
      <c r="A1086">
        <v>50.44847</v>
      </c>
      <c r="B1086">
        <v>179.70865000000001</v>
      </c>
      <c r="C1086">
        <v>50.435049999999997</v>
      </c>
      <c r="D1086">
        <v>179.70292000000001</v>
      </c>
      <c r="E1086" s="10">
        <v>1547.307</v>
      </c>
      <c r="F1086" s="10" t="s">
        <v>2778</v>
      </c>
      <c r="G1086" s="10" t="s">
        <v>2779</v>
      </c>
      <c r="H1086" s="10">
        <v>1547.30660959137</v>
      </c>
      <c r="I1086" s="10">
        <v>-164.74586853802401</v>
      </c>
      <c r="J1086" s="10">
        <v>-164.75028623984301</v>
      </c>
      <c r="K1086" s="4">
        <f t="shared" si="242"/>
        <v>195.25413055555555</v>
      </c>
      <c r="L1086" s="4">
        <f t="shared" si="243"/>
        <v>195.24971388888889</v>
      </c>
      <c r="M1086" s="4">
        <f t="shared" si="244"/>
        <v>195.25413146197599</v>
      </c>
      <c r="N1086" s="4">
        <f t="shared" si="245"/>
        <v>195.24971376015699</v>
      </c>
      <c r="O1086" s="3">
        <f t="shared" si="235"/>
        <v>1547.3066096808298</v>
      </c>
      <c r="P1086" s="2">
        <f t="shared" si="237"/>
        <v>2.5225709588644953E-7</v>
      </c>
      <c r="Q1086" s="2">
        <f t="shared" si="238"/>
        <v>5.7816412921169052E-11</v>
      </c>
      <c r="R1086" s="6">
        <f t="shared" si="239"/>
        <v>195.25413142494716</v>
      </c>
      <c r="S1086" s="2">
        <f t="shared" si="240"/>
        <v>4.4526157293038254E-9</v>
      </c>
      <c r="T1086" s="2">
        <f t="shared" si="236"/>
        <v>1.8964426488809467E-10</v>
      </c>
      <c r="U1086" s="6">
        <f t="shared" si="241"/>
        <v>195.24971372313925</v>
      </c>
      <c r="V1086" s="2">
        <f t="shared" si="233"/>
        <v>8.4891105082707188E-10</v>
      </c>
      <c r="W1086" s="2">
        <f t="shared" si="234"/>
        <v>1.8959178504232914E-10</v>
      </c>
    </row>
    <row r="1087" spans="1:23" x14ac:dyDescent="0.4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10">
        <v>1376.5530000000001</v>
      </c>
      <c r="F1087" s="10" t="s">
        <v>2780</v>
      </c>
      <c r="G1087" s="10" t="s">
        <v>2781</v>
      </c>
      <c r="H1087" s="10">
        <v>1376.55300113713</v>
      </c>
      <c r="I1087" s="10">
        <v>1.69508492937739</v>
      </c>
      <c r="J1087" s="10">
        <v>1.6989879003643</v>
      </c>
      <c r="K1087" s="4">
        <f t="shared" si="242"/>
        <v>1.6950861111111111</v>
      </c>
      <c r="L1087" s="4">
        <f t="shared" si="243"/>
        <v>1.6989888888888913</v>
      </c>
      <c r="M1087" s="4">
        <f t="shared" si="244"/>
        <v>1.6950849293774013</v>
      </c>
      <c r="N1087" s="4">
        <f t="shared" si="245"/>
        <v>1.6989879003642727</v>
      </c>
      <c r="O1087" s="3">
        <f t="shared" si="235"/>
        <v>1376.5530005524879</v>
      </c>
      <c r="P1087" s="2">
        <f t="shared" si="237"/>
        <v>4.0135598892902772E-10</v>
      </c>
      <c r="Q1087" s="2">
        <f t="shared" si="238"/>
        <v>4.2471453393494071E-10</v>
      </c>
      <c r="R1087" s="6">
        <f t="shared" si="239"/>
        <v>1.6950849279221585</v>
      </c>
      <c r="S1087" s="2">
        <f t="shared" si="240"/>
        <v>6.980111186303919E-7</v>
      </c>
      <c r="T1087" s="2">
        <f t="shared" si="236"/>
        <v>8.5850731719674272E-10</v>
      </c>
      <c r="U1087" s="6">
        <f t="shared" si="241"/>
        <v>1.6989878989056988</v>
      </c>
      <c r="V1087" s="2">
        <f t="shared" si="233"/>
        <v>5.8268962146162966E-7</v>
      </c>
      <c r="W1087" s="2">
        <f t="shared" si="234"/>
        <v>8.5849577150654318E-10</v>
      </c>
    </row>
    <row r="1088" spans="1:23" x14ac:dyDescent="0.4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10">
        <v>1117.8530000000001</v>
      </c>
      <c r="F1088" s="10" t="s">
        <v>2782</v>
      </c>
      <c r="G1088" s="10" t="s">
        <v>2783</v>
      </c>
      <c r="H1088" s="10">
        <v>1117.8525951716399</v>
      </c>
      <c r="I1088" s="10">
        <v>-112.72799629067499</v>
      </c>
      <c r="J1088" s="10">
        <v>-112.73589099573</v>
      </c>
      <c r="K1088" s="4">
        <f t="shared" si="242"/>
        <v>247.27200277777777</v>
      </c>
      <c r="L1088" s="4">
        <f t="shared" si="243"/>
        <v>247.26410833333335</v>
      </c>
      <c r="M1088" s="4">
        <f t="shared" si="244"/>
        <v>247.27200370932502</v>
      </c>
      <c r="N1088" s="4">
        <f t="shared" si="245"/>
        <v>247.26410900426998</v>
      </c>
      <c r="O1088" s="3">
        <f t="shared" si="235"/>
        <v>1117.8525952180603</v>
      </c>
      <c r="P1088" s="2">
        <f t="shared" si="237"/>
        <v>3.6210659163443797E-7</v>
      </c>
      <c r="Q1088" s="2">
        <f t="shared" si="238"/>
        <v>4.1526389441075838E-11</v>
      </c>
      <c r="R1088" s="6">
        <f t="shared" si="239"/>
        <v>247.27200370898021</v>
      </c>
      <c r="S1088" s="2">
        <f t="shared" si="240"/>
        <v>3.7659032384939419E-9</v>
      </c>
      <c r="T1088" s="2">
        <f t="shared" si="236"/>
        <v>1.3944650976945919E-12</v>
      </c>
      <c r="U1088" s="6">
        <f t="shared" si="241"/>
        <v>247.2641090039335</v>
      </c>
      <c r="V1088" s="2">
        <f t="shared" si="233"/>
        <v>2.7120804099861832E-9</v>
      </c>
      <c r="W1088" s="2">
        <f t="shared" si="234"/>
        <v>1.3608308108345086E-12</v>
      </c>
    </row>
    <row r="1089" spans="1:23" x14ac:dyDescent="0.45">
      <c r="A1089">
        <v>-12.19533</v>
      </c>
      <c r="B1089">
        <v>-172.8569</v>
      </c>
      <c r="C1089">
        <v>-12.195349999999999</v>
      </c>
      <c r="D1089">
        <v>-172.85661999999999</v>
      </c>
      <c r="E1089" s="10">
        <v>30.550999999999998</v>
      </c>
      <c r="F1089" s="10" t="s">
        <v>2784</v>
      </c>
      <c r="G1089" s="10" t="s">
        <v>2785</v>
      </c>
      <c r="H1089" s="10">
        <v>30.550828955712401</v>
      </c>
      <c r="I1089" s="10">
        <v>94.152998849920493</v>
      </c>
      <c r="J1089" s="10">
        <v>94.152939701236406</v>
      </c>
      <c r="K1089" s="4">
        <f t="shared" si="242"/>
        <v>94.153000000000006</v>
      </c>
      <c r="L1089" s="4">
        <f t="shared" si="243"/>
        <v>94.152938888888912</v>
      </c>
      <c r="M1089" s="4">
        <f t="shared" si="244"/>
        <v>94.152998849920493</v>
      </c>
      <c r="N1089" s="4">
        <f t="shared" si="245"/>
        <v>94.152939701236392</v>
      </c>
      <c r="O1089" s="3">
        <f t="shared" si="235"/>
        <v>30.550827958893812</v>
      </c>
      <c r="P1089" s="2">
        <f t="shared" si="237"/>
        <v>5.6312757744778115E-6</v>
      </c>
      <c r="Q1089" s="2">
        <f t="shared" si="238"/>
        <v>3.2628201022177805E-8</v>
      </c>
      <c r="R1089" s="6">
        <f t="shared" si="239"/>
        <v>94.152998985224627</v>
      </c>
      <c r="S1089" s="2">
        <f t="shared" si="240"/>
        <v>1.0777939931749451E-8</v>
      </c>
      <c r="T1089" s="2">
        <f t="shared" si="236"/>
        <v>1.4370666444164004E-9</v>
      </c>
      <c r="U1089" s="6">
        <f t="shared" si="241"/>
        <v>94.152939836273305</v>
      </c>
      <c r="V1089" s="2">
        <f t="shared" si="233"/>
        <v>1.0062186102075433E-8</v>
      </c>
      <c r="W1089" s="2">
        <f t="shared" si="234"/>
        <v>1.4342293892833014E-9</v>
      </c>
    </row>
    <row r="1090" spans="1:23" x14ac:dyDescent="0.45">
      <c r="A1090">
        <v>-39.377989999999997</v>
      </c>
      <c r="B1090">
        <v>148.34419</v>
      </c>
      <c r="C1090">
        <v>-39.377670000000002</v>
      </c>
      <c r="D1090">
        <v>148.35400000000001</v>
      </c>
      <c r="E1090" s="10">
        <v>846.01300000000003</v>
      </c>
      <c r="F1090" s="10" t="s">
        <v>2786</v>
      </c>
      <c r="G1090" s="10" t="s">
        <v>2787</v>
      </c>
      <c r="H1090" s="10">
        <v>846.01321451907995</v>
      </c>
      <c r="I1090" s="10">
        <v>87.596339727492193</v>
      </c>
      <c r="J1090" s="10">
        <v>87.590115954815801</v>
      </c>
      <c r="K1090" s="4">
        <f t="shared" si="242"/>
        <v>87.596338888888894</v>
      </c>
      <c r="L1090" s="4">
        <f t="shared" si="243"/>
        <v>87.590116666666688</v>
      </c>
      <c r="M1090" s="4">
        <f t="shared" si="244"/>
        <v>87.596339727492193</v>
      </c>
      <c r="N1090" s="4">
        <f t="shared" si="245"/>
        <v>87.590115954815815</v>
      </c>
      <c r="O1090" s="3">
        <f t="shared" si="235"/>
        <v>846.01321447761973</v>
      </c>
      <c r="P1090" s="2">
        <f t="shared" si="237"/>
        <v>2.5351574939491862E-7</v>
      </c>
      <c r="Q1090" s="2">
        <f t="shared" si="238"/>
        <v>4.9006593234585538E-11</v>
      </c>
      <c r="R1090" s="6">
        <f t="shared" si="239"/>
        <v>87.59633972739951</v>
      </c>
      <c r="S1090" s="2">
        <f t="shared" si="240"/>
        <v>9.5724390567505447E-9</v>
      </c>
      <c r="T1090" s="2">
        <f t="shared" si="236"/>
        <v>1.0580715443234299E-12</v>
      </c>
      <c r="U1090" s="6">
        <f t="shared" si="241"/>
        <v>87.590115954720986</v>
      </c>
      <c r="V1090" s="2">
        <f t="shared" si="233"/>
        <v>8.1281510915351566E-9</v>
      </c>
      <c r="W1090" s="2">
        <f t="shared" si="234"/>
        <v>1.0826453702089105E-12</v>
      </c>
    </row>
    <row r="1091" spans="1:23" x14ac:dyDescent="0.4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10">
        <v>1774.135</v>
      </c>
      <c r="F1091" s="10" t="s">
        <v>2788</v>
      </c>
      <c r="G1091" s="10" t="s">
        <v>2789</v>
      </c>
      <c r="H1091" s="10">
        <v>1774.13524002295</v>
      </c>
      <c r="I1091" s="10">
        <v>119.25400280795</v>
      </c>
      <c r="J1091" s="10">
        <v>119.252758402344</v>
      </c>
      <c r="K1091" s="4">
        <f t="shared" si="242"/>
        <v>119.25400277777777</v>
      </c>
      <c r="L1091" s="4">
        <f t="shared" si="243"/>
        <v>119.25275833333336</v>
      </c>
      <c r="M1091" s="4">
        <f t="shared" si="244"/>
        <v>119.25400280794997</v>
      </c>
      <c r="N1091" s="4">
        <f t="shared" si="245"/>
        <v>119.252758402344</v>
      </c>
      <c r="O1091" s="3">
        <f t="shared" si="235"/>
        <v>1774.1352398507277</v>
      </c>
      <c r="P1091" s="2">
        <f t="shared" si="237"/>
        <v>1.3519305332831777E-7</v>
      </c>
      <c r="Q1091" s="2">
        <f t="shared" si="238"/>
        <v>9.7073981503712601E-11</v>
      </c>
      <c r="R1091" s="6">
        <f t="shared" si="239"/>
        <v>119.25400281091112</v>
      </c>
      <c r="S1091" s="2">
        <f t="shared" si="240"/>
        <v>2.7783844534493772E-10</v>
      </c>
      <c r="T1091" s="2">
        <f t="shared" si="236"/>
        <v>2.4830564584777776E-11</v>
      </c>
      <c r="U1091" s="6">
        <f t="shared" si="241"/>
        <v>119.25275840530624</v>
      </c>
      <c r="V1091" s="2">
        <f t="shared" si="233"/>
        <v>6.0353218190960401E-10</v>
      </c>
      <c r="W1091" s="2">
        <f t="shared" si="234"/>
        <v>2.4839999461772764E-11</v>
      </c>
    </row>
    <row r="1092" spans="1:23" x14ac:dyDescent="0.45">
      <c r="A1092">
        <v>22.790019999999998</v>
      </c>
      <c r="B1092">
        <v>-124.90221</v>
      </c>
      <c r="C1092">
        <v>22.799029999999998</v>
      </c>
      <c r="D1092">
        <v>-124.90714</v>
      </c>
      <c r="E1092" s="10">
        <v>1118.837</v>
      </c>
      <c r="F1092" s="10" t="s">
        <v>2790</v>
      </c>
      <c r="G1092" s="10" t="s">
        <v>2791</v>
      </c>
      <c r="H1092" s="10">
        <v>1118.83721855204</v>
      </c>
      <c r="I1092" s="10">
        <v>-26.898878612968801</v>
      </c>
      <c r="J1092" s="10">
        <v>-26.900788630523099</v>
      </c>
      <c r="K1092" s="4">
        <f t="shared" si="242"/>
        <v>333.10112222222222</v>
      </c>
      <c r="L1092" s="4">
        <f t="shared" si="243"/>
        <v>333.09921111111112</v>
      </c>
      <c r="M1092" s="4">
        <f t="shared" si="244"/>
        <v>333.10112138703118</v>
      </c>
      <c r="N1092" s="4">
        <f t="shared" si="245"/>
        <v>333.0992113694769</v>
      </c>
      <c r="O1092" s="3">
        <f t="shared" si="235"/>
        <v>1118.8372182492735</v>
      </c>
      <c r="P1092" s="2">
        <f t="shared" si="237"/>
        <v>1.9506797999180503E-7</v>
      </c>
      <c r="Q1092" s="2">
        <f t="shared" si="238"/>
        <v>2.7060814665443843E-10</v>
      </c>
      <c r="R1092" s="6">
        <f t="shared" si="239"/>
        <v>333.10112138861473</v>
      </c>
      <c r="S1092" s="2">
        <f t="shared" si="240"/>
        <v>2.5025658318929617E-9</v>
      </c>
      <c r="T1092" s="2">
        <f t="shared" si="236"/>
        <v>4.7539436553996621E-12</v>
      </c>
      <c r="U1092" s="6">
        <f t="shared" si="241"/>
        <v>333.0992113710617</v>
      </c>
      <c r="V1092" s="2">
        <f t="shared" si="233"/>
        <v>7.8039987270408501E-10</v>
      </c>
      <c r="W1092" s="2">
        <f t="shared" si="234"/>
        <v>4.757725217432166E-12</v>
      </c>
    </row>
    <row r="1093" spans="1:23" x14ac:dyDescent="0.45">
      <c r="A1093">
        <v>83.619240000000005</v>
      </c>
      <c r="B1093">
        <v>133.93875</v>
      </c>
      <c r="C1093">
        <v>83.610709999999997</v>
      </c>
      <c r="D1093">
        <v>133.94125</v>
      </c>
      <c r="E1093" s="10">
        <v>953.13599999999997</v>
      </c>
      <c r="F1093" s="10" t="s">
        <v>2792</v>
      </c>
      <c r="G1093" s="10" t="s">
        <v>2793</v>
      </c>
      <c r="H1093" s="10">
        <v>953.13649792774299</v>
      </c>
      <c r="I1093" s="10">
        <v>178.131790256611</v>
      </c>
      <c r="J1093" s="10">
        <v>178.134274749166</v>
      </c>
      <c r="K1093" s="4">
        <f t="shared" si="242"/>
        <v>178.13178888888888</v>
      </c>
      <c r="L1093" s="4">
        <f t="shared" si="243"/>
        <v>178.134275</v>
      </c>
      <c r="M1093" s="4">
        <f t="shared" si="244"/>
        <v>178.131790256611</v>
      </c>
      <c r="N1093" s="4">
        <f t="shared" si="245"/>
        <v>178.13427474916602</v>
      </c>
      <c r="O1093" s="3">
        <f t="shared" si="235"/>
        <v>953.13649756316045</v>
      </c>
      <c r="P1093" s="2">
        <f t="shared" si="237"/>
        <v>5.2202745513686475E-7</v>
      </c>
      <c r="Q1093" s="2">
        <f t="shared" si="238"/>
        <v>3.8250822212325438E-10</v>
      </c>
      <c r="R1093" s="6">
        <f t="shared" si="239"/>
        <v>178.13179025982888</v>
      </c>
      <c r="S1093" s="2">
        <f t="shared" si="240"/>
        <v>7.6962119255649776E-9</v>
      </c>
      <c r="T1093" s="2">
        <f t="shared" si="236"/>
        <v>1.8064588669800821E-11</v>
      </c>
      <c r="U1093" s="6">
        <f t="shared" si="241"/>
        <v>178.13427475237924</v>
      </c>
      <c r="V1093" s="2">
        <f t="shared" si="233"/>
        <v>1.3900792603162568E-9</v>
      </c>
      <c r="W1093" s="2">
        <f t="shared" si="234"/>
        <v>1.8038170162249296E-11</v>
      </c>
    </row>
    <row r="1094" spans="1:23" x14ac:dyDescent="0.45">
      <c r="A1094">
        <v>77.58775</v>
      </c>
      <c r="B1094">
        <v>100.61530999999999</v>
      </c>
      <c r="C1094">
        <v>77.602279999999993</v>
      </c>
      <c r="D1094">
        <v>100.62383</v>
      </c>
      <c r="E1094" s="10">
        <v>1634.9829999999999</v>
      </c>
      <c r="F1094" s="10" t="s">
        <v>2794</v>
      </c>
      <c r="G1094" s="10" t="s">
        <v>2795</v>
      </c>
      <c r="H1094" s="10">
        <v>1634.9834791406299</v>
      </c>
      <c r="I1094" s="10">
        <v>7.17748911169463</v>
      </c>
      <c r="J1094" s="10">
        <v>7.1858102003632096</v>
      </c>
      <c r="K1094" s="4">
        <f t="shared" si="242"/>
        <v>7.177488888888889</v>
      </c>
      <c r="L1094" s="4">
        <f t="shared" si="243"/>
        <v>7.1858111111110929</v>
      </c>
      <c r="M1094" s="4">
        <f t="shared" si="244"/>
        <v>7.1774891116946264</v>
      </c>
      <c r="N1094" s="4">
        <f t="shared" si="245"/>
        <v>7.1858102003632212</v>
      </c>
      <c r="O1094" s="3">
        <f t="shared" si="235"/>
        <v>1634.9834792645349</v>
      </c>
      <c r="P1094" s="2">
        <f t="shared" si="237"/>
        <v>2.9313120380336258E-7</v>
      </c>
      <c r="Q1094" s="2">
        <f t="shared" si="238"/>
        <v>7.5783646915601302E-11</v>
      </c>
      <c r="R1094" s="6">
        <f t="shared" si="239"/>
        <v>7.1774891116789776</v>
      </c>
      <c r="S1094" s="2">
        <f t="shared" si="240"/>
        <v>3.1040116125392067E-8</v>
      </c>
      <c r="T1094" s="2">
        <f t="shared" si="236"/>
        <v>2.180263227595726E-12</v>
      </c>
      <c r="U1094" s="6">
        <f t="shared" si="241"/>
        <v>7.1858102003480537</v>
      </c>
      <c r="V1094" s="2">
        <f t="shared" si="233"/>
        <v>1.2674463955777175E-7</v>
      </c>
      <c r="W1094" s="2">
        <f t="shared" si="234"/>
        <v>2.1107463807563927E-12</v>
      </c>
    </row>
    <row r="1095" spans="1:23" x14ac:dyDescent="0.45">
      <c r="A1095">
        <v>31.588640000000002</v>
      </c>
      <c r="B1095">
        <v>147.37581</v>
      </c>
      <c r="C1095">
        <v>31.588619999999999</v>
      </c>
      <c r="D1095">
        <v>147.36421000000001</v>
      </c>
      <c r="E1095" s="10">
        <v>1100.9880000000001</v>
      </c>
      <c r="F1095" s="10" t="s">
        <v>2796</v>
      </c>
      <c r="G1095" s="10" t="s">
        <v>2797</v>
      </c>
      <c r="H1095" s="10">
        <v>1100.9882910502199</v>
      </c>
      <c r="I1095" s="10">
        <v>-90.112366167920996</v>
      </c>
      <c r="J1095" s="10">
        <v>-90.118442443693198</v>
      </c>
      <c r="K1095" s="4">
        <f t="shared" si="242"/>
        <v>269.88763333333333</v>
      </c>
      <c r="L1095" s="4">
        <f t="shared" si="243"/>
        <v>269.88155833333332</v>
      </c>
      <c r="M1095" s="4">
        <f t="shared" si="244"/>
        <v>269.88763383207902</v>
      </c>
      <c r="N1095" s="4">
        <f t="shared" si="245"/>
        <v>269.8815575563068</v>
      </c>
      <c r="O1095" s="3">
        <f t="shared" si="235"/>
        <v>1100.9882909966047</v>
      </c>
      <c r="P1095" s="2">
        <f t="shared" si="237"/>
        <v>2.6430497397792536E-7</v>
      </c>
      <c r="Q1095" s="2">
        <f t="shared" si="238"/>
        <v>4.8697309365317701E-11</v>
      </c>
      <c r="R1095" s="6">
        <f t="shared" si="239"/>
        <v>269.8876338321806</v>
      </c>
      <c r="S1095" s="2">
        <f t="shared" si="240"/>
        <v>1.8483517191409278E-9</v>
      </c>
      <c r="T1095" s="2">
        <f t="shared" si="236"/>
        <v>3.7637585710008978E-13</v>
      </c>
      <c r="U1095" s="6">
        <f t="shared" si="241"/>
        <v>269.88155755640582</v>
      </c>
      <c r="V1095" s="2">
        <f t="shared" si="233"/>
        <v>2.8787720724784046E-9</v>
      </c>
      <c r="W1095" s="2">
        <f t="shared" si="234"/>
        <v>3.6690627011394895E-13</v>
      </c>
    </row>
    <row r="1096" spans="1:23" x14ac:dyDescent="0.45">
      <c r="A1096">
        <v>-19.62322</v>
      </c>
      <c r="B1096">
        <v>-178.74319</v>
      </c>
      <c r="C1096">
        <v>-19.611070000000002</v>
      </c>
      <c r="D1096">
        <v>-178.73658</v>
      </c>
      <c r="E1096" s="10">
        <v>1513.2059999999999</v>
      </c>
      <c r="F1096" s="10" t="s">
        <v>2798</v>
      </c>
      <c r="G1096" s="10" t="s">
        <v>2799</v>
      </c>
      <c r="H1096" s="10">
        <v>1513.2056886968301</v>
      </c>
      <c r="I1096" s="10">
        <v>27.273122112384701</v>
      </c>
      <c r="J1096" s="10">
        <v>27.270902914246399</v>
      </c>
      <c r="K1096" s="4">
        <f t="shared" si="242"/>
        <v>27.273122222222224</v>
      </c>
      <c r="L1096" s="4">
        <f t="shared" si="243"/>
        <v>27.270902777777792</v>
      </c>
      <c r="M1096" s="4">
        <f t="shared" si="244"/>
        <v>27.273122112384726</v>
      </c>
      <c r="N1096" s="4">
        <f t="shared" si="245"/>
        <v>27.270902914246392</v>
      </c>
      <c r="O1096" s="3">
        <f t="shared" si="235"/>
        <v>1513.2056884292956</v>
      </c>
      <c r="P1096" s="2">
        <f t="shared" si="237"/>
        <v>2.0590105002094367E-7</v>
      </c>
      <c r="Q1096" s="2">
        <f t="shared" si="238"/>
        <v>1.7679979817779753E-10</v>
      </c>
      <c r="R1096" s="6">
        <f t="shared" si="239"/>
        <v>27.27312211061383</v>
      </c>
      <c r="S1096" s="2">
        <f t="shared" si="240"/>
        <v>4.092248504909662E-9</v>
      </c>
      <c r="T1096" s="2">
        <f t="shared" si="236"/>
        <v>6.4931924961820557E-11</v>
      </c>
      <c r="U1096" s="6">
        <f t="shared" si="241"/>
        <v>27.270902912478874</v>
      </c>
      <c r="V1096" s="2">
        <f t="shared" si="233"/>
        <v>4.9393701186183625E-9</v>
      </c>
      <c r="W1096" s="2">
        <f t="shared" si="234"/>
        <v>6.4813317451401251E-11</v>
      </c>
    </row>
    <row r="1097" spans="1:23" x14ac:dyDescent="0.45">
      <c r="A1097">
        <v>70.463920000000002</v>
      </c>
      <c r="B1097">
        <v>-123.86275000000001</v>
      </c>
      <c r="C1097">
        <v>70.465059999999994</v>
      </c>
      <c r="D1097">
        <v>-123.85974</v>
      </c>
      <c r="E1097" s="10">
        <v>169.72300000000001</v>
      </c>
      <c r="F1097" s="10" t="s">
        <v>2800</v>
      </c>
      <c r="G1097" s="10" t="s">
        <v>2801</v>
      </c>
      <c r="H1097" s="10">
        <v>169.722661053107</v>
      </c>
      <c r="I1097" s="10">
        <v>41.461590602352103</v>
      </c>
      <c r="J1097" s="10">
        <v>41.464427329979898</v>
      </c>
      <c r="K1097" s="4">
        <f t="shared" si="242"/>
        <v>41.461591666666664</v>
      </c>
      <c r="L1097" s="4">
        <f t="shared" si="243"/>
        <v>41.464427777777814</v>
      </c>
      <c r="M1097" s="4">
        <f t="shared" si="244"/>
        <v>41.461590602352089</v>
      </c>
      <c r="N1097" s="4">
        <f t="shared" si="245"/>
        <v>41.464427329979912</v>
      </c>
      <c r="O1097" s="3">
        <f t="shared" si="235"/>
        <v>169.72266252086632</v>
      </c>
      <c r="P1097" s="2">
        <f t="shared" si="237"/>
        <v>1.9884113154432608E-6</v>
      </c>
      <c r="Q1097" s="2">
        <f t="shared" si="238"/>
        <v>8.6479867179931088E-9</v>
      </c>
      <c r="R1097" s="6">
        <f t="shared" si="239"/>
        <v>41.461590600913098</v>
      </c>
      <c r="S1097" s="2">
        <f t="shared" si="240"/>
        <v>2.570459846228922E-8</v>
      </c>
      <c r="T1097" s="2">
        <f t="shared" si="236"/>
        <v>3.4706607430051706E-11</v>
      </c>
      <c r="U1097" s="6">
        <f t="shared" si="241"/>
        <v>41.464427328499958</v>
      </c>
      <c r="V1097" s="2">
        <f t="shared" si="233"/>
        <v>1.0835260002024633E-8</v>
      </c>
      <c r="W1097" s="2">
        <f t="shared" si="234"/>
        <v>3.5692134981154738E-11</v>
      </c>
    </row>
    <row r="1098" spans="1:23" x14ac:dyDescent="0.45">
      <c r="A1098">
        <v>12.90451</v>
      </c>
      <c r="B1098">
        <v>66.452550000000002</v>
      </c>
      <c r="C1098">
        <v>12.896240000000001</v>
      </c>
      <c r="D1098">
        <v>66.468689999999995</v>
      </c>
      <c r="E1098" s="10">
        <v>1976.182</v>
      </c>
      <c r="F1098" s="10" t="s">
        <v>2802</v>
      </c>
      <c r="G1098" s="10" t="s">
        <v>2803</v>
      </c>
      <c r="H1098" s="10">
        <v>1976.18239207274</v>
      </c>
      <c r="I1098" s="10">
        <v>117.576923989326</v>
      </c>
      <c r="J1098" s="10">
        <v>117.5805273492</v>
      </c>
      <c r="K1098" s="4">
        <f t="shared" si="242"/>
        <v>117.576925</v>
      </c>
      <c r="L1098" s="4">
        <f t="shared" si="243"/>
        <v>117.58052777777777</v>
      </c>
      <c r="M1098" s="4">
        <f t="shared" si="244"/>
        <v>117.57692398932602</v>
      </c>
      <c r="N1098" s="4">
        <f t="shared" si="245"/>
        <v>117.5805273492</v>
      </c>
      <c r="O1098" s="3">
        <f t="shared" si="235"/>
        <v>1976.1823918834377</v>
      </c>
      <c r="P1098" s="2">
        <f t="shared" si="237"/>
        <v>1.9830331301194353E-7</v>
      </c>
      <c r="Q1098" s="2">
        <f t="shared" si="238"/>
        <v>9.579188033775851E-11</v>
      </c>
      <c r="R1098" s="6">
        <f t="shared" si="239"/>
        <v>117.57692399178784</v>
      </c>
      <c r="S1098" s="2">
        <f t="shared" si="240"/>
        <v>8.574915241218152E-9</v>
      </c>
      <c r="T1098" s="2">
        <f t="shared" si="236"/>
        <v>2.0937930106178915E-11</v>
      </c>
      <c r="U1098" s="6">
        <f t="shared" si="241"/>
        <v>117.58052735165903</v>
      </c>
      <c r="V1098" s="2">
        <f t="shared" si="233"/>
        <v>3.6240587933710238E-9</v>
      </c>
      <c r="W1098" s="2">
        <f t="shared" si="234"/>
        <v>2.0913599764362431E-11</v>
      </c>
    </row>
    <row r="1099" spans="1:23" x14ac:dyDescent="0.45">
      <c r="A1099">
        <v>-28.81316</v>
      </c>
      <c r="B1099">
        <v>9.3418799999999997</v>
      </c>
      <c r="C1099">
        <v>-28.814530000000001</v>
      </c>
      <c r="D1099">
        <v>9.3367699999999996</v>
      </c>
      <c r="E1099" s="10">
        <v>521.40099999999995</v>
      </c>
      <c r="F1099" s="10" t="s">
        <v>2804</v>
      </c>
      <c r="G1099" s="10" t="s">
        <v>2805</v>
      </c>
      <c r="H1099" s="10">
        <v>521.40135862040495</v>
      </c>
      <c r="I1099" s="10">
        <v>-106.93204528971</v>
      </c>
      <c r="J1099" s="10">
        <v>-106.929582446456</v>
      </c>
      <c r="K1099" s="4">
        <f t="shared" si="242"/>
        <v>253.06795555555556</v>
      </c>
      <c r="L1099" s="4">
        <f t="shared" si="243"/>
        <v>253.07041666666669</v>
      </c>
      <c r="M1099" s="4">
        <f t="shared" si="244"/>
        <v>253.06795471029</v>
      </c>
      <c r="N1099" s="4">
        <f t="shared" si="245"/>
        <v>253.07041755354402</v>
      </c>
      <c r="O1099" s="3">
        <f t="shared" si="235"/>
        <v>521.40135860733926</v>
      </c>
      <c r="P1099" s="2">
        <f t="shared" si="237"/>
        <v>6.8777647014109471E-7</v>
      </c>
      <c r="Q1099" s="2">
        <f t="shared" si="238"/>
        <v>2.5058790091002347E-11</v>
      </c>
      <c r="R1099" s="6">
        <f t="shared" si="239"/>
        <v>253.06795470959008</v>
      </c>
      <c r="S1099" s="2">
        <f t="shared" si="240"/>
        <v>3.3428391667187447E-9</v>
      </c>
      <c r="T1099" s="2">
        <f t="shared" si="236"/>
        <v>2.7657117521433459E-12</v>
      </c>
      <c r="U1099" s="6">
        <f t="shared" si="241"/>
        <v>253.07041755282</v>
      </c>
      <c r="V1099" s="2">
        <f t="shared" si="233"/>
        <v>3.5016076858441839E-9</v>
      </c>
      <c r="W1099" s="2">
        <f t="shared" si="234"/>
        <v>2.8609216084172558E-12</v>
      </c>
    </row>
    <row r="1100" spans="1:23" x14ac:dyDescent="0.45">
      <c r="A1100">
        <v>12.26254</v>
      </c>
      <c r="B1100">
        <v>-95.605490000000003</v>
      </c>
      <c r="C1100">
        <v>12.264290000000001</v>
      </c>
      <c r="D1100">
        <v>-95.618639999999999</v>
      </c>
      <c r="E1100" s="10">
        <v>1443.703</v>
      </c>
      <c r="F1100" s="10" t="s">
        <v>2806</v>
      </c>
      <c r="G1100" s="10" t="s">
        <v>2807</v>
      </c>
      <c r="H1100" s="10">
        <v>1443.70307315641</v>
      </c>
      <c r="I1100" s="10">
        <v>-82.292339392193796</v>
      </c>
      <c r="J1100" s="10">
        <v>-82.295132537302806</v>
      </c>
      <c r="K1100" s="4">
        <f t="shared" si="242"/>
        <v>277.70766111111112</v>
      </c>
      <c r="L1100" s="4">
        <f t="shared" si="243"/>
        <v>277.70486666666665</v>
      </c>
      <c r="M1100" s="4">
        <f t="shared" si="244"/>
        <v>277.70766060780619</v>
      </c>
      <c r="N1100" s="4">
        <f t="shared" si="245"/>
        <v>277.70486746269717</v>
      </c>
      <c r="O1100" s="3">
        <f t="shared" si="235"/>
        <v>1443.7030729979451</v>
      </c>
      <c r="P1100" s="2">
        <f t="shared" si="237"/>
        <v>5.0562993325825724E-8</v>
      </c>
      <c r="Q1100" s="2">
        <f t="shared" si="238"/>
        <v>1.0976280567322472E-10</v>
      </c>
      <c r="R1100" s="6">
        <f t="shared" si="239"/>
        <v>277.70766060860149</v>
      </c>
      <c r="S1100" s="2">
        <f t="shared" si="240"/>
        <v>1.8094914402785288E-9</v>
      </c>
      <c r="T1100" s="2">
        <f t="shared" si="236"/>
        <v>2.8637894667397219E-12</v>
      </c>
      <c r="U1100" s="6">
        <f t="shared" si="241"/>
        <v>277.70486746349746</v>
      </c>
      <c r="V1100" s="2">
        <f t="shared" si="233"/>
        <v>2.8693440910186834E-9</v>
      </c>
      <c r="W1100" s="2">
        <f t="shared" si="234"/>
        <v>2.8818309936494596E-12</v>
      </c>
    </row>
    <row r="1101" spans="1:23" x14ac:dyDescent="0.4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10">
        <v>1907.04</v>
      </c>
      <c r="F1101" s="10" t="s">
        <v>2808</v>
      </c>
      <c r="G1101" s="10" t="s">
        <v>2809</v>
      </c>
      <c r="H1101" s="10">
        <v>1907.0400851981601</v>
      </c>
      <c r="I1101" s="10">
        <v>154.464597875935</v>
      </c>
      <c r="J1101" s="10">
        <v>154.45864235015901</v>
      </c>
      <c r="K1101" s="4">
        <f t="shared" si="242"/>
        <v>154.46459722222221</v>
      </c>
      <c r="L1101" s="4">
        <f t="shared" si="243"/>
        <v>154.45864166666661</v>
      </c>
      <c r="M1101" s="4">
        <f t="shared" si="244"/>
        <v>154.46459787593494</v>
      </c>
      <c r="N1101" s="4">
        <f t="shared" si="245"/>
        <v>154.45864235015904</v>
      </c>
      <c r="O1101" s="3">
        <f t="shared" si="235"/>
        <v>1907.0400851805034</v>
      </c>
      <c r="P1101" s="2">
        <f t="shared" si="237"/>
        <v>4.4666343363112918E-8</v>
      </c>
      <c r="Q1101" s="2">
        <f t="shared" si="238"/>
        <v>9.2586951389170627E-12</v>
      </c>
      <c r="R1101" s="6">
        <f t="shared" si="239"/>
        <v>154.46459787624082</v>
      </c>
      <c r="S1101" s="2">
        <f t="shared" si="240"/>
        <v>4.2341003579099888E-9</v>
      </c>
      <c r="T1101" s="2">
        <f t="shared" si="236"/>
        <v>1.980223566410243E-12</v>
      </c>
      <c r="U1101" s="6">
        <f t="shared" si="241"/>
        <v>154.45864235046184</v>
      </c>
      <c r="V1101" s="2">
        <f t="shared" ref="V1101:V1164" si="246">ABS((L1101-U1101)/L1101)</f>
        <v>4.427044211751423E-9</v>
      </c>
      <c r="W1101" s="2">
        <f t="shared" ref="W1101:W1164" si="247">ABS((N1101-U1101)/N1101)</f>
        <v>1.9604269962768615E-12</v>
      </c>
    </row>
    <row r="1102" spans="1:23" x14ac:dyDescent="0.45">
      <c r="A1102">
        <v>57.40457</v>
      </c>
      <c r="B1102">
        <v>-143.43868000000001</v>
      </c>
      <c r="C1102">
        <v>57.402410000000003</v>
      </c>
      <c r="D1102">
        <v>-143.44842</v>
      </c>
      <c r="E1102" s="10">
        <v>632.99</v>
      </c>
      <c r="F1102" s="10" t="s">
        <v>2810</v>
      </c>
      <c r="G1102" s="10" t="s">
        <v>2811</v>
      </c>
      <c r="H1102" s="10">
        <v>632.98991593795301</v>
      </c>
      <c r="I1102" s="10">
        <v>-112.33121650457601</v>
      </c>
      <c r="J1102" s="10">
        <v>-112.33942231055801</v>
      </c>
      <c r="K1102" s="4">
        <f t="shared" si="242"/>
        <v>247.66878333333332</v>
      </c>
      <c r="L1102" s="4">
        <f t="shared" si="243"/>
        <v>247.66057777777777</v>
      </c>
      <c r="M1102" s="4">
        <f t="shared" si="244"/>
        <v>247.66878349542401</v>
      </c>
      <c r="N1102" s="4">
        <f t="shared" si="245"/>
        <v>247.66057768944199</v>
      </c>
      <c r="O1102" s="3">
        <f t="shared" si="235"/>
        <v>632.98991554192867</v>
      </c>
      <c r="P1102" s="2">
        <f t="shared" si="237"/>
        <v>1.3342718106437989E-7</v>
      </c>
      <c r="Q1102" s="2">
        <f t="shared" si="238"/>
        <v>6.2564084761252936E-10</v>
      </c>
      <c r="R1102" s="6">
        <f t="shared" si="239"/>
        <v>247.66878347678039</v>
      </c>
      <c r="S1102" s="2">
        <f t="shared" si="240"/>
        <v>5.7918913165807371E-10</v>
      </c>
      <c r="T1102" s="2">
        <f t="shared" si="236"/>
        <v>7.5276415306291516E-11</v>
      </c>
      <c r="U1102" s="6">
        <f t="shared" si="241"/>
        <v>247.66057767078684</v>
      </c>
      <c r="V1102" s="2">
        <f t="shared" si="246"/>
        <v>4.3200633599102369E-10</v>
      </c>
      <c r="W1102" s="2">
        <f t="shared" si="247"/>
        <v>7.5325502318044407E-11</v>
      </c>
    </row>
    <row r="1103" spans="1:23" x14ac:dyDescent="0.4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10">
        <v>1321.771</v>
      </c>
      <c r="F1103" s="10" t="s">
        <v>2812</v>
      </c>
      <c r="G1103" s="10" t="s">
        <v>2813</v>
      </c>
      <c r="H1103" s="10">
        <v>1321.77091609289</v>
      </c>
      <c r="I1103" s="10">
        <v>-38.345015243030602</v>
      </c>
      <c r="J1103" s="10">
        <v>-38.343222072241502</v>
      </c>
      <c r="K1103" s="4">
        <f t="shared" si="242"/>
        <v>321.6549861111111</v>
      </c>
      <c r="L1103" s="4">
        <f t="shared" si="243"/>
        <v>321.65677777777779</v>
      </c>
      <c r="M1103" s="4">
        <f t="shared" si="244"/>
        <v>321.65498475696938</v>
      </c>
      <c r="N1103" s="4">
        <f t="shared" si="245"/>
        <v>321.65677792775853</v>
      </c>
      <c r="O1103" s="3">
        <f t="shared" si="235"/>
        <v>1321.7709160847967</v>
      </c>
      <c r="P1103" s="2">
        <f t="shared" si="237"/>
        <v>6.3486945376146292E-8</v>
      </c>
      <c r="Q1103" s="2">
        <f t="shared" si="238"/>
        <v>6.1231230607839064E-12</v>
      </c>
      <c r="R1103" s="6">
        <f t="shared" si="239"/>
        <v>321.65498475985163</v>
      </c>
      <c r="S1103" s="2">
        <f t="shared" si="240"/>
        <v>4.2009591919466201E-9</v>
      </c>
      <c r="T1103" s="2">
        <f t="shared" si="236"/>
        <v>8.9606742936534572E-12</v>
      </c>
      <c r="U1103" s="6">
        <f t="shared" si="241"/>
        <v>321.65677793064282</v>
      </c>
      <c r="V1103" s="2">
        <f t="shared" si="246"/>
        <v>4.7524267437840285E-10</v>
      </c>
      <c r="W1103" s="2">
        <f t="shared" si="247"/>
        <v>8.9669862858106724E-12</v>
      </c>
    </row>
    <row r="1104" spans="1:23" x14ac:dyDescent="0.4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10">
        <v>1604.278</v>
      </c>
      <c r="F1104" s="10" t="s">
        <v>2814</v>
      </c>
      <c r="G1104" s="10" t="s">
        <v>2815</v>
      </c>
      <c r="H1104" s="10">
        <v>1604.2781019315901</v>
      </c>
      <c r="I1104" s="10">
        <v>-69.230482289597603</v>
      </c>
      <c r="J1104" s="10">
        <v>-69.225863079984194</v>
      </c>
      <c r="K1104" s="4">
        <f t="shared" si="242"/>
        <v>290.76951666666668</v>
      </c>
      <c r="L1104" s="4">
        <f t="shared" si="243"/>
        <v>290.77413611111109</v>
      </c>
      <c r="M1104" s="4">
        <f t="shared" si="244"/>
        <v>290.7695177104024</v>
      </c>
      <c r="N1104" s="4">
        <f t="shared" si="245"/>
        <v>290.77413692001579</v>
      </c>
      <c r="O1104" s="3">
        <f t="shared" si="235"/>
        <v>1604.2781018214359</v>
      </c>
      <c r="P1104" s="2">
        <f t="shared" si="237"/>
        <v>6.3468698018168659E-8</v>
      </c>
      <c r="Q1104" s="2">
        <f t="shared" si="238"/>
        <v>6.8662741698977412E-11</v>
      </c>
      <c r="R1104" s="6">
        <f t="shared" si="239"/>
        <v>290.76951771186373</v>
      </c>
      <c r="S1104" s="2">
        <f t="shared" si="240"/>
        <v>3.5945895032076231E-9</v>
      </c>
      <c r="T1104" s="2">
        <f t="shared" si="236"/>
        <v>5.0257352406832867E-12</v>
      </c>
      <c r="U1104" s="6">
        <f t="shared" si="241"/>
        <v>290.77413692148042</v>
      </c>
      <c r="V1104" s="2">
        <f t="shared" si="246"/>
        <v>2.7869374484682091E-9</v>
      </c>
      <c r="W1104" s="2">
        <f t="shared" si="247"/>
        <v>5.0369938189188372E-12</v>
      </c>
    </row>
    <row r="1105" spans="1:23" x14ac:dyDescent="0.4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10">
        <v>568.47900000000004</v>
      </c>
      <c r="F1105" s="10" t="s">
        <v>2816</v>
      </c>
      <c r="G1105" s="10" t="s">
        <v>2817</v>
      </c>
      <c r="H1105" s="10">
        <v>568.47854676916199</v>
      </c>
      <c r="I1105" s="10">
        <v>11.380994722176499</v>
      </c>
      <c r="J1105" s="10">
        <v>11.3692876828917</v>
      </c>
      <c r="K1105" s="4">
        <f t="shared" si="242"/>
        <v>11.380994444444445</v>
      </c>
      <c r="L1105" s="4">
        <f t="shared" si="243"/>
        <v>11.369288888888889</v>
      </c>
      <c r="M1105" s="4">
        <f t="shared" si="244"/>
        <v>11.380994722176524</v>
      </c>
      <c r="N1105" s="4">
        <f t="shared" si="245"/>
        <v>11.369287682891695</v>
      </c>
      <c r="O1105" s="3">
        <f t="shared" si="235"/>
        <v>568.47854650642921</v>
      </c>
      <c r="P1105" s="2">
        <f t="shared" si="237"/>
        <v>7.9773143921004555E-7</v>
      </c>
      <c r="Q1105" s="2">
        <f t="shared" si="238"/>
        <v>4.6216833436947718E-10</v>
      </c>
      <c r="R1105" s="6">
        <f t="shared" si="239"/>
        <v>11.380994715421741</v>
      </c>
      <c r="S1105" s="2">
        <f t="shared" si="240"/>
        <v>2.3809632544501678E-8</v>
      </c>
      <c r="T1105" s="2">
        <f t="shared" si="236"/>
        <v>5.9351432490566965E-10</v>
      </c>
      <c r="U1105" s="6">
        <f t="shared" si="241"/>
        <v>11.36928767614509</v>
      </c>
      <c r="V1105" s="2">
        <f t="shared" si="246"/>
        <v>1.0666839505702961E-7</v>
      </c>
      <c r="W1105" s="2">
        <f t="shared" si="247"/>
        <v>5.9340613419002171E-10</v>
      </c>
    </row>
    <row r="1106" spans="1:23" x14ac:dyDescent="0.4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10">
        <v>1110.3510000000001</v>
      </c>
      <c r="F1106" s="10" t="s">
        <v>2818</v>
      </c>
      <c r="G1106" s="10" t="s">
        <v>2819</v>
      </c>
      <c r="H1106" s="10">
        <v>1110.3506533643899</v>
      </c>
      <c r="I1106" s="10">
        <v>-158.68790903663</v>
      </c>
      <c r="J1106" s="10">
        <v>-158.69138792623201</v>
      </c>
      <c r="K1106" s="4">
        <f t="shared" si="242"/>
        <v>201.31209166666667</v>
      </c>
      <c r="L1106" s="4">
        <f t="shared" si="243"/>
        <v>201.30861111111111</v>
      </c>
      <c r="M1106" s="4">
        <f t="shared" si="244"/>
        <v>201.31209096337</v>
      </c>
      <c r="N1106" s="4">
        <f t="shared" si="245"/>
        <v>201.30861207376799</v>
      </c>
      <c r="O1106" s="3">
        <f t="shared" si="235"/>
        <v>1110.3506519172206</v>
      </c>
      <c r="P1106" s="2">
        <f t="shared" si="237"/>
        <v>3.1348895935623095E-7</v>
      </c>
      <c r="Q1106" s="2">
        <f t="shared" si="238"/>
        <v>1.3033444168603299E-9</v>
      </c>
      <c r="R1106" s="6">
        <f t="shared" si="239"/>
        <v>201.3120908600159</v>
      </c>
      <c r="S1106" s="2">
        <f t="shared" si="240"/>
        <v>4.0069663374039955E-9</v>
      </c>
      <c r="T1106" s="2">
        <f t="shared" si="236"/>
        <v>5.1340233138450259E-10</v>
      </c>
      <c r="U1106" s="6">
        <f t="shared" si="241"/>
        <v>201.30861197043262</v>
      </c>
      <c r="V1106" s="2">
        <f t="shared" si="246"/>
        <v>4.2686773919503396E-9</v>
      </c>
      <c r="W1106" s="2">
        <f t="shared" si="247"/>
        <v>5.1331816292142606E-10</v>
      </c>
    </row>
    <row r="1107" spans="1:23" x14ac:dyDescent="0.4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10">
        <v>128.256</v>
      </c>
      <c r="F1107" s="10" t="s">
        <v>2820</v>
      </c>
      <c r="G1107" s="10" t="s">
        <v>2821</v>
      </c>
      <c r="H1107" s="10">
        <v>128.25595099816101</v>
      </c>
      <c r="I1107" s="10">
        <v>100.935329381567</v>
      </c>
      <c r="J1107" s="10">
        <v>100.93518771931799</v>
      </c>
      <c r="K1107" s="4">
        <f t="shared" si="242"/>
        <v>100.93533055555555</v>
      </c>
      <c r="L1107" s="4">
        <f t="shared" si="243"/>
        <v>100.93518888888889</v>
      </c>
      <c r="M1107" s="4">
        <f t="shared" si="244"/>
        <v>100.93532938156699</v>
      </c>
      <c r="N1107" s="4">
        <f t="shared" si="245"/>
        <v>100.93518771931798</v>
      </c>
      <c r="O1107" s="3">
        <f t="shared" si="235"/>
        <v>128.2559465518847</v>
      </c>
      <c r="P1107" s="2">
        <f t="shared" si="237"/>
        <v>4.1672994086355289E-7</v>
      </c>
      <c r="Q1107" s="2">
        <f t="shared" si="238"/>
        <v>3.466721249604141E-8</v>
      </c>
      <c r="R1107" s="6">
        <f t="shared" si="239"/>
        <v>100.93532976526535</v>
      </c>
      <c r="S1107" s="2">
        <f t="shared" si="240"/>
        <v>7.8296687287827767E-9</v>
      </c>
      <c r="T1107" s="2">
        <f t="shared" si="236"/>
        <v>3.801427766663433E-9</v>
      </c>
      <c r="U1107" s="6">
        <f t="shared" si="241"/>
        <v>100.93518810299973</v>
      </c>
      <c r="V1107" s="2">
        <f t="shared" si="246"/>
        <v>7.78607703685408E-9</v>
      </c>
      <c r="W1107" s="2">
        <f t="shared" si="247"/>
        <v>3.8012685162501881E-9</v>
      </c>
    </row>
    <row r="1108" spans="1:23" x14ac:dyDescent="0.45">
      <c r="A1108">
        <v>-51.1008</v>
      </c>
      <c r="B1108">
        <v>26.07132</v>
      </c>
      <c r="C1108">
        <v>-51.101260000000003</v>
      </c>
      <c r="D1108">
        <v>26.071660000000001</v>
      </c>
      <c r="E1108" s="10">
        <v>56.445</v>
      </c>
      <c r="F1108" s="10" t="s">
        <v>2822</v>
      </c>
      <c r="G1108" s="10" t="s">
        <v>2823</v>
      </c>
      <c r="H1108" s="10">
        <v>56.445203425066602</v>
      </c>
      <c r="I1108" s="10">
        <v>155.044289885219</v>
      </c>
      <c r="J1108" s="10">
        <v>155.04402527871</v>
      </c>
      <c r="K1108" s="4">
        <f t="shared" si="242"/>
        <v>155.0442888888889</v>
      </c>
      <c r="L1108" s="4">
        <f t="shared" si="243"/>
        <v>155.04402499999992</v>
      </c>
      <c r="M1108" s="4">
        <f t="shared" si="244"/>
        <v>155.04428988521897</v>
      </c>
      <c r="N1108" s="4">
        <f t="shared" si="245"/>
        <v>155.04402527871002</v>
      </c>
      <c r="O1108" s="3">
        <f t="shared" si="235"/>
        <v>56.44520342086426</v>
      </c>
      <c r="P1108" s="2">
        <f t="shared" si="237"/>
        <v>3.6038774782503336E-6</v>
      </c>
      <c r="Q1108" s="2">
        <f t="shared" si="238"/>
        <v>7.4449932515571037E-11</v>
      </c>
      <c r="R1108" s="6">
        <f t="shared" si="239"/>
        <v>155.04428993334301</v>
      </c>
      <c r="S1108" s="2">
        <f t="shared" si="240"/>
        <v>6.7364887572656222E-9</v>
      </c>
      <c r="T1108" s="2">
        <f t="shared" si="236"/>
        <v>3.1038896270942231E-10</v>
      </c>
      <c r="U1108" s="6">
        <f t="shared" si="241"/>
        <v>155.04402532689133</v>
      </c>
      <c r="V1108" s="2">
        <f t="shared" si="246"/>
        <v>2.108377990966111E-9</v>
      </c>
      <c r="W1108" s="2">
        <f t="shared" si="247"/>
        <v>3.1075886974285364E-10</v>
      </c>
    </row>
    <row r="1109" spans="1:23" x14ac:dyDescent="0.4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10">
        <v>208.232</v>
      </c>
      <c r="F1109" s="10" t="s">
        <v>2824</v>
      </c>
      <c r="G1109" s="10" t="s">
        <v>2825</v>
      </c>
      <c r="H1109" s="10">
        <v>208.231857193862</v>
      </c>
      <c r="I1109" s="10">
        <v>138.480647894448</v>
      </c>
      <c r="J1109" s="10">
        <v>138.480658390408</v>
      </c>
      <c r="K1109" s="4">
        <f t="shared" si="242"/>
        <v>138.48064722222222</v>
      </c>
      <c r="L1109" s="4">
        <f t="shared" si="243"/>
        <v>138.48065833333334</v>
      </c>
      <c r="M1109" s="4">
        <f t="shared" si="244"/>
        <v>138.480647894448</v>
      </c>
      <c r="N1109" s="4">
        <f t="shared" si="245"/>
        <v>138.480658390408</v>
      </c>
      <c r="O1109" s="3">
        <f t="shared" si="235"/>
        <v>208.23185376235003</v>
      </c>
      <c r="P1109" s="2">
        <f t="shared" si="237"/>
        <v>7.0228230997964339E-7</v>
      </c>
      <c r="Q1109" s="2">
        <f t="shared" si="238"/>
        <v>1.6479284278680387E-8</v>
      </c>
      <c r="R1109" s="6">
        <f t="shared" si="239"/>
        <v>138.48064896650521</v>
      </c>
      <c r="S1109" s="2">
        <f t="shared" si="240"/>
        <v>1.2595861097849854E-8</v>
      </c>
      <c r="T1109" s="2">
        <f t="shared" si="236"/>
        <v>7.7415670177306711E-9</v>
      </c>
      <c r="U1109" s="6">
        <f t="shared" si="241"/>
        <v>138.48065946246516</v>
      </c>
      <c r="V1109" s="2">
        <f t="shared" si="246"/>
        <v>8.1537149734011421E-9</v>
      </c>
      <c r="W1109" s="2">
        <f t="shared" si="247"/>
        <v>7.7415660204896242E-9</v>
      </c>
    </row>
    <row r="1110" spans="1:23" x14ac:dyDescent="0.4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10">
        <v>137.69</v>
      </c>
      <c r="F1110" s="10" t="s">
        <v>2826</v>
      </c>
      <c r="G1110" s="10" t="s">
        <v>2827</v>
      </c>
      <c r="H1110" s="10">
        <v>137.689630762787</v>
      </c>
      <c r="I1110" s="10">
        <v>-142.449257227092</v>
      </c>
      <c r="J1110" s="10">
        <v>-142.450496995404</v>
      </c>
      <c r="K1110" s="4">
        <f t="shared" si="242"/>
        <v>217.55074166666665</v>
      </c>
      <c r="L1110" s="4">
        <f t="shared" si="243"/>
        <v>217.54950277777778</v>
      </c>
      <c r="M1110" s="4">
        <f t="shared" si="244"/>
        <v>217.550742772908</v>
      </c>
      <c r="N1110" s="4">
        <f t="shared" si="245"/>
        <v>217.549503004596</v>
      </c>
      <c r="O1110" s="3">
        <f t="shared" si="235"/>
        <v>137.68963077046399</v>
      </c>
      <c r="P1110" s="2">
        <f t="shared" si="237"/>
        <v>2.681600232445186E-6</v>
      </c>
      <c r="Q1110" s="2">
        <f t="shared" si="238"/>
        <v>5.5755744944021337E-11</v>
      </c>
      <c r="R1110" s="6">
        <f t="shared" si="239"/>
        <v>217.55074275332669</v>
      </c>
      <c r="S1110" s="2">
        <f t="shared" si="240"/>
        <v>4.9949727889624045E-9</v>
      </c>
      <c r="T1110" s="2">
        <f t="shared" si="236"/>
        <v>9.0007999939460192E-11</v>
      </c>
      <c r="U1110" s="6">
        <f t="shared" si="241"/>
        <v>217.54950298504801</v>
      </c>
      <c r="V1110" s="2">
        <f t="shared" si="246"/>
        <v>9.5274974353158985E-10</v>
      </c>
      <c r="W1110" s="2">
        <f t="shared" si="247"/>
        <v>8.9855397180420188E-11</v>
      </c>
    </row>
    <row r="1111" spans="1:23" x14ac:dyDescent="0.45">
      <c r="A1111">
        <v>86.058539999999994</v>
      </c>
      <c r="B1111">
        <v>58.567529999999998</v>
      </c>
      <c r="C1111">
        <v>86.05762</v>
      </c>
      <c r="D1111">
        <v>58.56758</v>
      </c>
      <c r="E1111" s="10">
        <v>102.754</v>
      </c>
      <c r="F1111" s="10" t="s">
        <v>2828</v>
      </c>
      <c r="G1111" s="10" t="s">
        <v>2829</v>
      </c>
      <c r="H1111" s="10">
        <v>102.754269274306</v>
      </c>
      <c r="I1111" s="10">
        <v>179.785903423229</v>
      </c>
      <c r="J1111" s="10">
        <v>179.78595330494099</v>
      </c>
      <c r="K1111" s="4">
        <f t="shared" si="242"/>
        <v>179.78590277777778</v>
      </c>
      <c r="L1111" s="4">
        <f t="shared" si="243"/>
        <v>179.78595277777777</v>
      </c>
      <c r="M1111" s="4">
        <f t="shared" si="244"/>
        <v>179.785903423229</v>
      </c>
      <c r="N1111" s="4">
        <f t="shared" si="245"/>
        <v>179.78595330494102</v>
      </c>
      <c r="O1111" s="3">
        <f t="shared" si="235"/>
        <v>102.75426922274106</v>
      </c>
      <c r="P1111" s="2">
        <f t="shared" si="237"/>
        <v>2.6200706644359755E-6</v>
      </c>
      <c r="Q1111" s="2">
        <f t="shared" si="238"/>
        <v>5.0182770360362382E-10</v>
      </c>
      <c r="R1111" s="6">
        <f t="shared" si="239"/>
        <v>179.78590342336761</v>
      </c>
      <c r="S1111" s="2">
        <f t="shared" si="240"/>
        <v>3.5908812973540919E-9</v>
      </c>
      <c r="T1111" s="2">
        <f t="shared" si="236"/>
        <v>7.7098745926579174E-13</v>
      </c>
      <c r="U1111" s="6">
        <f t="shared" si="241"/>
        <v>179.78595330508008</v>
      </c>
      <c r="V1111" s="2">
        <f t="shared" si="246"/>
        <v>2.9329450437870108E-9</v>
      </c>
      <c r="W1111" s="2">
        <f t="shared" si="247"/>
        <v>7.7351662733678562E-13</v>
      </c>
    </row>
    <row r="1112" spans="1:23" x14ac:dyDescent="0.45">
      <c r="A1112">
        <v>-39.154330000000002</v>
      </c>
      <c r="B1112">
        <v>163.07717</v>
      </c>
      <c r="C1112">
        <v>-39.155110000000001</v>
      </c>
      <c r="D1112">
        <v>163.07597000000001</v>
      </c>
      <c r="E1112" s="10">
        <v>135.12</v>
      </c>
      <c r="F1112" s="10" t="s">
        <v>2830</v>
      </c>
      <c r="G1112" s="10" t="s">
        <v>2831</v>
      </c>
      <c r="H1112" s="10">
        <v>135.120109865431</v>
      </c>
      <c r="I1112" s="10">
        <v>-129.85707762568799</v>
      </c>
      <c r="J1112" s="10">
        <v>-129.856319925674</v>
      </c>
      <c r="K1112" s="4">
        <f t="shared" si="242"/>
        <v>230.14292222222221</v>
      </c>
      <c r="L1112" s="4">
        <f t="shared" si="243"/>
        <v>230.14368055555556</v>
      </c>
      <c r="M1112" s="4">
        <f t="shared" si="244"/>
        <v>230.14292237431201</v>
      </c>
      <c r="N1112" s="4">
        <f t="shared" si="245"/>
        <v>230.143680074326</v>
      </c>
      <c r="O1112" s="3">
        <f t="shared" si="235"/>
        <v>135.12010921630409</v>
      </c>
      <c r="P1112" s="2">
        <f t="shared" si="237"/>
        <v>8.0829117882132881E-7</v>
      </c>
      <c r="Q1112" s="2">
        <f t="shared" si="238"/>
        <v>4.8040733403616706E-9</v>
      </c>
      <c r="R1112" s="6">
        <f t="shared" si="239"/>
        <v>230.14292214177738</v>
      </c>
      <c r="S1112" s="2">
        <f t="shared" si="240"/>
        <v>3.4954294495247925E-10</v>
      </c>
      <c r="T1112" s="2">
        <f t="shared" si="236"/>
        <v>1.0103922777688119E-9</v>
      </c>
      <c r="U1112" s="6">
        <f t="shared" si="241"/>
        <v>230.14367984186919</v>
      </c>
      <c r="V1112" s="2">
        <f t="shared" si="246"/>
        <v>3.1010470244165077E-9</v>
      </c>
      <c r="W1112" s="2">
        <f t="shared" si="247"/>
        <v>1.0100508205772085E-9</v>
      </c>
    </row>
    <row r="1113" spans="1:23" x14ac:dyDescent="0.45">
      <c r="A1113">
        <v>-30.301030000000001</v>
      </c>
      <c r="B1113">
        <v>39.062289999999997</v>
      </c>
      <c r="C1113">
        <v>-30.302230000000002</v>
      </c>
      <c r="D1113">
        <v>39.06268</v>
      </c>
      <c r="E1113" s="10">
        <v>138.21799999999999</v>
      </c>
      <c r="F1113" s="10" t="s">
        <v>2832</v>
      </c>
      <c r="G1113" s="10" t="s">
        <v>2833</v>
      </c>
      <c r="H1113" s="10">
        <v>138.21768393786101</v>
      </c>
      <c r="I1113" s="10">
        <v>164.25119201966501</v>
      </c>
      <c r="J1113" s="10">
        <v>164.25099524431201</v>
      </c>
      <c r="K1113" s="4">
        <f t="shared" si="242"/>
        <v>164.25119166666667</v>
      </c>
      <c r="L1113" s="4">
        <f t="shared" si="243"/>
        <v>164.25099444444447</v>
      </c>
      <c r="M1113" s="4">
        <f t="shared" si="244"/>
        <v>164.25119201966504</v>
      </c>
      <c r="N1113" s="4">
        <f t="shared" si="245"/>
        <v>164.25099524431198</v>
      </c>
      <c r="O1113" s="3">
        <f t="shared" si="235"/>
        <v>138.21768371647678</v>
      </c>
      <c r="P1113" s="2">
        <f t="shared" si="237"/>
        <v>2.288294746014807E-6</v>
      </c>
      <c r="Q1113" s="2">
        <f t="shared" si="238"/>
        <v>1.6017069610712354E-9</v>
      </c>
      <c r="R1113" s="6">
        <f t="shared" si="239"/>
        <v>164.25119225428091</v>
      </c>
      <c r="S1113" s="2">
        <f t="shared" si="240"/>
        <v>3.577534093933312E-9</v>
      </c>
      <c r="T1113" s="2">
        <f t="shared" si="236"/>
        <v>1.4283967451421765E-9</v>
      </c>
      <c r="U1113" s="6">
        <f t="shared" si="241"/>
        <v>164.25099547896201</v>
      </c>
      <c r="V1113" s="2">
        <f t="shared" si="246"/>
        <v>6.2983943677173381E-9</v>
      </c>
      <c r="W1113" s="2">
        <f t="shared" si="247"/>
        <v>1.4286064483951639E-9</v>
      </c>
    </row>
    <row r="1114" spans="1:23" x14ac:dyDescent="0.4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10">
        <v>173.28399999999999</v>
      </c>
      <c r="F1114" s="10" t="s">
        <v>2834</v>
      </c>
      <c r="G1114" s="10" t="s">
        <v>2835</v>
      </c>
      <c r="H1114" s="10">
        <v>173.284122468417</v>
      </c>
      <c r="I1114" s="10">
        <v>-3.9715595378866402</v>
      </c>
      <c r="J1114" s="10">
        <v>-3.97181807525847</v>
      </c>
      <c r="K1114" s="4">
        <f t="shared" si="242"/>
        <v>356.02844166666665</v>
      </c>
      <c r="L1114" s="4">
        <f t="shared" si="243"/>
        <v>356.02818055555554</v>
      </c>
      <c r="M1114" s="4">
        <f t="shared" si="244"/>
        <v>356.02844046211334</v>
      </c>
      <c r="N1114" s="4">
        <f t="shared" si="245"/>
        <v>356.02818192474155</v>
      </c>
      <c r="O1114" s="3">
        <f t="shared" si="235"/>
        <v>173.28412252439441</v>
      </c>
      <c r="P1114" s="2">
        <f t="shared" si="237"/>
        <v>7.0707275001387071E-7</v>
      </c>
      <c r="Q1114" s="2">
        <f t="shared" si="238"/>
        <v>3.2303830597443298E-10</v>
      </c>
      <c r="R1114" s="6">
        <f t="shared" si="239"/>
        <v>356.02844046232877</v>
      </c>
      <c r="S1114" s="2">
        <f t="shared" si="240"/>
        <v>3.3827013139380011E-9</v>
      </c>
      <c r="T1114" s="2">
        <f t="shared" si="236"/>
        <v>6.0511052769501425E-13</v>
      </c>
      <c r="U1114" s="6">
        <f t="shared" si="241"/>
        <v>356.02818192495533</v>
      </c>
      <c r="V1114" s="2">
        <f t="shared" si="246"/>
        <v>3.8463241729244579E-9</v>
      </c>
      <c r="W1114" s="2">
        <f t="shared" si="247"/>
        <v>6.0048083042114398E-13</v>
      </c>
    </row>
    <row r="1115" spans="1:23" x14ac:dyDescent="0.45">
      <c r="A1115">
        <v>52.261780000000002</v>
      </c>
      <c r="B1115">
        <v>-128.93558999999999</v>
      </c>
      <c r="C1115">
        <v>52.260379999999998</v>
      </c>
      <c r="D1115">
        <v>-128.93509</v>
      </c>
      <c r="E1115" s="10">
        <v>159.47800000000001</v>
      </c>
      <c r="F1115" s="10" t="s">
        <v>2836</v>
      </c>
      <c r="G1115" s="10" t="s">
        <v>2837</v>
      </c>
      <c r="H1115" s="10">
        <v>159.47807211550199</v>
      </c>
      <c r="I1115" s="10">
        <v>167.63904654709799</v>
      </c>
      <c r="J1115" s="10">
        <v>167.63944195107399</v>
      </c>
      <c r="K1115" s="4">
        <f t="shared" si="242"/>
        <v>167.63904722222222</v>
      </c>
      <c r="L1115" s="4">
        <f t="shared" si="243"/>
        <v>167.6394416666667</v>
      </c>
      <c r="M1115" s="4">
        <f t="shared" si="244"/>
        <v>167.63904654709802</v>
      </c>
      <c r="N1115" s="4">
        <f t="shared" si="245"/>
        <v>167.63944195107399</v>
      </c>
      <c r="O1115" s="3">
        <f t="shared" si="235"/>
        <v>159.47807215166023</v>
      </c>
      <c r="P1115" s="2">
        <f t="shared" si="237"/>
        <v>4.5242390937802092E-7</v>
      </c>
      <c r="Q1115" s="2">
        <f t="shared" si="238"/>
        <v>2.2672860516974099E-10</v>
      </c>
      <c r="R1115" s="6">
        <f t="shared" si="239"/>
        <v>167.63904657099366</v>
      </c>
      <c r="S1115" s="2">
        <f t="shared" si="240"/>
        <v>3.8847068844994093E-9</v>
      </c>
      <c r="T1115" s="2">
        <f t="shared" si="236"/>
        <v>1.4254219384400404E-10</v>
      </c>
      <c r="U1115" s="6">
        <f t="shared" si="241"/>
        <v>167.63944197498739</v>
      </c>
      <c r="V1115" s="2">
        <f t="shared" si="246"/>
        <v>1.8391894553892986E-9</v>
      </c>
      <c r="W1115" s="2">
        <f t="shared" si="247"/>
        <v>1.4264782057741312E-10</v>
      </c>
    </row>
    <row r="1116" spans="1:23" x14ac:dyDescent="0.45">
      <c r="A1116">
        <v>-54.0852</v>
      </c>
      <c r="B1116">
        <v>-103.17334</v>
      </c>
      <c r="C1116">
        <v>-54.084859999999999</v>
      </c>
      <c r="D1116">
        <v>-103.17322</v>
      </c>
      <c r="E1116" s="10">
        <v>38.65</v>
      </c>
      <c r="F1116" s="10" t="s">
        <v>2838</v>
      </c>
      <c r="G1116" s="10" t="s">
        <v>2839</v>
      </c>
      <c r="H1116" s="10">
        <v>38.650444012601298</v>
      </c>
      <c r="I1116" s="10">
        <v>11.7231039176212</v>
      </c>
      <c r="J1116" s="10">
        <v>11.723006731012299</v>
      </c>
      <c r="K1116" s="4">
        <f t="shared" si="242"/>
        <v>11.723102777777777</v>
      </c>
      <c r="L1116" s="4">
        <f t="shared" si="243"/>
        <v>11.723005555555574</v>
      </c>
      <c r="M1116" s="4">
        <f t="shared" si="244"/>
        <v>11.723103917621188</v>
      </c>
      <c r="N1116" s="4">
        <f t="shared" si="245"/>
        <v>11.723006731012276</v>
      </c>
      <c r="O1116" s="3">
        <f t="shared" si="235"/>
        <v>38.650444025792353</v>
      </c>
      <c r="P1116" s="2">
        <f t="shared" si="237"/>
        <v>1.1488377551223996E-5</v>
      </c>
      <c r="Q1116" s="2">
        <f t="shared" si="238"/>
        <v>3.4129117261444568E-10</v>
      </c>
      <c r="R1116" s="6">
        <f t="shared" si="239"/>
        <v>11.723103901112127</v>
      </c>
      <c r="S1116" s="2">
        <f t="shared" si="240"/>
        <v>9.58222725909467E-8</v>
      </c>
      <c r="T1116" s="2">
        <f t="shared" si="236"/>
        <v>1.4082499738215257E-9</v>
      </c>
      <c r="U1116" s="6">
        <f t="shared" si="241"/>
        <v>11.723006714464589</v>
      </c>
      <c r="V1116" s="2">
        <f t="shared" si="246"/>
        <v>9.8857670030387007E-8</v>
      </c>
      <c r="W1116" s="2">
        <f t="shared" si="247"/>
        <v>1.4115566120758284E-9</v>
      </c>
    </row>
    <row r="1117" spans="1:23" x14ac:dyDescent="0.45">
      <c r="A1117">
        <v>11.798870000000001</v>
      </c>
      <c r="B1117">
        <v>-123.3344</v>
      </c>
      <c r="C1117">
        <v>11.7989</v>
      </c>
      <c r="D1117">
        <v>-123.33365000000001</v>
      </c>
      <c r="E1117" s="10">
        <v>81.804000000000002</v>
      </c>
      <c r="F1117" s="10" t="s">
        <v>2840</v>
      </c>
      <c r="G1117" s="10" t="s">
        <v>2841</v>
      </c>
      <c r="H1117" s="10">
        <v>81.804378752454397</v>
      </c>
      <c r="I1117" s="10">
        <v>87.674923105231599</v>
      </c>
      <c r="J1117" s="10">
        <v>87.675076462983597</v>
      </c>
      <c r="K1117" s="4">
        <f t="shared" si="242"/>
        <v>87.674922222222222</v>
      </c>
      <c r="L1117" s="4">
        <f t="shared" si="243"/>
        <v>87.675077777777801</v>
      </c>
      <c r="M1117" s="4">
        <f t="shared" si="244"/>
        <v>87.674923105231585</v>
      </c>
      <c r="N1117" s="4">
        <f t="shared" si="245"/>
        <v>87.675076462983611</v>
      </c>
      <c r="O1117" s="3">
        <f t="shared" si="235"/>
        <v>81.804376045492802</v>
      </c>
      <c r="P1117" s="2">
        <f t="shared" si="237"/>
        <v>4.5969083761173478E-6</v>
      </c>
      <c r="Q1117" s="2">
        <f t="shared" si="238"/>
        <v>3.3090668697745437E-8</v>
      </c>
      <c r="R1117" s="6">
        <f t="shared" si="239"/>
        <v>87.674923028726653</v>
      </c>
      <c r="S1117" s="2">
        <f t="shared" si="240"/>
        <v>9.1988040684505528E-9</v>
      </c>
      <c r="T1117" s="2">
        <f t="shared" si="236"/>
        <v>8.7259765343996028E-10</v>
      </c>
      <c r="U1117" s="6">
        <f t="shared" si="241"/>
        <v>87.675076386500365</v>
      </c>
      <c r="V1117" s="2">
        <f t="shared" si="246"/>
        <v>1.586856232845617E-8</v>
      </c>
      <c r="W1117" s="2">
        <f t="shared" si="247"/>
        <v>8.7234878472161749E-10</v>
      </c>
    </row>
    <row r="1118" spans="1:23" x14ac:dyDescent="0.45">
      <c r="A1118">
        <v>-65.879980000000003</v>
      </c>
      <c r="B1118">
        <v>12.37153</v>
      </c>
      <c r="C1118">
        <v>-65.879959999999997</v>
      </c>
      <c r="D1118">
        <v>12.37303</v>
      </c>
      <c r="E1118" s="10">
        <v>68.462999999999994</v>
      </c>
      <c r="F1118" s="10" t="s">
        <v>2842</v>
      </c>
      <c r="G1118" s="10" t="s">
        <v>2843</v>
      </c>
      <c r="H1118" s="10">
        <v>68.463378386214899</v>
      </c>
      <c r="I1118" s="10">
        <v>88.134011973008796</v>
      </c>
      <c r="J1118" s="10">
        <v>88.132642935948596</v>
      </c>
      <c r="K1118" s="4">
        <f t="shared" si="242"/>
        <v>88.134011111111107</v>
      </c>
      <c r="L1118" s="4">
        <f t="shared" si="243"/>
        <v>88.132641666666643</v>
      </c>
      <c r="M1118" s="4">
        <f t="shared" si="244"/>
        <v>88.134011973008796</v>
      </c>
      <c r="N1118" s="4">
        <f t="shared" si="245"/>
        <v>88.132642935948581</v>
      </c>
      <c r="O1118" s="3">
        <f t="shared" si="235"/>
        <v>68.46337835467105</v>
      </c>
      <c r="P1118" s="2">
        <f t="shared" si="237"/>
        <v>5.5264109235136256E-6</v>
      </c>
      <c r="Q1118" s="2">
        <f t="shared" si="238"/>
        <v>4.6074045958181867E-10</v>
      </c>
      <c r="R1118" s="6">
        <f t="shared" si="239"/>
        <v>88.134011973377412</v>
      </c>
      <c r="S1118" s="2">
        <f t="shared" si="240"/>
        <v>9.7835817717725021E-9</v>
      </c>
      <c r="T1118" s="2">
        <f t="shared" si="236"/>
        <v>4.1824416273085797E-12</v>
      </c>
      <c r="U1118" s="6">
        <f t="shared" si="241"/>
        <v>88.132642936536044</v>
      </c>
      <c r="V1118" s="2">
        <f t="shared" si="246"/>
        <v>1.4408616112369586E-8</v>
      </c>
      <c r="W1118" s="2">
        <f t="shared" si="247"/>
        <v>6.6656632945715791E-12</v>
      </c>
    </row>
    <row r="1119" spans="1:23" x14ac:dyDescent="0.45">
      <c r="A1119">
        <v>25.50694</v>
      </c>
      <c r="B1119">
        <v>-48.418329999999997</v>
      </c>
      <c r="C1119">
        <v>25.506409999999999</v>
      </c>
      <c r="D1119">
        <v>-48.417520000000003</v>
      </c>
      <c r="E1119" s="10">
        <v>100.39100000000001</v>
      </c>
      <c r="F1119" s="10" t="s">
        <v>2844</v>
      </c>
      <c r="G1119" s="10" t="s">
        <v>2845</v>
      </c>
      <c r="H1119" s="10">
        <v>100.390788341274</v>
      </c>
      <c r="I1119" s="10">
        <v>125.792293536804</v>
      </c>
      <c r="J1119" s="10">
        <v>125.792642335963</v>
      </c>
      <c r="K1119" s="4">
        <f t="shared" si="242"/>
        <v>125.79229444444445</v>
      </c>
      <c r="L1119" s="4">
        <f t="shared" si="243"/>
        <v>125.79264166666667</v>
      </c>
      <c r="M1119" s="4">
        <f t="shared" si="244"/>
        <v>125.79229353680398</v>
      </c>
      <c r="N1119" s="4">
        <f t="shared" si="245"/>
        <v>125.79264233596302</v>
      </c>
      <c r="O1119" s="3">
        <f t="shared" ref="O1119:O1182" si="248">VincentyInvDistance($A1119,$B1119,$C1119,$D1119)</f>
        <v>100.39078699170371</v>
      </c>
      <c r="P1119" s="2">
        <f t="shared" si="237"/>
        <v>2.1217867766953404E-6</v>
      </c>
      <c r="Q1119" s="2">
        <f t="shared" si="238"/>
        <v>1.3443168637200141E-8</v>
      </c>
      <c r="R1119" s="6">
        <f t="shared" si="239"/>
        <v>125.79229409154502</v>
      </c>
      <c r="S1119" s="2">
        <f t="shared" si="240"/>
        <v>2.8054137630456533E-9</v>
      </c>
      <c r="T1119" s="2">
        <f t="shared" ref="T1119:T1182" si="249">ABS((M1119-R1119)/M1119)</f>
        <v>4.4099763167753057E-9</v>
      </c>
      <c r="U1119" s="6">
        <f t="shared" si="241"/>
        <v>125.79264289060247</v>
      </c>
      <c r="V1119" s="2">
        <f t="shared" si="246"/>
        <v>9.7297884911256628E-9</v>
      </c>
      <c r="W1119" s="2">
        <f t="shared" si="247"/>
        <v>4.4091564628118748E-9</v>
      </c>
    </row>
    <row r="1120" spans="1:23" x14ac:dyDescent="0.4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10">
        <v>134.75299999999999</v>
      </c>
      <c r="F1120" s="10" t="s">
        <v>2846</v>
      </c>
      <c r="G1120" s="10" t="s">
        <v>2847</v>
      </c>
      <c r="H1120" s="10">
        <v>134.752660819575</v>
      </c>
      <c r="I1120" s="10">
        <v>5.9801163579766499</v>
      </c>
      <c r="J1120" s="10">
        <v>5.9788525921995204</v>
      </c>
      <c r="K1120" s="4">
        <f t="shared" si="242"/>
        <v>5.9801166666666665</v>
      </c>
      <c r="L1120" s="4">
        <f t="shared" si="243"/>
        <v>5.9788527777777745</v>
      </c>
      <c r="M1120" s="4">
        <f t="shared" si="244"/>
        <v>5.9801163579766694</v>
      </c>
      <c r="N1120" s="4">
        <f t="shared" si="245"/>
        <v>5.9788525921995301</v>
      </c>
      <c r="O1120" s="3">
        <f t="shared" si="248"/>
        <v>134.75266076347225</v>
      </c>
      <c r="P1120" s="2">
        <f t="shared" ref="P1120:P1183" si="250">ABS((E1120-O1120)/E1120)</f>
        <v>2.517469204666131E-6</v>
      </c>
      <c r="Q1120" s="2">
        <f t="shared" ref="Q1120:Q1183" si="251">ABS((H1120-O1120)/H1120)</f>
        <v>4.1633871102678707E-10</v>
      </c>
      <c r="R1120" s="6">
        <f t="shared" ref="R1120:R1183" si="252">VincentyInvFwdAzimuth($A1120,$B1120,$C1120,$D1120)</f>
        <v>5.9801163514776245</v>
      </c>
      <c r="S1120" s="2">
        <f t="shared" ref="S1120:S1183" si="253">ABS((K1120-R1120)/K1120)</f>
        <v>5.2706169385309961E-8</v>
      </c>
      <c r="T1120" s="2">
        <f t="shared" si="249"/>
        <v>1.0867756526449463E-9</v>
      </c>
      <c r="U1120" s="6">
        <f t="shared" ref="U1120:U1183" si="254">VincentyInvRevAzimuth($A1120,$B1120,$C1120,$D1120)</f>
        <v>5.9788525857022776</v>
      </c>
      <c r="V1120" s="2">
        <f t="shared" si="246"/>
        <v>3.2125811419019723E-8</v>
      </c>
      <c r="W1120" s="2">
        <f t="shared" si="247"/>
        <v>1.0867055866636808E-9</v>
      </c>
    </row>
    <row r="1121" spans="1:23" x14ac:dyDescent="0.4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10">
        <v>184.399</v>
      </c>
      <c r="F1121" s="10" t="s">
        <v>2848</v>
      </c>
      <c r="G1121" s="10" t="s">
        <v>2849</v>
      </c>
      <c r="H1121" s="10">
        <v>184.39873125818301</v>
      </c>
      <c r="I1121" s="10">
        <v>10.1632372246827</v>
      </c>
      <c r="J1121" s="10">
        <v>10.1627946547982</v>
      </c>
      <c r="K1121" s="4">
        <f t="shared" si="242"/>
        <v>10.163236111111111</v>
      </c>
      <c r="L1121" s="4">
        <f t="shared" si="243"/>
        <v>10.162794444444444</v>
      </c>
      <c r="M1121" s="4">
        <f t="shared" si="244"/>
        <v>10.163237224682689</v>
      </c>
      <c r="N1121" s="4">
        <f t="shared" si="245"/>
        <v>10.162794654798176</v>
      </c>
      <c r="O1121" s="3">
        <f t="shared" si="248"/>
        <v>184.39873133750424</v>
      </c>
      <c r="P1121" s="2">
        <f t="shared" si="250"/>
        <v>1.4569628672400009E-6</v>
      </c>
      <c r="Q1121" s="2">
        <f t="shared" si="251"/>
        <v>4.3016152450394238E-10</v>
      </c>
      <c r="R1121" s="6">
        <f t="shared" si="252"/>
        <v>10.163237213412675</v>
      </c>
      <c r="S1121" s="2">
        <f t="shared" si="253"/>
        <v>1.0845970237761406E-7</v>
      </c>
      <c r="T1121" s="2">
        <f t="shared" si="249"/>
        <v>1.1089000488731722E-9</v>
      </c>
      <c r="U1121" s="6">
        <f t="shared" si="254"/>
        <v>10.16279464352303</v>
      </c>
      <c r="V1121" s="2">
        <f t="shared" si="246"/>
        <v>1.9588961244170881E-8</v>
      </c>
      <c r="W1121" s="2">
        <f t="shared" si="247"/>
        <v>1.1094533081750255E-9</v>
      </c>
    </row>
    <row r="1122" spans="1:23" x14ac:dyDescent="0.45">
      <c r="A1122">
        <v>-46.946669999999997</v>
      </c>
      <c r="B1122">
        <v>-103.06093</v>
      </c>
      <c r="C1122">
        <v>-46.947200000000002</v>
      </c>
      <c r="D1122">
        <v>-103.05946</v>
      </c>
      <c r="E1122" s="10">
        <v>126.476</v>
      </c>
      <c r="F1122" s="10" t="s">
        <v>2850</v>
      </c>
      <c r="G1122" s="10" t="s">
        <v>2851</v>
      </c>
      <c r="H1122" s="10">
        <v>126.475599433808</v>
      </c>
      <c r="I1122" s="10">
        <v>117.766469260796</v>
      </c>
      <c r="J1122" s="10">
        <v>117.765395099824</v>
      </c>
      <c r="K1122" s="4">
        <f t="shared" si="242"/>
        <v>117.76646944444444</v>
      </c>
      <c r="L1122" s="4">
        <f t="shared" si="243"/>
        <v>117.76539444444444</v>
      </c>
      <c r="M1122" s="4">
        <f t="shared" si="244"/>
        <v>117.76646926079599</v>
      </c>
      <c r="N1122" s="4">
        <f t="shared" si="245"/>
        <v>117.76539509982399</v>
      </c>
      <c r="O1122" s="3">
        <f t="shared" si="248"/>
        <v>126.47559906574956</v>
      </c>
      <c r="P1122" s="2">
        <f t="shared" si="250"/>
        <v>3.1700421458306734E-6</v>
      </c>
      <c r="Q1122" s="2">
        <f t="shared" si="251"/>
        <v>2.9101141936390846E-9</v>
      </c>
      <c r="R1122" s="6">
        <f t="shared" si="252"/>
        <v>117.76646935185278</v>
      </c>
      <c r="S1122" s="2">
        <f t="shared" si="253"/>
        <v>7.8623111293156631E-10</v>
      </c>
      <c r="T1122" s="2">
        <f t="shared" si="249"/>
        <v>7.7319793251553726E-10</v>
      </c>
      <c r="U1122" s="6">
        <f t="shared" si="254"/>
        <v>117.76539519078224</v>
      </c>
      <c r="V1122" s="2">
        <f t="shared" si="246"/>
        <v>6.3374967453192607E-9</v>
      </c>
      <c r="W1122" s="2">
        <f t="shared" si="247"/>
        <v>7.7236825307133676E-10</v>
      </c>
    </row>
    <row r="1123" spans="1:23" x14ac:dyDescent="0.45">
      <c r="A1123">
        <v>53.45382</v>
      </c>
      <c r="B1123">
        <v>19.879010000000001</v>
      </c>
      <c r="C1123">
        <v>53.454859999999996</v>
      </c>
      <c r="D1123">
        <v>19.879519999999999</v>
      </c>
      <c r="E1123" s="10">
        <v>120.60299999999999</v>
      </c>
      <c r="F1123" s="10" t="s">
        <v>2852</v>
      </c>
      <c r="G1123" s="10" t="s">
        <v>2853</v>
      </c>
      <c r="H1123" s="10">
        <v>120.60303947998101</v>
      </c>
      <c r="I1123" s="10">
        <v>16.314748708155101</v>
      </c>
      <c r="J1123" s="10">
        <v>16.3151584332713</v>
      </c>
      <c r="K1123" s="4">
        <f t="shared" si="242"/>
        <v>16.31475</v>
      </c>
      <c r="L1123" s="4">
        <f t="shared" si="243"/>
        <v>16.315158333333329</v>
      </c>
      <c r="M1123" s="4">
        <f t="shared" si="244"/>
        <v>16.314748708155093</v>
      </c>
      <c r="N1123" s="4">
        <f t="shared" si="245"/>
        <v>16.315158433271279</v>
      </c>
      <c r="O1123" s="3">
        <f t="shared" si="248"/>
        <v>120.60303950888468</v>
      </c>
      <c r="P1123" s="2">
        <f t="shared" si="250"/>
        <v>3.2759454311218988E-7</v>
      </c>
      <c r="Q1123" s="2">
        <f t="shared" si="251"/>
        <v>2.3965955329730993E-10</v>
      </c>
      <c r="R1123" s="6">
        <f t="shared" si="252"/>
        <v>16.314748683496223</v>
      </c>
      <c r="S1123" s="2">
        <f t="shared" si="253"/>
        <v>8.0694082171321771E-8</v>
      </c>
      <c r="T1123" s="2">
        <f t="shared" si="249"/>
        <v>1.511446540929243E-9</v>
      </c>
      <c r="U1123" s="6">
        <f t="shared" si="254"/>
        <v>16.315158408579954</v>
      </c>
      <c r="V1123" s="2">
        <f t="shared" si="246"/>
        <v>4.6120683228205959E-9</v>
      </c>
      <c r="W1123" s="2">
        <f t="shared" si="247"/>
        <v>1.5133977792194782E-9</v>
      </c>
    </row>
    <row r="1124" spans="1:23" x14ac:dyDescent="0.45">
      <c r="A1124">
        <v>33.99091</v>
      </c>
      <c r="B1124">
        <v>75.149780000000007</v>
      </c>
      <c r="C1124">
        <v>33.989879999999999</v>
      </c>
      <c r="D1124">
        <v>75.151349999999994</v>
      </c>
      <c r="E1124" s="10">
        <v>184.65</v>
      </c>
      <c r="F1124" s="10" t="s">
        <v>2854</v>
      </c>
      <c r="G1124" s="10" t="s">
        <v>2855</v>
      </c>
      <c r="H1124" s="10">
        <v>184.64984503062499</v>
      </c>
      <c r="I1124" s="10">
        <v>128.223597356315</v>
      </c>
      <c r="J1124" s="10">
        <v>128.22447507096399</v>
      </c>
      <c r="K1124" s="4">
        <f t="shared" si="242"/>
        <v>128.22359722222222</v>
      </c>
      <c r="L1124" s="4">
        <f t="shared" si="243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8"/>
        <v>184.64984362504592</v>
      </c>
      <c r="P1124" s="2">
        <f t="shared" si="250"/>
        <v>8.4687221276914932E-7</v>
      </c>
      <c r="Q1124" s="2">
        <f t="shared" si="251"/>
        <v>7.6121324108932273E-9</v>
      </c>
      <c r="R1124" s="6">
        <f t="shared" si="252"/>
        <v>128.2235976983219</v>
      </c>
      <c r="S1124" s="2">
        <f t="shared" si="253"/>
        <v>3.7130425444366866E-9</v>
      </c>
      <c r="T1124" s="2">
        <f t="shared" si="249"/>
        <v>2.667269568916192E-9</v>
      </c>
      <c r="U1124" s="6">
        <f t="shared" si="254"/>
        <v>128.22447541289222</v>
      </c>
      <c r="V1124" s="2">
        <f t="shared" si="246"/>
        <v>3.2200735014170848E-9</v>
      </c>
      <c r="W1124" s="2">
        <f t="shared" si="247"/>
        <v>2.6666377675909618E-9</v>
      </c>
    </row>
    <row r="1125" spans="1:23" x14ac:dyDescent="0.45">
      <c r="A1125">
        <v>-53.32526</v>
      </c>
      <c r="B1125">
        <v>39.735790000000001</v>
      </c>
      <c r="C1125">
        <v>-53.324240000000003</v>
      </c>
      <c r="D1125">
        <v>39.734470000000002</v>
      </c>
      <c r="E1125" s="10">
        <v>143.60499999999999</v>
      </c>
      <c r="F1125" s="10" t="s">
        <v>2856</v>
      </c>
      <c r="G1125" s="10" t="s">
        <v>2857</v>
      </c>
      <c r="H1125" s="10">
        <v>143.60510116571501</v>
      </c>
      <c r="I1125" s="10">
        <v>-37.769316583332099</v>
      </c>
      <c r="J1125" s="10">
        <v>-37.768257898815101</v>
      </c>
      <c r="K1125" s="4">
        <f t="shared" si="242"/>
        <v>322.23068333333333</v>
      </c>
      <c r="L1125" s="4">
        <f t="shared" si="243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8"/>
        <v>143.60510111997831</v>
      </c>
      <c r="P1125" s="2">
        <f t="shared" si="250"/>
        <v>7.0415360415695448E-7</v>
      </c>
      <c r="Q1125" s="2">
        <f t="shared" si="251"/>
        <v>3.1848936850570493E-10</v>
      </c>
      <c r="R1125" s="6">
        <f t="shared" si="252"/>
        <v>322.23068346484808</v>
      </c>
      <c r="S1125" s="2">
        <f t="shared" si="253"/>
        <v>4.0813851587721956E-10</v>
      </c>
      <c r="T1125" s="2">
        <f t="shared" si="249"/>
        <v>1.4952082495206095E-10</v>
      </c>
      <c r="U1125" s="6">
        <f t="shared" si="254"/>
        <v>322.23174214938797</v>
      </c>
      <c r="V1125" s="2">
        <f t="shared" si="246"/>
        <v>1.498056343579751E-9</v>
      </c>
      <c r="W1125" s="2">
        <f t="shared" si="247"/>
        <v>1.495912486752228E-10</v>
      </c>
    </row>
    <row r="1126" spans="1:23" x14ac:dyDescent="0.4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10">
        <v>190.471</v>
      </c>
      <c r="F1126" s="10" t="s">
        <v>2858</v>
      </c>
      <c r="G1126" s="10" t="s">
        <v>2859</v>
      </c>
      <c r="H1126" s="10">
        <v>190.471342223421</v>
      </c>
      <c r="I1126" s="10">
        <v>-145.05956250334199</v>
      </c>
      <c r="J1126" s="10">
        <v>-145.05996777608101</v>
      </c>
      <c r="K1126" s="4">
        <f t="shared" si="242"/>
        <v>214.9404361111111</v>
      </c>
      <c r="L1126" s="4">
        <f t="shared" si="243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8"/>
        <v>190.47134071909531</v>
      </c>
      <c r="P1126" s="2">
        <f t="shared" si="250"/>
        <v>1.7888239958079212E-6</v>
      </c>
      <c r="Q1126" s="2">
        <f t="shared" si="251"/>
        <v>7.8979109275057459E-9</v>
      </c>
      <c r="R1126" s="6">
        <f t="shared" si="252"/>
        <v>214.94043686424632</v>
      </c>
      <c r="S1126" s="2">
        <f t="shared" si="253"/>
        <v>3.5039252684221982E-9</v>
      </c>
      <c r="T1126" s="2">
        <f t="shared" si="249"/>
        <v>2.9422648026359769E-9</v>
      </c>
      <c r="U1126" s="6">
        <f t="shared" si="254"/>
        <v>214.94003159147479</v>
      </c>
      <c r="V1126" s="2">
        <f t="shared" si="246"/>
        <v>8.1039279331021943E-9</v>
      </c>
      <c r="W1126" s="2">
        <f t="shared" si="247"/>
        <v>2.9424216224473218E-9</v>
      </c>
    </row>
    <row r="1127" spans="1:23" x14ac:dyDescent="0.45">
      <c r="A1127">
        <v>-39.14855</v>
      </c>
      <c r="B1127">
        <v>113.84887000000001</v>
      </c>
      <c r="C1127">
        <v>-39.149769999999997</v>
      </c>
      <c r="D1127">
        <v>113.84848</v>
      </c>
      <c r="E1127" s="10">
        <v>139.57499999999999</v>
      </c>
      <c r="F1127" s="10" t="s">
        <v>2860</v>
      </c>
      <c r="G1127" s="10" t="s">
        <v>2861</v>
      </c>
      <c r="H1127" s="10">
        <v>139.575128268752</v>
      </c>
      <c r="I1127" s="10">
        <v>-166.02255739511801</v>
      </c>
      <c r="J1127" s="10">
        <v>-166.022311171962</v>
      </c>
      <c r="K1127" s="4">
        <f t="shared" si="242"/>
        <v>193.97744166666666</v>
      </c>
      <c r="L1127" s="4">
        <f t="shared" si="243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8"/>
        <v>139.5751281793313</v>
      </c>
      <c r="P1127" s="2">
        <f t="shared" si="250"/>
        <v>9.1835451415077571E-7</v>
      </c>
      <c r="Q1127" s="2">
        <f t="shared" si="251"/>
        <v>6.4066353338082711E-10</v>
      </c>
      <c r="R1127" s="6">
        <f t="shared" si="252"/>
        <v>193.97744249424747</v>
      </c>
      <c r="S1127" s="2">
        <f t="shared" si="253"/>
        <v>4.2663765361154219E-9</v>
      </c>
      <c r="T1127" s="2">
        <f t="shared" si="249"/>
        <v>5.7034733097498207E-10</v>
      </c>
      <c r="U1127" s="6">
        <f t="shared" si="254"/>
        <v>193.9776887174074</v>
      </c>
      <c r="V1127" s="2">
        <f t="shared" si="246"/>
        <v>8.8402679367865868E-10</v>
      </c>
      <c r="W1127" s="2">
        <f t="shared" si="247"/>
        <v>5.7032638718167373E-10</v>
      </c>
    </row>
    <row r="1128" spans="1:23" x14ac:dyDescent="0.45">
      <c r="A1128">
        <v>-15.23931</v>
      </c>
      <c r="B1128">
        <v>-124.52155</v>
      </c>
      <c r="C1128">
        <v>-15.23865</v>
      </c>
      <c r="D1128">
        <v>-124.52158</v>
      </c>
      <c r="E1128" s="10">
        <v>73.100999999999999</v>
      </c>
      <c r="F1128" s="10" t="s">
        <v>2862</v>
      </c>
      <c r="G1128" s="10" t="s">
        <v>2863</v>
      </c>
      <c r="H1128" s="10">
        <v>73.100761599349696</v>
      </c>
      <c r="I1128" s="10">
        <v>-2.5269082750477998</v>
      </c>
      <c r="J1128" s="10">
        <v>-2.5269003896784001</v>
      </c>
      <c r="K1128" s="4">
        <f t="shared" si="242"/>
        <v>357.47309166666668</v>
      </c>
      <c r="L1128" s="4">
        <f t="shared" si="243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8"/>
        <v>73.100761818355735</v>
      </c>
      <c r="P1128" s="2">
        <f t="shared" si="250"/>
        <v>3.2582542545736845E-6</v>
      </c>
      <c r="Q1128" s="2">
        <f t="shared" si="251"/>
        <v>2.9959474453926224E-9</v>
      </c>
      <c r="R1128" s="6">
        <f t="shared" si="252"/>
        <v>357.47309179940657</v>
      </c>
      <c r="S1128" s="2">
        <f t="shared" si="253"/>
        <v>3.7132836615364626E-10</v>
      </c>
      <c r="T1128" s="2">
        <f t="shared" si="249"/>
        <v>2.0827962830963541E-10</v>
      </c>
      <c r="U1128" s="6">
        <f t="shared" si="254"/>
        <v>357.47309968477038</v>
      </c>
      <c r="V1128" s="2">
        <f t="shared" si="246"/>
        <v>8.8182750836155788E-10</v>
      </c>
      <c r="W1128" s="2">
        <f t="shared" si="247"/>
        <v>2.0826404029079921E-10</v>
      </c>
    </row>
    <row r="1129" spans="1:23" x14ac:dyDescent="0.45">
      <c r="A1129">
        <v>9.8937600000000003</v>
      </c>
      <c r="B1129">
        <v>-160.16874000000001</v>
      </c>
      <c r="C1129">
        <v>9.8933800000000094</v>
      </c>
      <c r="D1129">
        <v>-160.16835</v>
      </c>
      <c r="E1129" s="10">
        <v>59.968000000000004</v>
      </c>
      <c r="F1129" s="10" t="s">
        <v>2864</v>
      </c>
      <c r="G1129" s="10" t="s">
        <v>2865</v>
      </c>
      <c r="H1129" s="10">
        <v>59.967694852363003</v>
      </c>
      <c r="I1129" s="10">
        <v>134.49832023704801</v>
      </c>
      <c r="J1129" s="10">
        <v>134.498387246281</v>
      </c>
      <c r="K1129" s="4">
        <f t="shared" si="242"/>
        <v>134.49831944444443</v>
      </c>
      <c r="L1129" s="4">
        <f t="shared" si="243"/>
        <v>134.49838611111113</v>
      </c>
      <c r="M1129" s="4">
        <f t="shared" si="244"/>
        <v>134.49832023704801</v>
      </c>
      <c r="N1129" s="4">
        <f t="shared" si="245"/>
        <v>134.49838724628103</v>
      </c>
      <c r="O1129" s="3">
        <f t="shared" si="248"/>
        <v>59.967693798663049</v>
      </c>
      <c r="P1129" s="2">
        <f t="shared" si="250"/>
        <v>5.1060788579635677E-6</v>
      </c>
      <c r="Q1129" s="2">
        <f t="shared" si="251"/>
        <v>1.757112652989104E-8</v>
      </c>
      <c r="R1129" s="6">
        <f t="shared" si="252"/>
        <v>134.49832122228457</v>
      </c>
      <c r="S1129" s="2">
        <f t="shared" si="253"/>
        <v>1.3218307465381115E-8</v>
      </c>
      <c r="T1129" s="2">
        <f t="shared" si="249"/>
        <v>7.325270428276383E-9</v>
      </c>
      <c r="U1129" s="6">
        <f t="shared" si="254"/>
        <v>134.49838823152805</v>
      </c>
      <c r="V1129" s="2">
        <f t="shared" si="246"/>
        <v>1.5765370754584792E-8</v>
      </c>
      <c r="W1129" s="2">
        <f t="shared" si="247"/>
        <v>7.3253445431302593E-9</v>
      </c>
    </row>
    <row r="1130" spans="1:23" x14ac:dyDescent="0.4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10">
        <v>196.26499999999999</v>
      </c>
      <c r="F1130" s="10" t="s">
        <v>2866</v>
      </c>
      <c r="G1130" s="10" t="s">
        <v>2867</v>
      </c>
      <c r="H1130" s="10">
        <v>196.26481201934601</v>
      </c>
      <c r="I1130" s="10">
        <v>-124.682511724051</v>
      </c>
      <c r="J1130" s="10">
        <v>-124.68253532723</v>
      </c>
      <c r="K1130" s="4">
        <f t="shared" si="242"/>
        <v>235.3174888888889</v>
      </c>
      <c r="L1130" s="4">
        <f t="shared" si="243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8"/>
        <v>196.26480702721918</v>
      </c>
      <c r="P1130" s="2">
        <f t="shared" si="250"/>
        <v>9.8322564292658651E-7</v>
      </c>
      <c r="Q1130" s="2">
        <f t="shared" si="251"/>
        <v>2.5435669193270364E-8</v>
      </c>
      <c r="R1130" s="6">
        <f t="shared" si="252"/>
        <v>235.31748726706451</v>
      </c>
      <c r="S1130" s="2">
        <f t="shared" si="253"/>
        <v>6.8920691076889386E-9</v>
      </c>
      <c r="T1130" s="2">
        <f t="shared" si="249"/>
        <v>4.2873333280408968E-9</v>
      </c>
      <c r="U1130" s="6">
        <f t="shared" si="254"/>
        <v>235.31746366388558</v>
      </c>
      <c r="V1130" s="2">
        <f t="shared" si="246"/>
        <v>9.5616917315995468E-10</v>
      </c>
      <c r="W1130" s="2">
        <f t="shared" si="247"/>
        <v>4.2873333957348427E-9</v>
      </c>
    </row>
    <row r="1131" spans="1:23" x14ac:dyDescent="0.4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10">
        <v>113.166</v>
      </c>
      <c r="F1131" s="10" t="s">
        <v>2868</v>
      </c>
      <c r="G1131" s="10" t="s">
        <v>2869</v>
      </c>
      <c r="H1131" s="10">
        <v>113.16595852504599</v>
      </c>
      <c r="I1131" s="10">
        <v>-165.36747542182201</v>
      </c>
      <c r="J1131" s="10">
        <v>-165.36751616776999</v>
      </c>
      <c r="K1131" s="4">
        <f t="shared" si="242"/>
        <v>194.63252499999999</v>
      </c>
      <c r="L1131" s="4">
        <f t="shared" si="243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8"/>
        <v>113.16595829185746</v>
      </c>
      <c r="P1131" s="2">
        <f t="shared" si="250"/>
        <v>3.6855718619170502E-7</v>
      </c>
      <c r="Q1131" s="2">
        <f t="shared" si="251"/>
        <v>2.0605890044876681E-9</v>
      </c>
      <c r="R1131" s="6">
        <f t="shared" si="252"/>
        <v>194.63252408933559</v>
      </c>
      <c r="S1131" s="2">
        <f t="shared" si="253"/>
        <v>4.6788911422925669E-9</v>
      </c>
      <c r="T1131" s="2">
        <f t="shared" si="249"/>
        <v>2.5116172338659985E-9</v>
      </c>
      <c r="U1131" s="6">
        <f t="shared" si="254"/>
        <v>194.63248334339971</v>
      </c>
      <c r="V1131" s="2">
        <f t="shared" si="246"/>
        <v>5.1719900254836159E-11</v>
      </c>
      <c r="W1131" s="2">
        <f t="shared" si="247"/>
        <v>2.5115555519218758E-9</v>
      </c>
    </row>
    <row r="1132" spans="1:23" x14ac:dyDescent="0.4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10">
        <v>25.693999999999999</v>
      </c>
      <c r="F1132" s="10" t="s">
        <v>2870</v>
      </c>
      <c r="G1132" s="10" t="s">
        <v>2871</v>
      </c>
      <c r="H1132" s="10">
        <v>25.694169192291099</v>
      </c>
      <c r="I1132" s="10">
        <v>1.12124955087277</v>
      </c>
      <c r="J1132" s="10">
        <v>1.12112963532531</v>
      </c>
      <c r="K1132" s="4">
        <f t="shared" si="242"/>
        <v>1.1212500000000001</v>
      </c>
      <c r="L1132" s="4">
        <f t="shared" si="243"/>
        <v>1.1211305555555668</v>
      </c>
      <c r="M1132" s="4">
        <f t="shared" si="244"/>
        <v>1.1212495508727898</v>
      </c>
      <c r="N1132" s="4">
        <f t="shared" si="245"/>
        <v>1.1211296353253033</v>
      </c>
      <c r="O1132" s="3">
        <f t="shared" si="248"/>
        <v>25.694169179707803</v>
      </c>
      <c r="P1132" s="2">
        <f t="shared" si="250"/>
        <v>6.5844052231585138E-6</v>
      </c>
      <c r="Q1132" s="2">
        <f t="shared" si="251"/>
        <v>4.8973353014995568E-10</v>
      </c>
      <c r="R1132" s="6">
        <f t="shared" si="252"/>
        <v>1.1212495508268929</v>
      </c>
      <c r="S1132" s="2">
        <f t="shared" si="253"/>
        <v>4.0060031853128216E-7</v>
      </c>
      <c r="T1132" s="2">
        <f t="shared" si="249"/>
        <v>4.0933654641718626E-11</v>
      </c>
      <c r="U1132" s="6">
        <f t="shared" si="254"/>
        <v>1.1211296352798685</v>
      </c>
      <c r="V1132" s="2">
        <f t="shared" si="246"/>
        <v>8.2084614833893541E-7</v>
      </c>
      <c r="W1132" s="2">
        <f t="shared" si="247"/>
        <v>4.0525881778672901E-11</v>
      </c>
    </row>
    <row r="1133" spans="1:23" x14ac:dyDescent="0.4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10">
        <v>34.408999999999999</v>
      </c>
      <c r="F1133" s="10" t="s">
        <v>2872</v>
      </c>
      <c r="G1133" s="10" t="s">
        <v>2873</v>
      </c>
      <c r="H1133" s="10">
        <v>34.408548280036896</v>
      </c>
      <c r="I1133" s="10">
        <v>-52.064500101855302</v>
      </c>
      <c r="J1133" s="10">
        <v>-52.064854698308402</v>
      </c>
      <c r="K1133" s="4">
        <f t="shared" si="242"/>
        <v>307.93549999999999</v>
      </c>
      <c r="L1133" s="4">
        <f t="shared" si="243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8"/>
        <v>34.408548257063707</v>
      </c>
      <c r="P1133" s="2">
        <f t="shared" si="250"/>
        <v>1.3128627286233867E-5</v>
      </c>
      <c r="Q1133" s="2">
        <f t="shared" si="251"/>
        <v>6.6765936725738521E-10</v>
      </c>
      <c r="R1133" s="6">
        <f t="shared" si="252"/>
        <v>307.93549993543763</v>
      </c>
      <c r="S1133" s="2">
        <f t="shared" si="253"/>
        <v>2.0966194946075954E-10</v>
      </c>
      <c r="T1133" s="2">
        <f t="shared" si="249"/>
        <v>1.2110627311184474E-10</v>
      </c>
      <c r="U1133" s="6">
        <f t="shared" si="254"/>
        <v>307.93514533868887</v>
      </c>
      <c r="V1133" s="2">
        <f t="shared" si="246"/>
        <v>2.9040024317905385E-9</v>
      </c>
      <c r="W1133" s="2">
        <f t="shared" si="247"/>
        <v>1.2014633176656386E-10</v>
      </c>
    </row>
    <row r="1134" spans="1:23" x14ac:dyDescent="0.4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10">
        <v>157.66800000000001</v>
      </c>
      <c r="F1134" s="10" t="s">
        <v>2874</v>
      </c>
      <c r="G1134" s="10" t="s">
        <v>2875</v>
      </c>
      <c r="H1134" s="10">
        <v>157.667521801535</v>
      </c>
      <c r="I1134" s="10">
        <v>-150.556715551895</v>
      </c>
      <c r="J1134" s="10">
        <v>-150.55699524330001</v>
      </c>
      <c r="K1134" s="4">
        <f t="shared" si="242"/>
        <v>209.44328333333334</v>
      </c>
      <c r="L1134" s="4">
        <f t="shared" si="243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8"/>
        <v>157.66752084856435</v>
      </c>
      <c r="P1134" s="2">
        <f t="shared" si="250"/>
        <v>3.0389897484300375E-6</v>
      </c>
      <c r="Q1134" s="2">
        <f t="shared" si="251"/>
        <v>6.0441785399768632E-9</v>
      </c>
      <c r="R1134" s="6">
        <f t="shared" si="252"/>
        <v>209.44328385712319</v>
      </c>
      <c r="S1134" s="2">
        <f t="shared" si="253"/>
        <v>2.5008672623329695E-9</v>
      </c>
      <c r="T1134" s="2">
        <f t="shared" si="249"/>
        <v>2.821679455502795E-9</v>
      </c>
      <c r="U1134" s="6">
        <f t="shared" si="254"/>
        <v>209.44300416573009</v>
      </c>
      <c r="V1134" s="2">
        <f t="shared" si="246"/>
        <v>6.6358169985799884E-9</v>
      </c>
      <c r="W1134" s="2">
        <f t="shared" si="247"/>
        <v>2.8216263647023988E-9</v>
      </c>
    </row>
    <row r="1135" spans="1:23" x14ac:dyDescent="0.45">
      <c r="A1135">
        <v>-50.84901</v>
      </c>
      <c r="B1135">
        <v>-26.023029999999999</v>
      </c>
      <c r="C1135">
        <v>-50.848399999999998</v>
      </c>
      <c r="D1135">
        <v>-26.0242</v>
      </c>
      <c r="E1135" s="10">
        <v>106.744</v>
      </c>
      <c r="F1135" s="10" t="s">
        <v>2876</v>
      </c>
      <c r="G1135" s="10" t="s">
        <v>2877</v>
      </c>
      <c r="H1135" s="10">
        <v>106.7444756407</v>
      </c>
      <c r="I1135" s="10">
        <v>-50.526990150305998</v>
      </c>
      <c r="J1135" s="10">
        <v>-50.526082836982397</v>
      </c>
      <c r="K1135" s="4">
        <f t="shared" si="242"/>
        <v>309.47301111111113</v>
      </c>
      <c r="L1135" s="4">
        <f t="shared" si="243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8"/>
        <v>106.74447551376403</v>
      </c>
      <c r="P1135" s="2">
        <f t="shared" si="250"/>
        <v>4.4547118716762621E-6</v>
      </c>
      <c r="Q1135" s="2">
        <f t="shared" si="251"/>
        <v>1.1891573037580976E-9</v>
      </c>
      <c r="R1135" s="6">
        <f t="shared" si="252"/>
        <v>309.47300991632767</v>
      </c>
      <c r="S1135" s="2">
        <f t="shared" si="253"/>
        <v>3.8607032670250656E-9</v>
      </c>
      <c r="T1135" s="2">
        <f t="shared" si="249"/>
        <v>2.1531336322481108E-10</v>
      </c>
      <c r="U1135" s="6">
        <f t="shared" si="254"/>
        <v>309.47391722971184</v>
      </c>
      <c r="V1135" s="2">
        <f t="shared" si="246"/>
        <v>1.8193622077993579E-9</v>
      </c>
      <c r="W1135" s="2">
        <f t="shared" si="247"/>
        <v>2.1550834858886604E-10</v>
      </c>
    </row>
    <row r="1136" spans="1:23" x14ac:dyDescent="0.4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10">
        <v>196.755</v>
      </c>
      <c r="F1136" s="10" t="s">
        <v>2878</v>
      </c>
      <c r="G1136" s="10" t="s">
        <v>2879</v>
      </c>
      <c r="H1136" s="10">
        <v>196.75462951783101</v>
      </c>
      <c r="I1136" s="10">
        <v>-156.26407201408099</v>
      </c>
      <c r="J1136" s="10">
        <v>-156.263298603137</v>
      </c>
      <c r="K1136" s="4">
        <f t="shared" si="242"/>
        <v>203.73592777777779</v>
      </c>
      <c r="L1136" s="4">
        <f t="shared" si="243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8"/>
        <v>196.75462942626979</v>
      </c>
      <c r="P1136" s="2">
        <f t="shared" si="250"/>
        <v>1.883427258308223E-6</v>
      </c>
      <c r="Q1136" s="2">
        <f t="shared" si="251"/>
        <v>4.6535738079176963E-10</v>
      </c>
      <c r="R1136" s="6">
        <f t="shared" si="252"/>
        <v>203.73592790987078</v>
      </c>
      <c r="S1136" s="2">
        <f t="shared" si="253"/>
        <v>6.4835394515300798E-10</v>
      </c>
      <c r="T1136" s="2">
        <f t="shared" si="249"/>
        <v>3.7326859562822356E-10</v>
      </c>
      <c r="U1136" s="6">
        <f t="shared" si="254"/>
        <v>203.73670132080986</v>
      </c>
      <c r="V1136" s="2">
        <f t="shared" si="246"/>
        <v>7.1512295853176064E-9</v>
      </c>
      <c r="W1136" s="2">
        <f t="shared" si="247"/>
        <v>3.7329131252548762E-10</v>
      </c>
    </row>
    <row r="1137" spans="1:23" x14ac:dyDescent="0.4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10">
        <v>167.52099999999999</v>
      </c>
      <c r="F1137" s="10" t="s">
        <v>2880</v>
      </c>
      <c r="G1137" s="10" t="s">
        <v>2881</v>
      </c>
      <c r="H1137" s="10">
        <v>167.52107706037199</v>
      </c>
      <c r="I1137" s="10">
        <v>10.6284361515704</v>
      </c>
      <c r="J1137" s="10">
        <v>10.6287780159892</v>
      </c>
      <c r="K1137" s="4">
        <f t="shared" ref="K1137:K1200" si="255">ConvertDecimal(F1137)</f>
        <v>10.62843611111111</v>
      </c>
      <c r="L1137" s="4">
        <f t="shared" ref="L1137:L1200" si="256">MOD(ConvertDecimal(G1137)+180,360)</f>
        <v>10.628777777777771</v>
      </c>
      <c r="M1137" s="4">
        <f t="shared" ref="M1137:M1200" si="257">MOD(I1137+360, 360)</f>
        <v>10.628436151570384</v>
      </c>
      <c r="N1137" s="4">
        <f t="shared" ref="N1137:N1200" si="258">MOD(J1137+360, 360)</f>
        <v>10.628778015989212</v>
      </c>
      <c r="O1137" s="3">
        <f t="shared" si="248"/>
        <v>167.52107708647421</v>
      </c>
      <c r="P1137" s="2">
        <f t="shared" si="250"/>
        <v>4.6016006483233595E-7</v>
      </c>
      <c r="Q1137" s="2">
        <f t="shared" si="251"/>
        <v>1.5581450514660852E-10</v>
      </c>
      <c r="R1137" s="6">
        <f t="shared" si="252"/>
        <v>10.628436126415256</v>
      </c>
      <c r="S1137" s="2">
        <f t="shared" si="253"/>
        <v>1.4399244956118084E-9</v>
      </c>
      <c r="T1137" s="2">
        <f t="shared" si="249"/>
        <v>2.3667760148197976E-9</v>
      </c>
      <c r="U1137" s="6">
        <f t="shared" si="254"/>
        <v>10.62877799081606</v>
      </c>
      <c r="V1137" s="2">
        <f t="shared" si="246"/>
        <v>2.0043535925383251E-8</v>
      </c>
      <c r="W1137" s="2">
        <f t="shared" si="247"/>
        <v>2.3683957284234397E-9</v>
      </c>
    </row>
    <row r="1138" spans="1:23" x14ac:dyDescent="0.45">
      <c r="A1138">
        <v>-60.264620000000001</v>
      </c>
      <c r="B1138">
        <v>161.77540999999999</v>
      </c>
      <c r="C1138">
        <v>-60.26482</v>
      </c>
      <c r="D1138">
        <v>161.77661000000001</v>
      </c>
      <c r="E1138" s="10">
        <v>70.061999999999998</v>
      </c>
      <c r="F1138" s="10" t="s">
        <v>2882</v>
      </c>
      <c r="G1138" s="10" t="s">
        <v>2883</v>
      </c>
      <c r="H1138" s="10">
        <v>70.062401669601897</v>
      </c>
      <c r="I1138" s="10">
        <v>108.545566010323</v>
      </c>
      <c r="J1138" s="10">
        <v>108.544524018799</v>
      </c>
      <c r="K1138" s="4">
        <f t="shared" si="255"/>
        <v>108.54556666666667</v>
      </c>
      <c r="L1138" s="4">
        <f t="shared" si="256"/>
        <v>108.54452500000002</v>
      </c>
      <c r="M1138" s="4">
        <f t="shared" si="257"/>
        <v>108.545566010323</v>
      </c>
      <c r="N1138" s="4">
        <f t="shared" si="258"/>
        <v>108.544524018799</v>
      </c>
      <c r="O1138" s="3">
        <f t="shared" si="248"/>
        <v>70.062401629670518</v>
      </c>
      <c r="P1138" s="2">
        <f t="shared" si="250"/>
        <v>5.7324893739868248E-6</v>
      </c>
      <c r="Q1138" s="2">
        <f t="shared" si="251"/>
        <v>5.6994019817508236E-10</v>
      </c>
      <c r="R1138" s="6">
        <f t="shared" si="252"/>
        <v>108.54556602069948</v>
      </c>
      <c r="S1138" s="2">
        <f t="shared" si="253"/>
        <v>5.9511153765722724E-9</v>
      </c>
      <c r="T1138" s="2">
        <f t="shared" si="249"/>
        <v>9.5595631192888764E-11</v>
      </c>
      <c r="U1138" s="6">
        <f t="shared" si="254"/>
        <v>108.5445240292663</v>
      </c>
      <c r="V1138" s="2">
        <f t="shared" si="246"/>
        <v>8.9431845847430758E-9</v>
      </c>
      <c r="W1138" s="2">
        <f t="shared" si="247"/>
        <v>9.6433270706666017E-11</v>
      </c>
    </row>
    <row r="1139" spans="1:23" x14ac:dyDescent="0.45">
      <c r="A1139">
        <v>-64.859790000000004</v>
      </c>
      <c r="B1139">
        <v>110.19369</v>
      </c>
      <c r="C1139">
        <v>-64.859120000000004</v>
      </c>
      <c r="D1139">
        <v>110.19413</v>
      </c>
      <c r="E1139" s="10">
        <v>77.558000000000007</v>
      </c>
      <c r="F1139" s="10" t="s">
        <v>2884</v>
      </c>
      <c r="G1139" s="10" t="s">
        <v>2885</v>
      </c>
      <c r="H1139" s="10">
        <v>77.558266900360707</v>
      </c>
      <c r="I1139" s="10">
        <v>15.607313478958901</v>
      </c>
      <c r="J1139" s="10">
        <v>15.606915160867199</v>
      </c>
      <c r="K1139" s="4">
        <f t="shared" si="255"/>
        <v>15.607313888888889</v>
      </c>
      <c r="L1139" s="4">
        <f t="shared" si="256"/>
        <v>15.606913888888926</v>
      </c>
      <c r="M1139" s="4">
        <f t="shared" si="257"/>
        <v>15.607313478958872</v>
      </c>
      <c r="N1139" s="4">
        <f t="shared" si="258"/>
        <v>15.606915160867175</v>
      </c>
      <c r="O1139" s="3">
        <f t="shared" si="248"/>
        <v>77.558266931019219</v>
      </c>
      <c r="P1139" s="2">
        <f t="shared" si="250"/>
        <v>3.4416954951368601E-6</v>
      </c>
      <c r="Q1139" s="2">
        <f t="shared" si="251"/>
        <v>3.9529650930465712E-10</v>
      </c>
      <c r="R1139" s="6">
        <f t="shared" si="252"/>
        <v>15.607313476474326</v>
      </c>
      <c r="S1139" s="2">
        <f t="shared" si="253"/>
        <v>2.6424442148134367E-8</v>
      </c>
      <c r="T1139" s="2">
        <f t="shared" si="249"/>
        <v>1.5919113213800097E-10</v>
      </c>
      <c r="U1139" s="6">
        <f t="shared" si="254"/>
        <v>15.606915158388269</v>
      </c>
      <c r="V1139" s="2">
        <f t="shared" si="246"/>
        <v>8.1342112349682091E-8</v>
      </c>
      <c r="W1139" s="2">
        <f t="shared" si="247"/>
        <v>1.5883382102304661E-10</v>
      </c>
    </row>
    <row r="1140" spans="1:23" x14ac:dyDescent="0.45">
      <c r="A1140">
        <v>-87.725380000000001</v>
      </c>
      <c r="B1140">
        <v>114.25215</v>
      </c>
      <c r="C1140">
        <v>-87.726039999999998</v>
      </c>
      <c r="D1140">
        <v>114.25194999999999</v>
      </c>
      <c r="E1140" s="10">
        <v>73.721999999999994</v>
      </c>
      <c r="F1140" s="10" t="s">
        <v>2886</v>
      </c>
      <c r="G1140" s="10" t="s">
        <v>2887</v>
      </c>
      <c r="H1140" s="10">
        <v>73.7221828700701</v>
      </c>
      <c r="I1140" s="10">
        <v>-179.31112799460399</v>
      </c>
      <c r="J1140" s="10">
        <v>-179.31092815214299</v>
      </c>
      <c r="K1140" s="4">
        <f t="shared" si="255"/>
        <v>180.68887222222222</v>
      </c>
      <c r="L1140" s="4">
        <f t="shared" si="256"/>
        <v>180.68907222222222</v>
      </c>
      <c r="M1140" s="4">
        <f t="shared" si="257"/>
        <v>180.68887200539601</v>
      </c>
      <c r="N1140" s="4">
        <f t="shared" si="258"/>
        <v>180.68907184785701</v>
      </c>
      <c r="O1140" s="3">
        <f t="shared" si="248"/>
        <v>73.722182832760538</v>
      </c>
      <c r="P1140" s="2">
        <f t="shared" si="250"/>
        <v>2.4800298492140848E-6</v>
      </c>
      <c r="Q1140" s="2">
        <f t="shared" si="251"/>
        <v>5.0608324672268588E-10</v>
      </c>
      <c r="R1140" s="6">
        <f t="shared" si="252"/>
        <v>180.68887200527877</v>
      </c>
      <c r="S1140" s="2">
        <f t="shared" si="253"/>
        <v>1.2006464229183004E-9</v>
      </c>
      <c r="T1140" s="2">
        <f t="shared" si="249"/>
        <v>6.4884765785086829E-13</v>
      </c>
      <c r="U1140" s="6">
        <f t="shared" si="254"/>
        <v>180.68907184773951</v>
      </c>
      <c r="V1140" s="2">
        <f t="shared" si="246"/>
        <v>2.0725254998828413E-9</v>
      </c>
      <c r="W1140" s="2">
        <f t="shared" si="247"/>
        <v>6.502626062755088E-13</v>
      </c>
    </row>
    <row r="1141" spans="1:23" x14ac:dyDescent="0.4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10">
        <v>165.815</v>
      </c>
      <c r="F1141" s="10" t="s">
        <v>2888</v>
      </c>
      <c r="G1141" s="10" t="s">
        <v>2889</v>
      </c>
      <c r="H1141" s="10">
        <v>165.815325709972</v>
      </c>
      <c r="I1141" s="10">
        <v>14.4798082189692</v>
      </c>
      <c r="J1141" s="10">
        <v>14.479661893377299</v>
      </c>
      <c r="K1141" s="4">
        <f t="shared" si="255"/>
        <v>14.479808333333333</v>
      </c>
      <c r="L1141" s="4">
        <f t="shared" si="256"/>
        <v>14.479661111111113</v>
      </c>
      <c r="M1141" s="4">
        <f t="shared" si="257"/>
        <v>14.479808218969197</v>
      </c>
      <c r="N1141" s="4">
        <f t="shared" si="258"/>
        <v>14.479661893377283</v>
      </c>
      <c r="O1141" s="3">
        <f t="shared" si="248"/>
        <v>165.81532541047196</v>
      </c>
      <c r="P1141" s="2">
        <f t="shared" si="250"/>
        <v>1.9624911615883714E-6</v>
      </c>
      <c r="Q1141" s="2">
        <f t="shared" si="251"/>
        <v>1.8062265537778011E-9</v>
      </c>
      <c r="R1141" s="6">
        <f t="shared" si="252"/>
        <v>14.479807877142274</v>
      </c>
      <c r="S1141" s="2">
        <f t="shared" si="253"/>
        <v>3.1505324363455598E-8</v>
      </c>
      <c r="T1141" s="2">
        <f t="shared" si="249"/>
        <v>2.3607144318071751E-8</v>
      </c>
      <c r="U1141" s="6">
        <f t="shared" si="254"/>
        <v>14.479661551567604</v>
      </c>
      <c r="V1141" s="2">
        <f t="shared" si="246"/>
        <v>3.0418977865275011E-8</v>
      </c>
      <c r="W1141" s="2">
        <f t="shared" si="247"/>
        <v>2.3606192032957924E-8</v>
      </c>
    </row>
    <row r="1142" spans="1:23" x14ac:dyDescent="0.45">
      <c r="A1142">
        <v>4.68987</v>
      </c>
      <c r="B1142">
        <v>-143.43491</v>
      </c>
      <c r="C1142">
        <v>4.6914899999999999</v>
      </c>
      <c r="D1142">
        <v>-143.43652</v>
      </c>
      <c r="E1142" s="10">
        <v>252.982</v>
      </c>
      <c r="F1142" s="10" t="s">
        <v>2890</v>
      </c>
      <c r="G1142" s="10" t="s">
        <v>2891</v>
      </c>
      <c r="H1142" s="10">
        <v>252.982179148477</v>
      </c>
      <c r="I1142" s="10">
        <v>-44.917578175655599</v>
      </c>
      <c r="J1142" s="10">
        <v>-44.917709835643301</v>
      </c>
      <c r="K1142" s="4">
        <f t="shared" si="255"/>
        <v>315.08242222222225</v>
      </c>
      <c r="L1142" s="4">
        <f t="shared" si="256"/>
        <v>315.08228888888891</v>
      </c>
      <c r="M1142" s="4">
        <f t="shared" si="257"/>
        <v>315.08242182434441</v>
      </c>
      <c r="N1142" s="4">
        <f t="shared" si="258"/>
        <v>315.08229016435672</v>
      </c>
      <c r="O1142" s="3">
        <f t="shared" si="248"/>
        <v>252.98217914534465</v>
      </c>
      <c r="P1142" s="2">
        <f t="shared" si="250"/>
        <v>7.0813474731721446E-7</v>
      </c>
      <c r="Q1142" s="2">
        <f t="shared" si="251"/>
        <v>1.2381728257967229E-11</v>
      </c>
      <c r="R1142" s="6">
        <f t="shared" si="252"/>
        <v>315.08242182736888</v>
      </c>
      <c r="S1142" s="2">
        <f t="shared" si="253"/>
        <v>1.2531748687351041E-9</v>
      </c>
      <c r="T1142" s="2">
        <f t="shared" si="249"/>
        <v>9.5989734045307216E-12</v>
      </c>
      <c r="U1142" s="6">
        <f t="shared" si="254"/>
        <v>315.08229016737306</v>
      </c>
      <c r="V1142" s="2">
        <f t="shared" si="246"/>
        <v>4.0576198467979345E-9</v>
      </c>
      <c r="W1142" s="2">
        <f t="shared" si="247"/>
        <v>9.5731790474688375E-12</v>
      </c>
    </row>
    <row r="1143" spans="1:23" x14ac:dyDescent="0.4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10">
        <v>82.638000000000005</v>
      </c>
      <c r="F1143" s="10" t="s">
        <v>2892</v>
      </c>
      <c r="G1143" s="10" t="s">
        <v>2893</v>
      </c>
      <c r="H1143" s="10">
        <v>82.638110961450707</v>
      </c>
      <c r="I1143" s="10">
        <v>3.40788606886382</v>
      </c>
      <c r="J1143" s="10">
        <v>3.4077962731484299</v>
      </c>
      <c r="K1143" s="4">
        <f t="shared" si="255"/>
        <v>3.4078861111111109</v>
      </c>
      <c r="L1143" s="4">
        <f t="shared" si="256"/>
        <v>3.407797222222257</v>
      </c>
      <c r="M1143" s="4">
        <f t="shared" si="257"/>
        <v>3.4078860688638315</v>
      </c>
      <c r="N1143" s="4">
        <f t="shared" si="258"/>
        <v>3.407796273148449</v>
      </c>
      <c r="O1143" s="3">
        <f t="shared" si="248"/>
        <v>82.638110875676134</v>
      </c>
      <c r="P1143" s="2">
        <f t="shared" si="250"/>
        <v>1.3417032857563138E-6</v>
      </c>
      <c r="Q1143" s="2">
        <f t="shared" si="251"/>
        <v>1.0379541863185824E-9</v>
      </c>
      <c r="R1143" s="6">
        <f t="shared" si="252"/>
        <v>3.4078846219260228</v>
      </c>
      <c r="S1143" s="2">
        <f t="shared" si="253"/>
        <v>4.3698205854864562E-7</v>
      </c>
      <c r="T1143" s="2">
        <f t="shared" si="249"/>
        <v>4.2458514734399691E-7</v>
      </c>
      <c r="U1143" s="6">
        <f t="shared" si="254"/>
        <v>3.4077948262406275</v>
      </c>
      <c r="V1143" s="2">
        <f t="shared" si="246"/>
        <v>7.0308808690833873E-7</v>
      </c>
      <c r="W1143" s="2">
        <f t="shared" si="247"/>
        <v>4.2458753563323111E-7</v>
      </c>
    </row>
    <row r="1144" spans="1:23" x14ac:dyDescent="0.45">
      <c r="A1144">
        <v>44.804020000000001</v>
      </c>
      <c r="B1144">
        <v>171.51248000000001</v>
      </c>
      <c r="C1144">
        <v>44.804139999999997</v>
      </c>
      <c r="D1144">
        <v>171.51219</v>
      </c>
      <c r="E1144" s="10">
        <v>26.536999999999999</v>
      </c>
      <c r="F1144" s="10" t="s">
        <v>2894</v>
      </c>
      <c r="G1144" s="10" t="s">
        <v>2895</v>
      </c>
      <c r="H1144" s="10">
        <v>26.537332325645899</v>
      </c>
      <c r="I1144" s="10">
        <v>-59.833500888066403</v>
      </c>
      <c r="J1144" s="10">
        <v>-59.833705246640001</v>
      </c>
      <c r="K1144" s="4">
        <f t="shared" si="255"/>
        <v>300.16649999999998</v>
      </c>
      <c r="L1144" s="4">
        <f t="shared" si="256"/>
        <v>300.16629444444447</v>
      </c>
      <c r="M1144" s="4">
        <f t="shared" si="257"/>
        <v>300.1664991119336</v>
      </c>
      <c r="N1144" s="4">
        <f t="shared" si="258"/>
        <v>300.16629475335998</v>
      </c>
      <c r="O1144" s="3">
        <f t="shared" si="248"/>
        <v>26.53733223612619</v>
      </c>
      <c r="P1144" s="2">
        <f t="shared" si="250"/>
        <v>1.2519731928658905E-5</v>
      </c>
      <c r="Q1144" s="2">
        <f t="shared" si="251"/>
        <v>3.3733499614976899E-9</v>
      </c>
      <c r="R1144" s="6">
        <f t="shared" si="252"/>
        <v>300.16649923370744</v>
      </c>
      <c r="S1144" s="2">
        <f t="shared" si="253"/>
        <v>2.5528916254327019E-9</v>
      </c>
      <c r="T1144" s="2">
        <f t="shared" si="249"/>
        <v>4.0568763535032395E-10</v>
      </c>
      <c r="U1144" s="6">
        <f t="shared" si="254"/>
        <v>300.1662948752936</v>
      </c>
      <c r="V1144" s="2">
        <f t="shared" si="246"/>
        <v>1.4353681109985789E-9</v>
      </c>
      <c r="W1144" s="2">
        <f t="shared" si="247"/>
        <v>4.0622023930672618E-10</v>
      </c>
    </row>
    <row r="1145" spans="1:23" x14ac:dyDescent="0.4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10">
        <v>187.28899999999999</v>
      </c>
      <c r="F1145" s="10" t="s">
        <v>2896</v>
      </c>
      <c r="G1145" s="10" t="s">
        <v>2897</v>
      </c>
      <c r="H1145" s="10">
        <v>187.289035259527</v>
      </c>
      <c r="I1145" s="10">
        <v>-57.900519684211503</v>
      </c>
      <c r="J1145" s="10">
        <v>-57.900636581167099</v>
      </c>
      <c r="K1145" s="4">
        <f t="shared" si="255"/>
        <v>302.09948055555554</v>
      </c>
      <c r="L1145" s="4">
        <f t="shared" si="256"/>
        <v>302.09936388888889</v>
      </c>
      <c r="M1145" s="4">
        <f t="shared" si="257"/>
        <v>302.09948031578847</v>
      </c>
      <c r="N1145" s="4">
        <f t="shared" si="258"/>
        <v>302.09936341883292</v>
      </c>
      <c r="O1145" s="3">
        <f t="shared" si="248"/>
        <v>187.28903029533393</v>
      </c>
      <c r="P1145" s="2">
        <f t="shared" si="250"/>
        <v>1.6175714506901821E-7</v>
      </c>
      <c r="Q1145" s="2">
        <f t="shared" si="251"/>
        <v>2.6505518918401592E-8</v>
      </c>
      <c r="R1145" s="6">
        <f t="shared" si="252"/>
        <v>302.09948126829323</v>
      </c>
      <c r="S1145" s="2">
        <f t="shared" si="253"/>
        <v>2.3592814069897756E-9</v>
      </c>
      <c r="T1145" s="2">
        <f t="shared" si="249"/>
        <v>3.1529506838857298E-9</v>
      </c>
      <c r="U1145" s="6">
        <f t="shared" si="254"/>
        <v>302.0993643713436</v>
      </c>
      <c r="V1145" s="2">
        <f t="shared" si="246"/>
        <v>1.597006702898883E-9</v>
      </c>
      <c r="W1145" s="2">
        <f t="shared" si="247"/>
        <v>3.152971472694506E-9</v>
      </c>
    </row>
    <row r="1146" spans="1:23" x14ac:dyDescent="0.45">
      <c r="A1146">
        <v>0.22126000000000001</v>
      </c>
      <c r="B1146">
        <v>138.36373</v>
      </c>
      <c r="C1146">
        <v>0.219909999999999</v>
      </c>
      <c r="D1146">
        <v>138.36501000000001</v>
      </c>
      <c r="E1146" s="10">
        <v>206.364</v>
      </c>
      <c r="F1146" s="10" t="s">
        <v>2898</v>
      </c>
      <c r="G1146" s="10" t="s">
        <v>2899</v>
      </c>
      <c r="H1146" s="10">
        <v>206.363550600613</v>
      </c>
      <c r="I1146" s="10">
        <v>136.33265011240499</v>
      </c>
      <c r="J1146" s="10">
        <v>136.33265504030899</v>
      </c>
      <c r="K1146" s="4">
        <f t="shared" si="255"/>
        <v>136.33265</v>
      </c>
      <c r="L1146" s="4">
        <f t="shared" si="256"/>
        <v>136.33265555555556</v>
      </c>
      <c r="M1146" s="4">
        <f t="shared" si="257"/>
        <v>136.33265011240496</v>
      </c>
      <c r="N1146" s="4">
        <f t="shared" si="258"/>
        <v>136.33265504030896</v>
      </c>
      <c r="O1146" s="3">
        <f t="shared" si="248"/>
        <v>206.36354690899216</v>
      </c>
      <c r="P1146" s="2">
        <f t="shared" si="250"/>
        <v>2.1955913233001967E-6</v>
      </c>
      <c r="Q1146" s="2">
        <f t="shared" si="251"/>
        <v>1.7888918960153925E-8</v>
      </c>
      <c r="R1146" s="6">
        <f t="shared" si="252"/>
        <v>136.33265119030202</v>
      </c>
      <c r="S1146" s="2">
        <f t="shared" si="253"/>
        <v>8.7308653882609429E-9</v>
      </c>
      <c r="T1146" s="2">
        <f t="shared" si="249"/>
        <v>7.9063749769647374E-9</v>
      </c>
      <c r="U1146" s="6">
        <f t="shared" si="254"/>
        <v>136.33265611820622</v>
      </c>
      <c r="V1146" s="2">
        <f t="shared" si="246"/>
        <v>4.1270424364821902E-9</v>
      </c>
      <c r="W1146" s="2">
        <f t="shared" si="247"/>
        <v>7.906376150492159E-9</v>
      </c>
    </row>
    <row r="1147" spans="1:23" x14ac:dyDescent="0.45">
      <c r="A1147">
        <v>-9.2682300000000009</v>
      </c>
      <c r="B1147">
        <v>175.48542</v>
      </c>
      <c r="C1147">
        <v>-9.2696700000000103</v>
      </c>
      <c r="D1147">
        <v>175.48419000000001</v>
      </c>
      <c r="E1147" s="10">
        <v>208.881</v>
      </c>
      <c r="F1147" s="10" t="s">
        <v>2900</v>
      </c>
      <c r="G1147" s="10" t="s">
        <v>2901</v>
      </c>
      <c r="H1147" s="10">
        <v>208.880659544705</v>
      </c>
      <c r="I1147" s="10">
        <v>-139.683894100787</v>
      </c>
      <c r="J1147" s="10">
        <v>-139.68369598592199</v>
      </c>
      <c r="K1147" s="4">
        <f t="shared" si="255"/>
        <v>220.31610555555557</v>
      </c>
      <c r="L1147" s="4">
        <f t="shared" si="256"/>
        <v>220.31630277777776</v>
      </c>
      <c r="M1147" s="4">
        <f t="shared" si="257"/>
        <v>220.316105899213</v>
      </c>
      <c r="N1147" s="4">
        <f t="shared" si="258"/>
        <v>220.31630401407801</v>
      </c>
      <c r="O1147" s="3">
        <f t="shared" si="248"/>
        <v>208.88065649506166</v>
      </c>
      <c r="P1147" s="2">
        <f t="shared" si="250"/>
        <v>1.6445006407604129E-6</v>
      </c>
      <c r="Q1147" s="2">
        <f t="shared" si="251"/>
        <v>1.4599931589089233E-8</v>
      </c>
      <c r="R1147" s="6">
        <f t="shared" si="252"/>
        <v>220.31610491422313</v>
      </c>
      <c r="S1147" s="2">
        <f t="shared" si="253"/>
        <v>2.910964827800594E-9</v>
      </c>
      <c r="T1147" s="2">
        <f t="shared" si="249"/>
        <v>4.4708028195543619E-9</v>
      </c>
      <c r="U1147" s="6">
        <f t="shared" si="254"/>
        <v>220.31630302906581</v>
      </c>
      <c r="V1147" s="2">
        <f t="shared" si="246"/>
        <v>1.1405785211998092E-9</v>
      </c>
      <c r="W1147" s="2">
        <f t="shared" si="247"/>
        <v>4.4709001965106937E-9</v>
      </c>
    </row>
    <row r="1148" spans="1:23" x14ac:dyDescent="0.4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10">
        <v>159.93199999999999</v>
      </c>
      <c r="F1148" s="10" t="s">
        <v>2902</v>
      </c>
      <c r="G1148" s="10" t="s">
        <v>2903</v>
      </c>
      <c r="H1148" s="10">
        <v>159.93204327351299</v>
      </c>
      <c r="I1148" s="10">
        <v>-131.21841118115799</v>
      </c>
      <c r="J1148" s="10">
        <v>-131.219153300041</v>
      </c>
      <c r="K1148" s="4">
        <f t="shared" si="255"/>
        <v>228.78158888888888</v>
      </c>
      <c r="L1148" s="4">
        <f t="shared" si="256"/>
        <v>228.78084722222223</v>
      </c>
      <c r="M1148" s="4">
        <f t="shared" si="257"/>
        <v>228.78158881884201</v>
      </c>
      <c r="N1148" s="4">
        <f t="shared" si="258"/>
        <v>228.780846699959</v>
      </c>
      <c r="O1148" s="3">
        <f t="shared" si="248"/>
        <v>159.93204217889226</v>
      </c>
      <c r="P1148" s="2">
        <f t="shared" si="250"/>
        <v>2.6373016202013604E-7</v>
      </c>
      <c r="Q1148" s="2">
        <f t="shared" si="251"/>
        <v>6.8442865224285857E-9</v>
      </c>
      <c r="R1148" s="6">
        <f t="shared" si="252"/>
        <v>228.7815884818348</v>
      </c>
      <c r="S1148" s="2">
        <f t="shared" si="253"/>
        <v>1.7792256622572501E-9</v>
      </c>
      <c r="T1148" s="2">
        <f t="shared" si="249"/>
        <v>1.4730521352603467E-9</v>
      </c>
      <c r="U1148" s="6">
        <f t="shared" si="254"/>
        <v>228.78084636297481</v>
      </c>
      <c r="V1148" s="2">
        <f t="shared" si="246"/>
        <v>3.7557664117915562E-9</v>
      </c>
      <c r="W1148" s="2">
        <f t="shared" si="247"/>
        <v>1.4729562863064254E-9</v>
      </c>
    </row>
    <row r="1149" spans="1:23" x14ac:dyDescent="0.45">
      <c r="A1149">
        <v>-35.9223</v>
      </c>
      <c r="B1149">
        <v>-25.483509999999999</v>
      </c>
      <c r="C1149">
        <v>-35.923110000000001</v>
      </c>
      <c r="D1149">
        <v>-25.48197</v>
      </c>
      <c r="E1149" s="10">
        <v>165.51499999999999</v>
      </c>
      <c r="F1149" s="10" t="s">
        <v>2904</v>
      </c>
      <c r="G1149" s="10" t="s">
        <v>2905</v>
      </c>
      <c r="H1149" s="10">
        <v>165.514773249814</v>
      </c>
      <c r="I1149" s="10">
        <v>122.889005055768</v>
      </c>
      <c r="J1149" s="10">
        <v>122.888101548069</v>
      </c>
      <c r="K1149" s="4">
        <f t="shared" si="255"/>
        <v>122.88900555555556</v>
      </c>
      <c r="L1149" s="4">
        <f t="shared" si="256"/>
        <v>122.88810277777776</v>
      </c>
      <c r="M1149" s="4">
        <f t="shared" si="257"/>
        <v>122.889005055768</v>
      </c>
      <c r="N1149" s="4">
        <f t="shared" si="258"/>
        <v>122.88810154806902</v>
      </c>
      <c r="O1149" s="3">
        <f t="shared" si="248"/>
        <v>165.51477201486955</v>
      </c>
      <c r="P1149" s="2">
        <f t="shared" si="250"/>
        <v>1.3774288157359549E-6</v>
      </c>
      <c r="Q1149" s="2">
        <f t="shared" si="251"/>
        <v>7.4612339713063502E-9</v>
      </c>
      <c r="R1149" s="6">
        <f t="shared" si="252"/>
        <v>122.88900533447855</v>
      </c>
      <c r="S1149" s="2">
        <f t="shared" si="253"/>
        <v>1.7989974045186948E-9</v>
      </c>
      <c r="T1149" s="2">
        <f t="shared" si="249"/>
        <v>2.2679861270393949E-9</v>
      </c>
      <c r="U1149" s="6">
        <f t="shared" si="254"/>
        <v>122.88810182680901</v>
      </c>
      <c r="V1149" s="2">
        <f t="shared" si="246"/>
        <v>7.738493254544357E-9</v>
      </c>
      <c r="W1149" s="2">
        <f t="shared" si="247"/>
        <v>2.2682422936059347E-9</v>
      </c>
    </row>
    <row r="1150" spans="1:23" x14ac:dyDescent="0.45">
      <c r="A1150">
        <v>-48.673439999999999</v>
      </c>
      <c r="B1150">
        <v>131.04128</v>
      </c>
      <c r="C1150">
        <v>-48.67351</v>
      </c>
      <c r="D1150">
        <v>131.04103000000001</v>
      </c>
      <c r="E1150" s="10">
        <v>19.989999999999998</v>
      </c>
      <c r="F1150" s="10" t="s">
        <v>2906</v>
      </c>
      <c r="G1150" s="10" t="s">
        <v>2907</v>
      </c>
      <c r="H1150" s="10">
        <v>19.990109850095799</v>
      </c>
      <c r="I1150" s="10">
        <v>-112.917543864244</v>
      </c>
      <c r="J1150" s="10">
        <v>-112.917356124618</v>
      </c>
      <c r="K1150" s="4">
        <f t="shared" si="255"/>
        <v>247.08245555555555</v>
      </c>
      <c r="L1150" s="4">
        <f t="shared" si="256"/>
        <v>247.08264444444444</v>
      </c>
      <c r="M1150" s="4">
        <f t="shared" si="257"/>
        <v>247.08245613575599</v>
      </c>
      <c r="N1150" s="4">
        <f t="shared" si="258"/>
        <v>247.08264387538202</v>
      </c>
      <c r="O1150" s="3">
        <f t="shared" si="248"/>
        <v>19.990109795541205</v>
      </c>
      <c r="P1150" s="2">
        <f t="shared" si="250"/>
        <v>5.4925233219800473E-6</v>
      </c>
      <c r="Q1150" s="2">
        <f t="shared" si="251"/>
        <v>2.7290792367066649E-9</v>
      </c>
      <c r="R1150" s="6">
        <f t="shared" si="252"/>
        <v>247.08245606657033</v>
      </c>
      <c r="S1150" s="2">
        <f t="shared" si="253"/>
        <v>2.0681953084647722E-9</v>
      </c>
      <c r="T1150" s="2">
        <f t="shared" si="249"/>
        <v>2.8001041008668616E-10</v>
      </c>
      <c r="U1150" s="6">
        <f t="shared" si="254"/>
        <v>247.08264380589486</v>
      </c>
      <c r="V1150" s="2">
        <f t="shared" si="246"/>
        <v>2.5843562621345572E-9</v>
      </c>
      <c r="W1150" s="2">
        <f t="shared" si="247"/>
        <v>2.8123042667652031E-10</v>
      </c>
    </row>
    <row r="1151" spans="1:23" x14ac:dyDescent="0.45">
      <c r="A1151">
        <v>77.376769999999993</v>
      </c>
      <c r="B1151">
        <v>128.91503</v>
      </c>
      <c r="C1151">
        <v>77.37576</v>
      </c>
      <c r="D1151">
        <v>128.91604000000001</v>
      </c>
      <c r="E1151" s="10">
        <v>115.42</v>
      </c>
      <c r="F1151" s="10" t="s">
        <v>2908</v>
      </c>
      <c r="G1151" s="10" t="s">
        <v>2909</v>
      </c>
      <c r="H1151" s="10">
        <v>115.419550552698</v>
      </c>
      <c r="I1151" s="10">
        <v>167.667645988033</v>
      </c>
      <c r="J1151" s="10">
        <v>167.66863157260701</v>
      </c>
      <c r="K1151" s="4">
        <f t="shared" si="255"/>
        <v>167.66764722222223</v>
      </c>
      <c r="L1151" s="4">
        <f t="shared" si="256"/>
        <v>167.66863055555564</v>
      </c>
      <c r="M1151" s="4">
        <f t="shared" si="257"/>
        <v>167.66764598803297</v>
      </c>
      <c r="N1151" s="4">
        <f t="shared" si="258"/>
        <v>167.66863157260696</v>
      </c>
      <c r="O1151" s="3">
        <f t="shared" si="248"/>
        <v>115.41955042775859</v>
      </c>
      <c r="P1151" s="2">
        <f t="shared" si="250"/>
        <v>3.895098262066681E-6</v>
      </c>
      <c r="Q1151" s="2">
        <f t="shared" si="251"/>
        <v>1.0824804290227691E-9</v>
      </c>
      <c r="R1151" s="6">
        <f t="shared" si="252"/>
        <v>167.66764629848822</v>
      </c>
      <c r="S1151" s="2">
        <f t="shared" si="253"/>
        <v>5.5093157321816392E-9</v>
      </c>
      <c r="T1151" s="2">
        <f t="shared" si="249"/>
        <v>1.8516109487586694E-9</v>
      </c>
      <c r="U1151" s="6">
        <f t="shared" si="254"/>
        <v>167.66863188303765</v>
      </c>
      <c r="V1151" s="2">
        <f t="shared" si="246"/>
        <v>7.9172950010953629E-9</v>
      </c>
      <c r="W1151" s="2">
        <f t="shared" si="247"/>
        <v>1.8514536070073319E-9</v>
      </c>
    </row>
    <row r="1152" spans="1:23" x14ac:dyDescent="0.4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10">
        <v>46.036000000000001</v>
      </c>
      <c r="F1152" s="10" t="s">
        <v>2910</v>
      </c>
      <c r="G1152" s="10" t="s">
        <v>2911</v>
      </c>
      <c r="H1152" s="10">
        <v>46.035839242145698</v>
      </c>
      <c r="I1152" s="10">
        <v>5.8786358397687302</v>
      </c>
      <c r="J1152" s="10">
        <v>5.8775866885577104</v>
      </c>
      <c r="K1152" s="4">
        <f t="shared" si="255"/>
        <v>5.8786361111111107</v>
      </c>
      <c r="L1152" s="4">
        <f t="shared" si="256"/>
        <v>5.8775861111110999</v>
      </c>
      <c r="M1152" s="4">
        <f t="shared" si="257"/>
        <v>5.8786358397687195</v>
      </c>
      <c r="N1152" s="4">
        <f t="shared" si="258"/>
        <v>5.8775866885576988</v>
      </c>
      <c r="O1152" s="3">
        <f t="shared" si="248"/>
        <v>46.03583921900541</v>
      </c>
      <c r="P1152" s="2">
        <f t="shared" si="250"/>
        <v>3.4925057474788563E-6</v>
      </c>
      <c r="Q1152" s="2">
        <f t="shared" si="251"/>
        <v>5.0265810918199691E-10</v>
      </c>
      <c r="R1152" s="6">
        <f t="shared" si="252"/>
        <v>5.8786358396982061</v>
      </c>
      <c r="S1152" s="2">
        <f t="shared" si="253"/>
        <v>4.6169366408399231E-8</v>
      </c>
      <c r="T1152" s="2">
        <f t="shared" si="249"/>
        <v>1.1994853030594734E-11</v>
      </c>
      <c r="U1152" s="6">
        <f t="shared" si="254"/>
        <v>5.8775866884839214</v>
      </c>
      <c r="V1152" s="2">
        <f t="shared" si="246"/>
        <v>9.8232983853956007E-8</v>
      </c>
      <c r="W1152" s="2">
        <f t="shared" si="247"/>
        <v>1.2552333554592769E-11</v>
      </c>
    </row>
    <row r="1153" spans="1:23" x14ac:dyDescent="0.4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10">
        <v>172.08199999999999</v>
      </c>
      <c r="F1153" s="10" t="s">
        <v>2912</v>
      </c>
      <c r="G1153" s="10" t="s">
        <v>2913</v>
      </c>
      <c r="H1153" s="10">
        <v>172.082156958002</v>
      </c>
      <c r="I1153" s="10">
        <v>1.7327650117729401</v>
      </c>
      <c r="J1153" s="10">
        <v>1.73191628876243</v>
      </c>
      <c r="K1153" s="4">
        <f t="shared" si="255"/>
        <v>1.732763888888889</v>
      </c>
      <c r="L1153" s="4">
        <f t="shared" si="256"/>
        <v>1.7319166666666774</v>
      </c>
      <c r="M1153" s="4">
        <f t="shared" si="257"/>
        <v>1.7327650117729263</v>
      </c>
      <c r="N1153" s="4">
        <f t="shared" si="258"/>
        <v>1.7319162887624202</v>
      </c>
      <c r="O1153" s="3">
        <f t="shared" si="248"/>
        <v>172.08215687438866</v>
      </c>
      <c r="P1153" s="2">
        <f t="shared" si="250"/>
        <v>9.116257869217794E-7</v>
      </c>
      <c r="Q1153" s="2">
        <f t="shared" si="251"/>
        <v>4.8589200229894676E-10</v>
      </c>
      <c r="R1153" s="6">
        <f t="shared" si="252"/>
        <v>1.7327650115310476</v>
      </c>
      <c r="S1153" s="2">
        <f t="shared" si="253"/>
        <v>6.4789101721671295E-7</v>
      </c>
      <c r="T1153" s="2">
        <f t="shared" si="249"/>
        <v>1.3959119535341657E-10</v>
      </c>
      <c r="U1153" s="6">
        <f t="shared" si="254"/>
        <v>1.7319162885203898</v>
      </c>
      <c r="V1153" s="2">
        <f t="shared" si="246"/>
        <v>2.1833977055260352E-7</v>
      </c>
      <c r="W1153" s="2">
        <f t="shared" si="247"/>
        <v>1.3974716751354754E-10</v>
      </c>
    </row>
    <row r="1154" spans="1:23" x14ac:dyDescent="0.45">
      <c r="A1154">
        <v>22.32029</v>
      </c>
      <c r="B1154">
        <v>82.590350000000001</v>
      </c>
      <c r="C1154">
        <v>22.319189999999999</v>
      </c>
      <c r="D1154">
        <v>82.589699999999993</v>
      </c>
      <c r="E1154" s="10">
        <v>139.00399999999999</v>
      </c>
      <c r="F1154" s="10" t="s">
        <v>2914</v>
      </c>
      <c r="G1154" s="10" t="s">
        <v>2915</v>
      </c>
      <c r="H1154" s="10">
        <v>139.00373887609101</v>
      </c>
      <c r="I1154" s="10">
        <v>-151.19830977684899</v>
      </c>
      <c r="J1154" s="10">
        <v>-151.19855663053201</v>
      </c>
      <c r="K1154" s="4">
        <f t="shared" si="255"/>
        <v>208.80168888888889</v>
      </c>
      <c r="L1154" s="4">
        <f t="shared" si="256"/>
        <v>208.80144444444446</v>
      </c>
      <c r="M1154" s="4">
        <f t="shared" si="257"/>
        <v>208.80169022315101</v>
      </c>
      <c r="N1154" s="4">
        <f t="shared" si="258"/>
        <v>208.80144336946799</v>
      </c>
      <c r="O1154" s="3">
        <f t="shared" si="248"/>
        <v>139.00373807970252</v>
      </c>
      <c r="P1154" s="2">
        <f t="shared" si="250"/>
        <v>1.8842644634372126E-6</v>
      </c>
      <c r="Q1154" s="2">
        <f t="shared" si="251"/>
        <v>5.7292594975677072E-9</v>
      </c>
      <c r="R1154" s="6">
        <f t="shared" si="252"/>
        <v>208.80168965075885</v>
      </c>
      <c r="S1154" s="2">
        <f t="shared" si="253"/>
        <v>3.6487729559181722E-9</v>
      </c>
      <c r="T1154" s="2">
        <f t="shared" si="249"/>
        <v>2.7413196072786601E-9</v>
      </c>
      <c r="U1154" s="6">
        <f t="shared" si="254"/>
        <v>208.80144279708506</v>
      </c>
      <c r="V1154" s="2">
        <f t="shared" si="246"/>
        <v>7.8895977071511276E-9</v>
      </c>
      <c r="W1154" s="2">
        <f t="shared" si="247"/>
        <v>2.7412786097137712E-9</v>
      </c>
    </row>
    <row r="1155" spans="1:23" x14ac:dyDescent="0.4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10">
        <v>182.303</v>
      </c>
      <c r="F1155" s="10" t="s">
        <v>2916</v>
      </c>
      <c r="G1155" s="10" t="s">
        <v>2917</v>
      </c>
      <c r="H1155" s="10">
        <v>182.30283450375501</v>
      </c>
      <c r="I1155" s="10">
        <v>-44.576309339734102</v>
      </c>
      <c r="J1155" s="10">
        <v>-44.575423508333103</v>
      </c>
      <c r="K1155" s="4">
        <f t="shared" si="255"/>
        <v>315.42369166666668</v>
      </c>
      <c r="L1155" s="4">
        <f t="shared" si="256"/>
        <v>315.42457777777781</v>
      </c>
      <c r="M1155" s="4">
        <f t="shared" si="257"/>
        <v>315.42369066026589</v>
      </c>
      <c r="N1155" s="4">
        <f t="shared" si="258"/>
        <v>315.42457649166693</v>
      </c>
      <c r="O1155" s="3">
        <f t="shared" si="248"/>
        <v>182.30283365595594</v>
      </c>
      <c r="P1155" s="2">
        <f t="shared" si="250"/>
        <v>9.1245916995829216E-7</v>
      </c>
      <c r="Q1155" s="2">
        <f t="shared" si="251"/>
        <v>4.6504985736646906E-9</v>
      </c>
      <c r="R1155" s="6">
        <f t="shared" si="252"/>
        <v>315.42369092813544</v>
      </c>
      <c r="S1155" s="2">
        <f t="shared" si="253"/>
        <v>2.3413943245450019E-9</v>
      </c>
      <c r="T1155" s="2">
        <f t="shared" si="249"/>
        <v>8.4923726482483527E-10</v>
      </c>
      <c r="U1155" s="6">
        <f t="shared" si="254"/>
        <v>315.42457675952988</v>
      </c>
      <c r="V1155" s="2">
        <f t="shared" si="246"/>
        <v>3.228181950230688E-9</v>
      </c>
      <c r="W1155" s="2">
        <f t="shared" si="247"/>
        <v>8.4921397520769237E-10</v>
      </c>
    </row>
    <row r="1156" spans="1:23" x14ac:dyDescent="0.4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10">
        <v>58.570999999999998</v>
      </c>
      <c r="F1156" s="10" t="s">
        <v>2918</v>
      </c>
      <c r="G1156" s="10" t="s">
        <v>2919</v>
      </c>
      <c r="H1156" s="10">
        <v>58.570633754873697</v>
      </c>
      <c r="I1156" s="10">
        <v>90.000556233595702</v>
      </c>
      <c r="J1156" s="10">
        <v>89.999443766404298</v>
      </c>
      <c r="K1156" s="4">
        <f t="shared" si="255"/>
        <v>90.00055555555555</v>
      </c>
      <c r="L1156" s="4">
        <f t="shared" si="256"/>
        <v>89.999444444444464</v>
      </c>
      <c r="M1156" s="4">
        <f t="shared" si="257"/>
        <v>90.000556233595717</v>
      </c>
      <c r="N1156" s="4">
        <f t="shared" si="258"/>
        <v>89.999443766404283</v>
      </c>
      <c r="O1156" s="3">
        <f t="shared" si="248"/>
        <v>58.570633724604839</v>
      </c>
      <c r="P1156" s="2">
        <f t="shared" si="250"/>
        <v>6.2535281138919614E-6</v>
      </c>
      <c r="Q1156" s="2">
        <f t="shared" si="251"/>
        <v>5.167923872780247E-10</v>
      </c>
      <c r="R1156" s="6">
        <f t="shared" si="252"/>
        <v>90.000556233584518</v>
      </c>
      <c r="S1156" s="2">
        <f t="shared" si="253"/>
        <v>7.5336086971524944E-9</v>
      </c>
      <c r="T1156" s="2">
        <f t="shared" si="249"/>
        <v>1.2442315896931195E-13</v>
      </c>
      <c r="U1156" s="6">
        <f t="shared" si="254"/>
        <v>89.999443766415482</v>
      </c>
      <c r="V1156" s="2">
        <f t="shared" si="246"/>
        <v>7.5337018631407566E-9</v>
      </c>
      <c r="W1156" s="2">
        <f t="shared" si="247"/>
        <v>1.2442469694195283E-13</v>
      </c>
    </row>
    <row r="1157" spans="1:23" x14ac:dyDescent="0.45">
      <c r="A1157">
        <v>-45.503100000000003</v>
      </c>
      <c r="B1157">
        <v>130.99893</v>
      </c>
      <c r="C1157">
        <v>-45.50177</v>
      </c>
      <c r="D1157">
        <v>130.99808999999999</v>
      </c>
      <c r="E1157" s="10">
        <v>161.74100000000001</v>
      </c>
      <c r="F1157" s="10" t="s">
        <v>2920</v>
      </c>
      <c r="G1157" s="10" t="s">
        <v>2921</v>
      </c>
      <c r="H1157" s="10">
        <v>161.74106383042599</v>
      </c>
      <c r="I1157" s="10">
        <v>-23.9475452848183</v>
      </c>
      <c r="J1157" s="10">
        <v>-23.946946129419899</v>
      </c>
      <c r="K1157" s="4">
        <f t="shared" si="255"/>
        <v>336.05245555555558</v>
      </c>
      <c r="L1157" s="4">
        <f t="shared" si="256"/>
        <v>336.05305277777779</v>
      </c>
      <c r="M1157" s="4">
        <f t="shared" si="257"/>
        <v>336.05245471518168</v>
      </c>
      <c r="N1157" s="4">
        <f t="shared" si="258"/>
        <v>336.05305387058013</v>
      </c>
      <c r="O1157" s="3">
        <f t="shared" si="248"/>
        <v>161.74106370671518</v>
      </c>
      <c r="P1157" s="2">
        <f t="shared" si="250"/>
        <v>3.9388105160225263E-7</v>
      </c>
      <c r="Q1157" s="2">
        <f t="shared" si="251"/>
        <v>7.6486949093644463E-10</v>
      </c>
      <c r="R1157" s="6">
        <f t="shared" si="252"/>
        <v>336.05245480922991</v>
      </c>
      <c r="S1157" s="2">
        <f t="shared" si="253"/>
        <v>2.2208606293299281E-9</v>
      </c>
      <c r="T1157" s="2">
        <f t="shared" si="249"/>
        <v>2.7986176263101744E-10</v>
      </c>
      <c r="U1157" s="6">
        <f t="shared" si="254"/>
        <v>336.05305396466503</v>
      </c>
      <c r="V1157" s="2">
        <f t="shared" si="246"/>
        <v>3.5318448151007065E-9</v>
      </c>
      <c r="W1157" s="2">
        <f t="shared" si="247"/>
        <v>2.7997036549612746E-10</v>
      </c>
    </row>
    <row r="1158" spans="1:23" x14ac:dyDescent="0.4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10">
        <v>132.13</v>
      </c>
      <c r="F1158" s="10" t="s">
        <v>2922</v>
      </c>
      <c r="G1158" s="10" t="s">
        <v>2923</v>
      </c>
      <c r="H1158" s="10">
        <v>132.12990705649599</v>
      </c>
      <c r="I1158" s="10">
        <v>0.37125699599394402</v>
      </c>
      <c r="J1158" s="10">
        <v>0.37126339997410301</v>
      </c>
      <c r="K1158" s="4">
        <f t="shared" si="255"/>
        <v>0.3712583333333333</v>
      </c>
      <c r="L1158" s="4">
        <f t="shared" si="256"/>
        <v>0.37126388888884776</v>
      </c>
      <c r="M1158" s="4">
        <f t="shared" si="257"/>
        <v>0.37125699599391737</v>
      </c>
      <c r="N1158" s="4">
        <f t="shared" si="258"/>
        <v>0.37126339997411151</v>
      </c>
      <c r="O1158" s="3">
        <f t="shared" si="248"/>
        <v>132.12990700859464</v>
      </c>
      <c r="P1158" s="2">
        <f t="shared" si="250"/>
        <v>7.0378721980552955E-7</v>
      </c>
      <c r="Q1158" s="2">
        <f t="shared" si="251"/>
        <v>3.6253224788558473E-10</v>
      </c>
      <c r="R1158" s="6">
        <f t="shared" si="252"/>
        <v>0.37125553780470594</v>
      </c>
      <c r="S1158" s="2">
        <f t="shared" si="253"/>
        <v>7.5298744199609057E-6</v>
      </c>
      <c r="T1158" s="2">
        <f t="shared" si="249"/>
        <v>3.9277083722832427E-6</v>
      </c>
      <c r="U1158" s="6">
        <f t="shared" si="254"/>
        <v>0.37126194176023525</v>
      </c>
      <c r="V1158" s="2">
        <f t="shared" si="246"/>
        <v>5.2445946691427917E-6</v>
      </c>
      <c r="W1158" s="2">
        <f t="shared" si="247"/>
        <v>3.9277070574730918E-6</v>
      </c>
    </row>
    <row r="1159" spans="1:23" x14ac:dyDescent="0.45">
      <c r="A1159">
        <v>-59.94482</v>
      </c>
      <c r="B1159">
        <v>-99.664619999999999</v>
      </c>
      <c r="C1159">
        <v>-59.9452</v>
      </c>
      <c r="D1159">
        <v>-99.666079999999994</v>
      </c>
      <c r="E1159" s="10">
        <v>91.932000000000002</v>
      </c>
      <c r="F1159" s="10" t="s">
        <v>2924</v>
      </c>
      <c r="G1159" s="10" t="s">
        <v>2925</v>
      </c>
      <c r="H1159" s="10">
        <v>91.931713456913798</v>
      </c>
      <c r="I1159" s="10">
        <v>-117.42124377600901</v>
      </c>
      <c r="J1159" s="10">
        <v>-117.41998008012401</v>
      </c>
      <c r="K1159" s="4">
        <f t="shared" si="255"/>
        <v>242.57875555555555</v>
      </c>
      <c r="L1159" s="4">
        <f t="shared" si="256"/>
        <v>242.58001944444445</v>
      </c>
      <c r="M1159" s="4">
        <f t="shared" si="257"/>
        <v>242.57875622399098</v>
      </c>
      <c r="N1159" s="4">
        <f t="shared" si="258"/>
        <v>242.58001991987601</v>
      </c>
      <c r="O1159" s="3">
        <f t="shared" si="248"/>
        <v>91.931714369941957</v>
      </c>
      <c r="P1159" s="2">
        <f t="shared" si="250"/>
        <v>3.1069710007909851E-6</v>
      </c>
      <c r="Q1159" s="2">
        <f t="shared" si="251"/>
        <v>9.9315908015954059E-9</v>
      </c>
      <c r="R1159" s="6">
        <f t="shared" si="252"/>
        <v>242.57875620984805</v>
      </c>
      <c r="S1159" s="2">
        <f t="shared" si="253"/>
        <v>2.6972374596380005E-9</v>
      </c>
      <c r="T1159" s="2">
        <f t="shared" si="249"/>
        <v>5.8302412996973745E-11</v>
      </c>
      <c r="U1159" s="6">
        <f t="shared" si="254"/>
        <v>242.58001990573993</v>
      </c>
      <c r="V1159" s="2">
        <f t="shared" si="246"/>
        <v>1.9016219325153421E-9</v>
      </c>
      <c r="W1159" s="2">
        <f t="shared" si="247"/>
        <v>5.8273872688936807E-11</v>
      </c>
    </row>
    <row r="1160" spans="1:23" x14ac:dyDescent="0.45">
      <c r="A1160">
        <v>-38.392989999999998</v>
      </c>
      <c r="B1160">
        <v>-137.47413</v>
      </c>
      <c r="C1160">
        <v>-38.393360000000001</v>
      </c>
      <c r="D1160">
        <v>-137.47548</v>
      </c>
      <c r="E1160" s="10">
        <v>124.88500000000001</v>
      </c>
      <c r="F1160" s="10" t="s">
        <v>2926</v>
      </c>
      <c r="G1160" s="10" t="s">
        <v>2927</v>
      </c>
      <c r="H1160" s="10">
        <v>124.88485486063399</v>
      </c>
      <c r="I1160" s="10">
        <v>-109.200900427881</v>
      </c>
      <c r="J1160" s="10">
        <v>-109.20006200441</v>
      </c>
      <c r="K1160" s="4">
        <f t="shared" si="255"/>
        <v>250.79910000000001</v>
      </c>
      <c r="L1160" s="4">
        <f t="shared" si="256"/>
        <v>250.7999388888889</v>
      </c>
      <c r="M1160" s="4">
        <f t="shared" si="257"/>
        <v>250.79909957211902</v>
      </c>
      <c r="N1160" s="4">
        <f t="shared" si="258"/>
        <v>250.79993799559</v>
      </c>
      <c r="O1160" s="3">
        <f t="shared" si="248"/>
        <v>124.88485388556613</v>
      </c>
      <c r="P1160" s="2">
        <f t="shared" si="250"/>
        <v>1.1699918635128313E-6</v>
      </c>
      <c r="Q1160" s="2">
        <f t="shared" si="251"/>
        <v>7.8077350851251926E-9</v>
      </c>
      <c r="R1160" s="6">
        <f t="shared" si="252"/>
        <v>250.79909941534868</v>
      </c>
      <c r="S1160" s="2">
        <f t="shared" si="253"/>
        <v>2.3311540264377915E-9</v>
      </c>
      <c r="T1160" s="2">
        <f t="shared" si="249"/>
        <v>6.2508334749409429E-10</v>
      </c>
      <c r="U1160" s="6">
        <f t="shared" si="254"/>
        <v>250.79993783881375</v>
      </c>
      <c r="V1160" s="2">
        <f t="shared" si="246"/>
        <v>4.1869035549591343E-9</v>
      </c>
      <c r="W1160" s="2">
        <f t="shared" si="247"/>
        <v>6.2510482928174837E-10</v>
      </c>
    </row>
    <row r="1161" spans="1:23" x14ac:dyDescent="0.45">
      <c r="A1161">
        <v>23.46829</v>
      </c>
      <c r="B1161">
        <v>39.082700000000003</v>
      </c>
      <c r="C1161">
        <v>23.468820000000001</v>
      </c>
      <c r="D1161">
        <v>39.083289999999998</v>
      </c>
      <c r="E1161" s="10">
        <v>84.135999999999996</v>
      </c>
      <c r="F1161" s="10" t="s">
        <v>2928</v>
      </c>
      <c r="G1161" s="10" t="s">
        <v>2929</v>
      </c>
      <c r="H1161" s="10">
        <v>84.135673680788003</v>
      </c>
      <c r="I1161" s="10">
        <v>45.7605746399284</v>
      </c>
      <c r="J1161" s="10">
        <v>45.760809604896799</v>
      </c>
      <c r="K1161" s="4">
        <f t="shared" si="255"/>
        <v>45.760575000000003</v>
      </c>
      <c r="L1161" s="4">
        <f t="shared" si="256"/>
        <v>45.76080833333333</v>
      </c>
      <c r="M1161" s="4">
        <f t="shared" si="257"/>
        <v>45.760574639928393</v>
      </c>
      <c r="N1161" s="4">
        <f t="shared" si="258"/>
        <v>45.760809604896792</v>
      </c>
      <c r="O1161" s="3">
        <f t="shared" si="248"/>
        <v>84.135672699114224</v>
      </c>
      <c r="P1161" s="2">
        <f t="shared" si="250"/>
        <v>3.8901407931422891E-6</v>
      </c>
      <c r="Q1161" s="2">
        <f t="shared" si="251"/>
        <v>1.1667747291535171E-8</v>
      </c>
      <c r="R1161" s="6">
        <f t="shared" si="252"/>
        <v>45.760573993312974</v>
      </c>
      <c r="S1161" s="2">
        <f t="shared" si="253"/>
        <v>2.1999003046799972E-8</v>
      </c>
      <c r="T1161" s="2">
        <f t="shared" si="249"/>
        <v>1.4130404263376107E-8</v>
      </c>
      <c r="U1161" s="6">
        <f t="shared" si="254"/>
        <v>45.760808958368834</v>
      </c>
      <c r="V1161" s="2">
        <f t="shared" si="246"/>
        <v>1.36587513858937E-8</v>
      </c>
      <c r="W1161" s="2">
        <f t="shared" si="247"/>
        <v>1.4128420451111425E-8</v>
      </c>
    </row>
    <row r="1162" spans="1:23" x14ac:dyDescent="0.4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10">
        <v>75.548000000000002</v>
      </c>
      <c r="F1162" s="10" t="s">
        <v>2930</v>
      </c>
      <c r="G1162" s="10" t="s">
        <v>2931</v>
      </c>
      <c r="H1162" s="10">
        <v>75.547929349103995</v>
      </c>
      <c r="I1162" s="10">
        <v>126.08000691581999</v>
      </c>
      <c r="J1162" s="10">
        <v>126.07935665724099</v>
      </c>
      <c r="K1162" s="4">
        <f t="shared" si="255"/>
        <v>126.08000555555556</v>
      </c>
      <c r="L1162" s="4">
        <f t="shared" si="256"/>
        <v>126.07935555555554</v>
      </c>
      <c r="M1162" s="4">
        <f t="shared" si="257"/>
        <v>126.08000691581998</v>
      </c>
      <c r="N1162" s="4">
        <f t="shared" si="258"/>
        <v>126.07935665724096</v>
      </c>
      <c r="O1162" s="3">
        <f t="shared" si="248"/>
        <v>75.547929228836253</v>
      </c>
      <c r="P1162" s="2">
        <f t="shared" si="250"/>
        <v>9.3677084434892811E-7</v>
      </c>
      <c r="Q1162" s="2">
        <f t="shared" si="251"/>
        <v>1.5919396265108266E-9</v>
      </c>
      <c r="R1162" s="6">
        <f t="shared" si="252"/>
        <v>126.08000698880943</v>
      </c>
      <c r="S1162" s="2">
        <f t="shared" si="253"/>
        <v>1.1367812563348237E-8</v>
      </c>
      <c r="T1162" s="2">
        <f t="shared" si="249"/>
        <v>5.7891376050161816E-10</v>
      </c>
      <c r="U1162" s="6">
        <f t="shared" si="254"/>
        <v>126.07935673032721</v>
      </c>
      <c r="V1162" s="2">
        <f t="shared" si="246"/>
        <v>9.3177163161409027E-9</v>
      </c>
      <c r="W1162" s="2">
        <f t="shared" si="247"/>
        <v>5.7968443841179082E-10</v>
      </c>
    </row>
    <row r="1163" spans="1:23" x14ac:dyDescent="0.45">
      <c r="A1163">
        <v>-42.444540000000003</v>
      </c>
      <c r="B1163">
        <v>137.55591000000001</v>
      </c>
      <c r="C1163">
        <v>-42.44388</v>
      </c>
      <c r="D1163">
        <v>137.55475000000001</v>
      </c>
      <c r="E1163" s="10">
        <v>120.345</v>
      </c>
      <c r="F1163" s="10" t="s">
        <v>2932</v>
      </c>
      <c r="G1163" s="10" t="s">
        <v>2933</v>
      </c>
      <c r="H1163" s="10">
        <v>120.344925027401</v>
      </c>
      <c r="I1163" s="10">
        <v>-52.468749284443803</v>
      </c>
      <c r="J1163" s="10">
        <v>-52.467966432939598</v>
      </c>
      <c r="K1163" s="4">
        <f t="shared" si="255"/>
        <v>307.53125</v>
      </c>
      <c r="L1163" s="4">
        <f t="shared" si="256"/>
        <v>307.53203333333335</v>
      </c>
      <c r="M1163" s="4">
        <f t="shared" si="257"/>
        <v>307.53125071555621</v>
      </c>
      <c r="N1163" s="4">
        <f t="shared" si="258"/>
        <v>307.53203356706041</v>
      </c>
      <c r="O1163" s="3">
        <f t="shared" si="248"/>
        <v>120.34492457764077</v>
      </c>
      <c r="P1163" s="2">
        <f t="shared" si="250"/>
        <v>6.2671784644954062E-7</v>
      </c>
      <c r="Q1163" s="2">
        <f t="shared" si="251"/>
        <v>3.7372596813938823E-9</v>
      </c>
      <c r="R1163" s="6">
        <f t="shared" si="252"/>
        <v>307.53125088405437</v>
      </c>
      <c r="S1163" s="2">
        <f t="shared" si="253"/>
        <v>2.8746814277194748E-9</v>
      </c>
      <c r="T1163" s="2">
        <f t="shared" si="249"/>
        <v>5.4790581708204162E-10</v>
      </c>
      <c r="U1163" s="6">
        <f t="shared" si="254"/>
        <v>307.53203373565981</v>
      </c>
      <c r="V1163" s="2">
        <f t="shared" si="246"/>
        <v>1.3082424596197556E-9</v>
      </c>
      <c r="W1163" s="2">
        <f t="shared" si="247"/>
        <v>5.482336177307375E-10</v>
      </c>
    </row>
    <row r="1164" spans="1:23" x14ac:dyDescent="0.45">
      <c r="A1164">
        <v>24.297070000000001</v>
      </c>
      <c r="B1164">
        <v>57.05979</v>
      </c>
      <c r="C1164">
        <v>24.295570000000001</v>
      </c>
      <c r="D1164">
        <v>57.059570000000001</v>
      </c>
      <c r="E1164" s="10">
        <v>167.63800000000001</v>
      </c>
      <c r="F1164" s="10" t="s">
        <v>2934</v>
      </c>
      <c r="G1164" s="10" t="s">
        <v>2935</v>
      </c>
      <c r="H1164" s="10">
        <v>167.63816694576801</v>
      </c>
      <c r="I1164" s="10">
        <v>-172.34387903482599</v>
      </c>
      <c r="J1164" s="10">
        <v>-172.34396955510701</v>
      </c>
      <c r="K1164" s="4">
        <f t="shared" si="255"/>
        <v>187.65612222222222</v>
      </c>
      <c r="L1164" s="4">
        <f t="shared" si="256"/>
        <v>187.65603055555556</v>
      </c>
      <c r="M1164" s="4">
        <f t="shared" si="257"/>
        <v>187.65612096517401</v>
      </c>
      <c r="N1164" s="4">
        <f t="shared" si="258"/>
        <v>187.65603044489299</v>
      </c>
      <c r="O1164" s="3">
        <f t="shared" si="248"/>
        <v>167.63816681432803</v>
      </c>
      <c r="P1164" s="2">
        <f t="shared" si="250"/>
        <v>9.9508660342861562E-7</v>
      </c>
      <c r="Q1164" s="2">
        <f t="shared" si="251"/>
        <v>7.840695096050485E-10</v>
      </c>
      <c r="R1164" s="6">
        <f t="shared" si="252"/>
        <v>187.65612080155731</v>
      </c>
      <c r="S1164" s="2">
        <f t="shared" si="253"/>
        <v>7.5705758952186405E-9</v>
      </c>
      <c r="T1164" s="2">
        <f t="shared" si="249"/>
        <v>8.7189644197938181E-10</v>
      </c>
      <c r="U1164" s="6">
        <f t="shared" si="254"/>
        <v>187.65603028129033</v>
      </c>
      <c r="V1164" s="2">
        <f t="shared" si="246"/>
        <v>1.4615316754544048E-9</v>
      </c>
      <c r="W1164" s="2">
        <f t="shared" si="247"/>
        <v>8.7182204309055013E-10</v>
      </c>
    </row>
    <row r="1165" spans="1:23" x14ac:dyDescent="0.4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10">
        <v>166.4</v>
      </c>
      <c r="F1165" s="10" t="s">
        <v>2936</v>
      </c>
      <c r="G1165" s="10" t="s">
        <v>2937</v>
      </c>
      <c r="H1165" s="10">
        <v>166.39954692163499</v>
      </c>
      <c r="I1165" s="10">
        <v>-137.54151787930999</v>
      </c>
      <c r="J1165" s="10">
        <v>-137.54136846578501</v>
      </c>
      <c r="K1165" s="4">
        <f t="shared" si="255"/>
        <v>222.45848333333333</v>
      </c>
      <c r="L1165" s="4">
        <f t="shared" si="256"/>
        <v>222.45863055555554</v>
      </c>
      <c r="M1165" s="4">
        <f t="shared" si="257"/>
        <v>222.45848212069001</v>
      </c>
      <c r="N1165" s="4">
        <f t="shared" si="258"/>
        <v>222.45863153421499</v>
      </c>
      <c r="O1165" s="3">
        <f t="shared" si="248"/>
        <v>166.39954424195031</v>
      </c>
      <c r="P1165" s="2">
        <f t="shared" si="250"/>
        <v>2.7389305871180406E-6</v>
      </c>
      <c r="Q1165" s="2">
        <f t="shared" si="251"/>
        <v>1.6103918150619012E-8</v>
      </c>
      <c r="R1165" s="6">
        <f t="shared" si="252"/>
        <v>222.45848111257902</v>
      </c>
      <c r="S1165" s="2">
        <f t="shared" si="253"/>
        <v>9.9827809568547742E-9</v>
      </c>
      <c r="T1165" s="2">
        <f t="shared" si="249"/>
        <v>4.5316814863708485E-9</v>
      </c>
      <c r="U1165" s="6">
        <f t="shared" si="254"/>
        <v>222.45863052607936</v>
      </c>
      <c r="V1165" s="2">
        <f t="shared" ref="V1165:V1206" si="259">ABS((L1165-U1165)/L1165)</f>
        <v>1.3250186427188408E-10</v>
      </c>
      <c r="W1165" s="2">
        <f t="shared" ref="W1165:W1206" si="260">ABS((N1165-U1165)/N1165)</f>
        <v>4.5317892121417304E-9</v>
      </c>
    </row>
    <row r="1166" spans="1:23" x14ac:dyDescent="0.45">
      <c r="A1166">
        <v>70.662419999999997</v>
      </c>
      <c r="B1166">
        <v>-113.46177</v>
      </c>
      <c r="C1166">
        <v>70.661010000000005</v>
      </c>
      <c r="D1166">
        <v>-113.46317000000001</v>
      </c>
      <c r="E1166" s="10">
        <v>165.61099999999999</v>
      </c>
      <c r="F1166" s="10" t="s">
        <v>2938</v>
      </c>
      <c r="G1166" s="10" t="s">
        <v>2939</v>
      </c>
      <c r="H1166" s="10">
        <v>165.61123901169799</v>
      </c>
      <c r="I1166" s="10">
        <v>-161.78609639766</v>
      </c>
      <c r="J1166" s="10">
        <v>-161.78741740950801</v>
      </c>
      <c r="K1166" s="4">
        <f t="shared" si="255"/>
        <v>198.21390277777778</v>
      </c>
      <c r="L1166" s="4">
        <f t="shared" si="256"/>
        <v>198.21258333333333</v>
      </c>
      <c r="M1166" s="4">
        <f t="shared" si="257"/>
        <v>198.21390360234</v>
      </c>
      <c r="N1166" s="4">
        <f t="shared" si="258"/>
        <v>198.21258259049199</v>
      </c>
      <c r="O1166" s="3">
        <f t="shared" si="248"/>
        <v>165.61123901688518</v>
      </c>
      <c r="P1166" s="2">
        <f t="shared" si="250"/>
        <v>1.4432428110989184E-6</v>
      </c>
      <c r="Q1166" s="2">
        <f t="shared" si="251"/>
        <v>3.1321481414421251E-11</v>
      </c>
      <c r="R1166" s="6">
        <f t="shared" si="252"/>
        <v>198.2139036014797</v>
      </c>
      <c r="S1166" s="2">
        <f t="shared" si="253"/>
        <v>4.1556213408986361E-9</v>
      </c>
      <c r="T1166" s="2">
        <f t="shared" si="249"/>
        <v>4.3402440853737504E-12</v>
      </c>
      <c r="U1166" s="6">
        <f t="shared" si="254"/>
        <v>198.21258258963007</v>
      </c>
      <c r="V1166" s="2">
        <f t="shared" si="259"/>
        <v>3.752048639599089E-9</v>
      </c>
      <c r="W1166" s="2">
        <f t="shared" si="260"/>
        <v>4.3484462435321548E-12</v>
      </c>
    </row>
    <row r="1167" spans="1:23" x14ac:dyDescent="0.45">
      <c r="A1167">
        <v>62.566000000000003</v>
      </c>
      <c r="B1167">
        <v>176.00112999999999</v>
      </c>
      <c r="C1167">
        <v>62.56653</v>
      </c>
      <c r="D1167">
        <v>176.00263000000001</v>
      </c>
      <c r="E1167" s="10">
        <v>97.155000000000001</v>
      </c>
      <c r="F1167" s="10" t="s">
        <v>2940</v>
      </c>
      <c r="G1167" s="10" t="s">
        <v>2941</v>
      </c>
      <c r="H1167" s="10">
        <v>97.155290888926302</v>
      </c>
      <c r="I1167" s="10">
        <v>52.553866066714903</v>
      </c>
      <c r="J1167" s="10">
        <v>52.555197383122398</v>
      </c>
      <c r="K1167" s="4">
        <f t="shared" si="255"/>
        <v>52.553866666666664</v>
      </c>
      <c r="L1167" s="4">
        <f t="shared" si="256"/>
        <v>52.555197222222205</v>
      </c>
      <c r="M1167" s="4">
        <f t="shared" si="257"/>
        <v>52.553866066714932</v>
      </c>
      <c r="N1167" s="4">
        <f t="shared" si="258"/>
        <v>52.55519738312239</v>
      </c>
      <c r="O1167" s="3">
        <f t="shared" si="248"/>
        <v>97.155290863341861</v>
      </c>
      <c r="P1167" s="2">
        <f t="shared" si="250"/>
        <v>2.9938072344182367E-6</v>
      </c>
      <c r="Q1167" s="2">
        <f t="shared" si="251"/>
        <v>2.6333554249237959E-10</v>
      </c>
      <c r="R1167" s="6">
        <f t="shared" si="252"/>
        <v>52.553866057219132</v>
      </c>
      <c r="S1167" s="2">
        <f t="shared" si="253"/>
        <v>1.1596625921092377E-8</v>
      </c>
      <c r="T1167" s="2">
        <f t="shared" si="249"/>
        <v>1.8068698675857307E-10</v>
      </c>
      <c r="U1167" s="6">
        <f t="shared" si="254"/>
        <v>52.555197373556702</v>
      </c>
      <c r="V1167" s="2">
        <f t="shared" si="259"/>
        <v>2.8795343740038674E-9</v>
      </c>
      <c r="W1167" s="2">
        <f t="shared" si="260"/>
        <v>1.8201223022462928E-10</v>
      </c>
    </row>
    <row r="1168" spans="1:23" x14ac:dyDescent="0.45">
      <c r="A1168">
        <v>75.147909999999996</v>
      </c>
      <c r="B1168">
        <v>43.715119999999999</v>
      </c>
      <c r="C1168">
        <v>75.14846</v>
      </c>
      <c r="D1168">
        <v>43.716540000000002</v>
      </c>
      <c r="E1168" s="10">
        <v>73.626000000000005</v>
      </c>
      <c r="F1168" s="10" t="s">
        <v>2942</v>
      </c>
      <c r="G1168" s="10" t="s">
        <v>2943</v>
      </c>
      <c r="H1168" s="10">
        <v>73.626350990034794</v>
      </c>
      <c r="I1168" s="10">
        <v>33.506447892873901</v>
      </c>
      <c r="J1168" s="10">
        <v>33.5078204534896</v>
      </c>
      <c r="K1168" s="4">
        <f t="shared" si="255"/>
        <v>33.506447222222221</v>
      </c>
      <c r="L1168" s="4">
        <f t="shared" si="256"/>
        <v>33.507819444444408</v>
      </c>
      <c r="M1168" s="4">
        <f t="shared" si="257"/>
        <v>33.506447892873894</v>
      </c>
      <c r="N1168" s="4">
        <f t="shared" si="258"/>
        <v>33.507820453489614</v>
      </c>
      <c r="O1168" s="3">
        <f t="shared" si="248"/>
        <v>73.626350995752858</v>
      </c>
      <c r="P1168" s="2">
        <f t="shared" si="250"/>
        <v>4.767279939879633E-6</v>
      </c>
      <c r="Q1168" s="2">
        <f t="shared" si="251"/>
        <v>7.7663284509290788E-11</v>
      </c>
      <c r="R1168" s="6">
        <f t="shared" si="252"/>
        <v>33.506447892902095</v>
      </c>
      <c r="S1168" s="2">
        <f t="shared" si="253"/>
        <v>2.00164425030149E-8</v>
      </c>
      <c r="T1168" s="2">
        <f t="shared" si="249"/>
        <v>8.4167206480625545E-13</v>
      </c>
      <c r="U1168" s="6">
        <f t="shared" si="254"/>
        <v>33.507820453457818</v>
      </c>
      <c r="V1168" s="2">
        <f t="shared" si="259"/>
        <v>3.0112774464091179E-8</v>
      </c>
      <c r="W1168" s="2">
        <f t="shared" si="260"/>
        <v>9.4893630785087548E-13</v>
      </c>
    </row>
    <row r="1169" spans="1:23" x14ac:dyDescent="0.45">
      <c r="A1169">
        <v>81.150199999999998</v>
      </c>
      <c r="B1169">
        <v>127.18482</v>
      </c>
      <c r="C1169">
        <v>81.148679999999999</v>
      </c>
      <c r="D1169">
        <v>127.18510000000001</v>
      </c>
      <c r="E1169" s="10">
        <v>169.80199999999999</v>
      </c>
      <c r="F1169" s="10" t="s">
        <v>2944</v>
      </c>
      <c r="G1169" s="10" t="s">
        <v>2945</v>
      </c>
      <c r="H1169" s="10">
        <v>169.80240877538699</v>
      </c>
      <c r="I1169" s="10">
        <v>178.376147167</v>
      </c>
      <c r="J1169" s="10">
        <v>178.37642383303901</v>
      </c>
      <c r="K1169" s="4">
        <f t="shared" si="255"/>
        <v>178.37614722222222</v>
      </c>
      <c r="L1169" s="4">
        <f t="shared" si="256"/>
        <v>178.37642499999993</v>
      </c>
      <c r="M1169" s="4">
        <f t="shared" si="257"/>
        <v>178.376147167</v>
      </c>
      <c r="N1169" s="4">
        <f t="shared" si="258"/>
        <v>178.37642383303898</v>
      </c>
      <c r="O1169" s="3">
        <f t="shared" si="248"/>
        <v>169.80240873314099</v>
      </c>
      <c r="P1169" s="2">
        <f t="shared" si="250"/>
        <v>2.4071161764910839E-6</v>
      </c>
      <c r="Q1169" s="2">
        <f t="shared" si="251"/>
        <v>2.4879505997777508E-10</v>
      </c>
      <c r="R1169" s="6">
        <f t="shared" si="252"/>
        <v>178.37614717748983</v>
      </c>
      <c r="S1169" s="2">
        <f t="shared" si="253"/>
        <v>2.5077561746137377E-10</v>
      </c>
      <c r="T1169" s="2">
        <f t="shared" si="249"/>
        <v>5.8807345263118748E-11</v>
      </c>
      <c r="U1169" s="6">
        <f t="shared" si="254"/>
        <v>178.37642384352671</v>
      </c>
      <c r="V1169" s="2">
        <f t="shared" si="259"/>
        <v>6.4833299447160829E-9</v>
      </c>
      <c r="W1169" s="2">
        <f t="shared" si="260"/>
        <v>5.8795463219250042E-11</v>
      </c>
    </row>
    <row r="1170" spans="1:23" x14ac:dyDescent="0.4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10">
        <v>176.584</v>
      </c>
      <c r="F1170" s="10" t="s">
        <v>2946</v>
      </c>
      <c r="G1170" s="10" t="s">
        <v>2947</v>
      </c>
      <c r="H1170" s="10">
        <v>176.58380303861401</v>
      </c>
      <c r="I1170" s="10">
        <v>-165.08818618976801</v>
      </c>
      <c r="J1170" s="10">
        <v>-165.089164930789</v>
      </c>
      <c r="K1170" s="4">
        <f t="shared" si="255"/>
        <v>194.9118138888889</v>
      </c>
      <c r="L1170" s="4">
        <f t="shared" si="256"/>
        <v>194.91083611111111</v>
      </c>
      <c r="M1170" s="4">
        <f t="shared" si="257"/>
        <v>194.91181381023199</v>
      </c>
      <c r="N1170" s="4">
        <f t="shared" si="258"/>
        <v>194.910835069211</v>
      </c>
      <c r="O1170" s="3">
        <f t="shared" si="248"/>
        <v>176.58380308802677</v>
      </c>
      <c r="P1170" s="2">
        <f t="shared" si="250"/>
        <v>1.1151178659090413E-6</v>
      </c>
      <c r="Q1170" s="2">
        <f t="shared" si="251"/>
        <v>2.798261280588101E-10</v>
      </c>
      <c r="R1170" s="6">
        <f t="shared" si="252"/>
        <v>194.91181380908765</v>
      </c>
      <c r="S1170" s="2">
        <f t="shared" si="253"/>
        <v>4.0942235369413898E-10</v>
      </c>
      <c r="T1170" s="2">
        <f t="shared" si="249"/>
        <v>5.8710822316316864E-12</v>
      </c>
      <c r="U1170" s="6">
        <f t="shared" si="254"/>
        <v>194.91083506808096</v>
      </c>
      <c r="V1170" s="2">
        <f t="shared" si="259"/>
        <v>5.3513194736873404E-9</v>
      </c>
      <c r="W1170" s="2">
        <f t="shared" si="260"/>
        <v>5.7977647397159535E-12</v>
      </c>
    </row>
    <row r="1171" spans="1:23" x14ac:dyDescent="0.4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10">
        <v>14.683999999999999</v>
      </c>
      <c r="F1171" s="10" t="s">
        <v>2948</v>
      </c>
      <c r="G1171" s="10" t="s">
        <v>2949</v>
      </c>
      <c r="H1171" s="10">
        <v>14.683644922772499</v>
      </c>
      <c r="I1171" s="10">
        <v>-171.126509788248</v>
      </c>
      <c r="J1171" s="10">
        <v>-171.12644279166801</v>
      </c>
      <c r="K1171" s="4">
        <f t="shared" si="255"/>
        <v>188.87348888888889</v>
      </c>
      <c r="L1171" s="4">
        <f t="shared" si="256"/>
        <v>188.87355833333334</v>
      </c>
      <c r="M1171" s="4">
        <f t="shared" si="257"/>
        <v>188.873490211752</v>
      </c>
      <c r="N1171" s="4">
        <f t="shared" si="258"/>
        <v>188.87355720833199</v>
      </c>
      <c r="O1171" s="3">
        <f t="shared" si="248"/>
        <v>14.683644890441432</v>
      </c>
      <c r="P1171" s="2">
        <f t="shared" si="250"/>
        <v>2.4183434933767003E-5</v>
      </c>
      <c r="Q1171" s="2">
        <f t="shared" si="251"/>
        <v>2.2018421019415941E-9</v>
      </c>
      <c r="R1171" s="6">
        <f t="shared" si="252"/>
        <v>188.87348950997435</v>
      </c>
      <c r="S1171" s="2">
        <f t="shared" si="253"/>
        <v>3.2883676042893272E-9</v>
      </c>
      <c r="T1171" s="2">
        <f t="shared" si="249"/>
        <v>3.7155963513737964E-9</v>
      </c>
      <c r="U1171" s="6">
        <f t="shared" si="254"/>
        <v>188.87355650655084</v>
      </c>
      <c r="V1171" s="2">
        <f t="shared" si="259"/>
        <v>9.671986435174429E-9</v>
      </c>
      <c r="W1171" s="2">
        <f t="shared" si="260"/>
        <v>3.7156135424409833E-9</v>
      </c>
    </row>
    <row r="1172" spans="1:23" x14ac:dyDescent="0.4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10">
        <v>107.227</v>
      </c>
      <c r="F1172" s="10" t="s">
        <v>2950</v>
      </c>
      <c r="G1172" s="10" t="s">
        <v>2951</v>
      </c>
      <c r="H1172" s="10">
        <v>107.226673902863</v>
      </c>
      <c r="I1172" s="10">
        <v>-64.214222690885407</v>
      </c>
      <c r="J1172" s="10">
        <v>-64.214979281012205</v>
      </c>
      <c r="K1172" s="4">
        <f t="shared" si="255"/>
        <v>295.78577777777775</v>
      </c>
      <c r="L1172" s="4">
        <f t="shared" si="256"/>
        <v>295.78501944444446</v>
      </c>
      <c r="M1172" s="4">
        <f t="shared" si="257"/>
        <v>295.78577730911456</v>
      </c>
      <c r="N1172" s="4">
        <f t="shared" si="258"/>
        <v>295.78502071898777</v>
      </c>
      <c r="O1172" s="3">
        <f t="shared" si="248"/>
        <v>107.22667330806892</v>
      </c>
      <c r="P1172" s="2">
        <f t="shared" si="250"/>
        <v>3.0467319898805918E-6</v>
      </c>
      <c r="Q1172" s="2">
        <f t="shared" si="251"/>
        <v>5.5470719355558008E-9</v>
      </c>
      <c r="R1172" s="6">
        <f t="shared" si="252"/>
        <v>295.78577746501759</v>
      </c>
      <c r="S1172" s="2">
        <f t="shared" si="253"/>
        <v>1.0573874335117185E-9</v>
      </c>
      <c r="T1172" s="2">
        <f t="shared" si="249"/>
        <v>5.270808665730342E-10</v>
      </c>
      <c r="U1172" s="6">
        <f t="shared" si="254"/>
        <v>295.78502087506354</v>
      </c>
      <c r="V1172" s="2">
        <f t="shared" si="259"/>
        <v>4.8366853801058823E-9</v>
      </c>
      <c r="W1172" s="2">
        <f t="shared" si="260"/>
        <v>5.2766624420195126E-10</v>
      </c>
    </row>
    <row r="1173" spans="1:23" x14ac:dyDescent="0.4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10">
        <v>69.349999999999994</v>
      </c>
      <c r="F1173" s="10" t="s">
        <v>2952</v>
      </c>
      <c r="G1173" s="10" t="s">
        <v>2953</v>
      </c>
      <c r="H1173" s="10">
        <v>69.349802458835896</v>
      </c>
      <c r="I1173" s="10">
        <v>-3.1403474303873198</v>
      </c>
      <c r="J1173" s="10">
        <v>-3.1399288098246401</v>
      </c>
      <c r="K1173" s="4">
        <f t="shared" si="255"/>
        <v>356.8596527777778</v>
      </c>
      <c r="L1173" s="4">
        <f t="shared" si="256"/>
        <v>356.86007222222224</v>
      </c>
      <c r="M1173" s="4">
        <f t="shared" si="257"/>
        <v>356.85965256961271</v>
      </c>
      <c r="N1173" s="4">
        <f t="shared" si="258"/>
        <v>356.86007119017535</v>
      </c>
      <c r="O1173" s="3">
        <f t="shared" si="248"/>
        <v>69.349802428645802</v>
      </c>
      <c r="P1173" s="2">
        <f t="shared" si="250"/>
        <v>2.8489020071002905E-6</v>
      </c>
      <c r="Q1173" s="2">
        <f t="shared" si="251"/>
        <v>4.3533064132704668E-10</v>
      </c>
      <c r="R1173" s="6">
        <f t="shared" si="252"/>
        <v>356.85965257129226</v>
      </c>
      <c r="S1173" s="2">
        <f t="shared" si="253"/>
        <v>5.7861833467027024E-10</v>
      </c>
      <c r="T1173" s="2">
        <f t="shared" si="249"/>
        <v>4.7064791017602184E-12</v>
      </c>
      <c r="U1173" s="6">
        <f t="shared" si="254"/>
        <v>356.86007119185246</v>
      </c>
      <c r="V1173" s="2">
        <f t="shared" si="259"/>
        <v>2.8873215804086888E-9</v>
      </c>
      <c r="W1173" s="2">
        <f t="shared" si="260"/>
        <v>4.6996242097803284E-12</v>
      </c>
    </row>
    <row r="1174" spans="1:23" x14ac:dyDescent="0.4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10">
        <v>170.33699999999999</v>
      </c>
      <c r="F1174" s="10" t="s">
        <v>2954</v>
      </c>
      <c r="G1174" s="10" t="s">
        <v>2955</v>
      </c>
      <c r="H1174" s="10">
        <v>170.33683732873001</v>
      </c>
      <c r="I1174" s="10">
        <v>-161.71995715596699</v>
      </c>
      <c r="J1174" s="10">
        <v>-161.72118735887901</v>
      </c>
      <c r="K1174" s="4">
        <f t="shared" si="255"/>
        <v>198.28004166666668</v>
      </c>
      <c r="L1174" s="4">
        <f t="shared" si="256"/>
        <v>198.27881388888889</v>
      </c>
      <c r="M1174" s="4">
        <f t="shared" si="257"/>
        <v>198.28004284403301</v>
      </c>
      <c r="N1174" s="4">
        <f t="shared" si="258"/>
        <v>198.27881264112099</v>
      </c>
      <c r="O1174" s="3">
        <f t="shared" si="248"/>
        <v>170.33683735693245</v>
      </c>
      <c r="P1174" s="2">
        <f t="shared" si="250"/>
        <v>9.5483111443845152E-7</v>
      </c>
      <c r="Q1174" s="2">
        <f t="shared" si="251"/>
        <v>1.6556862499284911E-10</v>
      </c>
      <c r="R1174" s="6">
        <f t="shared" si="252"/>
        <v>198.28004284278026</v>
      </c>
      <c r="S1174" s="2">
        <f t="shared" si="253"/>
        <v>5.9315782632607303E-9</v>
      </c>
      <c r="T1174" s="2">
        <f t="shared" si="249"/>
        <v>6.3180523293981991E-12</v>
      </c>
      <c r="U1174" s="6">
        <f t="shared" si="254"/>
        <v>198.27881263987379</v>
      </c>
      <c r="V1174" s="2">
        <f t="shared" si="259"/>
        <v>6.2992867208045853E-9</v>
      </c>
      <c r="W1174" s="2">
        <f t="shared" si="260"/>
        <v>6.2901398117729692E-12</v>
      </c>
    </row>
    <row r="1175" spans="1:23" x14ac:dyDescent="0.4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10">
        <v>176.43299999999999</v>
      </c>
      <c r="F1175" s="10" t="s">
        <v>2956</v>
      </c>
      <c r="G1175" s="10" t="s">
        <v>2957</v>
      </c>
      <c r="H1175" s="10">
        <v>176.433030342585</v>
      </c>
      <c r="I1175" s="10">
        <v>26.311076478018201</v>
      </c>
      <c r="J1175" s="10">
        <v>26.310973267533001</v>
      </c>
      <c r="K1175" s="4">
        <f t="shared" si="255"/>
        <v>26.311077777777779</v>
      </c>
      <c r="L1175" s="4">
        <f t="shared" si="256"/>
        <v>26.310972222222233</v>
      </c>
      <c r="M1175" s="4">
        <f t="shared" si="257"/>
        <v>26.311076478018208</v>
      </c>
      <c r="N1175" s="4">
        <f t="shared" si="258"/>
        <v>26.310973267532972</v>
      </c>
      <c r="O1175" s="3">
        <f t="shared" si="248"/>
        <v>176.4330291360981</v>
      </c>
      <c r="P1175" s="2">
        <f t="shared" si="250"/>
        <v>1.6513973070014738E-7</v>
      </c>
      <c r="Q1175" s="2">
        <f t="shared" si="251"/>
        <v>6.8382144623141959E-9</v>
      </c>
      <c r="R1175" s="6">
        <f t="shared" si="252"/>
        <v>26.311075672998328</v>
      </c>
      <c r="S1175" s="2">
        <f t="shared" si="253"/>
        <v>7.9995941973564153E-8</v>
      </c>
      <c r="T1175" s="2">
        <f t="shared" si="249"/>
        <v>3.0596235040506436E-8</v>
      </c>
      <c r="U1175" s="6">
        <f t="shared" si="254"/>
        <v>26.310972462527818</v>
      </c>
      <c r="V1175" s="2">
        <f t="shared" si="259"/>
        <v>9.1332841363242E-9</v>
      </c>
      <c r="W1175" s="2">
        <f t="shared" si="260"/>
        <v>3.0595795370494377E-8</v>
      </c>
    </row>
    <row r="1176" spans="1:23" x14ac:dyDescent="0.45">
      <c r="A1176">
        <v>68.881159999999994</v>
      </c>
      <c r="B1176">
        <v>-76.59187</v>
      </c>
      <c r="C1176">
        <v>68.879530000000003</v>
      </c>
      <c r="D1176">
        <v>-76.590649999999997</v>
      </c>
      <c r="E1176" s="10">
        <v>188.33</v>
      </c>
      <c r="F1176" s="10" t="s">
        <v>2958</v>
      </c>
      <c r="G1176" s="10" t="s">
        <v>2959</v>
      </c>
      <c r="H1176" s="10">
        <v>188.329610000272</v>
      </c>
      <c r="I1176" s="10">
        <v>164.894076962333</v>
      </c>
      <c r="J1176" s="10">
        <v>164.89521501491501</v>
      </c>
      <c r="K1176" s="4">
        <f t="shared" si="255"/>
        <v>164.89407777777777</v>
      </c>
      <c r="L1176" s="4">
        <f t="shared" si="256"/>
        <v>164.89521388888886</v>
      </c>
      <c r="M1176" s="4">
        <f t="shared" si="257"/>
        <v>164.89407696233297</v>
      </c>
      <c r="N1176" s="4">
        <f t="shared" si="258"/>
        <v>164.89521501491504</v>
      </c>
      <c r="O1176" s="3">
        <f t="shared" si="248"/>
        <v>188.32961003381465</v>
      </c>
      <c r="P1176" s="2">
        <f t="shared" si="250"/>
        <v>2.0706535621864534E-6</v>
      </c>
      <c r="Q1176" s="2">
        <f t="shared" si="251"/>
        <v>1.7810607567443836E-10</v>
      </c>
      <c r="R1176" s="6">
        <f t="shared" si="252"/>
        <v>164.89407696349642</v>
      </c>
      <c r="S1176" s="2">
        <f t="shared" si="253"/>
        <v>4.9382085813951856E-9</v>
      </c>
      <c r="T1176" s="2">
        <f t="shared" si="249"/>
        <v>7.0556971903809205E-12</v>
      </c>
      <c r="U1176" s="6">
        <f t="shared" si="254"/>
        <v>164.89521501607015</v>
      </c>
      <c r="V1176" s="2">
        <f t="shared" si="259"/>
        <v>6.8357429286194151E-9</v>
      </c>
      <c r="W1176" s="2">
        <f t="shared" si="260"/>
        <v>7.0051463565270688E-12</v>
      </c>
    </row>
    <row r="1177" spans="1:23" x14ac:dyDescent="0.45">
      <c r="A1177">
        <v>-5.2629799999999998</v>
      </c>
      <c r="B1177">
        <v>116.89711</v>
      </c>
      <c r="C1177">
        <v>-5.2626400000000002</v>
      </c>
      <c r="D1177">
        <v>116.89848000000001</v>
      </c>
      <c r="E1177" s="10">
        <v>156.45400000000001</v>
      </c>
      <c r="F1177" s="10" t="s">
        <v>2960</v>
      </c>
      <c r="G1177" s="10" t="s">
        <v>2961</v>
      </c>
      <c r="H1177" s="10">
        <v>156.45401172684899</v>
      </c>
      <c r="I1177" s="10">
        <v>76.094860629449002</v>
      </c>
      <c r="J1177" s="10">
        <v>76.094734967219395</v>
      </c>
      <c r="K1177" s="4">
        <f t="shared" si="255"/>
        <v>76.094861111111115</v>
      </c>
      <c r="L1177" s="4">
        <f t="shared" si="256"/>
        <v>76.094736111111104</v>
      </c>
      <c r="M1177" s="4">
        <f t="shared" si="257"/>
        <v>76.094860629448988</v>
      </c>
      <c r="N1177" s="4">
        <f t="shared" si="258"/>
        <v>76.094734967219381</v>
      </c>
      <c r="O1177" s="3">
        <f t="shared" si="248"/>
        <v>156.45400630146776</v>
      </c>
      <c r="P1177" s="2">
        <f t="shared" si="250"/>
        <v>4.027680819525942E-8</v>
      </c>
      <c r="Q1177" s="2">
        <f t="shared" si="251"/>
        <v>3.4677162780225935E-8</v>
      </c>
      <c r="R1177" s="6">
        <f t="shared" si="252"/>
        <v>76.094860137517941</v>
      </c>
      <c r="S1177" s="2">
        <f t="shared" si="253"/>
        <v>1.2794466799262911E-8</v>
      </c>
      <c r="T1177" s="2">
        <f t="shared" si="249"/>
        <v>6.4647079045735336E-9</v>
      </c>
      <c r="U1177" s="6">
        <f t="shared" si="254"/>
        <v>76.094734475299759</v>
      </c>
      <c r="V1177" s="2">
        <f t="shared" si="259"/>
        <v>2.1497036822229019E-8</v>
      </c>
      <c r="W1177" s="2">
        <f t="shared" si="260"/>
        <v>6.4645684316180583E-9</v>
      </c>
    </row>
    <row r="1178" spans="1:23" x14ac:dyDescent="0.4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10">
        <v>30.117000000000001</v>
      </c>
      <c r="F1178" s="10" t="s">
        <v>2962</v>
      </c>
      <c r="G1178" s="10" t="s">
        <v>2963</v>
      </c>
      <c r="H1178" s="10">
        <v>30.117025033945499</v>
      </c>
      <c r="I1178" s="10">
        <v>-164.582736669426</v>
      </c>
      <c r="J1178" s="10">
        <v>-164.583191049134</v>
      </c>
      <c r="K1178" s="4">
        <f t="shared" si="255"/>
        <v>195.4172638888889</v>
      </c>
      <c r="L1178" s="4">
        <f t="shared" si="256"/>
        <v>195.41680833333334</v>
      </c>
      <c r="M1178" s="4">
        <f t="shared" si="257"/>
        <v>195.417263330574</v>
      </c>
      <c r="N1178" s="4">
        <f t="shared" si="258"/>
        <v>195.416808950866</v>
      </c>
      <c r="O1178" s="3">
        <f t="shared" si="248"/>
        <v>30.117025010453041</v>
      </c>
      <c r="P1178" s="2">
        <f t="shared" si="250"/>
        <v>8.3044304014851821E-7</v>
      </c>
      <c r="Q1178" s="2">
        <f t="shared" si="251"/>
        <v>7.8003912174004466E-10</v>
      </c>
      <c r="R1178" s="6">
        <f t="shared" si="252"/>
        <v>195.41726323400798</v>
      </c>
      <c r="S1178" s="2">
        <f t="shared" si="253"/>
        <v>3.3511927657502488E-9</v>
      </c>
      <c r="T1178" s="2">
        <f t="shared" si="249"/>
        <v>4.9415299672387686E-10</v>
      </c>
      <c r="U1178" s="6">
        <f t="shared" si="254"/>
        <v>195.41680885432854</v>
      </c>
      <c r="V1178" s="2">
        <f t="shared" si="259"/>
        <v>2.6660715892478326E-9</v>
      </c>
      <c r="W1178" s="2">
        <f t="shared" si="260"/>
        <v>4.9400797703475523E-10</v>
      </c>
    </row>
    <row r="1179" spans="1:23" x14ac:dyDescent="0.4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10">
        <v>18.321000000000002</v>
      </c>
      <c r="F1179" s="10" t="s">
        <v>2964</v>
      </c>
      <c r="G1179" s="10" t="s">
        <v>2965</v>
      </c>
      <c r="H1179" s="10">
        <v>18.320888260614399</v>
      </c>
      <c r="I1179" s="10">
        <v>-23.941928810174598</v>
      </c>
      <c r="J1179" s="10">
        <v>-23.9416568403608</v>
      </c>
      <c r="K1179" s="4">
        <f t="shared" si="255"/>
        <v>336.05807222222222</v>
      </c>
      <c r="L1179" s="4">
        <f t="shared" si="256"/>
        <v>336.05834444444446</v>
      </c>
      <c r="M1179" s="4">
        <f t="shared" si="257"/>
        <v>336.0580711898254</v>
      </c>
      <c r="N1179" s="4">
        <f t="shared" si="258"/>
        <v>336.05834315963921</v>
      </c>
      <c r="O1179" s="3">
        <f t="shared" si="248"/>
        <v>18.320888152543315</v>
      </c>
      <c r="P1179" s="2">
        <f t="shared" si="250"/>
        <v>6.1048772821666768E-6</v>
      </c>
      <c r="Q1179" s="2">
        <f t="shared" si="251"/>
        <v>5.8987906584281489E-9</v>
      </c>
      <c r="R1179" s="6">
        <f t="shared" si="252"/>
        <v>336.05807195973307</v>
      </c>
      <c r="S1179" s="2">
        <f t="shared" si="253"/>
        <v>7.8108271721047418E-10</v>
      </c>
      <c r="T1179" s="2">
        <f t="shared" si="249"/>
        <v>2.2909959255323631E-9</v>
      </c>
      <c r="U1179" s="6">
        <f t="shared" si="254"/>
        <v>336.0583439295516</v>
      </c>
      <c r="V1179" s="2">
        <f t="shared" si="259"/>
        <v>1.5321531790663063E-9</v>
      </c>
      <c r="W1179" s="2">
        <f t="shared" si="260"/>
        <v>2.2910081106844758E-9</v>
      </c>
    </row>
    <row r="1180" spans="1:23" x14ac:dyDescent="0.4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10">
        <v>103.271</v>
      </c>
      <c r="F1180" s="10" t="s">
        <v>2966</v>
      </c>
      <c r="G1180" s="10" t="s">
        <v>2967</v>
      </c>
      <c r="H1180" s="10">
        <v>103.27112551081299</v>
      </c>
      <c r="I1180" s="10">
        <v>18.2182290391886</v>
      </c>
      <c r="J1180" s="10">
        <v>18.2188111298621</v>
      </c>
      <c r="K1180" s="4">
        <f t="shared" si="255"/>
        <v>18.218227777777777</v>
      </c>
      <c r="L1180" s="4">
        <f t="shared" si="256"/>
        <v>18.218811111111108</v>
      </c>
      <c r="M1180" s="4">
        <f t="shared" si="257"/>
        <v>18.2182290391886</v>
      </c>
      <c r="N1180" s="4">
        <f t="shared" si="258"/>
        <v>18.218811129862104</v>
      </c>
      <c r="O1180" s="3">
        <f t="shared" si="248"/>
        <v>103.271125552404</v>
      </c>
      <c r="P1180" s="2">
        <f t="shared" si="250"/>
        <v>1.2157566403005003E-6</v>
      </c>
      <c r="Q1180" s="2">
        <f t="shared" si="251"/>
        <v>4.0273607714878568E-10</v>
      </c>
      <c r="R1180" s="6">
        <f t="shared" si="252"/>
        <v>18.218229033755687</v>
      </c>
      <c r="S1180" s="2">
        <f t="shared" si="253"/>
        <v>6.894072933106978E-8</v>
      </c>
      <c r="T1180" s="2">
        <f t="shared" si="249"/>
        <v>2.9821300273653719E-10</v>
      </c>
      <c r="U1180" s="6">
        <f t="shared" si="254"/>
        <v>18.218811124454433</v>
      </c>
      <c r="V1180" s="2">
        <f t="shared" si="259"/>
        <v>7.3239272233660585E-10</v>
      </c>
      <c r="W1180" s="2">
        <f t="shared" si="260"/>
        <v>2.9681798208923325E-10</v>
      </c>
    </row>
    <row r="1181" spans="1:23" x14ac:dyDescent="0.45">
      <c r="A1181">
        <v>-24.216640000000002</v>
      </c>
      <c r="B1181">
        <v>92.246579999999994</v>
      </c>
      <c r="C1181">
        <v>-24.21556</v>
      </c>
      <c r="D1181">
        <v>92.246359999999996</v>
      </c>
      <c r="E1181" s="10">
        <v>121.69199999999999</v>
      </c>
      <c r="F1181" s="10" t="s">
        <v>2968</v>
      </c>
      <c r="G1181" s="10" t="s">
        <v>2969</v>
      </c>
      <c r="H1181" s="10">
        <v>121.691869909733</v>
      </c>
      <c r="I1181" s="10">
        <v>-10.5820675432477</v>
      </c>
      <c r="J1181" s="10">
        <v>-10.581977303797</v>
      </c>
      <c r="K1181" s="4">
        <f t="shared" si="255"/>
        <v>349.41793333333334</v>
      </c>
      <c r="L1181" s="4">
        <f t="shared" si="256"/>
        <v>349.41802222222225</v>
      </c>
      <c r="M1181" s="4">
        <f t="shared" si="257"/>
        <v>349.41793245675228</v>
      </c>
      <c r="N1181" s="4">
        <f t="shared" si="258"/>
        <v>349.41802269620302</v>
      </c>
      <c r="O1181" s="3">
        <f t="shared" si="248"/>
        <v>121.69186977183001</v>
      </c>
      <c r="P1181" s="2">
        <f t="shared" si="250"/>
        <v>1.0701456955208101E-6</v>
      </c>
      <c r="Q1181" s="2">
        <f t="shared" si="251"/>
        <v>1.133214461326751E-9</v>
      </c>
      <c r="R1181" s="6">
        <f t="shared" si="252"/>
        <v>349.41793268223751</v>
      </c>
      <c r="S1181" s="2">
        <f t="shared" si="253"/>
        <v>1.8633726817075645E-9</v>
      </c>
      <c r="T1181" s="2">
        <f t="shared" si="249"/>
        <v>6.4531668937668719E-10</v>
      </c>
      <c r="U1181" s="6">
        <f t="shared" si="254"/>
        <v>349.41802292168876</v>
      </c>
      <c r="V1181" s="2">
        <f t="shared" si="259"/>
        <v>2.0018043343314787E-9</v>
      </c>
      <c r="W1181" s="2">
        <f t="shared" si="260"/>
        <v>6.4531798684194864E-10</v>
      </c>
    </row>
    <row r="1182" spans="1:23" x14ac:dyDescent="0.45">
      <c r="A1182">
        <v>20.30921</v>
      </c>
      <c r="B1182">
        <v>-50.184229999999999</v>
      </c>
      <c r="C1182">
        <v>20.30809</v>
      </c>
      <c r="D1182">
        <v>-50.185029999999998</v>
      </c>
      <c r="E1182" s="10">
        <v>149.517</v>
      </c>
      <c r="F1182" s="10" t="s">
        <v>2970</v>
      </c>
      <c r="G1182" s="10" t="s">
        <v>2971</v>
      </c>
      <c r="H1182" s="10">
        <v>149.51739557843399</v>
      </c>
      <c r="I1182" s="10">
        <v>-146.02564067329001</v>
      </c>
      <c r="J1182" s="10">
        <v>-146.02591833508399</v>
      </c>
      <c r="K1182" s="4">
        <f t="shared" si="255"/>
        <v>213.97435833333333</v>
      </c>
      <c r="L1182" s="4">
        <f t="shared" si="256"/>
        <v>213.97408055555556</v>
      </c>
      <c r="M1182" s="4">
        <f t="shared" si="257"/>
        <v>213.97435932670999</v>
      </c>
      <c r="N1182" s="4">
        <f t="shared" si="258"/>
        <v>213.97408166491601</v>
      </c>
      <c r="O1182" s="3">
        <f t="shared" si="248"/>
        <v>149.51739435644575</v>
      </c>
      <c r="P1182" s="2">
        <f t="shared" si="250"/>
        <v>2.6375358370815303E-6</v>
      </c>
      <c r="Q1182" s="2">
        <f t="shared" si="251"/>
        <v>8.1728834121474623E-9</v>
      </c>
      <c r="R1182" s="6">
        <f t="shared" si="252"/>
        <v>213.97435864514816</v>
      </c>
      <c r="S1182" s="2">
        <f t="shared" si="253"/>
        <v>1.4572532540118482E-9</v>
      </c>
      <c r="T1182" s="2">
        <f t="shared" si="249"/>
        <v>3.1852500053803176E-9</v>
      </c>
      <c r="U1182" s="6">
        <f t="shared" si="254"/>
        <v>213.97408098339696</v>
      </c>
      <c r="V1182" s="2">
        <f t="shared" si="259"/>
        <v>1.9995010541971209E-9</v>
      </c>
      <c r="W1182" s="2">
        <f t="shared" si="260"/>
        <v>3.1850542328356425E-9</v>
      </c>
    </row>
    <row r="1183" spans="1:23" x14ac:dyDescent="0.45">
      <c r="A1183">
        <v>-25.984220000000001</v>
      </c>
      <c r="B1183">
        <v>77.408730000000006</v>
      </c>
      <c r="C1183">
        <v>-25.98358</v>
      </c>
      <c r="D1183">
        <v>77.409930000000003</v>
      </c>
      <c r="E1183" s="10">
        <v>139.518</v>
      </c>
      <c r="F1183" s="10" t="s">
        <v>2972</v>
      </c>
      <c r="G1183" s="10" t="s">
        <v>2973</v>
      </c>
      <c r="H1183" s="10">
        <v>139.51793944092299</v>
      </c>
      <c r="I1183" s="10">
        <v>59.455712144708201</v>
      </c>
      <c r="J1183" s="10">
        <v>59.455186402423998</v>
      </c>
      <c r="K1183" s="4">
        <f t="shared" si="255"/>
        <v>59.455711111111114</v>
      </c>
      <c r="L1183" s="4">
        <f t="shared" si="256"/>
        <v>59.455186111111118</v>
      </c>
      <c r="M1183" s="4">
        <f t="shared" si="257"/>
        <v>59.455712144708173</v>
      </c>
      <c r="N1183" s="4">
        <f t="shared" si="258"/>
        <v>59.455186402423976</v>
      </c>
      <c r="O1183" s="3">
        <f t="shared" ref="O1183:O1206" si="261">VincentyInvDistance($A1183,$B1183,$C1183,$D1183)</f>
        <v>139.51793737905192</v>
      </c>
      <c r="P1183" s="2">
        <f t="shared" si="250"/>
        <v>4.4883777065054862E-7</v>
      </c>
      <c r="Q1183" s="2">
        <f t="shared" si="251"/>
        <v>1.4778537300388217E-8</v>
      </c>
      <c r="R1183" s="6">
        <f t="shared" si="252"/>
        <v>59.455711643624028</v>
      </c>
      <c r="S1183" s="2">
        <f t="shared" si="253"/>
        <v>8.9564636233075473E-9</v>
      </c>
      <c r="T1183" s="2">
        <f t="shared" ref="T1183:T1206" si="262">ABS((M1183-R1183)/M1183)</f>
        <v>8.4278554030984363E-9</v>
      </c>
      <c r="U1183" s="6">
        <f t="shared" si="254"/>
        <v>59.45518590136583</v>
      </c>
      <c r="V1183" s="2">
        <f t="shared" si="259"/>
        <v>3.5277879277466471E-9</v>
      </c>
      <c r="W1183" s="2">
        <f t="shared" si="260"/>
        <v>8.4274926445225066E-9</v>
      </c>
    </row>
    <row r="1184" spans="1:23" x14ac:dyDescent="0.45">
      <c r="A1184">
        <v>79.588160000000002</v>
      </c>
      <c r="B1184">
        <v>15.086510000000001</v>
      </c>
      <c r="C1184">
        <v>79.587620000000001</v>
      </c>
      <c r="D1184">
        <v>15.08705</v>
      </c>
      <c r="E1184" s="10">
        <v>61.271999999999998</v>
      </c>
      <c r="F1184" s="10" t="s">
        <v>2974</v>
      </c>
      <c r="G1184" s="10" t="s">
        <v>2975</v>
      </c>
      <c r="H1184" s="10">
        <v>61.272036725559701</v>
      </c>
      <c r="I1184" s="10">
        <v>169.753210197275</v>
      </c>
      <c r="J1184" s="10">
        <v>169.75374130525401</v>
      </c>
      <c r="K1184" s="4">
        <f t="shared" si="255"/>
        <v>169.75321111111111</v>
      </c>
      <c r="L1184" s="4">
        <f t="shared" si="256"/>
        <v>169.75374166666666</v>
      </c>
      <c r="M1184" s="4">
        <f t="shared" si="257"/>
        <v>169.75321019727494</v>
      </c>
      <c r="N1184" s="4">
        <f t="shared" si="258"/>
        <v>169.75374130525404</v>
      </c>
      <c r="O1184" s="3">
        <f t="shared" si="261"/>
        <v>61.272036694368481</v>
      </c>
      <c r="P1184" s="2">
        <f t="shared" ref="P1184:P1206" si="263">ABS((E1184-O1184)/E1184)</f>
        <v>5.9887662361951673E-7</v>
      </c>
      <c r="Q1184" s="2">
        <f t="shared" ref="Q1184:Q1206" si="264">ABS((H1184-O1184)/H1184)</f>
        <v>5.0906126089773232E-10</v>
      </c>
      <c r="R1184" s="6">
        <f t="shared" ref="R1184:R1206" si="265">VincentyInvFwdAzimuth($A1184,$B1184,$C1184,$D1184)</f>
        <v>169.7532103184877</v>
      </c>
      <c r="S1184" s="2">
        <f t="shared" ref="S1184:S1206" si="266">ABS((K1184-R1184)/K1184)</f>
        <v>4.6692690245652773E-9</v>
      </c>
      <c r="T1184" s="2">
        <f t="shared" si="262"/>
        <v>7.1405285431347735E-10</v>
      </c>
      <c r="U1184" s="6">
        <f t="shared" ref="U1184:U1206" si="267">VincentyInvRevAzimuth($A1184,$B1184,$C1184,$D1184)</f>
        <v>169.75374142646993</v>
      </c>
      <c r="V1184" s="2">
        <f t="shared" si="259"/>
        <v>1.414971618006006E-9</v>
      </c>
      <c r="W1184" s="2">
        <f t="shared" si="260"/>
        <v>7.1406903745529089E-10</v>
      </c>
    </row>
    <row r="1185" spans="1:23" x14ac:dyDescent="0.4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10">
        <v>199.10900000000001</v>
      </c>
      <c r="F1185" s="10" t="s">
        <v>2976</v>
      </c>
      <c r="G1185" s="10" t="s">
        <v>2977</v>
      </c>
      <c r="H1185" s="10">
        <v>199.108906818847</v>
      </c>
      <c r="I1185" s="10">
        <v>152.74724416765801</v>
      </c>
      <c r="J1185" s="10">
        <v>152.747431244995</v>
      </c>
      <c r="K1185" s="4">
        <f t="shared" si="255"/>
        <v>152.74724444444445</v>
      </c>
      <c r="L1185" s="4">
        <f t="shared" si="256"/>
        <v>152.74743055555564</v>
      </c>
      <c r="M1185" s="4">
        <f t="shared" si="257"/>
        <v>152.74724416765798</v>
      </c>
      <c r="N1185" s="4">
        <f t="shared" si="258"/>
        <v>152.74743124499503</v>
      </c>
      <c r="O1185" s="3">
        <f t="shared" si="261"/>
        <v>199.10890537121168</v>
      </c>
      <c r="P1185" s="2">
        <f t="shared" si="263"/>
        <v>4.752612304432715E-7</v>
      </c>
      <c r="Q1185" s="2">
        <f t="shared" si="264"/>
        <v>7.270570414434567E-9</v>
      </c>
      <c r="R1185" s="6">
        <f t="shared" si="265"/>
        <v>152.74724492134015</v>
      </c>
      <c r="S1185" s="2">
        <f t="shared" si="266"/>
        <v>3.1221231430986822E-9</v>
      </c>
      <c r="T1185" s="2">
        <f t="shared" si="262"/>
        <v>4.9341785298884579E-9</v>
      </c>
      <c r="U1185" s="6">
        <f t="shared" si="267"/>
        <v>152.74743199866882</v>
      </c>
      <c r="V1185" s="2">
        <f t="shared" si="259"/>
        <v>9.447708365064003E-9</v>
      </c>
      <c r="W1185" s="2">
        <f t="shared" si="260"/>
        <v>4.9341175961157195E-9</v>
      </c>
    </row>
    <row r="1186" spans="1:23" x14ac:dyDescent="0.4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10">
        <v>44.564999999999998</v>
      </c>
      <c r="F1186" s="10" t="s">
        <v>2978</v>
      </c>
      <c r="G1186" s="10" t="s">
        <v>2979</v>
      </c>
      <c r="H1186" s="10">
        <v>44.565260360576701</v>
      </c>
      <c r="I1186" s="10">
        <v>-17.8123246849031</v>
      </c>
      <c r="J1186" s="10">
        <v>-17.811676070762498</v>
      </c>
      <c r="K1186" s="4">
        <f t="shared" si="255"/>
        <v>342.18767500000001</v>
      </c>
      <c r="L1186" s="4">
        <f t="shared" si="256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61"/>
        <v>44.565260299466601</v>
      </c>
      <c r="P1186" s="2">
        <f t="shared" si="263"/>
        <v>5.8408945720507564E-6</v>
      </c>
      <c r="Q1186" s="2">
        <f t="shared" si="264"/>
        <v>1.3712497042968959E-9</v>
      </c>
      <c r="R1186" s="6">
        <f t="shared" si="265"/>
        <v>342.18767553625463</v>
      </c>
      <c r="S1186" s="2">
        <f t="shared" si="266"/>
        <v>1.5671359805703316E-9</v>
      </c>
      <c r="T1186" s="2">
        <f t="shared" si="262"/>
        <v>6.4630537526027537E-10</v>
      </c>
      <c r="U1186" s="6">
        <f t="shared" si="267"/>
        <v>342.18832415034103</v>
      </c>
      <c r="V1186" s="2">
        <f t="shared" si="259"/>
        <v>2.4830155489859264E-9</v>
      </c>
      <c r="W1186" s="2">
        <f t="shared" si="260"/>
        <v>6.4614567424017262E-10</v>
      </c>
    </row>
    <row r="1187" spans="1:23" x14ac:dyDescent="0.4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10">
        <v>104.18</v>
      </c>
      <c r="F1187" s="10" t="s">
        <v>2980</v>
      </c>
      <c r="G1187" s="10" t="s">
        <v>2981</v>
      </c>
      <c r="H1187" s="10">
        <v>104.180295298274</v>
      </c>
      <c r="I1187" s="10">
        <v>165.15818517338701</v>
      </c>
      <c r="J1187" s="10">
        <v>165.15825633520299</v>
      </c>
      <c r="K1187" s="4">
        <f t="shared" si="255"/>
        <v>165.15818611111112</v>
      </c>
      <c r="L1187" s="4">
        <f t="shared" si="256"/>
        <v>165.15825555555557</v>
      </c>
      <c r="M1187" s="4">
        <f t="shared" si="257"/>
        <v>165.15818517338698</v>
      </c>
      <c r="N1187" s="4">
        <f t="shared" si="258"/>
        <v>165.15825633520296</v>
      </c>
      <c r="O1187" s="3">
        <f t="shared" si="261"/>
        <v>104.18029511456832</v>
      </c>
      <c r="P1187" s="2">
        <f t="shared" si="263"/>
        <v>2.8327372654731212E-6</v>
      </c>
      <c r="Q1187" s="2">
        <f t="shared" si="264"/>
        <v>1.7633438211651001E-9</v>
      </c>
      <c r="R1187" s="6">
        <f t="shared" si="265"/>
        <v>165.15818558814229</v>
      </c>
      <c r="S1187" s="2">
        <f t="shared" si="266"/>
        <v>3.1664723680830178E-9</v>
      </c>
      <c r="T1187" s="2">
        <f t="shared" si="262"/>
        <v>2.5112609781953575E-9</v>
      </c>
      <c r="U1187" s="6">
        <f t="shared" si="267"/>
        <v>165.15825674994451</v>
      </c>
      <c r="V1187" s="2">
        <f t="shared" si="259"/>
        <v>7.2317846860666421E-9</v>
      </c>
      <c r="W1187" s="2">
        <f t="shared" si="260"/>
        <v>2.5111766057058126E-9</v>
      </c>
    </row>
    <row r="1188" spans="1:23" x14ac:dyDescent="0.45">
      <c r="A1188">
        <v>52.948039999999999</v>
      </c>
      <c r="B1188">
        <v>-168.578</v>
      </c>
      <c r="C1188">
        <v>52.949570000000001</v>
      </c>
      <c r="D1188">
        <v>-168.57828000000001</v>
      </c>
      <c r="E1188" s="10">
        <v>171.304</v>
      </c>
      <c r="F1188" s="10" t="s">
        <v>2982</v>
      </c>
      <c r="G1188" s="10" t="s">
        <v>2983</v>
      </c>
      <c r="H1188" s="10">
        <v>171.303543175789</v>
      </c>
      <c r="I1188" s="10">
        <v>-6.3075522680732998</v>
      </c>
      <c r="J1188" s="10">
        <v>-6.3077757353612096</v>
      </c>
      <c r="K1188" s="4">
        <f t="shared" si="255"/>
        <v>353.6924472222222</v>
      </c>
      <c r="L1188" s="4">
        <f t="shared" si="256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61"/>
        <v>171.30354323125641</v>
      </c>
      <c r="P1188" s="2">
        <f t="shared" si="263"/>
        <v>2.6664219375464907E-6</v>
      </c>
      <c r="Q1188" s="2">
        <f t="shared" si="264"/>
        <v>3.2379604760144774E-10</v>
      </c>
      <c r="R1188" s="6">
        <f t="shared" si="265"/>
        <v>353.69244774333265</v>
      </c>
      <c r="S1188" s="2">
        <f t="shared" si="266"/>
        <v>1.4733434510217848E-9</v>
      </c>
      <c r="T1188" s="2">
        <f t="shared" si="262"/>
        <v>3.2248279905538715E-11</v>
      </c>
      <c r="U1188" s="6">
        <f t="shared" si="267"/>
        <v>353.69222427604888</v>
      </c>
      <c r="V1188" s="2">
        <f t="shared" si="259"/>
        <v>2.0468392595603257E-9</v>
      </c>
      <c r="W1188" s="2">
        <f t="shared" si="260"/>
        <v>3.225987171421404E-11</v>
      </c>
    </row>
    <row r="1189" spans="1:23" x14ac:dyDescent="0.4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10">
        <v>104.761</v>
      </c>
      <c r="F1189" s="10" t="s">
        <v>2984</v>
      </c>
      <c r="G1189" s="10" t="s">
        <v>2985</v>
      </c>
      <c r="H1189" s="10">
        <v>104.760735718693</v>
      </c>
      <c r="I1189" s="10">
        <v>16.823619580964198</v>
      </c>
      <c r="J1189" s="10">
        <v>16.823141365580899</v>
      </c>
      <c r="K1189" s="4">
        <f t="shared" si="255"/>
        <v>16.823619444444443</v>
      </c>
      <c r="L1189" s="4">
        <f t="shared" si="256"/>
        <v>16.823141666666629</v>
      </c>
      <c r="M1189" s="4">
        <f t="shared" si="257"/>
        <v>16.823619580964191</v>
      </c>
      <c r="N1189" s="4">
        <f t="shared" si="258"/>
        <v>16.823141365580909</v>
      </c>
      <c r="O1189" s="3">
        <f t="shared" si="261"/>
        <v>104.7607357637791</v>
      </c>
      <c r="P1189" s="2">
        <f t="shared" si="263"/>
        <v>2.5222766191637712E-6</v>
      </c>
      <c r="Q1189" s="2">
        <f t="shared" si="264"/>
        <v>4.3037208859397234E-10</v>
      </c>
      <c r="R1189" s="6">
        <f t="shared" si="265"/>
        <v>16.823619570925469</v>
      </c>
      <c r="S1189" s="2">
        <f t="shared" si="266"/>
        <v>7.518062742609248E-9</v>
      </c>
      <c r="T1189" s="2">
        <f t="shared" si="262"/>
        <v>5.9670404489814433E-10</v>
      </c>
      <c r="U1189" s="6">
        <f t="shared" si="267"/>
        <v>16.823141355502443</v>
      </c>
      <c r="V1189" s="2">
        <f t="shared" si="259"/>
        <v>1.8496199588555592E-8</v>
      </c>
      <c r="W1189" s="2">
        <f t="shared" si="260"/>
        <v>5.9908347928013052E-10</v>
      </c>
    </row>
    <row r="1190" spans="1:23" x14ac:dyDescent="0.45">
      <c r="A1190">
        <v>68.595179999999999</v>
      </c>
      <c r="B1190">
        <v>-15.328950000000001</v>
      </c>
      <c r="C1190">
        <v>68.596100000000007</v>
      </c>
      <c r="D1190">
        <v>-15.32948</v>
      </c>
      <c r="E1190" s="10">
        <v>104.86799999999999</v>
      </c>
      <c r="F1190" s="10" t="s">
        <v>2986</v>
      </c>
      <c r="G1190" s="10" t="s">
        <v>2987</v>
      </c>
      <c r="H1190" s="10">
        <v>104.86770920658699</v>
      </c>
      <c r="I1190" s="10">
        <v>-11.8831426596747</v>
      </c>
      <c r="J1190" s="10">
        <v>-11.883636104539899</v>
      </c>
      <c r="K1190" s="4">
        <f t="shared" si="255"/>
        <v>348.11685833333331</v>
      </c>
      <c r="L1190" s="4">
        <f t="shared" si="256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61"/>
        <v>104.86770923050605</v>
      </c>
      <c r="P1190" s="2">
        <f t="shared" si="263"/>
        <v>2.7727189795151888E-6</v>
      </c>
      <c r="Q1190" s="2">
        <f t="shared" si="264"/>
        <v>2.2808791322208744E-10</v>
      </c>
      <c r="R1190" s="6">
        <f t="shared" si="265"/>
        <v>348.11685734118851</v>
      </c>
      <c r="S1190" s="2">
        <f t="shared" si="266"/>
        <v>2.8500337793835207E-9</v>
      </c>
      <c r="T1190" s="2">
        <f t="shared" si="262"/>
        <v>2.4796965174723701E-12</v>
      </c>
      <c r="U1190" s="6">
        <f t="shared" si="267"/>
        <v>348.11636389629967</v>
      </c>
      <c r="V1190" s="2">
        <f t="shared" si="259"/>
        <v>2.128825580312744E-11</v>
      </c>
      <c r="W1190" s="2">
        <f t="shared" si="260"/>
        <v>2.4117719925003604E-12</v>
      </c>
    </row>
    <row r="1191" spans="1:23" x14ac:dyDescent="0.45">
      <c r="A1191">
        <v>16.717369999999999</v>
      </c>
      <c r="B1191">
        <v>-64.45478</v>
      </c>
      <c r="C1191">
        <v>16.716539999999998</v>
      </c>
      <c r="D1191">
        <v>-64.454139999999995</v>
      </c>
      <c r="E1191" s="10">
        <v>114.435</v>
      </c>
      <c r="F1191" s="10" t="s">
        <v>2988</v>
      </c>
      <c r="G1191" s="10" t="s">
        <v>2989</v>
      </c>
      <c r="H1191" s="10">
        <v>114.43493978095999</v>
      </c>
      <c r="I1191" s="10">
        <v>143.38528450275101</v>
      </c>
      <c r="J1191" s="10">
        <v>143.38546859487701</v>
      </c>
      <c r="K1191" s="4">
        <f t="shared" si="255"/>
        <v>143.38528333333332</v>
      </c>
      <c r="L1191" s="4">
        <f t="shared" si="256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61"/>
        <v>114.43493858726502</v>
      </c>
      <c r="P1191" s="2">
        <f t="shared" si="263"/>
        <v>5.3666041839622091E-7</v>
      </c>
      <c r="Q1191" s="2">
        <f t="shared" si="264"/>
        <v>1.0431210718595545E-8</v>
      </c>
      <c r="R1191" s="6">
        <f t="shared" si="265"/>
        <v>143.38528530147852</v>
      </c>
      <c r="S1191" s="2">
        <f t="shared" si="266"/>
        <v>1.3726270598083975E-8</v>
      </c>
      <c r="T1191" s="2">
        <f t="shared" si="262"/>
        <v>5.5704985022987867E-9</v>
      </c>
      <c r="U1191" s="6">
        <f t="shared" si="267"/>
        <v>143.38546939364002</v>
      </c>
      <c r="V1191" s="2">
        <f t="shared" si="259"/>
        <v>3.5432043888121927E-10</v>
      </c>
      <c r="W1191" s="2">
        <f t="shared" si="260"/>
        <v>5.5707389257566459E-9</v>
      </c>
    </row>
    <row r="1192" spans="1:23" x14ac:dyDescent="0.4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10">
        <v>151.93199999999999</v>
      </c>
      <c r="F1192" s="10" t="s">
        <v>2990</v>
      </c>
      <c r="G1192" s="10" t="s">
        <v>2991</v>
      </c>
      <c r="H1192" s="10">
        <v>151.93178239674501</v>
      </c>
      <c r="I1192" s="10">
        <v>-128.996529239393</v>
      </c>
      <c r="J1192" s="10">
        <v>-128.99539726348999</v>
      </c>
      <c r="K1192" s="4">
        <f t="shared" si="255"/>
        <v>231.00346944444445</v>
      </c>
      <c r="L1192" s="4">
        <f t="shared" si="256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61"/>
        <v>151.93178207248707</v>
      </c>
      <c r="P1192" s="2">
        <f t="shared" si="263"/>
        <v>1.4343753318644104E-6</v>
      </c>
      <c r="Q1192" s="2">
        <f t="shared" si="264"/>
        <v>2.134233762645921E-9</v>
      </c>
      <c r="R1192" s="6">
        <f t="shared" si="265"/>
        <v>231.00347065246436</v>
      </c>
      <c r="S1192" s="2">
        <f t="shared" si="266"/>
        <v>5.229444877114133E-9</v>
      </c>
      <c r="T1192" s="2">
        <f t="shared" si="262"/>
        <v>4.6814293711113413E-10</v>
      </c>
      <c r="U1192" s="6">
        <f t="shared" si="267"/>
        <v>231.0046026283413</v>
      </c>
      <c r="V1192" s="2">
        <f t="shared" si="259"/>
        <v>6.4689831404141694E-10</v>
      </c>
      <c r="W1192" s="2">
        <f t="shared" si="260"/>
        <v>4.6825346642839114E-10</v>
      </c>
    </row>
    <row r="1193" spans="1:23" x14ac:dyDescent="0.4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10">
        <v>189.53</v>
      </c>
      <c r="F1193" s="10" t="s">
        <v>2992</v>
      </c>
      <c r="G1193" s="10" t="s">
        <v>2993</v>
      </c>
      <c r="H1193" s="10">
        <v>189.52997412608701</v>
      </c>
      <c r="I1193" s="10">
        <v>129.52682484240799</v>
      </c>
      <c r="J1193" s="10">
        <v>129.52721630822501</v>
      </c>
      <c r="K1193" s="4">
        <f t="shared" si="255"/>
        <v>129.526825</v>
      </c>
      <c r="L1193" s="4">
        <f t="shared" si="256"/>
        <v>129.52721666666667</v>
      </c>
      <c r="M1193" s="4">
        <f t="shared" si="257"/>
        <v>129.52682484240802</v>
      </c>
      <c r="N1193" s="4">
        <f t="shared" si="258"/>
        <v>129.52721630822498</v>
      </c>
      <c r="O1193" s="3">
        <f t="shared" si="261"/>
        <v>189.52997082625265</v>
      </c>
      <c r="P1193" s="2">
        <f t="shared" si="263"/>
        <v>1.5392680499309727E-7</v>
      </c>
      <c r="Q1193" s="2">
        <f t="shared" si="264"/>
        <v>1.7410620016859027E-8</v>
      </c>
      <c r="R1193" s="6">
        <f t="shared" si="265"/>
        <v>129.52682566376475</v>
      </c>
      <c r="S1193" s="2">
        <f t="shared" si="266"/>
        <v>5.1245350266806282E-9</v>
      </c>
      <c r="T1193" s="2">
        <f t="shared" si="262"/>
        <v>6.3412095256216168E-9</v>
      </c>
      <c r="U1193" s="6">
        <f t="shared" si="267"/>
        <v>129.52721712954096</v>
      </c>
      <c r="V1193" s="2">
        <f t="shared" si="259"/>
        <v>3.5735677397738922E-9</v>
      </c>
      <c r="W1193" s="2">
        <f t="shared" si="260"/>
        <v>6.3408757031299195E-9</v>
      </c>
    </row>
    <row r="1194" spans="1:23" x14ac:dyDescent="0.45">
      <c r="A1194">
        <v>58.533949999999997</v>
      </c>
      <c r="B1194">
        <v>89.970410000000001</v>
      </c>
      <c r="C1194">
        <v>58.533389999999997</v>
      </c>
      <c r="D1194">
        <v>89.97072</v>
      </c>
      <c r="E1194" s="10">
        <v>64.938000000000002</v>
      </c>
      <c r="F1194" s="10" t="s">
        <v>2994</v>
      </c>
      <c r="G1194" s="10" t="s">
        <v>2995</v>
      </c>
      <c r="H1194" s="10">
        <v>64.937933378428198</v>
      </c>
      <c r="I1194" s="10">
        <v>163.85448121152299</v>
      </c>
      <c r="J1194" s="10">
        <v>163.854745625113</v>
      </c>
      <c r="K1194" s="4">
        <f t="shared" si="255"/>
        <v>163.85448055555557</v>
      </c>
      <c r="L1194" s="4">
        <f t="shared" si="256"/>
        <v>163.85474444444446</v>
      </c>
      <c r="M1194" s="4">
        <f t="shared" si="257"/>
        <v>163.85448121152297</v>
      </c>
      <c r="N1194" s="4">
        <f t="shared" si="258"/>
        <v>163.85474562511297</v>
      </c>
      <c r="O1194" s="3">
        <f t="shared" si="261"/>
        <v>64.937933406683314</v>
      </c>
      <c r="P1194" s="2">
        <f t="shared" si="263"/>
        <v>1.0254907248231843E-6</v>
      </c>
      <c r="Q1194" s="2">
        <f t="shared" si="264"/>
        <v>4.3510955939912604E-10</v>
      </c>
      <c r="R1194" s="6">
        <f t="shared" si="265"/>
        <v>163.85448122504184</v>
      </c>
      <c r="S1194" s="2">
        <f t="shared" si="266"/>
        <v>4.0858587865240315E-9</v>
      </c>
      <c r="T1194" s="2">
        <f t="shared" si="262"/>
        <v>8.2505350209178479E-11</v>
      </c>
      <c r="U1194" s="6">
        <f t="shared" si="267"/>
        <v>163.85474563858807</v>
      </c>
      <c r="V1194" s="2">
        <f t="shared" si="259"/>
        <v>7.2878183122321679E-9</v>
      </c>
      <c r="W1194" s="2">
        <f t="shared" si="260"/>
        <v>8.2238093695541354E-11</v>
      </c>
    </row>
    <row r="1195" spans="1:23" x14ac:dyDescent="0.45">
      <c r="A1195">
        <v>57.740430000000003</v>
      </c>
      <c r="B1195">
        <v>-159.04400000000001</v>
      </c>
      <c r="C1195">
        <v>57.740819999999999</v>
      </c>
      <c r="D1195">
        <v>-159.04281</v>
      </c>
      <c r="E1195" s="10">
        <v>83.126999999999995</v>
      </c>
      <c r="F1195" s="10" t="s">
        <v>2996</v>
      </c>
      <c r="G1195" s="10" t="s">
        <v>2997</v>
      </c>
      <c r="H1195" s="10">
        <v>83.126880716831494</v>
      </c>
      <c r="I1195" s="10">
        <v>58.498025607528703</v>
      </c>
      <c r="J1195" s="10">
        <v>58.499031919721197</v>
      </c>
      <c r="K1195" s="4">
        <f t="shared" si="255"/>
        <v>58.498024999999998</v>
      </c>
      <c r="L1195" s="4">
        <f t="shared" si="256"/>
        <v>58.499030555555578</v>
      </c>
      <c r="M1195" s="4">
        <f t="shared" si="257"/>
        <v>58.498025607528689</v>
      </c>
      <c r="N1195" s="4">
        <f t="shared" si="258"/>
        <v>58.499031919721176</v>
      </c>
      <c r="O1195" s="3">
        <f t="shared" si="261"/>
        <v>83.126880667301307</v>
      </c>
      <c r="P1195" s="2">
        <f t="shared" si="263"/>
        <v>1.435546798127117E-6</v>
      </c>
      <c r="Q1195" s="2">
        <f t="shared" si="264"/>
        <v>5.9583838281421E-10</v>
      </c>
      <c r="R1195" s="6">
        <f t="shared" si="265"/>
        <v>58.498025584243983</v>
      </c>
      <c r="S1195" s="2">
        <f t="shared" si="266"/>
        <v>9.9874138442621003E-9</v>
      </c>
      <c r="T1195" s="2">
        <f t="shared" si="262"/>
        <v>3.9804259164791078E-10</v>
      </c>
      <c r="U1195" s="6">
        <f t="shared" si="267"/>
        <v>58.499031896396225</v>
      </c>
      <c r="V1195" s="2">
        <f t="shared" si="259"/>
        <v>2.292073278253714E-8</v>
      </c>
      <c r="W1195" s="2">
        <f t="shared" si="260"/>
        <v>3.9872370694388742E-10</v>
      </c>
    </row>
    <row r="1196" spans="1:23" x14ac:dyDescent="0.4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10">
        <v>69.305000000000007</v>
      </c>
      <c r="F1196" s="10" t="s">
        <v>2998</v>
      </c>
      <c r="G1196" s="10" t="s">
        <v>2999</v>
      </c>
      <c r="H1196" s="10">
        <v>69.304726011290199</v>
      </c>
      <c r="I1196" s="10">
        <v>-177.69662731289199</v>
      </c>
      <c r="J1196" s="10">
        <v>-177.696097900052</v>
      </c>
      <c r="K1196" s="4">
        <f t="shared" si="255"/>
        <v>182.30337222222221</v>
      </c>
      <c r="L1196" s="4">
        <f t="shared" si="256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61"/>
        <v>69.304725976361297</v>
      </c>
      <c r="P1196" s="2">
        <f t="shared" si="263"/>
        <v>3.9538797880349735E-6</v>
      </c>
      <c r="Q1196" s="2">
        <f t="shared" si="264"/>
        <v>5.0399019586873483E-10</v>
      </c>
      <c r="R1196" s="6">
        <f t="shared" si="265"/>
        <v>182.30337268699208</v>
      </c>
      <c r="S1196" s="2">
        <f t="shared" si="266"/>
        <v>2.5494310014552219E-9</v>
      </c>
      <c r="T1196" s="2">
        <f t="shared" si="262"/>
        <v>6.359298298095411E-13</v>
      </c>
      <c r="U1196" s="6">
        <f t="shared" si="267"/>
        <v>182.3039020998313</v>
      </c>
      <c r="V1196" s="2">
        <f t="shared" si="259"/>
        <v>3.7187710396779679E-9</v>
      </c>
      <c r="W1196" s="2">
        <f t="shared" si="260"/>
        <v>6.4013736171844754E-13</v>
      </c>
    </row>
    <row r="1197" spans="1:23" x14ac:dyDescent="0.45">
      <c r="A1197">
        <v>58.555579999999999</v>
      </c>
      <c r="B1197">
        <v>152.70925</v>
      </c>
      <c r="C1197">
        <v>58.555230000000002</v>
      </c>
      <c r="D1197">
        <v>152.70991000000001</v>
      </c>
      <c r="E1197" s="10">
        <v>54.737000000000002</v>
      </c>
      <c r="F1197" s="10" t="s">
        <v>3000</v>
      </c>
      <c r="G1197" s="10" t="s">
        <v>3001</v>
      </c>
      <c r="H1197" s="10">
        <v>54.736562196387901</v>
      </c>
      <c r="I1197" s="10">
        <v>135.417207863665</v>
      </c>
      <c r="J1197" s="10">
        <v>135.41777093937901</v>
      </c>
      <c r="K1197" s="4">
        <f t="shared" si="255"/>
        <v>135.41720833333332</v>
      </c>
      <c r="L1197" s="4">
        <f t="shared" si="256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61"/>
        <v>54.736562188291508</v>
      </c>
      <c r="P1197" s="2">
        <f t="shared" si="263"/>
        <v>7.9984600634670491E-6</v>
      </c>
      <c r="Q1197" s="2">
        <f t="shared" si="264"/>
        <v>1.4791562649490745E-10</v>
      </c>
      <c r="R1197" s="6">
        <f t="shared" si="265"/>
        <v>135.41720788717382</v>
      </c>
      <c r="S1197" s="2">
        <f t="shared" si="266"/>
        <v>3.294703158480108E-9</v>
      </c>
      <c r="T1197" s="2">
        <f t="shared" si="262"/>
        <v>1.7360288529254577E-10</v>
      </c>
      <c r="U1197" s="6">
        <f t="shared" si="267"/>
        <v>135.41777096300407</v>
      </c>
      <c r="V1197" s="2">
        <f t="shared" si="259"/>
        <v>9.2987656116810269E-9</v>
      </c>
      <c r="W1197" s="2">
        <f t="shared" si="260"/>
        <v>1.744605795168419E-10</v>
      </c>
    </row>
    <row r="1198" spans="1:23" x14ac:dyDescent="0.45">
      <c r="A1198">
        <v>80.975669999999994</v>
      </c>
      <c r="B1198">
        <v>125.0956</v>
      </c>
      <c r="C1198">
        <v>80.974729999999994</v>
      </c>
      <c r="D1198">
        <v>125.09496</v>
      </c>
      <c r="E1198" s="10">
        <v>105.563</v>
      </c>
      <c r="F1198" s="10" t="s">
        <v>3002</v>
      </c>
      <c r="G1198" s="10" t="s">
        <v>3003</v>
      </c>
      <c r="H1198" s="10">
        <v>105.56336088540201</v>
      </c>
      <c r="I1198" s="10">
        <v>-173.902619833931</v>
      </c>
      <c r="J1198" s="10">
        <v>-173.90325191107399</v>
      </c>
      <c r="K1198" s="4">
        <f t="shared" si="255"/>
        <v>186.09738055555556</v>
      </c>
      <c r="L1198" s="4">
        <f t="shared" si="256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61"/>
        <v>105.56336085279197</v>
      </c>
      <c r="P1198" s="2">
        <f t="shared" si="263"/>
        <v>3.4183643129785614E-6</v>
      </c>
      <c r="Q1198" s="2">
        <f t="shared" si="264"/>
        <v>3.0891430260023936E-10</v>
      </c>
      <c r="R1198" s="6">
        <f t="shared" si="265"/>
        <v>186.09738012458203</v>
      </c>
      <c r="S1198" s="2">
        <f t="shared" si="266"/>
        <v>2.315849516945157E-9</v>
      </c>
      <c r="T1198" s="2">
        <f t="shared" si="262"/>
        <v>2.2293151180619902E-10</v>
      </c>
      <c r="U1198" s="6">
        <f t="shared" si="267"/>
        <v>186.09674804744455</v>
      </c>
      <c r="V1198" s="2">
        <f t="shared" si="259"/>
        <v>4.4343725921495802E-9</v>
      </c>
      <c r="W1198" s="2">
        <f t="shared" si="260"/>
        <v>2.2290264025539757E-10</v>
      </c>
    </row>
    <row r="1199" spans="1:23" x14ac:dyDescent="0.4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10">
        <v>102.744</v>
      </c>
      <c r="F1199" s="10" t="s">
        <v>3004</v>
      </c>
      <c r="G1199" s="10" t="s">
        <v>3005</v>
      </c>
      <c r="H1199" s="10">
        <v>102.744280442796</v>
      </c>
      <c r="I1199" s="10">
        <v>-1.1291765809183001</v>
      </c>
      <c r="J1199" s="10">
        <v>-1.1290782379066799</v>
      </c>
      <c r="K1199" s="4">
        <f t="shared" si="255"/>
        <v>358.87082222222222</v>
      </c>
      <c r="L1199" s="4">
        <f t="shared" si="256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61"/>
        <v>102.74428042912764</v>
      </c>
      <c r="P1199" s="2">
        <f t="shared" si="263"/>
        <v>2.7293966328147971E-6</v>
      </c>
      <c r="Q1199" s="2">
        <f t="shared" si="264"/>
        <v>1.330327613132604E-10</v>
      </c>
      <c r="R1199" s="6">
        <f t="shared" si="265"/>
        <v>358.87082343323834</v>
      </c>
      <c r="S1199" s="2">
        <f t="shared" si="266"/>
        <v>3.3745182151924891E-9</v>
      </c>
      <c r="T1199" s="2">
        <f t="shared" si="262"/>
        <v>3.9447693068870595E-11</v>
      </c>
      <c r="U1199" s="6">
        <f t="shared" si="267"/>
        <v>358.8709217762493</v>
      </c>
      <c r="V1199" s="2">
        <f t="shared" si="259"/>
        <v>1.2427112822240104E-9</v>
      </c>
      <c r="W1199" s="2">
        <f t="shared" si="260"/>
        <v>3.9445939912027137E-11</v>
      </c>
    </row>
    <row r="1200" spans="1:23" x14ac:dyDescent="0.45">
      <c r="A1200">
        <v>4.5747099999999996</v>
      </c>
      <c r="B1200">
        <v>-163.26329999999999</v>
      </c>
      <c r="C1200">
        <v>4.57317999999999</v>
      </c>
      <c r="D1200">
        <v>-163.26361</v>
      </c>
      <c r="E1200" s="10">
        <v>172.65100000000001</v>
      </c>
      <c r="F1200" s="10" t="s">
        <v>3006</v>
      </c>
      <c r="G1200" s="10" t="s">
        <v>3007</v>
      </c>
      <c r="H1200" s="10">
        <v>172.65115058950599</v>
      </c>
      <c r="I1200" s="10">
        <v>-168.507177820104</v>
      </c>
      <c r="J1200" s="10">
        <v>-168.50720254125099</v>
      </c>
      <c r="K1200" s="4">
        <f t="shared" si="255"/>
        <v>191.49282222222223</v>
      </c>
      <c r="L1200" s="4">
        <f t="shared" si="256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61"/>
        <v>172.65115040468908</v>
      </c>
      <c r="P1200" s="2">
        <f t="shared" si="263"/>
        <v>8.7114867024174962E-7</v>
      </c>
      <c r="Q1200" s="2">
        <f t="shared" si="264"/>
        <v>1.0704644096817876E-9</v>
      </c>
      <c r="R1200" s="6">
        <f t="shared" si="265"/>
        <v>191.49282176719939</v>
      </c>
      <c r="S1200" s="2">
        <f t="shared" si="266"/>
        <v>2.3761874582846314E-9</v>
      </c>
      <c r="T1200" s="2">
        <f t="shared" si="262"/>
        <v>2.1551544483839936E-9</v>
      </c>
      <c r="U1200" s="6">
        <f t="shared" si="267"/>
        <v>191.4927970460536</v>
      </c>
      <c r="V1200" s="2">
        <f t="shared" si="259"/>
        <v>9.1997528429185207E-10</v>
      </c>
      <c r="W1200" s="2">
        <f t="shared" si="260"/>
        <v>2.1551484928915608E-9</v>
      </c>
    </row>
    <row r="1201" spans="1:23" x14ac:dyDescent="0.4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10">
        <v>127.52800000000001</v>
      </c>
      <c r="F1201" s="10" t="s">
        <v>3008</v>
      </c>
      <c r="G1201" s="10" t="s">
        <v>3009</v>
      </c>
      <c r="H1201" s="10">
        <v>127.52767568927101</v>
      </c>
      <c r="I1201" s="10">
        <v>-113.036788957192</v>
      </c>
      <c r="J1201" s="10">
        <v>-113.03611573826799</v>
      </c>
      <c r="K1201" s="4">
        <f t="shared" ref="K1201:K1206" si="268">ConvertDecimal(F1201)</f>
        <v>246.96321111111112</v>
      </c>
      <c r="L1201" s="4">
        <f t="shared" ref="L1201:L1206" si="269">MOD(ConvertDecimal(G1201)+180,360)</f>
        <v>246.96388333333334</v>
      </c>
      <c r="M1201" s="4">
        <f t="shared" ref="M1201:M1206" si="270">MOD(I1201+360, 360)</f>
        <v>246.96321104280798</v>
      </c>
      <c r="N1201" s="4">
        <f t="shared" ref="N1201:N1206" si="271">MOD(J1201+360, 360)</f>
        <v>246.96388426173201</v>
      </c>
      <c r="O1201" s="3">
        <f t="shared" si="261"/>
        <v>127.52767423238416</v>
      </c>
      <c r="P1201" s="2">
        <f t="shared" si="263"/>
        <v>2.5544791406463607E-6</v>
      </c>
      <c r="Q1201" s="2">
        <f t="shared" si="264"/>
        <v>1.1424083764627635E-8</v>
      </c>
      <c r="R1201" s="6">
        <f t="shared" si="265"/>
        <v>246.96321076319711</v>
      </c>
      <c r="S1201" s="2">
        <f t="shared" si="266"/>
        <v>1.4087685729577275E-9</v>
      </c>
      <c r="T1201" s="2">
        <f t="shared" si="262"/>
        <v>1.132196459307114E-9</v>
      </c>
      <c r="U1201" s="6">
        <f t="shared" si="267"/>
        <v>246.96388398222959</v>
      </c>
      <c r="V1201" s="2">
        <f t="shared" si="259"/>
        <v>2.6274945072907213E-9</v>
      </c>
      <c r="W1201" s="2">
        <f t="shared" si="260"/>
        <v>1.1317542105969635E-9</v>
      </c>
    </row>
    <row r="1202" spans="1:23" x14ac:dyDescent="0.4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10">
        <v>23.986999999999998</v>
      </c>
      <c r="F1202" s="10" t="s">
        <v>3010</v>
      </c>
      <c r="G1202" s="10" t="s">
        <v>3011</v>
      </c>
      <c r="H1202" s="10">
        <v>23.987302057598999</v>
      </c>
      <c r="I1202" s="10">
        <v>13.3786197108931</v>
      </c>
      <c r="J1202" s="10">
        <v>13.3785704940535</v>
      </c>
      <c r="K1202" s="4">
        <f t="shared" si="268"/>
        <v>13.378619444444444</v>
      </c>
      <c r="L1202" s="4">
        <f t="shared" si="269"/>
        <v>13.378569444444452</v>
      </c>
      <c r="M1202" s="4">
        <f t="shared" si="270"/>
        <v>13.378619710893076</v>
      </c>
      <c r="N1202" s="4">
        <f t="shared" si="271"/>
        <v>13.37857049405352</v>
      </c>
      <c r="O1202" s="3">
        <f t="shared" si="261"/>
        <v>23.987302013531025</v>
      </c>
      <c r="P1202" s="2">
        <f t="shared" si="263"/>
        <v>1.2590717097867426E-5</v>
      </c>
      <c r="Q1202" s="2">
        <f t="shared" si="264"/>
        <v>1.8371375844128635E-9</v>
      </c>
      <c r="R1202" s="6">
        <f t="shared" si="265"/>
        <v>13.378619645080375</v>
      </c>
      <c r="S1202" s="2">
        <f t="shared" si="266"/>
        <v>1.49967589565912E-8</v>
      </c>
      <c r="T1202" s="2">
        <f t="shared" si="262"/>
        <v>4.9192444728107414E-9</v>
      </c>
      <c r="U1202" s="6">
        <f t="shared" si="267"/>
        <v>13.378570428278165</v>
      </c>
      <c r="V1202" s="2">
        <f t="shared" si="259"/>
        <v>7.353803538184432E-8</v>
      </c>
      <c r="W1202" s="2">
        <f t="shared" si="260"/>
        <v>4.9164710810988176E-9</v>
      </c>
    </row>
    <row r="1203" spans="1:23" x14ac:dyDescent="0.45">
      <c r="A1203">
        <v>-7.11313</v>
      </c>
      <c r="B1203">
        <v>-105.12806999999999</v>
      </c>
      <c r="C1203">
        <v>-7.11151</v>
      </c>
      <c r="D1203">
        <v>-105.12678</v>
      </c>
      <c r="E1203" s="10">
        <v>228.922</v>
      </c>
      <c r="F1203" s="10" t="s">
        <v>3012</v>
      </c>
      <c r="G1203" s="10" t="s">
        <v>3013</v>
      </c>
      <c r="H1203" s="10">
        <v>228.921566235928</v>
      </c>
      <c r="I1203" s="10">
        <v>38.499267543919899</v>
      </c>
      <c r="J1203" s="10">
        <v>38.499107822763897</v>
      </c>
      <c r="K1203" s="4">
        <f t="shared" si="268"/>
        <v>38.499266666666664</v>
      </c>
      <c r="L1203" s="4">
        <f t="shared" si="269"/>
        <v>38.499108333333311</v>
      </c>
      <c r="M1203" s="4">
        <f t="shared" si="270"/>
        <v>38.499267543919927</v>
      </c>
      <c r="N1203" s="4">
        <f t="shared" si="271"/>
        <v>38.499107822763904</v>
      </c>
      <c r="O1203" s="3">
        <f t="shared" si="261"/>
        <v>228.92156305400474</v>
      </c>
      <c r="P1203" s="2">
        <f t="shared" si="263"/>
        <v>1.9087112433987982E-6</v>
      </c>
      <c r="Q1203" s="2">
        <f t="shared" si="264"/>
        <v>1.3899622102376654E-8</v>
      </c>
      <c r="R1203" s="6">
        <f t="shared" si="265"/>
        <v>38.499266539337583</v>
      </c>
      <c r="S1203" s="2">
        <f t="shared" si="266"/>
        <v>3.3073118434946645E-9</v>
      </c>
      <c r="T1203" s="2">
        <f t="shared" si="262"/>
        <v>2.6093544332383774E-8</v>
      </c>
      <c r="U1203" s="6">
        <f t="shared" si="267"/>
        <v>38.499106818182781</v>
      </c>
      <c r="V1203" s="2">
        <f t="shared" si="259"/>
        <v>3.9355470686925127E-8</v>
      </c>
      <c r="W1203" s="2">
        <f t="shared" si="260"/>
        <v>2.6093620842145342E-8</v>
      </c>
    </row>
    <row r="1204" spans="1:23" x14ac:dyDescent="0.4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10">
        <v>119.539</v>
      </c>
      <c r="F1204" s="10" t="s">
        <v>3014</v>
      </c>
      <c r="G1204" s="10" t="s">
        <v>3015</v>
      </c>
      <c r="H1204" s="10">
        <v>119.539292501132</v>
      </c>
      <c r="I1204" s="10">
        <v>146.11852807078199</v>
      </c>
      <c r="J1204" s="10">
        <v>146.117195698817</v>
      </c>
      <c r="K1204" s="4">
        <f t="shared" si="268"/>
        <v>146.11852777777779</v>
      </c>
      <c r="L1204" s="4">
        <f t="shared" si="269"/>
        <v>146.11719444444446</v>
      </c>
      <c r="M1204" s="4">
        <f t="shared" si="270"/>
        <v>146.11852807078196</v>
      </c>
      <c r="N1204" s="4">
        <f t="shared" si="271"/>
        <v>146.117195698817</v>
      </c>
      <c r="O1204" s="3">
        <f t="shared" si="261"/>
        <v>119.53929251635725</v>
      </c>
      <c r="P1204" s="2">
        <f t="shared" si="263"/>
        <v>2.4470370109209E-6</v>
      </c>
      <c r="Q1204" s="2">
        <f t="shared" si="264"/>
        <v>1.2736610388034858E-10</v>
      </c>
      <c r="R1204" s="6">
        <f t="shared" si="265"/>
        <v>146.11852807534839</v>
      </c>
      <c r="S1204" s="2">
        <f t="shared" si="266"/>
        <v>2.0365015489810423E-9</v>
      </c>
      <c r="T1204" s="2">
        <f t="shared" si="262"/>
        <v>3.1251552074509502E-11</v>
      </c>
      <c r="U1204" s="6">
        <f t="shared" si="267"/>
        <v>146.11719570332431</v>
      </c>
      <c r="V1204" s="2">
        <f t="shared" si="259"/>
        <v>8.6155489992209971E-9</v>
      </c>
      <c r="W1204" s="2">
        <f t="shared" si="260"/>
        <v>3.0847249783866286E-11</v>
      </c>
    </row>
    <row r="1205" spans="1:23" x14ac:dyDescent="0.4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10">
        <v>24.303000000000001</v>
      </c>
      <c r="F1205" s="10" t="s">
        <v>3016</v>
      </c>
      <c r="G1205" s="10" t="s">
        <v>3017</v>
      </c>
      <c r="H1205" s="10">
        <v>24.302507952039502</v>
      </c>
      <c r="I1205" s="10">
        <v>-34.4458859208017</v>
      </c>
      <c r="J1205" s="10">
        <v>-34.445703652174998</v>
      </c>
      <c r="K1205" s="4">
        <f t="shared" si="268"/>
        <v>325.55411388888888</v>
      </c>
      <c r="L1205" s="4">
        <f t="shared" si="269"/>
        <v>325.5542972222222</v>
      </c>
      <c r="M1205" s="4">
        <f t="shared" si="270"/>
        <v>325.55411407919831</v>
      </c>
      <c r="N1205" s="4">
        <f t="shared" si="271"/>
        <v>325.55429634782502</v>
      </c>
      <c r="O1205" s="3">
        <f t="shared" si="261"/>
        <v>24.302507952169002</v>
      </c>
      <c r="P1205" s="2">
        <f t="shared" si="263"/>
        <v>2.0246382380738935E-5</v>
      </c>
      <c r="Q1205" s="2">
        <f t="shared" si="264"/>
        <v>5.3286667598884267E-12</v>
      </c>
      <c r="R1205" s="6">
        <f t="shared" si="265"/>
        <v>325.55411410680125</v>
      </c>
      <c r="S1205" s="2">
        <f t="shared" si="266"/>
        <v>6.6935837482710483E-10</v>
      </c>
      <c r="T1205" s="2">
        <f t="shared" si="262"/>
        <v>8.4787553378661637E-11</v>
      </c>
      <c r="U1205" s="6">
        <f t="shared" si="267"/>
        <v>325.55429637535929</v>
      </c>
      <c r="V1205" s="2">
        <f t="shared" si="259"/>
        <v>2.6012954668248734E-9</v>
      </c>
      <c r="W1205" s="2">
        <f t="shared" si="260"/>
        <v>8.4576583027892897E-11</v>
      </c>
    </row>
    <row r="1206" spans="1:23" x14ac:dyDescent="0.4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10">
        <v>87.073999999999998</v>
      </c>
      <c r="F1206" s="10" t="s">
        <v>3018</v>
      </c>
      <c r="G1206" s="10" t="s">
        <v>3019</v>
      </c>
      <c r="H1206" s="10">
        <v>87.073914035619197</v>
      </c>
      <c r="I1206" s="10">
        <v>-19.065582936257801</v>
      </c>
      <c r="J1206" s="10">
        <v>-19.065287863020199</v>
      </c>
      <c r="K1206" s="4">
        <f t="shared" si="268"/>
        <v>340.93441666666666</v>
      </c>
      <c r="L1206" s="4">
        <f t="shared" si="269"/>
        <v>340.93471111111114</v>
      </c>
      <c r="M1206" s="4">
        <f t="shared" si="270"/>
        <v>340.93441706374222</v>
      </c>
      <c r="N1206" s="4">
        <f t="shared" si="271"/>
        <v>340.93471213697978</v>
      </c>
      <c r="O1206" s="3">
        <f t="shared" si="261"/>
        <v>87.073914023265687</v>
      </c>
      <c r="P1206" s="2">
        <f t="shared" si="263"/>
        <v>9.8739846925079388E-7</v>
      </c>
      <c r="Q1206" s="2">
        <f t="shared" si="264"/>
        <v>1.4187383617240847E-10</v>
      </c>
      <c r="R1206" s="6">
        <f t="shared" si="265"/>
        <v>340.93441711702769</v>
      </c>
      <c r="S1206" s="2">
        <f t="shared" si="266"/>
        <v>1.3209608841291906E-9</v>
      </c>
      <c r="T1206" s="2">
        <f t="shared" si="262"/>
        <v>1.5629245074870189E-10</v>
      </c>
      <c r="U1206" s="6">
        <f t="shared" si="267"/>
        <v>340.93471219019847</v>
      </c>
      <c r="V1206" s="2">
        <f t="shared" si="259"/>
        <v>3.1650849590658634E-9</v>
      </c>
      <c r="W1206" s="2">
        <f t="shared" si="260"/>
        <v>1.5609640988662023E-10</v>
      </c>
    </row>
    <row r="1207" spans="1:23" x14ac:dyDescent="0.45">
      <c r="O1207" s="12" t="s">
        <v>3038</v>
      </c>
      <c r="P1207" s="11">
        <f>MAX(P607:P1206)</f>
        <v>2.4183434933767003E-5</v>
      </c>
      <c r="Q1207" s="11">
        <f>MAX(Q607:Q1206)</f>
        <v>1.2688218919794146E-6</v>
      </c>
      <c r="R1207" s="1"/>
      <c r="S1207" s="11">
        <f>MAX(S607:S1206)</f>
        <v>8.0977538995870476E-6</v>
      </c>
      <c r="T1207" s="11">
        <f>MAX(T607:T1206)</f>
        <v>3.9277083722832427E-6</v>
      </c>
      <c r="U1207" s="1"/>
      <c r="V1207" s="11">
        <f>MAX(V607:V1206)</f>
        <v>5.2445946691427917E-6</v>
      </c>
      <c r="W1207" s="11">
        <f>MAX(W607:W1206)</f>
        <v>3.9277070574730918E-6</v>
      </c>
    </row>
    <row r="1210" spans="1:23" x14ac:dyDescent="0.45">
      <c r="O1210" s="15" t="s">
        <v>3045</v>
      </c>
      <c r="P1210" s="10"/>
      <c r="Q1210" s="10"/>
      <c r="R1210" s="10"/>
      <c r="S1210" s="10"/>
    </row>
    <row r="1211" spans="1:23" x14ac:dyDescent="0.45">
      <c r="O1211" s="1"/>
      <c r="Q1211" s="1" t="s">
        <v>3036</v>
      </c>
      <c r="R1211" s="1"/>
      <c r="S1211" s="1" t="s">
        <v>3027</v>
      </c>
    </row>
    <row r="1212" spans="1:23" x14ac:dyDescent="0.45">
      <c r="O1212" s="14" t="s">
        <v>3039</v>
      </c>
      <c r="Q1212" s="13">
        <f>P604</f>
        <v>5.0073735394032859E-9</v>
      </c>
      <c r="R1212" s="13"/>
      <c r="S1212" s="13">
        <f>R604</f>
        <v>0</v>
      </c>
    </row>
    <row r="1213" spans="1:23" x14ac:dyDescent="0.45">
      <c r="O1213" s="14" t="s">
        <v>3040</v>
      </c>
      <c r="Q1213" s="13">
        <f>S604</f>
        <v>2.4122288312680121E-9</v>
      </c>
      <c r="R1213" s="13"/>
      <c r="S1213" s="13">
        <f>T604</f>
        <v>5.0571151159208529E-10</v>
      </c>
    </row>
    <row r="1214" spans="1:23" x14ac:dyDescent="0.45">
      <c r="O1214" s="14" t="s">
        <v>3041</v>
      </c>
      <c r="Q1214" s="13">
        <f>V604</f>
        <v>8.3281688134591717E-7</v>
      </c>
      <c r="R1214" s="13"/>
      <c r="S1214" s="13">
        <f>W604</f>
        <v>1.2786144172725813E-10</v>
      </c>
    </row>
    <row r="1215" spans="1:23" x14ac:dyDescent="0.45">
      <c r="O1215" s="14" t="s">
        <v>3042</v>
      </c>
      <c r="Q1215" s="13">
        <f>P1207</f>
        <v>2.4183434933767003E-5</v>
      </c>
      <c r="R1215" s="13"/>
      <c r="S1215" s="13">
        <f>Q1207</f>
        <v>1.2688218919794146E-6</v>
      </c>
    </row>
    <row r="1216" spans="1:23" x14ac:dyDescent="0.45">
      <c r="O1216" s="14" t="s">
        <v>3043</v>
      </c>
      <c r="Q1216" s="13">
        <f>S1207</f>
        <v>8.0977538995870476E-6</v>
      </c>
      <c r="R1216" s="13"/>
      <c r="S1216" s="13">
        <f>T1207</f>
        <v>3.9277083722832427E-6</v>
      </c>
    </row>
    <row r="1217" spans="15:19" x14ac:dyDescent="0.45">
      <c r="O1217" s="14" t="s">
        <v>3044</v>
      </c>
      <c r="Q1217" s="13">
        <f>V1207</f>
        <v>5.2445946691427917E-6</v>
      </c>
      <c r="R1217" s="13"/>
      <c r="S1217" s="13">
        <f>W1207</f>
        <v>3.9277070574730918E-6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lastModifiedBy>Tomasz Jastrzębski</cp:lastModifiedBy>
  <dcterms:created xsi:type="dcterms:W3CDTF">2018-03-16T12:55:15Z</dcterms:created>
  <dcterms:modified xsi:type="dcterms:W3CDTF">2018-10-23T14:13:26Z</dcterms:modified>
</cp:coreProperties>
</file>