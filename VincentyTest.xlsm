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jects\Tomasz Jastrzebski\Vincenty-Excel\"/>
    </mc:Choice>
  </mc:AlternateContent>
  <xr:revisionPtr revIDLastSave="0" documentId="13_ncr:1_{143B3005-8DA2-4DCD-8CFD-1AE3BA4E22D4}" xr6:coauthVersionLast="45" xr6:coauthVersionMax="45" xr10:uidLastSave="{00000000-0000-0000-0000-000000000000}"/>
  <bookViews>
    <workbookView xWindow="0" yWindow="0" windowWidth="20520" windowHeight="13080" tabRatio="746" xr2:uid="{00000000-000D-0000-FFFF-FFFF00000000}"/>
  </bookViews>
  <sheets>
    <sheet name="Comparison" sheetId="6" r:id="rId1"/>
    <sheet name="Direct" sheetId="3" r:id="rId2"/>
    <sheet name="Inverse" sheetId="4" r:id="rId3"/>
    <sheet name="DirectTestData" sheetId="8" r:id="rId4"/>
    <sheet name="Direct Geoscience Aus" sheetId="11" r:id="rId5"/>
    <sheet name="InverseTestData" sheetId="7" r:id="rId6"/>
    <sheet name="Inverse Geoscience Aus" sheetId="9" r:id="rId7"/>
  </sheets>
  <functionGroups builtInGroupCount="19"/>
  <definedNames>
    <definedName name="ExternalData_1" localSheetId="4" hidden="1">'Direct Geoscience Aus'!$A$1:$I$601</definedName>
    <definedName name="ExternalData_1" localSheetId="6" hidden="1">'Inverse Geoscience Aus'!$A$1:$I$601</definedName>
  </definedNames>
  <calcPr calcId="191029" iterate="1"/>
</workbook>
</file>

<file path=xl/calcChain.xml><?xml version="1.0" encoding="utf-8"?>
<calcChain xmlns="http://schemas.openxmlformats.org/spreadsheetml/2006/main">
  <c r="D9" i="6" l="1"/>
  <c r="C9" i="6"/>
  <c r="D8" i="6"/>
  <c r="C8" i="6"/>
  <c r="D6" i="6"/>
  <c r="C6" i="6"/>
  <c r="D5" i="6"/>
  <c r="C5" i="6"/>
  <c r="D4" i="6"/>
  <c r="C4" i="6"/>
  <c r="C7" i="6"/>
  <c r="D7" i="6"/>
  <c r="O289" i="3" l="1"/>
  <c r="P289" i="3"/>
  <c r="O290" i="3"/>
  <c r="P290" i="3"/>
  <c r="O291" i="3"/>
  <c r="P291" i="3"/>
  <c r="O292" i="3"/>
  <c r="P292" i="3"/>
  <c r="O293" i="3"/>
  <c r="P293" i="3"/>
  <c r="O294" i="3"/>
  <c r="P294" i="3"/>
  <c r="O295" i="3"/>
  <c r="P295" i="3"/>
  <c r="O296" i="3"/>
  <c r="P296" i="3"/>
  <c r="O297" i="3"/>
  <c r="P297" i="3"/>
  <c r="O298" i="3"/>
  <c r="P298" i="3"/>
  <c r="O299" i="3"/>
  <c r="P299" i="3"/>
  <c r="O300" i="3"/>
  <c r="P300" i="3"/>
  <c r="O301" i="3"/>
  <c r="P301" i="3"/>
  <c r="O302" i="3"/>
  <c r="P302" i="3"/>
  <c r="O303" i="3"/>
  <c r="P303" i="3"/>
  <c r="O304" i="3"/>
  <c r="P304" i="3"/>
  <c r="O305" i="3"/>
  <c r="P305" i="3"/>
  <c r="O306" i="3"/>
  <c r="P306" i="3"/>
  <c r="O307" i="3"/>
  <c r="P307" i="3"/>
  <c r="O308" i="3"/>
  <c r="P308" i="3"/>
  <c r="O309" i="3"/>
  <c r="P309" i="3"/>
  <c r="O310" i="3"/>
  <c r="P310" i="3"/>
  <c r="O311" i="3"/>
  <c r="P311" i="3"/>
  <c r="O312" i="3"/>
  <c r="P312" i="3"/>
  <c r="O313" i="3"/>
  <c r="P313" i="3"/>
  <c r="O314" i="3"/>
  <c r="P314" i="3"/>
  <c r="O315" i="3"/>
  <c r="P315" i="3"/>
  <c r="O316" i="3"/>
  <c r="P316" i="3"/>
  <c r="O317" i="3"/>
  <c r="P317" i="3"/>
  <c r="O318" i="3"/>
  <c r="P318" i="3"/>
  <c r="O319" i="3"/>
  <c r="P319" i="3"/>
  <c r="O320" i="3"/>
  <c r="P320" i="3"/>
  <c r="O321" i="3"/>
  <c r="P321" i="3"/>
  <c r="O322" i="3"/>
  <c r="P322" i="3"/>
  <c r="O323" i="3"/>
  <c r="P323" i="3"/>
  <c r="O324" i="3"/>
  <c r="P324" i="3"/>
  <c r="O325" i="3"/>
  <c r="P325" i="3"/>
  <c r="O326" i="3"/>
  <c r="P326" i="3"/>
  <c r="O327" i="3"/>
  <c r="P327" i="3"/>
  <c r="O328" i="3"/>
  <c r="P328" i="3"/>
  <c r="O329" i="3"/>
  <c r="P329" i="3"/>
  <c r="O330" i="3"/>
  <c r="P330" i="3"/>
  <c r="O331" i="3"/>
  <c r="P331" i="3"/>
  <c r="O332" i="3"/>
  <c r="P332" i="3"/>
  <c r="O333" i="3"/>
  <c r="P333" i="3"/>
  <c r="O334" i="3"/>
  <c r="P334" i="3"/>
  <c r="O335" i="3"/>
  <c r="P335" i="3"/>
  <c r="O336" i="3"/>
  <c r="P336" i="3"/>
  <c r="O337" i="3"/>
  <c r="P337" i="3"/>
  <c r="O338" i="3"/>
  <c r="P338" i="3"/>
  <c r="O339" i="3"/>
  <c r="P339" i="3"/>
  <c r="O340" i="3"/>
  <c r="P340" i="3"/>
  <c r="O341" i="3"/>
  <c r="P341" i="3"/>
  <c r="O342" i="3"/>
  <c r="P342" i="3"/>
  <c r="O343" i="3"/>
  <c r="P343" i="3"/>
  <c r="O344" i="3"/>
  <c r="P344" i="3"/>
  <c r="O345" i="3"/>
  <c r="P345" i="3"/>
  <c r="O346" i="3"/>
  <c r="P346" i="3"/>
  <c r="O347" i="3"/>
  <c r="P347" i="3"/>
  <c r="O348" i="3"/>
  <c r="P348" i="3"/>
  <c r="O349" i="3"/>
  <c r="P349" i="3"/>
  <c r="O350" i="3"/>
  <c r="P350" i="3"/>
  <c r="O351" i="3"/>
  <c r="P351" i="3"/>
  <c r="O352" i="3"/>
  <c r="P352" i="3"/>
  <c r="O353" i="3"/>
  <c r="P353" i="3"/>
  <c r="O354" i="3"/>
  <c r="P354" i="3"/>
  <c r="O355" i="3"/>
  <c r="P355" i="3"/>
  <c r="O356" i="3"/>
  <c r="P356" i="3"/>
  <c r="O357" i="3"/>
  <c r="P357" i="3"/>
  <c r="O358" i="3"/>
  <c r="P358" i="3"/>
  <c r="O359" i="3"/>
  <c r="P359" i="3"/>
  <c r="O360" i="3"/>
  <c r="P360" i="3"/>
  <c r="O361" i="3"/>
  <c r="P361" i="3"/>
  <c r="O362" i="3"/>
  <c r="P362" i="3"/>
  <c r="O363" i="3"/>
  <c r="P363" i="3"/>
  <c r="O364" i="3"/>
  <c r="P364" i="3"/>
  <c r="O365" i="3"/>
  <c r="P365" i="3"/>
  <c r="O366" i="3"/>
  <c r="P366" i="3"/>
  <c r="O367" i="3"/>
  <c r="P367" i="3"/>
  <c r="O368" i="3"/>
  <c r="P368" i="3"/>
  <c r="O369" i="3"/>
  <c r="P369" i="3"/>
  <c r="O370" i="3"/>
  <c r="P370" i="3"/>
  <c r="O371" i="3"/>
  <c r="P371" i="3"/>
  <c r="O372" i="3"/>
  <c r="P372" i="3"/>
  <c r="O373" i="3"/>
  <c r="P373" i="3"/>
  <c r="O374" i="3"/>
  <c r="P374" i="3"/>
  <c r="O375" i="3"/>
  <c r="P375" i="3"/>
  <c r="O376" i="3"/>
  <c r="P376" i="3"/>
  <c r="O377" i="3"/>
  <c r="P377" i="3"/>
  <c r="O378" i="3"/>
  <c r="P378" i="3"/>
  <c r="O379" i="3"/>
  <c r="P379" i="3"/>
  <c r="O380" i="3"/>
  <c r="P380" i="3"/>
  <c r="O381" i="3"/>
  <c r="P381" i="3"/>
  <c r="O382" i="3"/>
  <c r="P382" i="3"/>
  <c r="O383" i="3"/>
  <c r="P383" i="3"/>
  <c r="O384" i="3"/>
  <c r="P384" i="3"/>
  <c r="O385" i="3"/>
  <c r="P385" i="3"/>
  <c r="O386" i="3"/>
  <c r="P386" i="3"/>
  <c r="O387" i="3"/>
  <c r="P387" i="3"/>
  <c r="O388" i="3"/>
  <c r="P388" i="3"/>
  <c r="O389" i="3"/>
  <c r="P389" i="3"/>
  <c r="O390" i="3"/>
  <c r="P390" i="3"/>
  <c r="O391" i="3"/>
  <c r="P391" i="3"/>
  <c r="O392" i="3"/>
  <c r="P392" i="3"/>
  <c r="O393" i="3"/>
  <c r="P393" i="3"/>
  <c r="O394" i="3"/>
  <c r="P394" i="3"/>
  <c r="O395" i="3"/>
  <c r="P395" i="3"/>
  <c r="O396" i="3"/>
  <c r="P396" i="3"/>
  <c r="O397" i="3"/>
  <c r="P397" i="3"/>
  <c r="O398" i="3"/>
  <c r="P398" i="3"/>
  <c r="O399" i="3"/>
  <c r="P399" i="3"/>
  <c r="O400" i="3"/>
  <c r="P400" i="3"/>
  <c r="O401" i="3"/>
  <c r="P401" i="3"/>
  <c r="O402" i="3"/>
  <c r="P402" i="3"/>
  <c r="O403" i="3"/>
  <c r="P403" i="3"/>
  <c r="O404" i="3"/>
  <c r="P404" i="3"/>
  <c r="O405" i="3"/>
  <c r="P405" i="3"/>
  <c r="O406" i="3"/>
  <c r="P406" i="3"/>
  <c r="O407" i="3"/>
  <c r="P407" i="3"/>
  <c r="O408" i="3"/>
  <c r="P408" i="3"/>
  <c r="O409" i="3"/>
  <c r="P409" i="3"/>
  <c r="O410" i="3"/>
  <c r="P410" i="3"/>
  <c r="O411" i="3"/>
  <c r="P411" i="3"/>
  <c r="O412" i="3"/>
  <c r="P412" i="3"/>
  <c r="O413" i="3"/>
  <c r="P413" i="3"/>
  <c r="O414" i="3"/>
  <c r="P414" i="3"/>
  <c r="O415" i="3"/>
  <c r="P415" i="3"/>
  <c r="O416" i="3"/>
  <c r="P416" i="3"/>
  <c r="O417" i="3"/>
  <c r="P417" i="3"/>
  <c r="O418" i="3"/>
  <c r="P418" i="3"/>
  <c r="O419" i="3"/>
  <c r="P419" i="3"/>
  <c r="O420" i="3"/>
  <c r="P420" i="3"/>
  <c r="O421" i="3"/>
  <c r="P421" i="3"/>
  <c r="O422" i="3"/>
  <c r="P422" i="3"/>
  <c r="O423" i="3"/>
  <c r="P423" i="3"/>
  <c r="O424" i="3"/>
  <c r="P424" i="3"/>
  <c r="O425" i="3"/>
  <c r="P425" i="3"/>
  <c r="O426" i="3"/>
  <c r="P426" i="3"/>
  <c r="O427" i="3"/>
  <c r="P427" i="3"/>
  <c r="O428" i="3"/>
  <c r="P428" i="3"/>
  <c r="O429" i="3"/>
  <c r="P429" i="3"/>
  <c r="O430" i="3"/>
  <c r="P430" i="3"/>
  <c r="O431" i="3"/>
  <c r="P431" i="3"/>
  <c r="O432" i="3"/>
  <c r="P432" i="3"/>
  <c r="O433" i="3"/>
  <c r="P433" i="3"/>
  <c r="O434" i="3"/>
  <c r="P434" i="3"/>
  <c r="O435" i="3"/>
  <c r="P435" i="3"/>
  <c r="O436" i="3"/>
  <c r="P436" i="3"/>
  <c r="O437" i="3"/>
  <c r="P437" i="3"/>
  <c r="O438" i="3"/>
  <c r="P438" i="3"/>
  <c r="O439" i="3"/>
  <c r="P439" i="3"/>
  <c r="O440" i="3"/>
  <c r="P440" i="3"/>
  <c r="O441" i="3"/>
  <c r="P441" i="3"/>
  <c r="O442" i="3"/>
  <c r="P442" i="3"/>
  <c r="O443" i="3"/>
  <c r="P443" i="3"/>
  <c r="O444" i="3"/>
  <c r="P444" i="3"/>
  <c r="O445" i="3"/>
  <c r="P445" i="3"/>
  <c r="O446" i="3"/>
  <c r="P446" i="3"/>
  <c r="O447" i="3"/>
  <c r="P447" i="3"/>
  <c r="O448" i="3"/>
  <c r="P448" i="3"/>
  <c r="O449" i="3"/>
  <c r="P449" i="3"/>
  <c r="O450" i="3"/>
  <c r="P450" i="3"/>
  <c r="O451" i="3"/>
  <c r="P451" i="3"/>
  <c r="O452" i="3"/>
  <c r="P452" i="3"/>
  <c r="O453" i="3"/>
  <c r="P453" i="3"/>
  <c r="O454" i="3"/>
  <c r="P454" i="3"/>
  <c r="O455" i="3"/>
  <c r="P455" i="3"/>
  <c r="O456" i="3"/>
  <c r="P456" i="3"/>
  <c r="O457" i="3"/>
  <c r="P457" i="3"/>
  <c r="O458" i="3"/>
  <c r="P458" i="3"/>
  <c r="O459" i="3"/>
  <c r="P459" i="3"/>
  <c r="O460" i="3"/>
  <c r="P460" i="3"/>
  <c r="O461" i="3"/>
  <c r="P461" i="3"/>
  <c r="O462" i="3"/>
  <c r="P462" i="3"/>
  <c r="O463" i="3"/>
  <c r="P463" i="3"/>
  <c r="O464" i="3"/>
  <c r="P464" i="3"/>
  <c r="O465" i="3"/>
  <c r="P465" i="3"/>
  <c r="O466" i="3"/>
  <c r="P466" i="3"/>
  <c r="O467" i="3"/>
  <c r="P467" i="3"/>
  <c r="O468" i="3"/>
  <c r="P468" i="3"/>
  <c r="O469" i="3"/>
  <c r="P469" i="3"/>
  <c r="O470" i="3"/>
  <c r="P470" i="3"/>
  <c r="O471" i="3"/>
  <c r="P471" i="3"/>
  <c r="O472" i="3"/>
  <c r="P472" i="3"/>
  <c r="O473" i="3"/>
  <c r="P473" i="3"/>
  <c r="O474" i="3"/>
  <c r="P474" i="3"/>
  <c r="O475" i="3"/>
  <c r="P475" i="3"/>
  <c r="O476" i="3"/>
  <c r="P476" i="3"/>
  <c r="O477" i="3"/>
  <c r="P477" i="3"/>
  <c r="O478" i="3"/>
  <c r="P478" i="3"/>
  <c r="O479" i="3"/>
  <c r="P479" i="3"/>
  <c r="O480" i="3"/>
  <c r="P480" i="3"/>
  <c r="O481" i="3"/>
  <c r="P481" i="3"/>
  <c r="O482" i="3"/>
  <c r="P482" i="3"/>
  <c r="O483" i="3"/>
  <c r="P483" i="3"/>
  <c r="O484" i="3"/>
  <c r="P484" i="3"/>
  <c r="O485" i="3"/>
  <c r="P485" i="3"/>
  <c r="O486" i="3"/>
  <c r="P486" i="3"/>
  <c r="O487" i="3"/>
  <c r="P487" i="3"/>
  <c r="O488" i="3"/>
  <c r="P488" i="3"/>
  <c r="O489" i="3"/>
  <c r="P489" i="3"/>
  <c r="O490" i="3"/>
  <c r="P490" i="3"/>
  <c r="O491" i="3"/>
  <c r="P491" i="3"/>
  <c r="O492" i="3"/>
  <c r="P492" i="3"/>
  <c r="O493" i="3"/>
  <c r="P493" i="3"/>
  <c r="O494" i="3"/>
  <c r="P494" i="3"/>
  <c r="O495" i="3"/>
  <c r="P495" i="3"/>
  <c r="O496" i="3"/>
  <c r="P496" i="3"/>
  <c r="O497" i="3"/>
  <c r="P497" i="3"/>
  <c r="O498" i="3"/>
  <c r="P498" i="3"/>
  <c r="O499" i="3"/>
  <c r="P499" i="3"/>
  <c r="O500" i="3"/>
  <c r="P500" i="3"/>
  <c r="O501" i="3"/>
  <c r="P501" i="3"/>
  <c r="O502" i="3"/>
  <c r="P502" i="3"/>
  <c r="O503" i="3"/>
  <c r="P503" i="3"/>
  <c r="O504" i="3"/>
  <c r="P504" i="3"/>
  <c r="O505" i="3"/>
  <c r="P505" i="3"/>
  <c r="O506" i="3"/>
  <c r="P506" i="3"/>
  <c r="O507" i="3"/>
  <c r="P507" i="3"/>
  <c r="O508" i="3"/>
  <c r="P508" i="3"/>
  <c r="O509" i="3"/>
  <c r="P509" i="3"/>
  <c r="O510" i="3"/>
  <c r="P510" i="3"/>
  <c r="O511" i="3"/>
  <c r="P511" i="3"/>
  <c r="O512" i="3"/>
  <c r="P512" i="3"/>
  <c r="O513" i="3"/>
  <c r="P513" i="3"/>
  <c r="O514" i="3"/>
  <c r="P514" i="3"/>
  <c r="O515" i="3"/>
  <c r="P515" i="3"/>
  <c r="O516" i="3"/>
  <c r="P516" i="3"/>
  <c r="O517" i="3"/>
  <c r="P517" i="3"/>
  <c r="O518" i="3"/>
  <c r="P518" i="3"/>
  <c r="O519" i="3"/>
  <c r="P519" i="3"/>
  <c r="O520" i="3"/>
  <c r="P520" i="3"/>
  <c r="O521" i="3"/>
  <c r="P521" i="3"/>
  <c r="O522" i="3"/>
  <c r="P522" i="3"/>
  <c r="O523" i="3"/>
  <c r="P523" i="3"/>
  <c r="O524" i="3"/>
  <c r="P524" i="3"/>
  <c r="O525" i="3"/>
  <c r="P525" i="3"/>
  <c r="O526" i="3"/>
  <c r="P526" i="3"/>
  <c r="O527" i="3"/>
  <c r="P527" i="3"/>
  <c r="O528" i="3"/>
  <c r="P528" i="3"/>
  <c r="O529" i="3"/>
  <c r="P529" i="3"/>
  <c r="O530" i="3"/>
  <c r="P530" i="3"/>
  <c r="O531" i="3"/>
  <c r="P531" i="3"/>
  <c r="O532" i="3"/>
  <c r="P532" i="3"/>
  <c r="O533" i="3"/>
  <c r="P533" i="3"/>
  <c r="O534" i="3"/>
  <c r="P534" i="3"/>
  <c r="O535" i="3"/>
  <c r="P535" i="3"/>
  <c r="O536" i="3"/>
  <c r="P536" i="3"/>
  <c r="O537" i="3"/>
  <c r="P537" i="3"/>
  <c r="O538" i="3"/>
  <c r="P538" i="3"/>
  <c r="O539" i="3"/>
  <c r="P539" i="3"/>
  <c r="O540" i="3"/>
  <c r="P540" i="3"/>
  <c r="O541" i="3"/>
  <c r="P541" i="3"/>
  <c r="O542" i="3"/>
  <c r="P542" i="3"/>
  <c r="O543" i="3"/>
  <c r="P543" i="3"/>
  <c r="O544" i="3"/>
  <c r="P544" i="3"/>
  <c r="O545" i="3"/>
  <c r="P545" i="3"/>
  <c r="O546" i="3"/>
  <c r="P546" i="3"/>
  <c r="O547" i="3"/>
  <c r="P547" i="3"/>
  <c r="O548" i="3"/>
  <c r="P548" i="3"/>
  <c r="O549" i="3"/>
  <c r="P549" i="3"/>
  <c r="O550" i="3"/>
  <c r="P550" i="3"/>
  <c r="O551" i="3"/>
  <c r="P551" i="3"/>
  <c r="O552" i="3"/>
  <c r="P552" i="3"/>
  <c r="O553" i="3"/>
  <c r="P553" i="3"/>
  <c r="O554" i="3"/>
  <c r="P554" i="3"/>
  <c r="O555" i="3"/>
  <c r="P555" i="3"/>
  <c r="O556" i="3"/>
  <c r="P556" i="3"/>
  <c r="O557" i="3"/>
  <c r="P557" i="3"/>
  <c r="O558" i="3"/>
  <c r="P558" i="3"/>
  <c r="O559" i="3"/>
  <c r="P559" i="3"/>
  <c r="O560" i="3"/>
  <c r="P560" i="3"/>
  <c r="O561" i="3"/>
  <c r="P561" i="3"/>
  <c r="O562" i="3"/>
  <c r="P562" i="3"/>
  <c r="O563" i="3"/>
  <c r="P563" i="3"/>
  <c r="O564" i="3"/>
  <c r="P564" i="3"/>
  <c r="O565" i="3"/>
  <c r="P565" i="3"/>
  <c r="O566" i="3"/>
  <c r="P566" i="3"/>
  <c r="O567" i="3"/>
  <c r="P567" i="3"/>
  <c r="O568" i="3"/>
  <c r="P568" i="3"/>
  <c r="O569" i="3"/>
  <c r="P569" i="3"/>
  <c r="O570" i="3"/>
  <c r="P570" i="3"/>
  <c r="O571" i="3"/>
  <c r="P571" i="3"/>
  <c r="O572" i="3"/>
  <c r="P572" i="3"/>
  <c r="O573" i="3"/>
  <c r="P573" i="3"/>
  <c r="O574" i="3"/>
  <c r="P574" i="3"/>
  <c r="O575" i="3"/>
  <c r="P575" i="3"/>
  <c r="O576" i="3"/>
  <c r="P576" i="3"/>
  <c r="O577" i="3"/>
  <c r="P577" i="3"/>
  <c r="O578" i="3"/>
  <c r="P578" i="3"/>
  <c r="O579" i="3"/>
  <c r="P579" i="3"/>
  <c r="O580" i="3"/>
  <c r="P580" i="3"/>
  <c r="O581" i="3"/>
  <c r="P581" i="3"/>
  <c r="O582" i="3"/>
  <c r="P582" i="3"/>
  <c r="O583" i="3"/>
  <c r="P583" i="3"/>
  <c r="O584" i="3"/>
  <c r="P584" i="3"/>
  <c r="O585" i="3"/>
  <c r="P585" i="3"/>
  <c r="O586" i="3"/>
  <c r="P586" i="3"/>
  <c r="O587" i="3"/>
  <c r="P587" i="3"/>
  <c r="O588" i="3"/>
  <c r="P588" i="3"/>
  <c r="O589" i="3"/>
  <c r="P589" i="3"/>
  <c r="O590" i="3"/>
  <c r="P590" i="3"/>
  <c r="O591" i="3"/>
  <c r="P591" i="3"/>
  <c r="O592" i="3"/>
  <c r="P592" i="3"/>
  <c r="O593" i="3"/>
  <c r="P593" i="3"/>
  <c r="O594" i="3"/>
  <c r="P594" i="3"/>
  <c r="O595" i="3"/>
  <c r="P595" i="3"/>
  <c r="O596" i="3"/>
  <c r="P596" i="3"/>
  <c r="O597" i="3"/>
  <c r="P597" i="3"/>
  <c r="O598" i="3"/>
  <c r="P598" i="3"/>
  <c r="O599" i="3"/>
  <c r="P599" i="3"/>
  <c r="O600" i="3"/>
  <c r="P600" i="3"/>
  <c r="O601" i="3"/>
  <c r="P601" i="3"/>
  <c r="O602" i="3"/>
  <c r="P602" i="3"/>
  <c r="O4" i="3"/>
  <c r="P4" i="3"/>
  <c r="O5" i="3"/>
  <c r="P5" i="3"/>
  <c r="O6" i="3"/>
  <c r="P6" i="3"/>
  <c r="O7" i="3"/>
  <c r="P7" i="3"/>
  <c r="O8" i="3"/>
  <c r="P8" i="3"/>
  <c r="O9" i="3"/>
  <c r="P9" i="3"/>
  <c r="O10" i="3"/>
  <c r="P10" i="3"/>
  <c r="O11" i="3"/>
  <c r="P11" i="3"/>
  <c r="O12" i="3"/>
  <c r="P12" i="3"/>
  <c r="O13" i="3"/>
  <c r="P13" i="3"/>
  <c r="O14" i="3"/>
  <c r="P14" i="3"/>
  <c r="O15" i="3"/>
  <c r="P15" i="3"/>
  <c r="O16" i="3"/>
  <c r="P16" i="3"/>
  <c r="O17" i="3"/>
  <c r="P17" i="3"/>
  <c r="O18" i="3"/>
  <c r="P18" i="3"/>
  <c r="O19" i="3"/>
  <c r="P19" i="3"/>
  <c r="O20" i="3"/>
  <c r="P20" i="3"/>
  <c r="O21" i="3"/>
  <c r="P21" i="3"/>
  <c r="O22" i="3"/>
  <c r="P22" i="3"/>
  <c r="O23" i="3"/>
  <c r="P23" i="3"/>
  <c r="O24" i="3"/>
  <c r="P24" i="3"/>
  <c r="O25" i="3"/>
  <c r="P25" i="3"/>
  <c r="O26" i="3"/>
  <c r="P26" i="3"/>
  <c r="O27" i="3"/>
  <c r="P27" i="3"/>
  <c r="O28" i="3"/>
  <c r="P28" i="3"/>
  <c r="O29" i="3"/>
  <c r="P29" i="3"/>
  <c r="O30" i="3"/>
  <c r="P30" i="3"/>
  <c r="O31" i="3"/>
  <c r="P31" i="3"/>
  <c r="O32" i="3"/>
  <c r="P32" i="3"/>
  <c r="O33" i="3"/>
  <c r="P33" i="3"/>
  <c r="O34" i="3"/>
  <c r="P34" i="3"/>
  <c r="O35" i="3"/>
  <c r="P35" i="3"/>
  <c r="O36" i="3"/>
  <c r="P36" i="3"/>
  <c r="O37" i="3"/>
  <c r="P37" i="3"/>
  <c r="O38" i="3"/>
  <c r="P38" i="3"/>
  <c r="O39" i="3"/>
  <c r="P39" i="3"/>
  <c r="O40" i="3"/>
  <c r="P40" i="3"/>
  <c r="O41" i="3"/>
  <c r="P41" i="3"/>
  <c r="O42" i="3"/>
  <c r="P42" i="3"/>
  <c r="O43" i="3"/>
  <c r="P43" i="3"/>
  <c r="O44" i="3"/>
  <c r="P44" i="3"/>
  <c r="O45" i="3"/>
  <c r="P45" i="3"/>
  <c r="O46" i="3"/>
  <c r="P46" i="3"/>
  <c r="O47" i="3"/>
  <c r="P47" i="3"/>
  <c r="O48" i="3"/>
  <c r="P48" i="3"/>
  <c r="O49" i="3"/>
  <c r="P49" i="3"/>
  <c r="O50" i="3"/>
  <c r="P50" i="3"/>
  <c r="O51" i="3"/>
  <c r="P51" i="3"/>
  <c r="O52" i="3"/>
  <c r="P52" i="3"/>
  <c r="O53" i="3"/>
  <c r="P53" i="3"/>
  <c r="O54" i="3"/>
  <c r="P54" i="3"/>
  <c r="O55" i="3"/>
  <c r="P55" i="3"/>
  <c r="O56" i="3"/>
  <c r="P56" i="3"/>
  <c r="O57" i="3"/>
  <c r="P57" i="3"/>
  <c r="O58" i="3"/>
  <c r="P58" i="3"/>
  <c r="O59" i="3"/>
  <c r="P59" i="3"/>
  <c r="O60" i="3"/>
  <c r="P60" i="3"/>
  <c r="O61" i="3"/>
  <c r="P61" i="3"/>
  <c r="O62" i="3"/>
  <c r="P62" i="3"/>
  <c r="O63" i="3"/>
  <c r="P63" i="3"/>
  <c r="O64" i="3"/>
  <c r="P64" i="3"/>
  <c r="O65" i="3"/>
  <c r="P65" i="3"/>
  <c r="O66" i="3"/>
  <c r="P66" i="3"/>
  <c r="O67" i="3"/>
  <c r="P67" i="3"/>
  <c r="O68" i="3"/>
  <c r="P68" i="3"/>
  <c r="O69" i="3"/>
  <c r="P69" i="3"/>
  <c r="O70" i="3"/>
  <c r="P70" i="3"/>
  <c r="O71" i="3"/>
  <c r="P71" i="3"/>
  <c r="O72" i="3"/>
  <c r="P72" i="3"/>
  <c r="O73" i="3"/>
  <c r="P73" i="3"/>
  <c r="O74" i="3"/>
  <c r="P74" i="3"/>
  <c r="O75" i="3"/>
  <c r="P75" i="3"/>
  <c r="O76" i="3"/>
  <c r="P76" i="3"/>
  <c r="O77" i="3"/>
  <c r="P77" i="3"/>
  <c r="O78" i="3"/>
  <c r="P78" i="3"/>
  <c r="O79" i="3"/>
  <c r="P79" i="3"/>
  <c r="O80" i="3"/>
  <c r="P80" i="3"/>
  <c r="O81" i="3"/>
  <c r="P81" i="3"/>
  <c r="O82" i="3"/>
  <c r="P82" i="3"/>
  <c r="O83" i="3"/>
  <c r="P83" i="3"/>
  <c r="O84" i="3"/>
  <c r="P84" i="3"/>
  <c r="O85" i="3"/>
  <c r="P85" i="3"/>
  <c r="O86" i="3"/>
  <c r="P86" i="3"/>
  <c r="O87" i="3"/>
  <c r="P87" i="3"/>
  <c r="O88" i="3"/>
  <c r="P88" i="3"/>
  <c r="O89" i="3"/>
  <c r="P89" i="3"/>
  <c r="O90" i="3"/>
  <c r="P90" i="3"/>
  <c r="O91" i="3"/>
  <c r="P91" i="3"/>
  <c r="O92" i="3"/>
  <c r="P92" i="3"/>
  <c r="O93" i="3"/>
  <c r="P93" i="3"/>
  <c r="O94" i="3"/>
  <c r="P94" i="3"/>
  <c r="O95" i="3"/>
  <c r="P95" i="3"/>
  <c r="O96" i="3"/>
  <c r="P96" i="3"/>
  <c r="O97" i="3"/>
  <c r="P97" i="3"/>
  <c r="O98" i="3"/>
  <c r="P98" i="3"/>
  <c r="O99" i="3"/>
  <c r="P99" i="3"/>
  <c r="O100" i="3"/>
  <c r="P100" i="3"/>
  <c r="O101" i="3"/>
  <c r="P101" i="3"/>
  <c r="O102" i="3"/>
  <c r="P102" i="3"/>
  <c r="O103" i="3"/>
  <c r="P103" i="3"/>
  <c r="O104" i="3"/>
  <c r="P104" i="3"/>
  <c r="O105" i="3"/>
  <c r="P105" i="3"/>
  <c r="O106" i="3"/>
  <c r="P106" i="3"/>
  <c r="O107" i="3"/>
  <c r="P107" i="3"/>
  <c r="O108" i="3"/>
  <c r="P108" i="3"/>
  <c r="O109" i="3"/>
  <c r="P109" i="3"/>
  <c r="O110" i="3"/>
  <c r="P110" i="3"/>
  <c r="O111" i="3"/>
  <c r="P111" i="3"/>
  <c r="O112" i="3"/>
  <c r="P112" i="3"/>
  <c r="O113" i="3"/>
  <c r="P113" i="3"/>
  <c r="O114" i="3"/>
  <c r="P114" i="3"/>
  <c r="O115" i="3"/>
  <c r="P115" i="3"/>
  <c r="O116" i="3"/>
  <c r="P116" i="3"/>
  <c r="O117" i="3"/>
  <c r="P117" i="3"/>
  <c r="O118" i="3"/>
  <c r="P118" i="3"/>
  <c r="O119" i="3"/>
  <c r="P119" i="3"/>
  <c r="O120" i="3"/>
  <c r="P120" i="3"/>
  <c r="O121" i="3"/>
  <c r="P121" i="3"/>
  <c r="O122" i="3"/>
  <c r="P122" i="3"/>
  <c r="O123" i="3"/>
  <c r="P123" i="3"/>
  <c r="O124" i="3"/>
  <c r="P124" i="3"/>
  <c r="O125" i="3"/>
  <c r="P125" i="3"/>
  <c r="O126" i="3"/>
  <c r="P126" i="3"/>
  <c r="O127" i="3"/>
  <c r="P127" i="3"/>
  <c r="O128" i="3"/>
  <c r="P128" i="3"/>
  <c r="O129" i="3"/>
  <c r="P129" i="3"/>
  <c r="O130" i="3"/>
  <c r="P130" i="3"/>
  <c r="O131" i="3"/>
  <c r="P131" i="3"/>
  <c r="O132" i="3"/>
  <c r="P132" i="3"/>
  <c r="O133" i="3"/>
  <c r="P133" i="3"/>
  <c r="O134" i="3"/>
  <c r="P134" i="3"/>
  <c r="O135" i="3"/>
  <c r="P135" i="3"/>
  <c r="O136" i="3"/>
  <c r="P136" i="3"/>
  <c r="O137" i="3"/>
  <c r="P137" i="3"/>
  <c r="O138" i="3"/>
  <c r="P138" i="3"/>
  <c r="O139" i="3"/>
  <c r="P139" i="3"/>
  <c r="O140" i="3"/>
  <c r="P140" i="3"/>
  <c r="O141" i="3"/>
  <c r="P141" i="3"/>
  <c r="O142" i="3"/>
  <c r="P142" i="3"/>
  <c r="O143" i="3"/>
  <c r="P143" i="3"/>
  <c r="O144" i="3"/>
  <c r="P144" i="3"/>
  <c r="O145" i="3"/>
  <c r="P145" i="3"/>
  <c r="O146" i="3"/>
  <c r="P146" i="3"/>
  <c r="O147" i="3"/>
  <c r="P147" i="3"/>
  <c r="O148" i="3"/>
  <c r="P148" i="3"/>
  <c r="O149" i="3"/>
  <c r="P149" i="3"/>
  <c r="O150" i="3"/>
  <c r="P150" i="3"/>
  <c r="O151" i="3"/>
  <c r="P151" i="3"/>
  <c r="O152" i="3"/>
  <c r="P152" i="3"/>
  <c r="O153" i="3"/>
  <c r="P153" i="3"/>
  <c r="O154" i="3"/>
  <c r="P154" i="3"/>
  <c r="O155" i="3"/>
  <c r="P155" i="3"/>
  <c r="O156" i="3"/>
  <c r="P156" i="3"/>
  <c r="O157" i="3"/>
  <c r="P157" i="3"/>
  <c r="O158" i="3"/>
  <c r="P158" i="3"/>
  <c r="O159" i="3"/>
  <c r="P159" i="3"/>
  <c r="O160" i="3"/>
  <c r="P160" i="3"/>
  <c r="O161" i="3"/>
  <c r="P161" i="3"/>
  <c r="O162" i="3"/>
  <c r="P162" i="3"/>
  <c r="O163" i="3"/>
  <c r="P163" i="3"/>
  <c r="O164" i="3"/>
  <c r="P164" i="3"/>
  <c r="O165" i="3"/>
  <c r="P165" i="3"/>
  <c r="O166" i="3"/>
  <c r="P166" i="3"/>
  <c r="O167" i="3"/>
  <c r="P167" i="3"/>
  <c r="O168" i="3"/>
  <c r="P168" i="3"/>
  <c r="O169" i="3"/>
  <c r="P169" i="3"/>
  <c r="O170" i="3"/>
  <c r="P170" i="3"/>
  <c r="O171" i="3"/>
  <c r="P171" i="3"/>
  <c r="O172" i="3"/>
  <c r="P172" i="3"/>
  <c r="O173" i="3"/>
  <c r="P173" i="3"/>
  <c r="O174" i="3"/>
  <c r="P174" i="3"/>
  <c r="O175" i="3"/>
  <c r="P175" i="3"/>
  <c r="O176" i="3"/>
  <c r="P176" i="3"/>
  <c r="O177" i="3"/>
  <c r="P177" i="3"/>
  <c r="O178" i="3"/>
  <c r="P178" i="3"/>
  <c r="O179" i="3"/>
  <c r="P179" i="3"/>
  <c r="O180" i="3"/>
  <c r="P180" i="3"/>
  <c r="O181" i="3"/>
  <c r="P181" i="3"/>
  <c r="O182" i="3"/>
  <c r="P182" i="3"/>
  <c r="O183" i="3"/>
  <c r="P183" i="3"/>
  <c r="O184" i="3"/>
  <c r="P184" i="3"/>
  <c r="O185" i="3"/>
  <c r="P185" i="3"/>
  <c r="O186" i="3"/>
  <c r="P186" i="3"/>
  <c r="O187" i="3"/>
  <c r="P187" i="3"/>
  <c r="O188" i="3"/>
  <c r="P188" i="3"/>
  <c r="O189" i="3"/>
  <c r="P189" i="3"/>
  <c r="O190" i="3"/>
  <c r="P190" i="3"/>
  <c r="O191" i="3"/>
  <c r="P191" i="3"/>
  <c r="O192" i="3"/>
  <c r="P192" i="3"/>
  <c r="O193" i="3"/>
  <c r="P193" i="3"/>
  <c r="O194" i="3"/>
  <c r="P194" i="3"/>
  <c r="O195" i="3"/>
  <c r="P195" i="3"/>
  <c r="O196" i="3"/>
  <c r="P196" i="3"/>
  <c r="O197" i="3"/>
  <c r="P197" i="3"/>
  <c r="O198" i="3"/>
  <c r="P198" i="3"/>
  <c r="O199" i="3"/>
  <c r="P199" i="3"/>
  <c r="O200" i="3"/>
  <c r="P200" i="3"/>
  <c r="O201" i="3"/>
  <c r="P201" i="3"/>
  <c r="O202" i="3"/>
  <c r="P202" i="3"/>
  <c r="O203" i="3"/>
  <c r="P203" i="3"/>
  <c r="O204" i="3"/>
  <c r="P204" i="3"/>
  <c r="O205" i="3"/>
  <c r="P205" i="3"/>
  <c r="O206" i="3"/>
  <c r="P206" i="3"/>
  <c r="O207" i="3"/>
  <c r="P207" i="3"/>
  <c r="O208" i="3"/>
  <c r="P208" i="3"/>
  <c r="O209" i="3"/>
  <c r="P209" i="3"/>
  <c r="O210" i="3"/>
  <c r="P210" i="3"/>
  <c r="O211" i="3"/>
  <c r="P211" i="3"/>
  <c r="O212" i="3"/>
  <c r="P212" i="3"/>
  <c r="O213" i="3"/>
  <c r="P213" i="3"/>
  <c r="O214" i="3"/>
  <c r="P214" i="3"/>
  <c r="O215" i="3"/>
  <c r="P215" i="3"/>
  <c r="O216" i="3"/>
  <c r="P216" i="3"/>
  <c r="O217" i="3"/>
  <c r="P217" i="3"/>
  <c r="O218" i="3"/>
  <c r="P218" i="3"/>
  <c r="O219" i="3"/>
  <c r="P219" i="3"/>
  <c r="O220" i="3"/>
  <c r="P220" i="3"/>
  <c r="O221" i="3"/>
  <c r="P221" i="3"/>
  <c r="O222" i="3"/>
  <c r="P222" i="3"/>
  <c r="O223" i="3"/>
  <c r="P223" i="3"/>
  <c r="O224" i="3"/>
  <c r="P224" i="3"/>
  <c r="O225" i="3"/>
  <c r="P225" i="3"/>
  <c r="O226" i="3"/>
  <c r="P226" i="3"/>
  <c r="O227" i="3"/>
  <c r="P227" i="3"/>
  <c r="O228" i="3"/>
  <c r="P228" i="3"/>
  <c r="O229" i="3"/>
  <c r="P229" i="3"/>
  <c r="O230" i="3"/>
  <c r="P230" i="3"/>
  <c r="O231" i="3"/>
  <c r="P231" i="3"/>
  <c r="O232" i="3"/>
  <c r="P232" i="3"/>
  <c r="O233" i="3"/>
  <c r="P233" i="3"/>
  <c r="O234" i="3"/>
  <c r="P234" i="3"/>
  <c r="O235" i="3"/>
  <c r="P235" i="3"/>
  <c r="O236" i="3"/>
  <c r="P236" i="3"/>
  <c r="O237" i="3"/>
  <c r="P237" i="3"/>
  <c r="O238" i="3"/>
  <c r="P238" i="3"/>
  <c r="O239" i="3"/>
  <c r="P239" i="3"/>
  <c r="O240" i="3"/>
  <c r="P240" i="3"/>
  <c r="O241" i="3"/>
  <c r="P241" i="3"/>
  <c r="O242" i="3"/>
  <c r="P242" i="3"/>
  <c r="O243" i="3"/>
  <c r="P243" i="3"/>
  <c r="O244" i="3"/>
  <c r="P244" i="3"/>
  <c r="O245" i="3"/>
  <c r="P245" i="3"/>
  <c r="O246" i="3"/>
  <c r="P246" i="3"/>
  <c r="O247" i="3"/>
  <c r="P247" i="3"/>
  <c r="O248" i="3"/>
  <c r="P248" i="3"/>
  <c r="O249" i="3"/>
  <c r="P249" i="3"/>
  <c r="O250" i="3"/>
  <c r="P250" i="3"/>
  <c r="O251" i="3"/>
  <c r="P251" i="3"/>
  <c r="O252" i="3"/>
  <c r="P252" i="3"/>
  <c r="O253" i="3"/>
  <c r="P253" i="3"/>
  <c r="O254" i="3"/>
  <c r="P254" i="3"/>
  <c r="O255" i="3"/>
  <c r="P255" i="3"/>
  <c r="O256" i="3"/>
  <c r="P256" i="3"/>
  <c r="O257" i="3"/>
  <c r="P257" i="3"/>
  <c r="O258" i="3"/>
  <c r="P258" i="3"/>
  <c r="O259" i="3"/>
  <c r="P259" i="3"/>
  <c r="O260" i="3"/>
  <c r="P260" i="3"/>
  <c r="O261" i="3"/>
  <c r="P261" i="3"/>
  <c r="O262" i="3"/>
  <c r="P262" i="3"/>
  <c r="O263" i="3"/>
  <c r="P263" i="3"/>
  <c r="O264" i="3"/>
  <c r="P264" i="3"/>
  <c r="O265" i="3"/>
  <c r="P265" i="3"/>
  <c r="O266" i="3"/>
  <c r="P266" i="3"/>
  <c r="O267" i="3"/>
  <c r="P267" i="3"/>
  <c r="O268" i="3"/>
  <c r="P268" i="3"/>
  <c r="O269" i="3"/>
  <c r="P269" i="3"/>
  <c r="O270" i="3"/>
  <c r="P270" i="3"/>
  <c r="O271" i="3"/>
  <c r="P271" i="3"/>
  <c r="O272" i="3"/>
  <c r="P272" i="3"/>
  <c r="O273" i="3"/>
  <c r="P273" i="3"/>
  <c r="O274" i="3"/>
  <c r="P274" i="3"/>
  <c r="O275" i="3"/>
  <c r="P275" i="3"/>
  <c r="O276" i="3"/>
  <c r="P276" i="3"/>
  <c r="O277" i="3"/>
  <c r="P277" i="3"/>
  <c r="O278" i="3"/>
  <c r="P278" i="3"/>
  <c r="O279" i="3"/>
  <c r="P279" i="3"/>
  <c r="O280" i="3"/>
  <c r="P280" i="3"/>
  <c r="O281" i="3"/>
  <c r="P281" i="3"/>
  <c r="O282" i="3"/>
  <c r="P282" i="3"/>
  <c r="O283" i="3"/>
  <c r="P283" i="3"/>
  <c r="O284" i="3"/>
  <c r="P284" i="3"/>
  <c r="O285" i="3"/>
  <c r="P285" i="3"/>
  <c r="O286" i="3"/>
  <c r="P286" i="3"/>
  <c r="O287" i="3"/>
  <c r="P287" i="3"/>
  <c r="O288" i="3"/>
  <c r="P288" i="3"/>
  <c r="G14" i="4"/>
  <c r="M12" i="4"/>
  <c r="M4" i="4"/>
  <c r="M8" i="4"/>
  <c r="M5" i="4"/>
  <c r="M9" i="4"/>
  <c r="M13" i="4"/>
  <c r="M11" i="4"/>
  <c r="M6" i="4"/>
  <c r="M10" i="4"/>
  <c r="M7" i="4"/>
  <c r="M3" i="4"/>
  <c r="M17" i="4"/>
  <c r="M21" i="4"/>
  <c r="M25" i="4"/>
  <c r="M29" i="4"/>
  <c r="M33" i="4"/>
  <c r="M37" i="4"/>
  <c r="M41" i="4"/>
  <c r="M45" i="4"/>
  <c r="M49" i="4"/>
  <c r="M53" i="4"/>
  <c r="M57" i="4"/>
  <c r="M61" i="4"/>
  <c r="M65" i="4"/>
  <c r="M69" i="4"/>
  <c r="M73" i="4"/>
  <c r="M77" i="4"/>
  <c r="M81" i="4"/>
  <c r="M85" i="4"/>
  <c r="M89" i="4"/>
  <c r="M93" i="4"/>
  <c r="M97" i="4"/>
  <c r="M101" i="4"/>
  <c r="M105" i="4"/>
  <c r="M109" i="4"/>
  <c r="M113" i="4"/>
  <c r="M117" i="4"/>
  <c r="M121" i="4"/>
  <c r="M125" i="4"/>
  <c r="M129" i="4"/>
  <c r="M133" i="4"/>
  <c r="M137" i="4"/>
  <c r="M141" i="4"/>
  <c r="M145" i="4"/>
  <c r="M149" i="4"/>
  <c r="M153" i="4"/>
  <c r="M157" i="4"/>
  <c r="M161" i="4"/>
  <c r="M165" i="4"/>
  <c r="M169" i="4"/>
  <c r="M173" i="4"/>
  <c r="M177" i="4"/>
  <c r="M181" i="4"/>
  <c r="M185" i="4"/>
  <c r="M189" i="4"/>
  <c r="M193" i="4"/>
  <c r="M197" i="4"/>
  <c r="M201" i="4"/>
  <c r="M205" i="4"/>
  <c r="M209" i="4"/>
  <c r="M213" i="4"/>
  <c r="M217" i="4"/>
  <c r="M221" i="4"/>
  <c r="M225" i="4"/>
  <c r="M229" i="4"/>
  <c r="M233" i="4"/>
  <c r="M237" i="4"/>
  <c r="M241" i="4"/>
  <c r="M245" i="4"/>
  <c r="M249" i="4"/>
  <c r="M253" i="4"/>
  <c r="M257" i="4"/>
  <c r="M261" i="4"/>
  <c r="M265" i="4"/>
  <c r="M269" i="4"/>
  <c r="M273" i="4"/>
  <c r="M277" i="4"/>
  <c r="M281" i="4"/>
  <c r="M285" i="4"/>
  <c r="M289" i="4"/>
  <c r="M293" i="4"/>
  <c r="M297" i="4"/>
  <c r="M301" i="4"/>
  <c r="M305" i="4"/>
  <c r="M309" i="4"/>
  <c r="M313" i="4"/>
  <c r="M317" i="4"/>
  <c r="M321" i="4"/>
  <c r="M325" i="4"/>
  <c r="M329" i="4"/>
  <c r="M333" i="4"/>
  <c r="M337" i="4"/>
  <c r="M341" i="4"/>
  <c r="M345" i="4"/>
  <c r="M349" i="4"/>
  <c r="M353" i="4"/>
  <c r="M357" i="4"/>
  <c r="M361" i="4"/>
  <c r="M365" i="4"/>
  <c r="M369" i="4"/>
  <c r="M373" i="4"/>
  <c r="M377" i="4"/>
  <c r="M381" i="4"/>
  <c r="M385" i="4"/>
  <c r="M389" i="4"/>
  <c r="M393" i="4"/>
  <c r="M397" i="4"/>
  <c r="M401" i="4"/>
  <c r="M405" i="4"/>
  <c r="M409" i="4"/>
  <c r="M413" i="4"/>
  <c r="M417" i="4"/>
  <c r="M421" i="4"/>
  <c r="M425" i="4"/>
  <c r="M429" i="4"/>
  <c r="M433" i="4"/>
  <c r="M437" i="4"/>
  <c r="M441" i="4"/>
  <c r="M445" i="4"/>
  <c r="M449" i="4"/>
  <c r="M453" i="4"/>
  <c r="M457" i="4"/>
  <c r="M461" i="4"/>
  <c r="M465" i="4"/>
  <c r="M469" i="4"/>
  <c r="M473" i="4"/>
  <c r="M477" i="4"/>
  <c r="M14" i="4"/>
  <c r="M18" i="4"/>
  <c r="M22" i="4"/>
  <c r="M26" i="4"/>
  <c r="M30" i="4"/>
  <c r="M34" i="4"/>
  <c r="M38" i="4"/>
  <c r="M42" i="4"/>
  <c r="M46" i="4"/>
  <c r="M50" i="4"/>
  <c r="M54" i="4"/>
  <c r="M58" i="4"/>
  <c r="M62" i="4"/>
  <c r="M66" i="4"/>
  <c r="M70" i="4"/>
  <c r="M74" i="4"/>
  <c r="M78" i="4"/>
  <c r="M82" i="4"/>
  <c r="M86" i="4"/>
  <c r="M90" i="4"/>
  <c r="M94" i="4"/>
  <c r="M98" i="4"/>
  <c r="M102" i="4"/>
  <c r="M106" i="4"/>
  <c r="M110" i="4"/>
  <c r="M114" i="4"/>
  <c r="M118" i="4"/>
  <c r="M122" i="4"/>
  <c r="M126" i="4"/>
  <c r="M130" i="4"/>
  <c r="M134" i="4"/>
  <c r="M138" i="4"/>
  <c r="M142" i="4"/>
  <c r="M146" i="4"/>
  <c r="M150" i="4"/>
  <c r="M154" i="4"/>
  <c r="M158" i="4"/>
  <c r="M162" i="4"/>
  <c r="M166" i="4"/>
  <c r="M170" i="4"/>
  <c r="M174" i="4"/>
  <c r="M178" i="4"/>
  <c r="M182" i="4"/>
  <c r="M186" i="4"/>
  <c r="M190" i="4"/>
  <c r="M194" i="4"/>
  <c r="M198" i="4"/>
  <c r="M202" i="4"/>
  <c r="M206" i="4"/>
  <c r="M210" i="4"/>
  <c r="M214" i="4"/>
  <c r="M218" i="4"/>
  <c r="M222" i="4"/>
  <c r="M226" i="4"/>
  <c r="M230" i="4"/>
  <c r="M234" i="4"/>
  <c r="M238" i="4"/>
  <c r="M242" i="4"/>
  <c r="M246" i="4"/>
  <c r="M250" i="4"/>
  <c r="M254" i="4"/>
  <c r="M258" i="4"/>
  <c r="M262" i="4"/>
  <c r="M266" i="4"/>
  <c r="M270" i="4"/>
  <c r="M274" i="4"/>
  <c r="M278" i="4"/>
  <c r="M282" i="4"/>
  <c r="M286" i="4"/>
  <c r="M290" i="4"/>
  <c r="M294" i="4"/>
  <c r="M298" i="4"/>
  <c r="M302" i="4"/>
  <c r="M306" i="4"/>
  <c r="M310" i="4"/>
  <c r="M314" i="4"/>
  <c r="M318" i="4"/>
  <c r="M322" i="4"/>
  <c r="M326" i="4"/>
  <c r="M330" i="4"/>
  <c r="M334" i="4"/>
  <c r="M338" i="4"/>
  <c r="M342" i="4"/>
  <c r="M346" i="4"/>
  <c r="M350" i="4"/>
  <c r="M354" i="4"/>
  <c r="M358" i="4"/>
  <c r="M362" i="4"/>
  <c r="M366" i="4"/>
  <c r="M370" i="4"/>
  <c r="M374" i="4"/>
  <c r="M378" i="4"/>
  <c r="M382" i="4"/>
  <c r="M386" i="4"/>
  <c r="M390" i="4"/>
  <c r="M394" i="4"/>
  <c r="M398" i="4"/>
  <c r="M402" i="4"/>
  <c r="M406" i="4"/>
  <c r="M410" i="4"/>
  <c r="M414" i="4"/>
  <c r="M418" i="4"/>
  <c r="M422" i="4"/>
  <c r="M426" i="4"/>
  <c r="M430" i="4"/>
  <c r="M434" i="4"/>
  <c r="M438" i="4"/>
  <c r="M442" i="4"/>
  <c r="M446" i="4"/>
  <c r="M450" i="4"/>
  <c r="M454" i="4"/>
  <c r="M458" i="4"/>
  <c r="M462" i="4"/>
  <c r="M466" i="4"/>
  <c r="M470" i="4"/>
  <c r="M474" i="4"/>
  <c r="M478" i="4"/>
  <c r="M482" i="4"/>
  <c r="M486" i="4"/>
  <c r="M490" i="4"/>
  <c r="M494" i="4"/>
  <c r="M498" i="4"/>
  <c r="M502" i="4"/>
  <c r="M506" i="4"/>
  <c r="M510" i="4"/>
  <c r="M16" i="4"/>
  <c r="M24" i="4"/>
  <c r="M32" i="4"/>
  <c r="M40" i="4"/>
  <c r="M48" i="4"/>
  <c r="M56" i="4"/>
  <c r="M64" i="4"/>
  <c r="M72" i="4"/>
  <c r="M80" i="4"/>
  <c r="M88" i="4"/>
  <c r="M96" i="4"/>
  <c r="M104" i="4"/>
  <c r="M112" i="4"/>
  <c r="M120" i="4"/>
  <c r="M128" i="4"/>
  <c r="M136" i="4"/>
  <c r="M144" i="4"/>
  <c r="M152" i="4"/>
  <c r="M160" i="4"/>
  <c r="M168" i="4"/>
  <c r="M176" i="4"/>
  <c r="M184" i="4"/>
  <c r="M192" i="4"/>
  <c r="M200" i="4"/>
  <c r="M208" i="4"/>
  <c r="M216" i="4"/>
  <c r="M224" i="4"/>
  <c r="M232" i="4"/>
  <c r="M240" i="4"/>
  <c r="M248" i="4"/>
  <c r="M256" i="4"/>
  <c r="M264" i="4"/>
  <c r="M272" i="4"/>
  <c r="M280" i="4"/>
  <c r="M288" i="4"/>
  <c r="M296" i="4"/>
  <c r="M304" i="4"/>
  <c r="M312" i="4"/>
  <c r="M320" i="4"/>
  <c r="M328" i="4"/>
  <c r="M336" i="4"/>
  <c r="M344" i="4"/>
  <c r="M352" i="4"/>
  <c r="M360" i="4"/>
  <c r="M368" i="4"/>
  <c r="M376" i="4"/>
  <c r="M384" i="4"/>
  <c r="M392" i="4"/>
  <c r="M400" i="4"/>
  <c r="M408" i="4"/>
  <c r="M416" i="4"/>
  <c r="M424" i="4"/>
  <c r="M432" i="4"/>
  <c r="M440" i="4"/>
  <c r="M448" i="4"/>
  <c r="M456" i="4"/>
  <c r="M464" i="4"/>
  <c r="M472" i="4"/>
  <c r="M480" i="4"/>
  <c r="M485" i="4"/>
  <c r="M491" i="4"/>
  <c r="M496" i="4"/>
  <c r="M501" i="4"/>
  <c r="M507" i="4"/>
  <c r="M512" i="4"/>
  <c r="M516" i="4"/>
  <c r="M520" i="4"/>
  <c r="M524" i="4"/>
  <c r="M528" i="4"/>
  <c r="M532" i="4"/>
  <c r="M536" i="4"/>
  <c r="M540" i="4"/>
  <c r="M544" i="4"/>
  <c r="M548" i="4"/>
  <c r="M552" i="4"/>
  <c r="M556" i="4"/>
  <c r="M560" i="4"/>
  <c r="M564" i="4"/>
  <c r="M568" i="4"/>
  <c r="M572" i="4"/>
  <c r="M576" i="4"/>
  <c r="M580" i="4"/>
  <c r="M584" i="4"/>
  <c r="M588" i="4"/>
  <c r="M592" i="4"/>
  <c r="M596" i="4"/>
  <c r="M600" i="4"/>
  <c r="M19" i="4"/>
  <c r="M27" i="4"/>
  <c r="M35" i="4"/>
  <c r="M43" i="4"/>
  <c r="M51" i="4"/>
  <c r="M59" i="4"/>
  <c r="M67" i="4"/>
  <c r="M75" i="4"/>
  <c r="M83" i="4"/>
  <c r="M91" i="4"/>
  <c r="M99" i="4"/>
  <c r="M107" i="4"/>
  <c r="M115" i="4"/>
  <c r="M123" i="4"/>
  <c r="M131" i="4"/>
  <c r="M139" i="4"/>
  <c r="M147" i="4"/>
  <c r="M155" i="4"/>
  <c r="M163" i="4"/>
  <c r="M171" i="4"/>
  <c r="M179" i="4"/>
  <c r="M187" i="4"/>
  <c r="M195" i="4"/>
  <c r="M203" i="4"/>
  <c r="M211" i="4"/>
  <c r="M219" i="4"/>
  <c r="M227" i="4"/>
  <c r="M235" i="4"/>
  <c r="M243" i="4"/>
  <c r="M251" i="4"/>
  <c r="M259" i="4"/>
  <c r="M267" i="4"/>
  <c r="M275" i="4"/>
  <c r="M283" i="4"/>
  <c r="M291" i="4"/>
  <c r="M299" i="4"/>
  <c r="M307" i="4"/>
  <c r="M315" i="4"/>
  <c r="M323" i="4"/>
  <c r="M331" i="4"/>
  <c r="M339" i="4"/>
  <c r="M347" i="4"/>
  <c r="M355" i="4"/>
  <c r="M363" i="4"/>
  <c r="M371" i="4"/>
  <c r="M379" i="4"/>
  <c r="M387" i="4"/>
  <c r="M395" i="4"/>
  <c r="M403" i="4"/>
  <c r="M411" i="4"/>
  <c r="M419" i="4"/>
  <c r="M427" i="4"/>
  <c r="M435" i="4"/>
  <c r="M443" i="4"/>
  <c r="M451" i="4"/>
  <c r="M459" i="4"/>
  <c r="M467" i="4"/>
  <c r="M475" i="4"/>
  <c r="M481" i="4"/>
  <c r="M487" i="4"/>
  <c r="M492" i="4"/>
  <c r="M497" i="4"/>
  <c r="M503" i="4"/>
  <c r="M508" i="4"/>
  <c r="M513" i="4"/>
  <c r="M517" i="4"/>
  <c r="M521" i="4"/>
  <c r="M525" i="4"/>
  <c r="M529" i="4"/>
  <c r="M533" i="4"/>
  <c r="M537" i="4"/>
  <c r="M541" i="4"/>
  <c r="M545" i="4"/>
  <c r="M549" i="4"/>
  <c r="M553" i="4"/>
  <c r="M557" i="4"/>
  <c r="M561" i="4"/>
  <c r="M565" i="4"/>
  <c r="M569" i="4"/>
  <c r="M573" i="4"/>
  <c r="M577" i="4"/>
  <c r="M581" i="4"/>
  <c r="M585" i="4"/>
  <c r="M589" i="4"/>
  <c r="M593" i="4"/>
  <c r="M597" i="4"/>
  <c r="M601" i="4"/>
  <c r="M20" i="4"/>
  <c r="M28" i="4"/>
  <c r="M36" i="4"/>
  <c r="M44" i="4"/>
  <c r="M52" i="4"/>
  <c r="M60" i="4"/>
  <c r="M68" i="4"/>
  <c r="M76" i="4"/>
  <c r="M84" i="4"/>
  <c r="M92" i="4"/>
  <c r="M100" i="4"/>
  <c r="M108" i="4"/>
  <c r="M116" i="4"/>
  <c r="M124" i="4"/>
  <c r="M132" i="4"/>
  <c r="M140" i="4"/>
  <c r="M148" i="4"/>
  <c r="M156" i="4"/>
  <c r="M164" i="4"/>
  <c r="M172" i="4"/>
  <c r="M180" i="4"/>
  <c r="M188" i="4"/>
  <c r="M196" i="4"/>
  <c r="M204" i="4"/>
  <c r="M212" i="4"/>
  <c r="M220" i="4"/>
  <c r="M228" i="4"/>
  <c r="M236" i="4"/>
  <c r="M244" i="4"/>
  <c r="M252" i="4"/>
  <c r="M260" i="4"/>
  <c r="M268" i="4"/>
  <c r="M276" i="4"/>
  <c r="M284" i="4"/>
  <c r="M292" i="4"/>
  <c r="M300" i="4"/>
  <c r="M308" i="4"/>
  <c r="M316" i="4"/>
  <c r="M324" i="4"/>
  <c r="M332" i="4"/>
  <c r="M340" i="4"/>
  <c r="M348" i="4"/>
  <c r="M356" i="4"/>
  <c r="M364" i="4"/>
  <c r="M372" i="4"/>
  <c r="M380" i="4"/>
  <c r="M388" i="4"/>
  <c r="M396" i="4"/>
  <c r="M404" i="4"/>
  <c r="M412" i="4"/>
  <c r="M420" i="4"/>
  <c r="M428" i="4"/>
  <c r="M436" i="4"/>
  <c r="M444" i="4"/>
  <c r="M452" i="4"/>
  <c r="M460" i="4"/>
  <c r="M468" i="4"/>
  <c r="M476" i="4"/>
  <c r="M483" i="4"/>
  <c r="M488" i="4"/>
  <c r="M493" i="4"/>
  <c r="M499" i="4"/>
  <c r="M504" i="4"/>
  <c r="M509" i="4"/>
  <c r="M514" i="4"/>
  <c r="M518" i="4"/>
  <c r="M522" i="4"/>
  <c r="M526" i="4"/>
  <c r="M530" i="4"/>
  <c r="M534" i="4"/>
  <c r="M538" i="4"/>
  <c r="M542" i="4"/>
  <c r="M546" i="4"/>
  <c r="M550" i="4"/>
  <c r="M554" i="4"/>
  <c r="M558" i="4"/>
  <c r="M562" i="4"/>
  <c r="M566" i="4"/>
  <c r="M570" i="4"/>
  <c r="M574" i="4"/>
  <c r="M578" i="4"/>
  <c r="M582" i="4"/>
  <c r="M586" i="4"/>
  <c r="M590" i="4"/>
  <c r="M594" i="4"/>
  <c r="M598" i="4"/>
  <c r="M15" i="4"/>
  <c r="M23" i="4"/>
  <c r="M31" i="4"/>
  <c r="M39" i="4"/>
  <c r="M47" i="4"/>
  <c r="M55" i="4"/>
  <c r="M63" i="4"/>
  <c r="M71" i="4"/>
  <c r="M79" i="4"/>
  <c r="M87" i="4"/>
  <c r="M95" i="4"/>
  <c r="M103" i="4"/>
  <c r="M111" i="4"/>
  <c r="M119" i="4"/>
  <c r="M127" i="4"/>
  <c r="M135" i="4"/>
  <c r="M143" i="4"/>
  <c r="M151" i="4"/>
  <c r="M159" i="4"/>
  <c r="M167" i="4"/>
  <c r="M175" i="4"/>
  <c r="M183" i="4"/>
  <c r="M191" i="4"/>
  <c r="M199" i="4"/>
  <c r="M207" i="4"/>
  <c r="M215" i="4"/>
  <c r="M223" i="4"/>
  <c r="M231" i="4"/>
  <c r="M239" i="4"/>
  <c r="M247" i="4"/>
  <c r="M255" i="4"/>
  <c r="M263" i="4"/>
  <c r="M271" i="4"/>
  <c r="M279" i="4"/>
  <c r="M287" i="4"/>
  <c r="M295" i="4"/>
  <c r="M303" i="4"/>
  <c r="M311" i="4"/>
  <c r="M319" i="4"/>
  <c r="M327" i="4"/>
  <c r="M335" i="4"/>
  <c r="M343" i="4"/>
  <c r="M351" i="4"/>
  <c r="M359" i="4"/>
  <c r="M367" i="4"/>
  <c r="M375" i="4"/>
  <c r="M383" i="4"/>
  <c r="M391" i="4"/>
  <c r="M399" i="4"/>
  <c r="M407" i="4"/>
  <c r="M415" i="4"/>
  <c r="M423" i="4"/>
  <c r="M431" i="4"/>
  <c r="M439" i="4"/>
  <c r="M447" i="4"/>
  <c r="M455" i="4"/>
  <c r="M463" i="4"/>
  <c r="M471" i="4"/>
  <c r="M479" i="4"/>
  <c r="M484" i="4"/>
  <c r="M489" i="4"/>
  <c r="M495" i="4"/>
  <c r="M500" i="4"/>
  <c r="M505" i="4"/>
  <c r="M511" i="4"/>
  <c r="M515" i="4"/>
  <c r="M519" i="4"/>
  <c r="M523" i="4"/>
  <c r="M527" i="4"/>
  <c r="M531" i="4"/>
  <c r="M535" i="4"/>
  <c r="M539" i="4"/>
  <c r="M543" i="4"/>
  <c r="M547" i="4"/>
  <c r="M551" i="4"/>
  <c r="M555" i="4"/>
  <c r="M559" i="4"/>
  <c r="M563" i="4"/>
  <c r="M567" i="4"/>
  <c r="M571" i="4"/>
  <c r="M575" i="4"/>
  <c r="M579" i="4"/>
  <c r="M583" i="4"/>
  <c r="M587" i="4"/>
  <c r="M591" i="4"/>
  <c r="M595" i="4"/>
  <c r="M599" i="4"/>
  <c r="M602" i="4"/>
  <c r="I4" i="4"/>
  <c r="I8" i="4"/>
  <c r="I12" i="4"/>
  <c r="I16" i="4"/>
  <c r="I20" i="4"/>
  <c r="I24" i="4"/>
  <c r="I28" i="4"/>
  <c r="I32" i="4"/>
  <c r="I36" i="4"/>
  <c r="I40" i="4"/>
  <c r="I44" i="4"/>
  <c r="I48" i="4"/>
  <c r="I52" i="4"/>
  <c r="I56" i="4"/>
  <c r="I60" i="4"/>
  <c r="I64" i="4"/>
  <c r="I68" i="4"/>
  <c r="I72" i="4"/>
  <c r="I76" i="4"/>
  <c r="I80" i="4"/>
  <c r="I84" i="4"/>
  <c r="I88" i="4"/>
  <c r="I92" i="4"/>
  <c r="I96" i="4"/>
  <c r="I100" i="4"/>
  <c r="I104" i="4"/>
  <c r="I108" i="4"/>
  <c r="I112" i="4"/>
  <c r="I116" i="4"/>
  <c r="I120" i="4"/>
  <c r="I124" i="4"/>
  <c r="I128" i="4"/>
  <c r="I132" i="4"/>
  <c r="I136" i="4"/>
  <c r="I140" i="4"/>
  <c r="I144" i="4"/>
  <c r="I148" i="4"/>
  <c r="I152" i="4"/>
  <c r="I156" i="4"/>
  <c r="I160" i="4"/>
  <c r="I164" i="4"/>
  <c r="I168" i="4"/>
  <c r="I172" i="4"/>
  <c r="I176" i="4"/>
  <c r="I180" i="4"/>
  <c r="I184" i="4"/>
  <c r="I188" i="4"/>
  <c r="I192" i="4"/>
  <c r="I196" i="4"/>
  <c r="I200" i="4"/>
  <c r="I204" i="4"/>
  <c r="I208" i="4"/>
  <c r="I212" i="4"/>
  <c r="I216" i="4"/>
  <c r="I220" i="4"/>
  <c r="I224" i="4"/>
  <c r="I228" i="4"/>
  <c r="I232" i="4"/>
  <c r="I236" i="4"/>
  <c r="I240" i="4"/>
  <c r="I244" i="4"/>
  <c r="I248" i="4"/>
  <c r="I252" i="4"/>
  <c r="I256" i="4"/>
  <c r="I260" i="4"/>
  <c r="I264" i="4"/>
  <c r="I268" i="4"/>
  <c r="I272" i="4"/>
  <c r="I276" i="4"/>
  <c r="I280" i="4"/>
  <c r="I284" i="4"/>
  <c r="I288" i="4"/>
  <c r="I292" i="4"/>
  <c r="I296" i="4"/>
  <c r="I300" i="4"/>
  <c r="I304" i="4"/>
  <c r="I308" i="4"/>
  <c r="I312" i="4"/>
  <c r="I316" i="4"/>
  <c r="I320" i="4"/>
  <c r="I324" i="4"/>
  <c r="I328" i="4"/>
  <c r="I332" i="4"/>
  <c r="I336" i="4"/>
  <c r="I340" i="4"/>
  <c r="I344" i="4"/>
  <c r="I348" i="4"/>
  <c r="I352" i="4"/>
  <c r="I356" i="4"/>
  <c r="I360" i="4"/>
  <c r="I364" i="4"/>
  <c r="I368" i="4"/>
  <c r="I372" i="4"/>
  <c r="I376" i="4"/>
  <c r="I380" i="4"/>
  <c r="I384" i="4"/>
  <c r="I388" i="4"/>
  <c r="I392" i="4"/>
  <c r="I396" i="4"/>
  <c r="I400" i="4"/>
  <c r="I404" i="4"/>
  <c r="I408" i="4"/>
  <c r="I412" i="4"/>
  <c r="I416" i="4"/>
  <c r="I420" i="4"/>
  <c r="I424" i="4"/>
  <c r="I5" i="4"/>
  <c r="I9" i="4"/>
  <c r="I13" i="4"/>
  <c r="I17" i="4"/>
  <c r="I21" i="4"/>
  <c r="I25" i="4"/>
  <c r="I29" i="4"/>
  <c r="I33" i="4"/>
  <c r="I37" i="4"/>
  <c r="I41" i="4"/>
  <c r="I45" i="4"/>
  <c r="I49" i="4"/>
  <c r="I53" i="4"/>
  <c r="I57" i="4"/>
  <c r="I61" i="4"/>
  <c r="I65" i="4"/>
  <c r="I69" i="4"/>
  <c r="I73" i="4"/>
  <c r="I77" i="4"/>
  <c r="I81" i="4"/>
  <c r="I85" i="4"/>
  <c r="I89" i="4"/>
  <c r="I93" i="4"/>
  <c r="I97" i="4"/>
  <c r="I101" i="4"/>
  <c r="I105" i="4"/>
  <c r="I109" i="4"/>
  <c r="I113" i="4"/>
  <c r="I117" i="4"/>
  <c r="I121" i="4"/>
  <c r="I125" i="4"/>
  <c r="I129" i="4"/>
  <c r="I133" i="4"/>
  <c r="I137" i="4"/>
  <c r="I141" i="4"/>
  <c r="I145" i="4"/>
  <c r="I149" i="4"/>
  <c r="I153" i="4"/>
  <c r="I157" i="4"/>
  <c r="I161" i="4"/>
  <c r="I165" i="4"/>
  <c r="I169" i="4"/>
  <c r="I173" i="4"/>
  <c r="I177" i="4"/>
  <c r="I181" i="4"/>
  <c r="I185" i="4"/>
  <c r="I189" i="4"/>
  <c r="I193" i="4"/>
  <c r="I197" i="4"/>
  <c r="I201" i="4"/>
  <c r="I205" i="4"/>
  <c r="I209" i="4"/>
  <c r="I213" i="4"/>
  <c r="I217" i="4"/>
  <c r="I221" i="4"/>
  <c r="I225" i="4"/>
  <c r="I229" i="4"/>
  <c r="I233" i="4"/>
  <c r="I237" i="4"/>
  <c r="I241" i="4"/>
  <c r="I245" i="4"/>
  <c r="I249" i="4"/>
  <c r="I253" i="4"/>
  <c r="I257" i="4"/>
  <c r="I261" i="4"/>
  <c r="I265" i="4"/>
  <c r="I269" i="4"/>
  <c r="I273" i="4"/>
  <c r="I277" i="4"/>
  <c r="I281" i="4"/>
  <c r="I285" i="4"/>
  <c r="I289" i="4"/>
  <c r="I293" i="4"/>
  <c r="I297" i="4"/>
  <c r="I301" i="4"/>
  <c r="I305" i="4"/>
  <c r="I309" i="4"/>
  <c r="I313" i="4"/>
  <c r="I317" i="4"/>
  <c r="I321" i="4"/>
  <c r="I325" i="4"/>
  <c r="I329" i="4"/>
  <c r="I333" i="4"/>
  <c r="I337" i="4"/>
  <c r="I341" i="4"/>
  <c r="I345" i="4"/>
  <c r="I349" i="4"/>
  <c r="I353" i="4"/>
  <c r="I357" i="4"/>
  <c r="I361" i="4"/>
  <c r="I365" i="4"/>
  <c r="I369" i="4"/>
  <c r="I373" i="4"/>
  <c r="I377" i="4"/>
  <c r="I381" i="4"/>
  <c r="I385" i="4"/>
  <c r="I389" i="4"/>
  <c r="I393" i="4"/>
  <c r="I397" i="4"/>
  <c r="I401" i="4"/>
  <c r="I405" i="4"/>
  <c r="I409" i="4"/>
  <c r="I413" i="4"/>
  <c r="I417" i="4"/>
  <c r="I421" i="4"/>
  <c r="I425" i="4"/>
  <c r="I429" i="4"/>
  <c r="I433" i="4"/>
  <c r="I437" i="4"/>
  <c r="I441" i="4"/>
  <c r="I445" i="4"/>
  <c r="I449" i="4"/>
  <c r="I453" i="4"/>
  <c r="I457" i="4"/>
  <c r="I461" i="4"/>
  <c r="I465" i="4"/>
  <c r="I469" i="4"/>
  <c r="I473" i="4"/>
  <c r="I477" i="4"/>
  <c r="I481" i="4"/>
  <c r="I485" i="4"/>
  <c r="I489" i="4"/>
  <c r="I493" i="4"/>
  <c r="I497" i="4"/>
  <c r="I501" i="4"/>
  <c r="I505" i="4"/>
  <c r="I509" i="4"/>
  <c r="I6" i="4"/>
  <c r="I10" i="4"/>
  <c r="I14" i="4"/>
  <c r="I18" i="4"/>
  <c r="I22" i="4"/>
  <c r="I26" i="4"/>
  <c r="I30" i="4"/>
  <c r="I34" i="4"/>
  <c r="I38" i="4"/>
  <c r="I42" i="4"/>
  <c r="I46" i="4"/>
  <c r="I50" i="4"/>
  <c r="I54" i="4"/>
  <c r="I58" i="4"/>
  <c r="I62" i="4"/>
  <c r="I66" i="4"/>
  <c r="I70" i="4"/>
  <c r="I74" i="4"/>
  <c r="I78" i="4"/>
  <c r="I82" i="4"/>
  <c r="I86" i="4"/>
  <c r="I90" i="4"/>
  <c r="I94" i="4"/>
  <c r="I98" i="4"/>
  <c r="I102" i="4"/>
  <c r="I106" i="4"/>
  <c r="I110" i="4"/>
  <c r="I114" i="4"/>
  <c r="I118" i="4"/>
  <c r="I122" i="4"/>
  <c r="I126" i="4"/>
  <c r="I130" i="4"/>
  <c r="I134" i="4"/>
  <c r="I138" i="4"/>
  <c r="I142" i="4"/>
  <c r="I146" i="4"/>
  <c r="I150" i="4"/>
  <c r="I154" i="4"/>
  <c r="I158" i="4"/>
  <c r="I162" i="4"/>
  <c r="I166" i="4"/>
  <c r="I170" i="4"/>
  <c r="I174" i="4"/>
  <c r="I7" i="4"/>
  <c r="I23" i="4"/>
  <c r="I39" i="4"/>
  <c r="I55" i="4"/>
  <c r="I71" i="4"/>
  <c r="I87" i="4"/>
  <c r="I103" i="4"/>
  <c r="I119" i="4"/>
  <c r="I135" i="4"/>
  <c r="I151" i="4"/>
  <c r="I167" i="4"/>
  <c r="I179" i="4"/>
  <c r="I187" i="4"/>
  <c r="I195" i="4"/>
  <c r="I203" i="4"/>
  <c r="I211" i="4"/>
  <c r="I219" i="4"/>
  <c r="I227" i="4"/>
  <c r="I235" i="4"/>
  <c r="I243" i="4"/>
  <c r="I251" i="4"/>
  <c r="I259" i="4"/>
  <c r="I267" i="4"/>
  <c r="I275" i="4"/>
  <c r="I283" i="4"/>
  <c r="I291" i="4"/>
  <c r="I299" i="4"/>
  <c r="I307" i="4"/>
  <c r="I315" i="4"/>
  <c r="I323" i="4"/>
  <c r="I331" i="4"/>
  <c r="I339" i="4"/>
  <c r="I347" i="4"/>
  <c r="I355" i="4"/>
  <c r="I363" i="4"/>
  <c r="I371" i="4"/>
  <c r="I379" i="4"/>
  <c r="I387" i="4"/>
  <c r="I395" i="4"/>
  <c r="I403" i="4"/>
  <c r="I411" i="4"/>
  <c r="I419" i="4"/>
  <c r="I427" i="4"/>
  <c r="I432" i="4"/>
  <c r="I438" i="4"/>
  <c r="I443" i="4"/>
  <c r="I448" i="4"/>
  <c r="I454" i="4"/>
  <c r="I459" i="4"/>
  <c r="I464" i="4"/>
  <c r="I470" i="4"/>
  <c r="I475" i="4"/>
  <c r="I480" i="4"/>
  <c r="I486" i="4"/>
  <c r="I491" i="4"/>
  <c r="I496" i="4"/>
  <c r="I502" i="4"/>
  <c r="I507" i="4"/>
  <c r="I512" i="4"/>
  <c r="I516" i="4"/>
  <c r="I520" i="4"/>
  <c r="I524" i="4"/>
  <c r="I528" i="4"/>
  <c r="I532" i="4"/>
  <c r="I536" i="4"/>
  <c r="I540" i="4"/>
  <c r="I544" i="4"/>
  <c r="I548" i="4"/>
  <c r="I552" i="4"/>
  <c r="I556" i="4"/>
  <c r="I560" i="4"/>
  <c r="I564" i="4"/>
  <c r="I568" i="4"/>
  <c r="I572" i="4"/>
  <c r="I576" i="4"/>
  <c r="I580" i="4"/>
  <c r="I584" i="4"/>
  <c r="I588" i="4"/>
  <c r="I592" i="4"/>
  <c r="I596" i="4"/>
  <c r="I600" i="4"/>
  <c r="I11" i="4"/>
  <c r="I27" i="4"/>
  <c r="I43" i="4"/>
  <c r="I59" i="4"/>
  <c r="I75" i="4"/>
  <c r="I91" i="4"/>
  <c r="I107" i="4"/>
  <c r="I123" i="4"/>
  <c r="I139" i="4"/>
  <c r="I155" i="4"/>
  <c r="I171" i="4"/>
  <c r="I182" i="4"/>
  <c r="I190" i="4"/>
  <c r="I198" i="4"/>
  <c r="I206" i="4"/>
  <c r="I214" i="4"/>
  <c r="I222" i="4"/>
  <c r="I230" i="4"/>
  <c r="I238" i="4"/>
  <c r="I246" i="4"/>
  <c r="I254" i="4"/>
  <c r="I262" i="4"/>
  <c r="I270" i="4"/>
  <c r="I278" i="4"/>
  <c r="I286" i="4"/>
  <c r="I294" i="4"/>
  <c r="I302" i="4"/>
  <c r="I310" i="4"/>
  <c r="I318" i="4"/>
  <c r="I326" i="4"/>
  <c r="I334" i="4"/>
  <c r="I342" i="4"/>
  <c r="I350" i="4"/>
  <c r="I358" i="4"/>
  <c r="I366" i="4"/>
  <c r="I374" i="4"/>
  <c r="I382" i="4"/>
  <c r="I390" i="4"/>
  <c r="I398" i="4"/>
  <c r="I406" i="4"/>
  <c r="I414" i="4"/>
  <c r="I422" i="4"/>
  <c r="I428" i="4"/>
  <c r="I434" i="4"/>
  <c r="I439" i="4"/>
  <c r="I444" i="4"/>
  <c r="I450" i="4"/>
  <c r="I455" i="4"/>
  <c r="I460" i="4"/>
  <c r="I466" i="4"/>
  <c r="I471" i="4"/>
  <c r="I476" i="4"/>
  <c r="I482" i="4"/>
  <c r="I487" i="4"/>
  <c r="I492" i="4"/>
  <c r="I498" i="4"/>
  <c r="I503" i="4"/>
  <c r="I508" i="4"/>
  <c r="I513" i="4"/>
  <c r="I517" i="4"/>
  <c r="I521" i="4"/>
  <c r="I525" i="4"/>
  <c r="I529" i="4"/>
  <c r="I533" i="4"/>
  <c r="I537" i="4"/>
  <c r="I541" i="4"/>
  <c r="I545" i="4"/>
  <c r="I549" i="4"/>
  <c r="I553" i="4"/>
  <c r="I557" i="4"/>
  <c r="I561" i="4"/>
  <c r="I565" i="4"/>
  <c r="I569" i="4"/>
  <c r="I573" i="4"/>
  <c r="I577" i="4"/>
  <c r="I581" i="4"/>
  <c r="I585" i="4"/>
  <c r="I589" i="4"/>
  <c r="I593" i="4"/>
  <c r="I597" i="4"/>
  <c r="I601" i="4"/>
  <c r="I15" i="4"/>
  <c r="I31" i="4"/>
  <c r="I47" i="4"/>
  <c r="I63" i="4"/>
  <c r="I79" i="4"/>
  <c r="I95" i="4"/>
  <c r="I111" i="4"/>
  <c r="I127" i="4"/>
  <c r="I143" i="4"/>
  <c r="I159" i="4"/>
  <c r="I175" i="4"/>
  <c r="I183" i="4"/>
  <c r="I191" i="4"/>
  <c r="I199" i="4"/>
  <c r="I207" i="4"/>
  <c r="I215" i="4"/>
  <c r="I223" i="4"/>
  <c r="I231" i="4"/>
  <c r="I239" i="4"/>
  <c r="I247" i="4"/>
  <c r="I255" i="4"/>
  <c r="I263" i="4"/>
  <c r="I271" i="4"/>
  <c r="I279" i="4"/>
  <c r="I287" i="4"/>
  <c r="I295" i="4"/>
  <c r="I303" i="4"/>
  <c r="I311" i="4"/>
  <c r="I319" i="4"/>
  <c r="I327" i="4"/>
  <c r="I335" i="4"/>
  <c r="I343" i="4"/>
  <c r="I351" i="4"/>
  <c r="I359" i="4"/>
  <c r="I367" i="4"/>
  <c r="I375" i="4"/>
  <c r="I383" i="4"/>
  <c r="I391" i="4"/>
  <c r="I399" i="4"/>
  <c r="I407" i="4"/>
  <c r="I415" i="4"/>
  <c r="I423" i="4"/>
  <c r="I430" i="4"/>
  <c r="I435" i="4"/>
  <c r="I440" i="4"/>
  <c r="I446" i="4"/>
  <c r="I451" i="4"/>
  <c r="I456" i="4"/>
  <c r="I462" i="4"/>
  <c r="I467" i="4"/>
  <c r="I472" i="4"/>
  <c r="I478" i="4"/>
  <c r="I483" i="4"/>
  <c r="I488" i="4"/>
  <c r="I494" i="4"/>
  <c r="I499" i="4"/>
  <c r="I504" i="4"/>
  <c r="I510" i="4"/>
  <c r="I514" i="4"/>
  <c r="I518" i="4"/>
  <c r="I522" i="4"/>
  <c r="I526" i="4"/>
  <c r="I530" i="4"/>
  <c r="I534" i="4"/>
  <c r="I538" i="4"/>
  <c r="I542" i="4"/>
  <c r="I546" i="4"/>
  <c r="I550" i="4"/>
  <c r="I554" i="4"/>
  <c r="I558" i="4"/>
  <c r="I562" i="4"/>
  <c r="I566" i="4"/>
  <c r="I570" i="4"/>
  <c r="I574" i="4"/>
  <c r="I578" i="4"/>
  <c r="I582" i="4"/>
  <c r="I586" i="4"/>
  <c r="I590" i="4"/>
  <c r="I594" i="4"/>
  <c r="I598" i="4"/>
  <c r="I602" i="4"/>
  <c r="I19" i="4"/>
  <c r="I35" i="4"/>
  <c r="I51" i="4"/>
  <c r="I67" i="4"/>
  <c r="I83" i="4"/>
  <c r="I99" i="4"/>
  <c r="I115" i="4"/>
  <c r="I131" i="4"/>
  <c r="I147" i="4"/>
  <c r="I163" i="4"/>
  <c r="I178" i="4"/>
  <c r="I186" i="4"/>
  <c r="I194" i="4"/>
  <c r="I202" i="4"/>
  <c r="I210" i="4"/>
  <c r="I218" i="4"/>
  <c r="I226" i="4"/>
  <c r="I234" i="4"/>
  <c r="I242" i="4"/>
  <c r="I250" i="4"/>
  <c r="I258" i="4"/>
  <c r="I266" i="4"/>
  <c r="I274" i="4"/>
  <c r="I282" i="4"/>
  <c r="I290" i="4"/>
  <c r="I298" i="4"/>
  <c r="I306" i="4"/>
  <c r="I314" i="4"/>
  <c r="I322" i="4"/>
  <c r="I338" i="4"/>
  <c r="I346" i="4"/>
  <c r="I354" i="4"/>
  <c r="I362" i="4"/>
  <c r="I370" i="4"/>
  <c r="I378" i="4"/>
  <c r="I386" i="4"/>
  <c r="I394" i="4"/>
  <c r="I402" i="4"/>
  <c r="I410" i="4"/>
  <c r="I418" i="4"/>
  <c r="I426" i="4"/>
  <c r="I431" i="4"/>
  <c r="I436" i="4"/>
  <c r="I442" i="4"/>
  <c r="I447" i="4"/>
  <c r="I452" i="4"/>
  <c r="I330" i="4"/>
  <c r="I474" i="4"/>
  <c r="I495" i="4"/>
  <c r="I515" i="4"/>
  <c r="I531" i="4"/>
  <c r="I547" i="4"/>
  <c r="I563" i="4"/>
  <c r="I579" i="4"/>
  <c r="I595" i="4"/>
  <c r="I490" i="4"/>
  <c r="I458" i="4"/>
  <c r="I479" i="4"/>
  <c r="I500" i="4"/>
  <c r="I519" i="4"/>
  <c r="I535" i="4"/>
  <c r="I551" i="4"/>
  <c r="I567" i="4"/>
  <c r="I583" i="4"/>
  <c r="I599" i="4"/>
  <c r="I511" i="4"/>
  <c r="I463" i="4"/>
  <c r="I484" i="4"/>
  <c r="I506" i="4"/>
  <c r="I523" i="4"/>
  <c r="I539" i="4"/>
  <c r="I555" i="4"/>
  <c r="I571" i="4"/>
  <c r="I587" i="4"/>
  <c r="I468" i="4"/>
  <c r="I527" i="4"/>
  <c r="I543" i="4"/>
  <c r="I559" i="4"/>
  <c r="I575" i="4"/>
  <c r="I591" i="4"/>
  <c r="I3" i="4"/>
  <c r="G4" i="4"/>
  <c r="G8" i="4"/>
  <c r="G12" i="4"/>
  <c r="G16" i="4"/>
  <c r="G20" i="4"/>
  <c r="G24" i="4"/>
  <c r="G28" i="4"/>
  <c r="G32" i="4"/>
  <c r="G36" i="4"/>
  <c r="G40" i="4"/>
  <c r="G44" i="4"/>
  <c r="G48" i="4"/>
  <c r="G52" i="4"/>
  <c r="G56" i="4"/>
  <c r="G60" i="4"/>
  <c r="G64" i="4"/>
  <c r="G68" i="4"/>
  <c r="G72" i="4"/>
  <c r="G76" i="4"/>
  <c r="G80" i="4"/>
  <c r="G84" i="4"/>
  <c r="G88" i="4"/>
  <c r="G92" i="4"/>
  <c r="G96" i="4"/>
  <c r="G100" i="4"/>
  <c r="G104" i="4"/>
  <c r="G108" i="4"/>
  <c r="G112" i="4"/>
  <c r="G116" i="4"/>
  <c r="G120" i="4"/>
  <c r="G124" i="4"/>
  <c r="G128" i="4"/>
  <c r="G132" i="4"/>
  <c r="G136" i="4"/>
  <c r="G140" i="4"/>
  <c r="G144" i="4"/>
  <c r="G148" i="4"/>
  <c r="G152" i="4"/>
  <c r="G156" i="4"/>
  <c r="G160" i="4"/>
  <c r="G164" i="4"/>
  <c r="G168" i="4"/>
  <c r="G172" i="4"/>
  <c r="G176" i="4"/>
  <c r="G180" i="4"/>
  <c r="G184" i="4"/>
  <c r="G188" i="4"/>
  <c r="G192" i="4"/>
  <c r="G196" i="4"/>
  <c r="G200" i="4"/>
  <c r="G204" i="4"/>
  <c r="G208" i="4"/>
  <c r="G212" i="4"/>
  <c r="G216" i="4"/>
  <c r="G220" i="4"/>
  <c r="G224" i="4"/>
  <c r="G228" i="4"/>
  <c r="G232" i="4"/>
  <c r="G236" i="4"/>
  <c r="G240" i="4"/>
  <c r="G244" i="4"/>
  <c r="G248" i="4"/>
  <c r="G252" i="4"/>
  <c r="G256" i="4"/>
  <c r="G260" i="4"/>
  <c r="G264" i="4"/>
  <c r="G268" i="4"/>
  <c r="G272" i="4"/>
  <c r="G276" i="4"/>
  <c r="G280" i="4"/>
  <c r="G284" i="4"/>
  <c r="G288" i="4"/>
  <c r="G292" i="4"/>
  <c r="G296" i="4"/>
  <c r="G300" i="4"/>
  <c r="G304" i="4"/>
  <c r="G308" i="4"/>
  <c r="G312" i="4"/>
  <c r="G316" i="4"/>
  <c r="G320" i="4"/>
  <c r="G324" i="4"/>
  <c r="G328" i="4"/>
  <c r="G332" i="4"/>
  <c r="G336" i="4"/>
  <c r="G340" i="4"/>
  <c r="G344" i="4"/>
  <c r="G348" i="4"/>
  <c r="G352" i="4"/>
  <c r="G356" i="4"/>
  <c r="G360" i="4"/>
  <c r="G364" i="4"/>
  <c r="G368" i="4"/>
  <c r="G372" i="4"/>
  <c r="G376" i="4"/>
  <c r="G380" i="4"/>
  <c r="G384" i="4"/>
  <c r="G388" i="4"/>
  <c r="G392" i="4"/>
  <c r="G396" i="4"/>
  <c r="G400" i="4"/>
  <c r="G404" i="4"/>
  <c r="G408" i="4"/>
  <c r="G412" i="4"/>
  <c r="G416" i="4"/>
  <c r="G420" i="4"/>
  <c r="G424" i="4"/>
  <c r="G428" i="4"/>
  <c r="G432" i="4"/>
  <c r="G436" i="4"/>
  <c r="G440" i="4"/>
  <c r="G444" i="4"/>
  <c r="G448" i="4"/>
  <c r="G452" i="4"/>
  <c r="G456" i="4"/>
  <c r="G460" i="4"/>
  <c r="G464" i="4"/>
  <c r="G468" i="4"/>
  <c r="G472" i="4"/>
  <c r="G476" i="4"/>
  <c r="G480" i="4"/>
  <c r="G484" i="4"/>
  <c r="G488" i="4"/>
  <c r="G492" i="4"/>
  <c r="G496" i="4"/>
  <c r="G500" i="4"/>
  <c r="G504" i="4"/>
  <c r="G508" i="4"/>
  <c r="G5" i="4"/>
  <c r="G9" i="4"/>
  <c r="G13" i="4"/>
  <c r="G17" i="4"/>
  <c r="G21" i="4"/>
  <c r="G25" i="4"/>
  <c r="G29" i="4"/>
  <c r="G33" i="4"/>
  <c r="G37" i="4"/>
  <c r="G41" i="4"/>
  <c r="G45" i="4"/>
  <c r="G49" i="4"/>
  <c r="G53" i="4"/>
  <c r="G57" i="4"/>
  <c r="G61" i="4"/>
  <c r="G65" i="4"/>
  <c r="G69" i="4"/>
  <c r="G73" i="4"/>
  <c r="G77" i="4"/>
  <c r="G81" i="4"/>
  <c r="G85" i="4"/>
  <c r="G89" i="4"/>
  <c r="G93" i="4"/>
  <c r="G97" i="4"/>
  <c r="G101" i="4"/>
  <c r="G105" i="4"/>
  <c r="G109" i="4"/>
  <c r="G113" i="4"/>
  <c r="G117" i="4"/>
  <c r="G121" i="4"/>
  <c r="G125" i="4"/>
  <c r="G129" i="4"/>
  <c r="G133" i="4"/>
  <c r="G137" i="4"/>
  <c r="G141" i="4"/>
  <c r="G145" i="4"/>
  <c r="G149" i="4"/>
  <c r="G153" i="4"/>
  <c r="G157" i="4"/>
  <c r="G161" i="4"/>
  <c r="G165" i="4"/>
  <c r="G169" i="4"/>
  <c r="G173" i="4"/>
  <c r="G177" i="4"/>
  <c r="G181" i="4"/>
  <c r="G185" i="4"/>
  <c r="G189" i="4"/>
  <c r="G193" i="4"/>
  <c r="G197" i="4"/>
  <c r="G201" i="4"/>
  <c r="G205" i="4"/>
  <c r="G209" i="4"/>
  <c r="G213" i="4"/>
  <c r="G217" i="4"/>
  <c r="G221" i="4"/>
  <c r="G225" i="4"/>
  <c r="G229" i="4"/>
  <c r="G233" i="4"/>
  <c r="G237" i="4"/>
  <c r="G241" i="4"/>
  <c r="G245" i="4"/>
  <c r="G249" i="4"/>
  <c r="G253" i="4"/>
  <c r="G257" i="4"/>
  <c r="G261" i="4"/>
  <c r="G265" i="4"/>
  <c r="G269" i="4"/>
  <c r="G273" i="4"/>
  <c r="G277" i="4"/>
  <c r="G281" i="4"/>
  <c r="G285" i="4"/>
  <c r="G289" i="4"/>
  <c r="G293" i="4"/>
  <c r="G297" i="4"/>
  <c r="G301" i="4"/>
  <c r="G305" i="4"/>
  <c r="G309" i="4"/>
  <c r="G313" i="4"/>
  <c r="G317" i="4"/>
  <c r="G321" i="4"/>
  <c r="G325" i="4"/>
  <c r="G329" i="4"/>
  <c r="G333" i="4"/>
  <c r="G337" i="4"/>
  <c r="G341" i="4"/>
  <c r="G345" i="4"/>
  <c r="G349" i="4"/>
  <c r="G353" i="4"/>
  <c r="G357" i="4"/>
  <c r="G361" i="4"/>
  <c r="G365" i="4"/>
  <c r="G369" i="4"/>
  <c r="G373" i="4"/>
  <c r="G377" i="4"/>
  <c r="G381" i="4"/>
  <c r="G385" i="4"/>
  <c r="G389" i="4"/>
  <c r="G393" i="4"/>
  <c r="G397" i="4"/>
  <c r="G401" i="4"/>
  <c r="G405" i="4"/>
  <c r="G409" i="4"/>
  <c r="G413" i="4"/>
  <c r="G417" i="4"/>
  <c r="G421" i="4"/>
  <c r="G425" i="4"/>
  <c r="G429" i="4"/>
  <c r="G433" i="4"/>
  <c r="G437" i="4"/>
  <c r="G441" i="4"/>
  <c r="G445" i="4"/>
  <c r="G449" i="4"/>
  <c r="G453" i="4"/>
  <c r="G457" i="4"/>
  <c r="G461" i="4"/>
  <c r="G465" i="4"/>
  <c r="G469" i="4"/>
  <c r="G473" i="4"/>
  <c r="G477" i="4"/>
  <c r="G481" i="4"/>
  <c r="G485" i="4"/>
  <c r="G489" i="4"/>
  <c r="G493" i="4"/>
  <c r="G497" i="4"/>
  <c r="G501" i="4"/>
  <c r="G505" i="4"/>
  <c r="G509" i="4"/>
  <c r="G6" i="4"/>
  <c r="G10" i="4"/>
  <c r="G18" i="4"/>
  <c r="G22" i="4"/>
  <c r="G26" i="4"/>
  <c r="G30" i="4"/>
  <c r="G34" i="4"/>
  <c r="G38" i="4"/>
  <c r="G42" i="4"/>
  <c r="G46" i="4"/>
  <c r="G50" i="4"/>
  <c r="G54" i="4"/>
  <c r="G58" i="4"/>
  <c r="G62" i="4"/>
  <c r="G66" i="4"/>
  <c r="G70" i="4"/>
  <c r="G74" i="4"/>
  <c r="G78" i="4"/>
  <c r="G82" i="4"/>
  <c r="G86" i="4"/>
  <c r="G90" i="4"/>
  <c r="G94" i="4"/>
  <c r="G98" i="4"/>
  <c r="G102" i="4"/>
  <c r="G106" i="4"/>
  <c r="G110" i="4"/>
  <c r="G114" i="4"/>
  <c r="G118" i="4"/>
  <c r="G122" i="4"/>
  <c r="G126" i="4"/>
  <c r="G130" i="4"/>
  <c r="G134" i="4"/>
  <c r="G138" i="4"/>
  <c r="G142" i="4"/>
  <c r="G146" i="4"/>
  <c r="G150" i="4"/>
  <c r="G154" i="4"/>
  <c r="G158" i="4"/>
  <c r="G162" i="4"/>
  <c r="G166" i="4"/>
  <c r="G170" i="4"/>
  <c r="G174" i="4"/>
  <c r="G178" i="4"/>
  <c r="G182" i="4"/>
  <c r="G186" i="4"/>
  <c r="G190" i="4"/>
  <c r="G194" i="4"/>
  <c r="G198" i="4"/>
  <c r="G202" i="4"/>
  <c r="G206" i="4"/>
  <c r="G210" i="4"/>
  <c r="G214" i="4"/>
  <c r="G218" i="4"/>
  <c r="G222" i="4"/>
  <c r="G226" i="4"/>
  <c r="G230" i="4"/>
  <c r="G234" i="4"/>
  <c r="G238" i="4"/>
  <c r="G242" i="4"/>
  <c r="G246" i="4"/>
  <c r="G250" i="4"/>
  <c r="G254" i="4"/>
  <c r="G258" i="4"/>
  <c r="G262" i="4"/>
  <c r="G266" i="4"/>
  <c r="G270" i="4"/>
  <c r="G274" i="4"/>
  <c r="G278" i="4"/>
  <c r="G282" i="4"/>
  <c r="G286" i="4"/>
  <c r="G290" i="4"/>
  <c r="G294" i="4"/>
  <c r="G298" i="4"/>
  <c r="G302" i="4"/>
  <c r="G306" i="4"/>
  <c r="G310" i="4"/>
  <c r="G314" i="4"/>
  <c r="G318" i="4"/>
  <c r="G322" i="4"/>
  <c r="G326" i="4"/>
  <c r="G330" i="4"/>
  <c r="G334" i="4"/>
  <c r="G338" i="4"/>
  <c r="G342" i="4"/>
  <c r="G346" i="4"/>
  <c r="G350" i="4"/>
  <c r="G354" i="4"/>
  <c r="G358" i="4"/>
  <c r="G362" i="4"/>
  <c r="G366" i="4"/>
  <c r="G370" i="4"/>
  <c r="G374" i="4"/>
  <c r="G378" i="4"/>
  <c r="G382" i="4"/>
  <c r="G386" i="4"/>
  <c r="G390" i="4"/>
  <c r="G394" i="4"/>
  <c r="G398" i="4"/>
  <c r="G402" i="4"/>
  <c r="G406" i="4"/>
  <c r="G410" i="4"/>
  <c r="G414" i="4"/>
  <c r="G418" i="4"/>
  <c r="G422" i="4"/>
  <c r="G426" i="4"/>
  <c r="G430" i="4"/>
  <c r="G434" i="4"/>
  <c r="G438" i="4"/>
  <c r="G442" i="4"/>
  <c r="G446" i="4"/>
  <c r="G450" i="4"/>
  <c r="G454" i="4"/>
  <c r="G458" i="4"/>
  <c r="G462" i="4"/>
  <c r="G466" i="4"/>
  <c r="G470" i="4"/>
  <c r="G474" i="4"/>
  <c r="G478" i="4"/>
  <c r="G482" i="4"/>
  <c r="G486" i="4"/>
  <c r="G490" i="4"/>
  <c r="G494" i="4"/>
  <c r="G498" i="4"/>
  <c r="G502" i="4"/>
  <c r="G506" i="4"/>
  <c r="G7" i="4"/>
  <c r="G23" i="4"/>
  <c r="G39" i="4"/>
  <c r="G55" i="4"/>
  <c r="G71" i="4"/>
  <c r="G87" i="4"/>
  <c r="G103" i="4"/>
  <c r="G119" i="4"/>
  <c r="G135" i="4"/>
  <c r="G151" i="4"/>
  <c r="G167" i="4"/>
  <c r="G183" i="4"/>
  <c r="G199" i="4"/>
  <c r="G215" i="4"/>
  <c r="G231" i="4"/>
  <c r="G247" i="4"/>
  <c r="G263" i="4"/>
  <c r="G279" i="4"/>
  <c r="G295" i="4"/>
  <c r="G311" i="4"/>
  <c r="G327" i="4"/>
  <c r="G343" i="4"/>
  <c r="G359" i="4"/>
  <c r="G375" i="4"/>
  <c r="G391" i="4"/>
  <c r="G407" i="4"/>
  <c r="G423" i="4"/>
  <c r="G439" i="4"/>
  <c r="G455" i="4"/>
  <c r="G471" i="4"/>
  <c r="G487" i="4"/>
  <c r="G503" i="4"/>
  <c r="G512" i="4"/>
  <c r="G516" i="4"/>
  <c r="G520" i="4"/>
  <c r="G524" i="4"/>
  <c r="G528" i="4"/>
  <c r="G532" i="4"/>
  <c r="G536" i="4"/>
  <c r="G540" i="4"/>
  <c r="G544" i="4"/>
  <c r="G548" i="4"/>
  <c r="G552" i="4"/>
  <c r="G556" i="4"/>
  <c r="G560" i="4"/>
  <c r="G564" i="4"/>
  <c r="G568" i="4"/>
  <c r="G572" i="4"/>
  <c r="G576" i="4"/>
  <c r="G580" i="4"/>
  <c r="G584" i="4"/>
  <c r="G588" i="4"/>
  <c r="G592" i="4"/>
  <c r="G596" i="4"/>
  <c r="G600" i="4"/>
  <c r="G11" i="4"/>
  <c r="G27" i="4"/>
  <c r="G43" i="4"/>
  <c r="G59" i="4"/>
  <c r="G75" i="4"/>
  <c r="G91" i="4"/>
  <c r="G107" i="4"/>
  <c r="G123" i="4"/>
  <c r="G139" i="4"/>
  <c r="G155" i="4"/>
  <c r="G171" i="4"/>
  <c r="G187" i="4"/>
  <c r="G203" i="4"/>
  <c r="G219" i="4"/>
  <c r="G235" i="4"/>
  <c r="G251" i="4"/>
  <c r="G267" i="4"/>
  <c r="G283" i="4"/>
  <c r="G299" i="4"/>
  <c r="G315" i="4"/>
  <c r="G331" i="4"/>
  <c r="G347" i="4"/>
  <c r="G363" i="4"/>
  <c r="G379" i="4"/>
  <c r="G395" i="4"/>
  <c r="G411" i="4"/>
  <c r="G427" i="4"/>
  <c r="G443" i="4"/>
  <c r="G459" i="4"/>
  <c r="G475" i="4"/>
  <c r="G491" i="4"/>
  <c r="G507" i="4"/>
  <c r="G513" i="4"/>
  <c r="G517" i="4"/>
  <c r="G521" i="4"/>
  <c r="G525" i="4"/>
  <c r="G529" i="4"/>
  <c r="G533" i="4"/>
  <c r="G537" i="4"/>
  <c r="G541" i="4"/>
  <c r="G545" i="4"/>
  <c r="G549" i="4"/>
  <c r="G553" i="4"/>
  <c r="G557" i="4"/>
  <c r="G561" i="4"/>
  <c r="G565" i="4"/>
  <c r="G569" i="4"/>
  <c r="G573" i="4"/>
  <c r="G577" i="4"/>
  <c r="G581" i="4"/>
  <c r="G585" i="4"/>
  <c r="G589" i="4"/>
  <c r="G593" i="4"/>
  <c r="G597" i="4"/>
  <c r="G601" i="4"/>
  <c r="G15" i="4"/>
  <c r="G31" i="4"/>
  <c r="G47" i="4"/>
  <c r="G63" i="4"/>
  <c r="G79" i="4"/>
  <c r="G95" i="4"/>
  <c r="G111" i="4"/>
  <c r="G127" i="4"/>
  <c r="G143" i="4"/>
  <c r="G159" i="4"/>
  <c r="G175" i="4"/>
  <c r="G191" i="4"/>
  <c r="G207" i="4"/>
  <c r="G223" i="4"/>
  <c r="G239" i="4"/>
  <c r="G255" i="4"/>
  <c r="G271" i="4"/>
  <c r="G287" i="4"/>
  <c r="G303" i="4"/>
  <c r="G319" i="4"/>
  <c r="G335" i="4"/>
  <c r="G351" i="4"/>
  <c r="G367" i="4"/>
  <c r="G383" i="4"/>
  <c r="G399" i="4"/>
  <c r="G415" i="4"/>
  <c r="G431" i="4"/>
  <c r="G447" i="4"/>
  <c r="G463" i="4"/>
  <c r="G479" i="4"/>
  <c r="G495" i="4"/>
  <c r="G510" i="4"/>
  <c r="G514" i="4"/>
  <c r="G518" i="4"/>
  <c r="G522" i="4"/>
  <c r="G526" i="4"/>
  <c r="G530" i="4"/>
  <c r="G534" i="4"/>
  <c r="G538" i="4"/>
  <c r="G542" i="4"/>
  <c r="G546" i="4"/>
  <c r="G550" i="4"/>
  <c r="G554" i="4"/>
  <c r="G558" i="4"/>
  <c r="G562" i="4"/>
  <c r="G566" i="4"/>
  <c r="G570" i="4"/>
  <c r="G574" i="4"/>
  <c r="G578" i="4"/>
  <c r="G582" i="4"/>
  <c r="G586" i="4"/>
  <c r="G590" i="4"/>
  <c r="G594" i="4"/>
  <c r="G598" i="4"/>
  <c r="G602" i="4"/>
  <c r="G19" i="4"/>
  <c r="G35" i="4"/>
  <c r="G51" i="4"/>
  <c r="G67" i="4"/>
  <c r="G83" i="4"/>
  <c r="G99" i="4"/>
  <c r="G115" i="4"/>
  <c r="G131" i="4"/>
  <c r="G147" i="4"/>
  <c r="G163" i="4"/>
  <c r="G179" i="4"/>
  <c r="G195" i="4"/>
  <c r="G211" i="4"/>
  <c r="G227" i="4"/>
  <c r="G243" i="4"/>
  <c r="G259" i="4"/>
  <c r="G275" i="4"/>
  <c r="G291" i="4"/>
  <c r="G307" i="4"/>
  <c r="G323" i="4"/>
  <c r="G339" i="4"/>
  <c r="G355" i="4"/>
  <c r="G371" i="4"/>
  <c r="G387" i="4"/>
  <c r="G403" i="4"/>
  <c r="G419" i="4"/>
  <c r="G435" i="4"/>
  <c r="G451" i="4"/>
  <c r="G467" i="4"/>
  <c r="G483" i="4"/>
  <c r="G499" i="4"/>
  <c r="G511" i="4"/>
  <c r="G515" i="4"/>
  <c r="G519" i="4"/>
  <c r="G523" i="4"/>
  <c r="G527" i="4"/>
  <c r="G531" i="4"/>
  <c r="G535" i="4"/>
  <c r="G539" i="4"/>
  <c r="G543" i="4"/>
  <c r="G547" i="4"/>
  <c r="G551" i="4"/>
  <c r="G555" i="4"/>
  <c r="G559" i="4"/>
  <c r="G563" i="4"/>
  <c r="G567" i="4"/>
  <c r="G571" i="4"/>
  <c r="G575" i="4"/>
  <c r="G579" i="4"/>
  <c r="G583" i="4"/>
  <c r="G587" i="4"/>
  <c r="G591" i="4"/>
  <c r="G595" i="4"/>
  <c r="G599" i="4"/>
  <c r="G3" i="4"/>
  <c r="K4" i="3"/>
  <c r="K8" i="3"/>
  <c r="K12" i="3"/>
  <c r="K16" i="3"/>
  <c r="K20" i="3"/>
  <c r="K24" i="3"/>
  <c r="K28" i="3"/>
  <c r="K32" i="3"/>
  <c r="K36" i="3"/>
  <c r="K40" i="3"/>
  <c r="K44" i="3"/>
  <c r="K48" i="3"/>
  <c r="K52" i="3"/>
  <c r="K56" i="3"/>
  <c r="K60" i="3"/>
  <c r="K64" i="3"/>
  <c r="K68" i="3"/>
  <c r="K72" i="3"/>
  <c r="K76" i="3"/>
  <c r="K80" i="3"/>
  <c r="K84" i="3"/>
  <c r="K88" i="3"/>
  <c r="K92" i="3"/>
  <c r="K96" i="3"/>
  <c r="K100" i="3"/>
  <c r="K104" i="3"/>
  <c r="K108" i="3"/>
  <c r="K112" i="3"/>
  <c r="K116" i="3"/>
  <c r="K120" i="3"/>
  <c r="K124" i="3"/>
  <c r="K128" i="3"/>
  <c r="K132" i="3"/>
  <c r="K136" i="3"/>
  <c r="K140" i="3"/>
  <c r="K144" i="3"/>
  <c r="K148" i="3"/>
  <c r="K152" i="3"/>
  <c r="K156" i="3"/>
  <c r="K160" i="3"/>
  <c r="K164" i="3"/>
  <c r="K168" i="3"/>
  <c r="K172" i="3"/>
  <c r="K176" i="3"/>
  <c r="K180" i="3"/>
  <c r="K184" i="3"/>
  <c r="K188" i="3"/>
  <c r="K192" i="3"/>
  <c r="K196" i="3"/>
  <c r="K200" i="3"/>
  <c r="K204" i="3"/>
  <c r="K208" i="3"/>
  <c r="K212" i="3"/>
  <c r="K216" i="3"/>
  <c r="K220" i="3"/>
  <c r="K224" i="3"/>
  <c r="K228" i="3"/>
  <c r="K232" i="3"/>
  <c r="K236" i="3"/>
  <c r="K240" i="3"/>
  <c r="K244" i="3"/>
  <c r="K248" i="3"/>
  <c r="K252" i="3"/>
  <c r="K256" i="3"/>
  <c r="K260" i="3"/>
  <c r="K264" i="3"/>
  <c r="K268" i="3"/>
  <c r="K272" i="3"/>
  <c r="K276" i="3"/>
  <c r="K280" i="3"/>
  <c r="K284" i="3"/>
  <c r="K288" i="3"/>
  <c r="K292" i="3"/>
  <c r="K296" i="3"/>
  <c r="K300" i="3"/>
  <c r="K304" i="3"/>
  <c r="K308" i="3"/>
  <c r="K312" i="3"/>
  <c r="K316" i="3"/>
  <c r="K320" i="3"/>
  <c r="K324" i="3"/>
  <c r="K328" i="3"/>
  <c r="K332" i="3"/>
  <c r="K336" i="3"/>
  <c r="K340" i="3"/>
  <c r="K344" i="3"/>
  <c r="K348" i="3"/>
  <c r="K352" i="3"/>
  <c r="K356" i="3"/>
  <c r="K360" i="3"/>
  <c r="K364" i="3"/>
  <c r="K368" i="3"/>
  <c r="K372" i="3"/>
  <c r="K376" i="3"/>
  <c r="K380" i="3"/>
  <c r="K384" i="3"/>
  <c r="K388" i="3"/>
  <c r="K392" i="3"/>
  <c r="K396" i="3"/>
  <c r="K400" i="3"/>
  <c r="K404" i="3"/>
  <c r="K408" i="3"/>
  <c r="K412" i="3"/>
  <c r="K416" i="3"/>
  <c r="K420" i="3"/>
  <c r="K424" i="3"/>
  <c r="K428" i="3"/>
  <c r="K432" i="3"/>
  <c r="K436" i="3"/>
  <c r="K440" i="3"/>
  <c r="K444" i="3"/>
  <c r="K448" i="3"/>
  <c r="K452" i="3"/>
  <c r="K456" i="3"/>
  <c r="K460" i="3"/>
  <c r="K464" i="3"/>
  <c r="K468" i="3"/>
  <c r="K5" i="3"/>
  <c r="K9" i="3"/>
  <c r="K13" i="3"/>
  <c r="K17" i="3"/>
  <c r="K21" i="3"/>
  <c r="K25" i="3"/>
  <c r="K29" i="3"/>
  <c r="K33" i="3"/>
  <c r="K37" i="3"/>
  <c r="K41" i="3"/>
  <c r="K45" i="3"/>
  <c r="K49" i="3"/>
  <c r="K53" i="3"/>
  <c r="K57" i="3"/>
  <c r="K61" i="3"/>
  <c r="K65" i="3"/>
  <c r="K69" i="3"/>
  <c r="K73" i="3"/>
  <c r="K77" i="3"/>
  <c r="K81" i="3"/>
  <c r="K85" i="3"/>
  <c r="K89" i="3"/>
  <c r="K93" i="3"/>
  <c r="K97" i="3"/>
  <c r="K101" i="3"/>
  <c r="K105" i="3"/>
  <c r="K109" i="3"/>
  <c r="K113" i="3"/>
  <c r="K117" i="3"/>
  <c r="K121" i="3"/>
  <c r="K125" i="3"/>
  <c r="K129" i="3"/>
  <c r="K133" i="3"/>
  <c r="K137" i="3"/>
  <c r="K141" i="3"/>
  <c r="K145" i="3"/>
  <c r="K149" i="3"/>
  <c r="K153" i="3"/>
  <c r="K157" i="3"/>
  <c r="K161" i="3"/>
  <c r="K165" i="3"/>
  <c r="K169" i="3"/>
  <c r="K173" i="3"/>
  <c r="K177" i="3"/>
  <c r="K181" i="3"/>
  <c r="K185" i="3"/>
  <c r="K189" i="3"/>
  <c r="K193" i="3"/>
  <c r="K197" i="3"/>
  <c r="K201" i="3"/>
  <c r="K205" i="3"/>
  <c r="K209" i="3"/>
  <c r="K213" i="3"/>
  <c r="K217" i="3"/>
  <c r="K221" i="3"/>
  <c r="K225" i="3"/>
  <c r="K229" i="3"/>
  <c r="K233" i="3"/>
  <c r="K237" i="3"/>
  <c r="K241" i="3"/>
  <c r="K245" i="3"/>
  <c r="K249" i="3"/>
  <c r="K253" i="3"/>
  <c r="K257" i="3"/>
  <c r="K261" i="3"/>
  <c r="K265" i="3"/>
  <c r="K269" i="3"/>
  <c r="K273" i="3"/>
  <c r="K277" i="3"/>
  <c r="K281" i="3"/>
  <c r="K285" i="3"/>
  <c r="K289" i="3"/>
  <c r="K293" i="3"/>
  <c r="K297" i="3"/>
  <c r="K301" i="3"/>
  <c r="K305" i="3"/>
  <c r="K309" i="3"/>
  <c r="K313" i="3"/>
  <c r="K317" i="3"/>
  <c r="K321" i="3"/>
  <c r="K325" i="3"/>
  <c r="K329" i="3"/>
  <c r="K333" i="3"/>
  <c r="K337" i="3"/>
  <c r="K341" i="3"/>
  <c r="K345" i="3"/>
  <c r="K349" i="3"/>
  <c r="K353" i="3"/>
  <c r="K357" i="3"/>
  <c r="K361" i="3"/>
  <c r="K365" i="3"/>
  <c r="K369" i="3"/>
  <c r="K373" i="3"/>
  <c r="K377" i="3"/>
  <c r="K381" i="3"/>
  <c r="K385" i="3"/>
  <c r="K389" i="3"/>
  <c r="K393" i="3"/>
  <c r="K397" i="3"/>
  <c r="K401" i="3"/>
  <c r="K405" i="3"/>
  <c r="K409" i="3"/>
  <c r="K413" i="3"/>
  <c r="K417" i="3"/>
  <c r="K421" i="3"/>
  <c r="K425" i="3"/>
  <c r="K429" i="3"/>
  <c r="K433" i="3"/>
  <c r="K437" i="3"/>
  <c r="K441" i="3"/>
  <c r="K445" i="3"/>
  <c r="K449" i="3"/>
  <c r="K453" i="3"/>
  <c r="K457" i="3"/>
  <c r="K461" i="3"/>
  <c r="K465" i="3"/>
  <c r="K469" i="3"/>
  <c r="K473" i="3"/>
  <c r="K477" i="3"/>
  <c r="K481" i="3"/>
  <c r="K485" i="3"/>
  <c r="K489" i="3"/>
  <c r="K493" i="3"/>
  <c r="K497" i="3"/>
  <c r="K501" i="3"/>
  <c r="K505" i="3"/>
  <c r="K509" i="3"/>
  <c r="K6" i="3"/>
  <c r="K10" i="3"/>
  <c r="K14" i="3"/>
  <c r="K18" i="3"/>
  <c r="K22" i="3"/>
  <c r="K26" i="3"/>
  <c r="K30" i="3"/>
  <c r="K34" i="3"/>
  <c r="K38" i="3"/>
  <c r="K42" i="3"/>
  <c r="K46" i="3"/>
  <c r="K50" i="3"/>
  <c r="K54" i="3"/>
  <c r="K58" i="3"/>
  <c r="K62" i="3"/>
  <c r="K66" i="3"/>
  <c r="K70" i="3"/>
  <c r="K74" i="3"/>
  <c r="K78" i="3"/>
  <c r="K82" i="3"/>
  <c r="K86" i="3"/>
  <c r="K90" i="3"/>
  <c r="K94" i="3"/>
  <c r="K98" i="3"/>
  <c r="K102" i="3"/>
  <c r="K106" i="3"/>
  <c r="K110" i="3"/>
  <c r="K114" i="3"/>
  <c r="K118" i="3"/>
  <c r="K122" i="3"/>
  <c r="K126" i="3"/>
  <c r="K130" i="3"/>
  <c r="K134" i="3"/>
  <c r="K138" i="3"/>
  <c r="K142" i="3"/>
  <c r="K146" i="3"/>
  <c r="K150" i="3"/>
  <c r="K154" i="3"/>
  <c r="K158" i="3"/>
  <c r="K162" i="3"/>
  <c r="K166" i="3"/>
  <c r="K170" i="3"/>
  <c r="K174" i="3"/>
  <c r="K178" i="3"/>
  <c r="K182" i="3"/>
  <c r="K186" i="3"/>
  <c r="K190" i="3"/>
  <c r="K194" i="3"/>
  <c r="K198" i="3"/>
  <c r="K202" i="3"/>
  <c r="K206" i="3"/>
  <c r="K210" i="3"/>
  <c r="K214" i="3"/>
  <c r="K218" i="3"/>
  <c r="K222" i="3"/>
  <c r="K226" i="3"/>
  <c r="K230" i="3"/>
  <c r="K234" i="3"/>
  <c r="K238" i="3"/>
  <c r="K242" i="3"/>
  <c r="K246" i="3"/>
  <c r="K250" i="3"/>
  <c r="K254" i="3"/>
  <c r="K258" i="3"/>
  <c r="K262" i="3"/>
  <c r="K266" i="3"/>
  <c r="K270" i="3"/>
  <c r="K274" i="3"/>
  <c r="K278" i="3"/>
  <c r="K282" i="3"/>
  <c r="K286" i="3"/>
  <c r="K290" i="3"/>
  <c r="K294" i="3"/>
  <c r="K298" i="3"/>
  <c r="K302" i="3"/>
  <c r="K306" i="3"/>
  <c r="K310" i="3"/>
  <c r="K314" i="3"/>
  <c r="K318" i="3"/>
  <c r="K322" i="3"/>
  <c r="K326" i="3"/>
  <c r="K330" i="3"/>
  <c r="K334" i="3"/>
  <c r="K338" i="3"/>
  <c r="K342" i="3"/>
  <c r="K346" i="3"/>
  <c r="K350" i="3"/>
  <c r="K354" i="3"/>
  <c r="K358" i="3"/>
  <c r="K362" i="3"/>
  <c r="K366" i="3"/>
  <c r="K370" i="3"/>
  <c r="K374" i="3"/>
  <c r="K378" i="3"/>
  <c r="K382" i="3"/>
  <c r="K7" i="3"/>
  <c r="K23" i="3"/>
  <c r="K39" i="3"/>
  <c r="K55" i="3"/>
  <c r="K71" i="3"/>
  <c r="K87" i="3"/>
  <c r="K103" i="3"/>
  <c r="K119" i="3"/>
  <c r="K135" i="3"/>
  <c r="K151" i="3"/>
  <c r="K167" i="3"/>
  <c r="K183" i="3"/>
  <c r="K199" i="3"/>
  <c r="K215" i="3"/>
  <c r="K231" i="3"/>
  <c r="K247" i="3"/>
  <c r="K263" i="3"/>
  <c r="K279" i="3"/>
  <c r="K295" i="3"/>
  <c r="K311" i="3"/>
  <c r="K327" i="3"/>
  <c r="K343" i="3"/>
  <c r="K359" i="3"/>
  <c r="K375" i="3"/>
  <c r="K387" i="3"/>
  <c r="K395" i="3"/>
  <c r="K403" i="3"/>
  <c r="K411" i="3"/>
  <c r="K419" i="3"/>
  <c r="K427" i="3"/>
  <c r="K435" i="3"/>
  <c r="K443" i="3"/>
  <c r="K451" i="3"/>
  <c r="K459" i="3"/>
  <c r="K467" i="3"/>
  <c r="K474" i="3"/>
  <c r="K479" i="3"/>
  <c r="K484" i="3"/>
  <c r="K490" i="3"/>
  <c r="K495" i="3"/>
  <c r="K500" i="3"/>
  <c r="K506" i="3"/>
  <c r="K511" i="3"/>
  <c r="K515" i="3"/>
  <c r="K519" i="3"/>
  <c r="K523" i="3"/>
  <c r="K527" i="3"/>
  <c r="K531" i="3"/>
  <c r="K535" i="3"/>
  <c r="K539" i="3"/>
  <c r="K543" i="3"/>
  <c r="K547" i="3"/>
  <c r="K551" i="3"/>
  <c r="K555" i="3"/>
  <c r="K559" i="3"/>
  <c r="K563" i="3"/>
  <c r="K567" i="3"/>
  <c r="K571" i="3"/>
  <c r="K575" i="3"/>
  <c r="K579" i="3"/>
  <c r="K583" i="3"/>
  <c r="K587" i="3"/>
  <c r="K591" i="3"/>
  <c r="K595" i="3"/>
  <c r="K599" i="3"/>
  <c r="K407" i="3"/>
  <c r="K471" i="3"/>
  <c r="K487" i="3"/>
  <c r="K503" i="3"/>
  <c r="K517" i="3"/>
  <c r="K525" i="3"/>
  <c r="K541" i="3"/>
  <c r="K545" i="3"/>
  <c r="K557" i="3"/>
  <c r="K573" i="3"/>
  <c r="K581" i="3"/>
  <c r="K593" i="3"/>
  <c r="K458" i="3"/>
  <c r="K499" i="3"/>
  <c r="K518" i="3"/>
  <c r="K538" i="3"/>
  <c r="K550" i="3"/>
  <c r="K566" i="3"/>
  <c r="K582" i="3"/>
  <c r="K598" i="3"/>
  <c r="K11" i="3"/>
  <c r="K27" i="3"/>
  <c r="K43" i="3"/>
  <c r="K59" i="3"/>
  <c r="K75" i="3"/>
  <c r="K91" i="3"/>
  <c r="K107" i="3"/>
  <c r="K123" i="3"/>
  <c r="K139" i="3"/>
  <c r="K155" i="3"/>
  <c r="K171" i="3"/>
  <c r="K187" i="3"/>
  <c r="K203" i="3"/>
  <c r="K219" i="3"/>
  <c r="K235" i="3"/>
  <c r="K251" i="3"/>
  <c r="K267" i="3"/>
  <c r="K283" i="3"/>
  <c r="K299" i="3"/>
  <c r="K315" i="3"/>
  <c r="K331" i="3"/>
  <c r="K347" i="3"/>
  <c r="K363" i="3"/>
  <c r="K379" i="3"/>
  <c r="K390" i="3"/>
  <c r="K398" i="3"/>
  <c r="K406" i="3"/>
  <c r="K414" i="3"/>
  <c r="K422" i="3"/>
  <c r="K430" i="3"/>
  <c r="K438" i="3"/>
  <c r="K446" i="3"/>
  <c r="K454" i="3"/>
  <c r="K462" i="3"/>
  <c r="K470" i="3"/>
  <c r="K475" i="3"/>
  <c r="K480" i="3"/>
  <c r="K486" i="3"/>
  <c r="K491" i="3"/>
  <c r="K496" i="3"/>
  <c r="K502" i="3"/>
  <c r="K507" i="3"/>
  <c r="K512" i="3"/>
  <c r="K516" i="3"/>
  <c r="K520" i="3"/>
  <c r="K524" i="3"/>
  <c r="K528" i="3"/>
  <c r="K532" i="3"/>
  <c r="K536" i="3"/>
  <c r="K540" i="3"/>
  <c r="K544" i="3"/>
  <c r="K548" i="3"/>
  <c r="K552" i="3"/>
  <c r="K556" i="3"/>
  <c r="K560" i="3"/>
  <c r="K564" i="3"/>
  <c r="K568" i="3"/>
  <c r="K572" i="3"/>
  <c r="K576" i="3"/>
  <c r="K580" i="3"/>
  <c r="K584" i="3"/>
  <c r="K588" i="3"/>
  <c r="K592" i="3"/>
  <c r="K596" i="3"/>
  <c r="K600" i="3"/>
  <c r="K399" i="3"/>
  <c r="K463" i="3"/>
  <c r="K482" i="3"/>
  <c r="K498" i="3"/>
  <c r="K513" i="3"/>
  <c r="K529" i="3"/>
  <c r="K537" i="3"/>
  <c r="K549" i="3"/>
  <c r="K561" i="3"/>
  <c r="K569" i="3"/>
  <c r="K585" i="3"/>
  <c r="K597" i="3"/>
  <c r="K450" i="3"/>
  <c r="K504" i="3"/>
  <c r="K522" i="3"/>
  <c r="K534" i="3"/>
  <c r="K554" i="3"/>
  <c r="K570" i="3"/>
  <c r="K586" i="3"/>
  <c r="K602" i="3"/>
  <c r="K15" i="3"/>
  <c r="K31" i="3"/>
  <c r="K47" i="3"/>
  <c r="K63" i="3"/>
  <c r="K79" i="3"/>
  <c r="K95" i="3"/>
  <c r="K111" i="3"/>
  <c r="K127" i="3"/>
  <c r="K143" i="3"/>
  <c r="K159" i="3"/>
  <c r="K175" i="3"/>
  <c r="K191" i="3"/>
  <c r="K207" i="3"/>
  <c r="K223" i="3"/>
  <c r="K239" i="3"/>
  <c r="K255" i="3"/>
  <c r="K271" i="3"/>
  <c r="K287" i="3"/>
  <c r="K303" i="3"/>
  <c r="K319" i="3"/>
  <c r="K335" i="3"/>
  <c r="K351" i="3"/>
  <c r="K367" i="3"/>
  <c r="K383" i="3"/>
  <c r="K391" i="3"/>
  <c r="K415" i="3"/>
  <c r="K423" i="3"/>
  <c r="K431" i="3"/>
  <c r="K439" i="3"/>
  <c r="K447" i="3"/>
  <c r="K455" i="3"/>
  <c r="K476" i="3"/>
  <c r="K492" i="3"/>
  <c r="K508" i="3"/>
  <c r="K521" i="3"/>
  <c r="K533" i="3"/>
  <c r="K553" i="3"/>
  <c r="K565" i="3"/>
  <c r="K577" i="3"/>
  <c r="K589" i="3"/>
  <c r="K601" i="3"/>
  <c r="K466" i="3"/>
  <c r="K510" i="3"/>
  <c r="K526" i="3"/>
  <c r="K542" i="3"/>
  <c r="K558" i="3"/>
  <c r="K574" i="3"/>
  <c r="K590" i="3"/>
  <c r="K19" i="3"/>
  <c r="K35" i="3"/>
  <c r="K51" i="3"/>
  <c r="K67" i="3"/>
  <c r="K83" i="3"/>
  <c r="K99" i="3"/>
  <c r="K115" i="3"/>
  <c r="K131" i="3"/>
  <c r="K147" i="3"/>
  <c r="K163" i="3"/>
  <c r="K179" i="3"/>
  <c r="K195" i="3"/>
  <c r="K211" i="3"/>
  <c r="K227" i="3"/>
  <c r="K243" i="3"/>
  <c r="K259" i="3"/>
  <c r="K275" i="3"/>
  <c r="K291" i="3"/>
  <c r="K307" i="3"/>
  <c r="K323" i="3"/>
  <c r="K339" i="3"/>
  <c r="K355" i="3"/>
  <c r="K371" i="3"/>
  <c r="K386" i="3"/>
  <c r="K394" i="3"/>
  <c r="K402" i="3"/>
  <c r="K410" i="3"/>
  <c r="K418" i="3"/>
  <c r="K426" i="3"/>
  <c r="K434" i="3"/>
  <c r="K442" i="3"/>
  <c r="K472" i="3"/>
  <c r="K478" i="3"/>
  <c r="K483" i="3"/>
  <c r="K488" i="3"/>
  <c r="K494" i="3"/>
  <c r="K514" i="3"/>
  <c r="K530" i="3"/>
  <c r="K546" i="3"/>
  <c r="K562" i="3"/>
  <c r="K578" i="3"/>
  <c r="K594" i="3"/>
  <c r="K3" i="3"/>
  <c r="M4" i="3"/>
  <c r="M8" i="3"/>
  <c r="M12" i="3"/>
  <c r="M16" i="3"/>
  <c r="M20" i="3"/>
  <c r="M24" i="3"/>
  <c r="M28" i="3"/>
  <c r="M32" i="3"/>
  <c r="M36" i="3"/>
  <c r="M40" i="3"/>
  <c r="M44" i="3"/>
  <c r="M48" i="3"/>
  <c r="M52" i="3"/>
  <c r="M56" i="3"/>
  <c r="M60" i="3"/>
  <c r="M64" i="3"/>
  <c r="M68" i="3"/>
  <c r="M72" i="3"/>
  <c r="M76" i="3"/>
  <c r="M80" i="3"/>
  <c r="M84" i="3"/>
  <c r="M88" i="3"/>
  <c r="M92" i="3"/>
  <c r="M5" i="3"/>
  <c r="M9" i="3"/>
  <c r="M13" i="3"/>
  <c r="M17" i="3"/>
  <c r="M21" i="3"/>
  <c r="M25" i="3"/>
  <c r="M29" i="3"/>
  <c r="M33" i="3"/>
  <c r="M37" i="3"/>
  <c r="M41" i="3"/>
  <c r="M45" i="3"/>
  <c r="M49" i="3"/>
  <c r="M53" i="3"/>
  <c r="M57" i="3"/>
  <c r="M61" i="3"/>
  <c r="M65" i="3"/>
  <c r="M69" i="3"/>
  <c r="M73" i="3"/>
  <c r="M77" i="3"/>
  <c r="M81" i="3"/>
  <c r="M85" i="3"/>
  <c r="M89" i="3"/>
  <c r="M93" i="3"/>
  <c r="M97" i="3"/>
  <c r="M101" i="3"/>
  <c r="M105" i="3"/>
  <c r="M109" i="3"/>
  <c r="M113" i="3"/>
  <c r="M117" i="3"/>
  <c r="M121" i="3"/>
  <c r="M125" i="3"/>
  <c r="M129" i="3"/>
  <c r="M133" i="3"/>
  <c r="M137" i="3"/>
  <c r="M141" i="3"/>
  <c r="M145" i="3"/>
  <c r="M149" i="3"/>
  <c r="M153" i="3"/>
  <c r="M157" i="3"/>
  <c r="M161" i="3"/>
  <c r="M165" i="3"/>
  <c r="M169" i="3"/>
  <c r="M173" i="3"/>
  <c r="M177" i="3"/>
  <c r="M181" i="3"/>
  <c r="M185" i="3"/>
  <c r="M189" i="3"/>
  <c r="M193" i="3"/>
  <c r="M197" i="3"/>
  <c r="M201" i="3"/>
  <c r="M205" i="3"/>
  <c r="M209" i="3"/>
  <c r="M213" i="3"/>
  <c r="M217" i="3"/>
  <c r="M221" i="3"/>
  <c r="M225" i="3"/>
  <c r="M229" i="3"/>
  <c r="M233" i="3"/>
  <c r="M237" i="3"/>
  <c r="M241" i="3"/>
  <c r="M245" i="3"/>
  <c r="M249" i="3"/>
  <c r="M253" i="3"/>
  <c r="M257" i="3"/>
  <c r="M261" i="3"/>
  <c r="M265" i="3"/>
  <c r="M269" i="3"/>
  <c r="M273" i="3"/>
  <c r="M277" i="3"/>
  <c r="M281" i="3"/>
  <c r="M285" i="3"/>
  <c r="M289" i="3"/>
  <c r="M293" i="3"/>
  <c r="M297" i="3"/>
  <c r="M301" i="3"/>
  <c r="M305" i="3"/>
  <c r="M309" i="3"/>
  <c r="M313" i="3"/>
  <c r="M317" i="3"/>
  <c r="M321" i="3"/>
  <c r="M325" i="3"/>
  <c r="M329" i="3"/>
  <c r="M333" i="3"/>
  <c r="M337" i="3"/>
  <c r="M341" i="3"/>
  <c r="M345" i="3"/>
  <c r="M349" i="3"/>
  <c r="M353" i="3"/>
  <c r="M357" i="3"/>
  <c r="M361" i="3"/>
  <c r="M365" i="3"/>
  <c r="M369" i="3"/>
  <c r="M373" i="3"/>
  <c r="M377" i="3"/>
  <c r="M381" i="3"/>
  <c r="M385" i="3"/>
  <c r="M389" i="3"/>
  <c r="M393" i="3"/>
  <c r="M397" i="3"/>
  <c r="M401" i="3"/>
  <c r="M405" i="3"/>
  <c r="M409" i="3"/>
  <c r="M413" i="3"/>
  <c r="M417" i="3"/>
  <c r="M421" i="3"/>
  <c r="M425" i="3"/>
  <c r="M429" i="3"/>
  <c r="M433" i="3"/>
  <c r="M437" i="3"/>
  <c r="M441" i="3"/>
  <c r="M445" i="3"/>
  <c r="M449" i="3"/>
  <c r="M453" i="3"/>
  <c r="M457" i="3"/>
  <c r="M461" i="3"/>
  <c r="M465" i="3"/>
  <c r="M469" i="3"/>
  <c r="M473" i="3"/>
  <c r="M477" i="3"/>
  <c r="M481" i="3"/>
  <c r="M485" i="3"/>
  <c r="M489" i="3"/>
  <c r="M493" i="3"/>
  <c r="M497" i="3"/>
  <c r="M501" i="3"/>
  <c r="M505" i="3"/>
  <c r="M509" i="3"/>
  <c r="M6" i="3"/>
  <c r="M14" i="3"/>
  <c r="M22" i="3"/>
  <c r="M30" i="3"/>
  <c r="M38" i="3"/>
  <c r="M46" i="3"/>
  <c r="M54" i="3"/>
  <c r="M62" i="3"/>
  <c r="M70" i="3"/>
  <c r="M78" i="3"/>
  <c r="M86" i="3"/>
  <c r="M94" i="3"/>
  <c r="M99" i="3"/>
  <c r="M104" i="3"/>
  <c r="M110" i="3"/>
  <c r="M115" i="3"/>
  <c r="M120" i="3"/>
  <c r="M126" i="3"/>
  <c r="M131" i="3"/>
  <c r="M136" i="3"/>
  <c r="M142" i="3"/>
  <c r="M147" i="3"/>
  <c r="M152" i="3"/>
  <c r="M158" i="3"/>
  <c r="M163" i="3"/>
  <c r="M168" i="3"/>
  <c r="M174" i="3"/>
  <c r="M179" i="3"/>
  <c r="M184" i="3"/>
  <c r="M190" i="3"/>
  <c r="M195" i="3"/>
  <c r="M200" i="3"/>
  <c r="M206" i="3"/>
  <c r="M211" i="3"/>
  <c r="M216" i="3"/>
  <c r="M222" i="3"/>
  <c r="M227" i="3"/>
  <c r="M232" i="3"/>
  <c r="M238" i="3"/>
  <c r="M243" i="3"/>
  <c r="M248" i="3"/>
  <c r="M254" i="3"/>
  <c r="M259" i="3"/>
  <c r="M264" i="3"/>
  <c r="M270" i="3"/>
  <c r="M275" i="3"/>
  <c r="M280" i="3"/>
  <c r="M286" i="3"/>
  <c r="M291" i="3"/>
  <c r="M296" i="3"/>
  <c r="M302" i="3"/>
  <c r="M307" i="3"/>
  <c r="M312" i="3"/>
  <c r="M318" i="3"/>
  <c r="M323" i="3"/>
  <c r="M328" i="3"/>
  <c r="M334" i="3"/>
  <c r="M339" i="3"/>
  <c r="M344" i="3"/>
  <c r="M350" i="3"/>
  <c r="M355" i="3"/>
  <c r="M360" i="3"/>
  <c r="M366" i="3"/>
  <c r="M371" i="3"/>
  <c r="M376" i="3"/>
  <c r="M382" i="3"/>
  <c r="M387" i="3"/>
  <c r="M392" i="3"/>
  <c r="M398" i="3"/>
  <c r="M403" i="3"/>
  <c r="M408" i="3"/>
  <c r="M414" i="3"/>
  <c r="M419" i="3"/>
  <c r="M424" i="3"/>
  <c r="M430" i="3"/>
  <c r="M435" i="3"/>
  <c r="M440" i="3"/>
  <c r="M446" i="3"/>
  <c r="M451" i="3"/>
  <c r="M456" i="3"/>
  <c r="M462" i="3"/>
  <c r="M467" i="3"/>
  <c r="M472" i="3"/>
  <c r="M478" i="3"/>
  <c r="M483" i="3"/>
  <c r="M488" i="3"/>
  <c r="M494" i="3"/>
  <c r="M499" i="3"/>
  <c r="M504" i="3"/>
  <c r="M510" i="3"/>
  <c r="M514" i="3"/>
  <c r="M518" i="3"/>
  <c r="M522" i="3"/>
  <c r="M526" i="3"/>
  <c r="M530" i="3"/>
  <c r="M534" i="3"/>
  <c r="M538" i="3"/>
  <c r="M542" i="3"/>
  <c r="M546" i="3"/>
  <c r="M550" i="3"/>
  <c r="M554" i="3"/>
  <c r="M558" i="3"/>
  <c r="M562" i="3"/>
  <c r="M566" i="3"/>
  <c r="M570" i="3"/>
  <c r="M574" i="3"/>
  <c r="M578" i="3"/>
  <c r="M582" i="3"/>
  <c r="M586" i="3"/>
  <c r="M590" i="3"/>
  <c r="M594" i="3"/>
  <c r="M598" i="3"/>
  <c r="M602" i="3"/>
  <c r="M119" i="3"/>
  <c r="M151" i="3"/>
  <c r="M167" i="3"/>
  <c r="M183" i="3"/>
  <c r="M204" i="3"/>
  <c r="M220" i="3"/>
  <c r="M236" i="3"/>
  <c r="M252" i="3"/>
  <c r="M263" i="3"/>
  <c r="M279" i="3"/>
  <c r="M300" i="3"/>
  <c r="M316" i="3"/>
  <c r="M332" i="3"/>
  <c r="M348" i="3"/>
  <c r="M7" i="3"/>
  <c r="M15" i="3"/>
  <c r="M23" i="3"/>
  <c r="M31" i="3"/>
  <c r="M39" i="3"/>
  <c r="M47" i="3"/>
  <c r="M55" i="3"/>
  <c r="M63" i="3"/>
  <c r="M71" i="3"/>
  <c r="M79" i="3"/>
  <c r="M87" i="3"/>
  <c r="M95" i="3"/>
  <c r="M100" i="3"/>
  <c r="M106" i="3"/>
  <c r="M111" i="3"/>
  <c r="M116" i="3"/>
  <c r="M122" i="3"/>
  <c r="M127" i="3"/>
  <c r="M132" i="3"/>
  <c r="M138" i="3"/>
  <c r="M143" i="3"/>
  <c r="M148" i="3"/>
  <c r="M154" i="3"/>
  <c r="M159" i="3"/>
  <c r="M164" i="3"/>
  <c r="M170" i="3"/>
  <c r="M175" i="3"/>
  <c r="M180" i="3"/>
  <c r="M186" i="3"/>
  <c r="M191" i="3"/>
  <c r="M196" i="3"/>
  <c r="M202" i="3"/>
  <c r="M207" i="3"/>
  <c r="M212" i="3"/>
  <c r="M218" i="3"/>
  <c r="M223" i="3"/>
  <c r="M228" i="3"/>
  <c r="M234" i="3"/>
  <c r="M239" i="3"/>
  <c r="M244" i="3"/>
  <c r="M250" i="3"/>
  <c r="M255" i="3"/>
  <c r="M260" i="3"/>
  <c r="M266" i="3"/>
  <c r="M271" i="3"/>
  <c r="M276" i="3"/>
  <c r="M282" i="3"/>
  <c r="M287" i="3"/>
  <c r="M292" i="3"/>
  <c r="M298" i="3"/>
  <c r="M303" i="3"/>
  <c r="M308" i="3"/>
  <c r="M314" i="3"/>
  <c r="M319" i="3"/>
  <c r="M324" i="3"/>
  <c r="M330" i="3"/>
  <c r="M335" i="3"/>
  <c r="M340" i="3"/>
  <c r="M346" i="3"/>
  <c r="M351" i="3"/>
  <c r="M356" i="3"/>
  <c r="M362" i="3"/>
  <c r="M367" i="3"/>
  <c r="M372" i="3"/>
  <c r="M378" i="3"/>
  <c r="M383" i="3"/>
  <c r="M388" i="3"/>
  <c r="M394" i="3"/>
  <c r="M399" i="3"/>
  <c r="M404" i="3"/>
  <c r="M410" i="3"/>
  <c r="M415" i="3"/>
  <c r="M420" i="3"/>
  <c r="M426" i="3"/>
  <c r="M431" i="3"/>
  <c r="M436" i="3"/>
  <c r="M442" i="3"/>
  <c r="M447" i="3"/>
  <c r="M452" i="3"/>
  <c r="M458" i="3"/>
  <c r="M463" i="3"/>
  <c r="M468" i="3"/>
  <c r="M474" i="3"/>
  <c r="M479" i="3"/>
  <c r="M484" i="3"/>
  <c r="M490" i="3"/>
  <c r="M495" i="3"/>
  <c r="M500" i="3"/>
  <c r="M506" i="3"/>
  <c r="M511" i="3"/>
  <c r="M515" i="3"/>
  <c r="M519" i="3"/>
  <c r="M523" i="3"/>
  <c r="M527" i="3"/>
  <c r="M531" i="3"/>
  <c r="M535" i="3"/>
  <c r="M539" i="3"/>
  <c r="M543" i="3"/>
  <c r="M547" i="3"/>
  <c r="M551" i="3"/>
  <c r="M555" i="3"/>
  <c r="M559" i="3"/>
  <c r="M563" i="3"/>
  <c r="M567" i="3"/>
  <c r="M571" i="3"/>
  <c r="M575" i="3"/>
  <c r="M579" i="3"/>
  <c r="M583" i="3"/>
  <c r="M587" i="3"/>
  <c r="M591" i="3"/>
  <c r="M595" i="3"/>
  <c r="M599" i="3"/>
  <c r="M118" i="3"/>
  <c r="M128" i="3"/>
  <c r="M139" i="3"/>
  <c r="M150" i="3"/>
  <c r="M160" i="3"/>
  <c r="M171" i="3"/>
  <c r="M182" i="3"/>
  <c r="M192" i="3"/>
  <c r="M203" i="3"/>
  <c r="M214" i="3"/>
  <c r="M224" i="3"/>
  <c r="M235" i="3"/>
  <c r="M246" i="3"/>
  <c r="M256" i="3"/>
  <c r="M267" i="3"/>
  <c r="M278" i="3"/>
  <c r="M288" i="3"/>
  <c r="M299" i="3"/>
  <c r="M310" i="3"/>
  <c r="M320" i="3"/>
  <c r="M331" i="3"/>
  <c r="M342" i="3"/>
  <c r="M352" i="3"/>
  <c r="M363" i="3"/>
  <c r="M374" i="3"/>
  <c r="M384" i="3"/>
  <c r="M395" i="3"/>
  <c r="M406" i="3"/>
  <c r="M416" i="3"/>
  <c r="M427" i="3"/>
  <c r="M438" i="3"/>
  <c r="M448" i="3"/>
  <c r="M459" i="3"/>
  <c r="M470" i="3"/>
  <c r="M486" i="3"/>
  <c r="M496" i="3"/>
  <c r="M507" i="3"/>
  <c r="M516" i="3"/>
  <c r="M524" i="3"/>
  <c r="M532" i="3"/>
  <c r="M540" i="3"/>
  <c r="M548" i="3"/>
  <c r="M556" i="3"/>
  <c r="M564" i="3"/>
  <c r="M572" i="3"/>
  <c r="M580" i="3"/>
  <c r="M588" i="3"/>
  <c r="M596" i="3"/>
  <c r="M11" i="3"/>
  <c r="M27" i="3"/>
  <c r="M35" i="3"/>
  <c r="M51" i="3"/>
  <c r="M67" i="3"/>
  <c r="M83" i="3"/>
  <c r="M98" i="3"/>
  <c r="M108" i="3"/>
  <c r="M124" i="3"/>
  <c r="M135" i="3"/>
  <c r="M146" i="3"/>
  <c r="M162" i="3"/>
  <c r="M178" i="3"/>
  <c r="M194" i="3"/>
  <c r="M210" i="3"/>
  <c r="M226" i="3"/>
  <c r="M242" i="3"/>
  <c r="M258" i="3"/>
  <c r="M274" i="3"/>
  <c r="M290" i="3"/>
  <c r="M306" i="3"/>
  <c r="M322" i="3"/>
  <c r="M338" i="3"/>
  <c r="M354" i="3"/>
  <c r="M10" i="3"/>
  <c r="M18" i="3"/>
  <c r="M26" i="3"/>
  <c r="M34" i="3"/>
  <c r="M42" i="3"/>
  <c r="M50" i="3"/>
  <c r="M58" i="3"/>
  <c r="M66" i="3"/>
  <c r="M74" i="3"/>
  <c r="M82" i="3"/>
  <c r="M90" i="3"/>
  <c r="M96" i="3"/>
  <c r="M102" i="3"/>
  <c r="M107" i="3"/>
  <c r="M112" i="3"/>
  <c r="M123" i="3"/>
  <c r="M134" i="3"/>
  <c r="M144" i="3"/>
  <c r="M155" i="3"/>
  <c r="M166" i="3"/>
  <c r="M176" i="3"/>
  <c r="M187" i="3"/>
  <c r="M198" i="3"/>
  <c r="M208" i="3"/>
  <c r="M219" i="3"/>
  <c r="M230" i="3"/>
  <c r="M240" i="3"/>
  <c r="M251" i="3"/>
  <c r="M262" i="3"/>
  <c r="M272" i="3"/>
  <c r="M283" i="3"/>
  <c r="M294" i="3"/>
  <c r="M304" i="3"/>
  <c r="M315" i="3"/>
  <c r="M326" i="3"/>
  <c r="M336" i="3"/>
  <c r="M347" i="3"/>
  <c r="M358" i="3"/>
  <c r="M368" i="3"/>
  <c r="M379" i="3"/>
  <c r="M390" i="3"/>
  <c r="M400" i="3"/>
  <c r="M411" i="3"/>
  <c r="M422" i="3"/>
  <c r="M432" i="3"/>
  <c r="M443" i="3"/>
  <c r="M454" i="3"/>
  <c r="M464" i="3"/>
  <c r="M475" i="3"/>
  <c r="M480" i="3"/>
  <c r="M491" i="3"/>
  <c r="M502" i="3"/>
  <c r="M512" i="3"/>
  <c r="M520" i="3"/>
  <c r="M528" i="3"/>
  <c r="M536" i="3"/>
  <c r="M544" i="3"/>
  <c r="M552" i="3"/>
  <c r="M560" i="3"/>
  <c r="M568" i="3"/>
  <c r="M576" i="3"/>
  <c r="M584" i="3"/>
  <c r="M592" i="3"/>
  <c r="M600" i="3"/>
  <c r="M19" i="3"/>
  <c r="M43" i="3"/>
  <c r="M59" i="3"/>
  <c r="M75" i="3"/>
  <c r="M91" i="3"/>
  <c r="M103" i="3"/>
  <c r="M114" i="3"/>
  <c r="M130" i="3"/>
  <c r="M140" i="3"/>
  <c r="M156" i="3"/>
  <c r="M172" i="3"/>
  <c r="M188" i="3"/>
  <c r="M199" i="3"/>
  <c r="M215" i="3"/>
  <c r="M231" i="3"/>
  <c r="M247" i="3"/>
  <c r="M268" i="3"/>
  <c r="M284" i="3"/>
  <c r="M295" i="3"/>
  <c r="M311" i="3"/>
  <c r="M327" i="3"/>
  <c r="M343" i="3"/>
  <c r="M359" i="3"/>
  <c r="M364" i="3"/>
  <c r="M386" i="3"/>
  <c r="M407" i="3"/>
  <c r="M428" i="3"/>
  <c r="M450" i="3"/>
  <c r="M471" i="3"/>
  <c r="M492" i="3"/>
  <c r="M513" i="3"/>
  <c r="M529" i="3"/>
  <c r="M545" i="3"/>
  <c r="M561" i="3"/>
  <c r="M577" i="3"/>
  <c r="M593" i="3"/>
  <c r="M370" i="3"/>
  <c r="M391" i="3"/>
  <c r="M412" i="3"/>
  <c r="M434" i="3"/>
  <c r="M455" i="3"/>
  <c r="M476" i="3"/>
  <c r="M498" i="3"/>
  <c r="M517" i="3"/>
  <c r="M533" i="3"/>
  <c r="M549" i="3"/>
  <c r="M565" i="3"/>
  <c r="M581" i="3"/>
  <c r="M597" i="3"/>
  <c r="M375" i="3"/>
  <c r="M396" i="3"/>
  <c r="M418" i="3"/>
  <c r="M439" i="3"/>
  <c r="M460" i="3"/>
  <c r="M482" i="3"/>
  <c r="M503" i="3"/>
  <c r="M521" i="3"/>
  <c r="M537" i="3"/>
  <c r="M553" i="3"/>
  <c r="M569" i="3"/>
  <c r="M585" i="3"/>
  <c r="M601" i="3"/>
  <c r="M402" i="3"/>
  <c r="M423" i="3"/>
  <c r="M444" i="3"/>
  <c r="M487" i="3"/>
  <c r="M508" i="3"/>
  <c r="M541" i="3"/>
  <c r="M573" i="3"/>
  <c r="M380" i="3"/>
  <c r="M466" i="3"/>
  <c r="M525" i="3"/>
  <c r="M557" i="3"/>
  <c r="M589" i="3"/>
  <c r="M3" i="3"/>
  <c r="H3" i="3"/>
  <c r="H4" i="3"/>
  <c r="H8" i="3"/>
  <c r="H12" i="3"/>
  <c r="H16" i="3"/>
  <c r="H20" i="3"/>
  <c r="H24" i="3"/>
  <c r="H28" i="3"/>
  <c r="H32" i="3"/>
  <c r="H36" i="3"/>
  <c r="H40" i="3"/>
  <c r="H44" i="3"/>
  <c r="H48" i="3"/>
  <c r="H52" i="3"/>
  <c r="H56" i="3"/>
  <c r="H60" i="3"/>
  <c r="H64" i="3"/>
  <c r="H68" i="3"/>
  <c r="H72" i="3"/>
  <c r="H76" i="3"/>
  <c r="H80" i="3"/>
  <c r="H6" i="3"/>
  <c r="H10" i="3"/>
  <c r="H14" i="3"/>
  <c r="H18" i="3"/>
  <c r="H22" i="3"/>
  <c r="H26" i="3"/>
  <c r="H30" i="3"/>
  <c r="H34" i="3"/>
  <c r="H38" i="3"/>
  <c r="H42" i="3"/>
  <c r="H46" i="3"/>
  <c r="H50" i="3"/>
  <c r="H54" i="3"/>
  <c r="H58" i="3"/>
  <c r="H62" i="3"/>
  <c r="H66" i="3"/>
  <c r="H70" i="3"/>
  <c r="H74" i="3"/>
  <c r="H78" i="3"/>
  <c r="H82" i="3"/>
  <c r="H86" i="3"/>
  <c r="H90" i="3"/>
  <c r="H94" i="3"/>
  <c r="H98" i="3"/>
  <c r="H102" i="3"/>
  <c r="H106" i="3"/>
  <c r="H110" i="3"/>
  <c r="H114" i="3"/>
  <c r="H118" i="3"/>
  <c r="H122" i="3"/>
  <c r="H126" i="3"/>
  <c r="H130" i="3"/>
  <c r="H134" i="3"/>
  <c r="H138" i="3"/>
  <c r="H142" i="3"/>
  <c r="H146" i="3"/>
  <c r="H150" i="3"/>
  <c r="H154" i="3"/>
  <c r="H158" i="3"/>
  <c r="H162" i="3"/>
  <c r="H166" i="3"/>
  <c r="H170" i="3"/>
  <c r="H174" i="3"/>
  <c r="H178" i="3"/>
  <c r="H182" i="3"/>
  <c r="H186" i="3"/>
  <c r="H190" i="3"/>
  <c r="H194" i="3"/>
  <c r="H198" i="3"/>
  <c r="H202" i="3"/>
  <c r="H206" i="3"/>
  <c r="H210" i="3"/>
  <c r="H214" i="3"/>
  <c r="H218" i="3"/>
  <c r="H222" i="3"/>
  <c r="H226" i="3"/>
  <c r="H230" i="3"/>
  <c r="H234" i="3"/>
  <c r="H238" i="3"/>
  <c r="H242" i="3"/>
  <c r="H246" i="3"/>
  <c r="H250" i="3"/>
  <c r="H254" i="3"/>
  <c r="H258" i="3"/>
  <c r="H262" i="3"/>
  <c r="H266" i="3"/>
  <c r="H270" i="3"/>
  <c r="H274" i="3"/>
  <c r="H278" i="3"/>
  <c r="H282" i="3"/>
  <c r="H286" i="3"/>
  <c r="H290" i="3"/>
  <c r="H294" i="3"/>
  <c r="H298" i="3"/>
  <c r="H302" i="3"/>
  <c r="H306" i="3"/>
  <c r="H310" i="3"/>
  <c r="H314" i="3"/>
  <c r="H318" i="3"/>
  <c r="H322" i="3"/>
  <c r="H326" i="3"/>
  <c r="H330" i="3"/>
  <c r="H334" i="3"/>
  <c r="H338" i="3"/>
  <c r="H342" i="3"/>
  <c r="H346" i="3"/>
  <c r="H350" i="3"/>
  <c r="H354" i="3"/>
  <c r="H358" i="3"/>
  <c r="H362" i="3"/>
  <c r="H366" i="3"/>
  <c r="H370" i="3"/>
  <c r="H374" i="3"/>
  <c r="H378" i="3"/>
  <c r="H382" i="3"/>
  <c r="H386" i="3"/>
  <c r="H390" i="3"/>
  <c r="H394" i="3"/>
  <c r="H398" i="3"/>
  <c r="H402" i="3"/>
  <c r="H406" i="3"/>
  <c r="H410" i="3"/>
  <c r="H414" i="3"/>
  <c r="H418" i="3"/>
  <c r="H422" i="3"/>
  <c r="H426" i="3"/>
  <c r="H430" i="3"/>
  <c r="H434" i="3"/>
  <c r="H438" i="3"/>
  <c r="H442" i="3"/>
  <c r="H446" i="3"/>
  <c r="H450" i="3"/>
  <c r="H454" i="3"/>
  <c r="H458" i="3"/>
  <c r="H462" i="3"/>
  <c r="H466" i="3"/>
  <c r="H470" i="3"/>
  <c r="H474" i="3"/>
  <c r="H478" i="3"/>
  <c r="H482" i="3"/>
  <c r="H486" i="3"/>
  <c r="H490" i="3"/>
  <c r="H494" i="3"/>
  <c r="H498" i="3"/>
  <c r="H502" i="3"/>
  <c r="H506" i="3"/>
  <c r="H510" i="3"/>
  <c r="H5" i="3"/>
  <c r="H13" i="3"/>
  <c r="H21" i="3"/>
  <c r="H29" i="3"/>
  <c r="H37" i="3"/>
  <c r="H45" i="3"/>
  <c r="H53" i="3"/>
  <c r="H61" i="3"/>
  <c r="H69" i="3"/>
  <c r="H77" i="3"/>
  <c r="H84" i="3"/>
  <c r="H89" i="3"/>
  <c r="H95" i="3"/>
  <c r="H100" i="3"/>
  <c r="H105" i="3"/>
  <c r="H111" i="3"/>
  <c r="H116" i="3"/>
  <c r="H121" i="3"/>
  <c r="H127" i="3"/>
  <c r="H132" i="3"/>
  <c r="H137" i="3"/>
  <c r="H143" i="3"/>
  <c r="H148" i="3"/>
  <c r="H153" i="3"/>
  <c r="H159" i="3"/>
  <c r="H164" i="3"/>
  <c r="H169" i="3"/>
  <c r="H175" i="3"/>
  <c r="H180" i="3"/>
  <c r="H185" i="3"/>
  <c r="H191" i="3"/>
  <c r="H196" i="3"/>
  <c r="H201" i="3"/>
  <c r="H207" i="3"/>
  <c r="H212" i="3"/>
  <c r="H217" i="3"/>
  <c r="H223" i="3"/>
  <c r="H228" i="3"/>
  <c r="H233" i="3"/>
  <c r="H239" i="3"/>
  <c r="H244" i="3"/>
  <c r="H249" i="3"/>
  <c r="H255" i="3"/>
  <c r="H260" i="3"/>
  <c r="H265" i="3"/>
  <c r="H271" i="3"/>
  <c r="H276" i="3"/>
  <c r="H281" i="3"/>
  <c r="H287" i="3"/>
  <c r="H292" i="3"/>
  <c r="H297" i="3"/>
  <c r="H303" i="3"/>
  <c r="H308" i="3"/>
  <c r="H313" i="3"/>
  <c r="H319" i="3"/>
  <c r="H324" i="3"/>
  <c r="H329" i="3"/>
  <c r="H335" i="3"/>
  <c r="H340" i="3"/>
  <c r="H345" i="3"/>
  <c r="H351" i="3"/>
  <c r="H356" i="3"/>
  <c r="H361" i="3"/>
  <c r="H367" i="3"/>
  <c r="H372" i="3"/>
  <c r="H377" i="3"/>
  <c r="H383" i="3"/>
  <c r="H388" i="3"/>
  <c r="H393" i="3"/>
  <c r="H399" i="3"/>
  <c r="H404" i="3"/>
  <c r="H409" i="3"/>
  <c r="H415" i="3"/>
  <c r="H420" i="3"/>
  <c r="H425" i="3"/>
  <c r="H431" i="3"/>
  <c r="H436" i="3"/>
  <c r="H441" i="3"/>
  <c r="H447" i="3"/>
  <c r="H452" i="3"/>
  <c r="H457" i="3"/>
  <c r="H463" i="3"/>
  <c r="H468" i="3"/>
  <c r="H473" i="3"/>
  <c r="H479" i="3"/>
  <c r="H484" i="3"/>
  <c r="H489" i="3"/>
  <c r="H495" i="3"/>
  <c r="H500" i="3"/>
  <c r="H505" i="3"/>
  <c r="H511" i="3"/>
  <c r="H515" i="3"/>
  <c r="H519" i="3"/>
  <c r="H523" i="3"/>
  <c r="H527" i="3"/>
  <c r="H531" i="3"/>
  <c r="H535" i="3"/>
  <c r="H539" i="3"/>
  <c r="H543" i="3"/>
  <c r="H547" i="3"/>
  <c r="H551" i="3"/>
  <c r="H555" i="3"/>
  <c r="H559" i="3"/>
  <c r="H563" i="3"/>
  <c r="H567" i="3"/>
  <c r="H571" i="3"/>
  <c r="H575" i="3"/>
  <c r="H579" i="3"/>
  <c r="H583" i="3"/>
  <c r="H587" i="3"/>
  <c r="H591" i="3"/>
  <c r="H595" i="3"/>
  <c r="H599" i="3"/>
  <c r="H11" i="3"/>
  <c r="H35" i="3"/>
  <c r="H59" i="3"/>
  <c r="H75" i="3"/>
  <c r="H88" i="3"/>
  <c r="H99" i="3"/>
  <c r="H109" i="3"/>
  <c r="H120" i="3"/>
  <c r="H136" i="3"/>
  <c r="H141" i="3"/>
  <c r="H163" i="3"/>
  <c r="H179" i="3"/>
  <c r="H189" i="3"/>
  <c r="H205" i="3"/>
  <c r="H7" i="3"/>
  <c r="H15" i="3"/>
  <c r="H23" i="3"/>
  <c r="H31" i="3"/>
  <c r="H39" i="3"/>
  <c r="H47" i="3"/>
  <c r="H55" i="3"/>
  <c r="H63" i="3"/>
  <c r="H71" i="3"/>
  <c r="H79" i="3"/>
  <c r="H85" i="3"/>
  <c r="H91" i="3"/>
  <c r="H96" i="3"/>
  <c r="H101" i="3"/>
  <c r="H107" i="3"/>
  <c r="H112" i="3"/>
  <c r="H117" i="3"/>
  <c r="H123" i="3"/>
  <c r="H128" i="3"/>
  <c r="H133" i="3"/>
  <c r="H139" i="3"/>
  <c r="H144" i="3"/>
  <c r="H149" i="3"/>
  <c r="H155" i="3"/>
  <c r="H160" i="3"/>
  <c r="H165" i="3"/>
  <c r="H171" i="3"/>
  <c r="H176" i="3"/>
  <c r="H181" i="3"/>
  <c r="H187" i="3"/>
  <c r="H192" i="3"/>
  <c r="H197" i="3"/>
  <c r="H203" i="3"/>
  <c r="H208" i="3"/>
  <c r="H213" i="3"/>
  <c r="H219" i="3"/>
  <c r="H224" i="3"/>
  <c r="H229" i="3"/>
  <c r="H235" i="3"/>
  <c r="H240" i="3"/>
  <c r="H245" i="3"/>
  <c r="H251" i="3"/>
  <c r="H256" i="3"/>
  <c r="H261" i="3"/>
  <c r="H267" i="3"/>
  <c r="H272" i="3"/>
  <c r="H277" i="3"/>
  <c r="H283" i="3"/>
  <c r="H288" i="3"/>
  <c r="H293" i="3"/>
  <c r="H299" i="3"/>
  <c r="H304" i="3"/>
  <c r="H309" i="3"/>
  <c r="H315" i="3"/>
  <c r="H320" i="3"/>
  <c r="H325" i="3"/>
  <c r="H331" i="3"/>
  <c r="H336" i="3"/>
  <c r="H341" i="3"/>
  <c r="H347" i="3"/>
  <c r="H352" i="3"/>
  <c r="H357" i="3"/>
  <c r="H363" i="3"/>
  <c r="H368" i="3"/>
  <c r="H373" i="3"/>
  <c r="H379" i="3"/>
  <c r="H384" i="3"/>
  <c r="H389" i="3"/>
  <c r="H395" i="3"/>
  <c r="H400" i="3"/>
  <c r="H405" i="3"/>
  <c r="H411" i="3"/>
  <c r="H416" i="3"/>
  <c r="H421" i="3"/>
  <c r="H427" i="3"/>
  <c r="H432" i="3"/>
  <c r="H437" i="3"/>
  <c r="H443" i="3"/>
  <c r="H448" i="3"/>
  <c r="H453" i="3"/>
  <c r="H459" i="3"/>
  <c r="H464" i="3"/>
  <c r="H469" i="3"/>
  <c r="H475" i="3"/>
  <c r="H480" i="3"/>
  <c r="H485" i="3"/>
  <c r="H491" i="3"/>
  <c r="H496" i="3"/>
  <c r="H501" i="3"/>
  <c r="H507" i="3"/>
  <c r="H512" i="3"/>
  <c r="H516" i="3"/>
  <c r="H520" i="3"/>
  <c r="H524" i="3"/>
  <c r="H528" i="3"/>
  <c r="H532" i="3"/>
  <c r="H536" i="3"/>
  <c r="H540" i="3"/>
  <c r="H544" i="3"/>
  <c r="H548" i="3"/>
  <c r="H552" i="3"/>
  <c r="H556" i="3"/>
  <c r="H560" i="3"/>
  <c r="H564" i="3"/>
  <c r="H568" i="3"/>
  <c r="H572" i="3"/>
  <c r="H576" i="3"/>
  <c r="H580" i="3"/>
  <c r="H584" i="3"/>
  <c r="H588" i="3"/>
  <c r="H592" i="3"/>
  <c r="H596" i="3"/>
  <c r="H600" i="3"/>
  <c r="H597" i="3"/>
  <c r="H19" i="3"/>
  <c r="H125" i="3"/>
  <c r="H152" i="3"/>
  <c r="H168" i="3"/>
  <c r="H184" i="3"/>
  <c r="H200" i="3"/>
  <c r="H9" i="3"/>
  <c r="H17" i="3"/>
  <c r="H25" i="3"/>
  <c r="H33" i="3"/>
  <c r="H41" i="3"/>
  <c r="H49" i="3"/>
  <c r="H57" i="3"/>
  <c r="H65" i="3"/>
  <c r="H73" i="3"/>
  <c r="H81" i="3"/>
  <c r="H87" i="3"/>
  <c r="H92" i="3"/>
  <c r="H97" i="3"/>
  <c r="H103" i="3"/>
  <c r="H108" i="3"/>
  <c r="H113" i="3"/>
  <c r="H119" i="3"/>
  <c r="H124" i="3"/>
  <c r="H129" i="3"/>
  <c r="H135" i="3"/>
  <c r="H140" i="3"/>
  <c r="H145" i="3"/>
  <c r="H151" i="3"/>
  <c r="H156" i="3"/>
  <c r="H161" i="3"/>
  <c r="H167" i="3"/>
  <c r="H172" i="3"/>
  <c r="H177" i="3"/>
  <c r="H183" i="3"/>
  <c r="H188" i="3"/>
  <c r="H193" i="3"/>
  <c r="H199" i="3"/>
  <c r="H204" i="3"/>
  <c r="H209" i="3"/>
  <c r="H215" i="3"/>
  <c r="H220" i="3"/>
  <c r="H225" i="3"/>
  <c r="H231" i="3"/>
  <c r="H236" i="3"/>
  <c r="H241" i="3"/>
  <c r="H247" i="3"/>
  <c r="H252" i="3"/>
  <c r="H257" i="3"/>
  <c r="H263" i="3"/>
  <c r="H268" i="3"/>
  <c r="H273" i="3"/>
  <c r="H279" i="3"/>
  <c r="H284" i="3"/>
  <c r="H289" i="3"/>
  <c r="H295" i="3"/>
  <c r="H300" i="3"/>
  <c r="H305" i="3"/>
  <c r="H311" i="3"/>
  <c r="H316" i="3"/>
  <c r="H321" i="3"/>
  <c r="H327" i="3"/>
  <c r="H332" i="3"/>
  <c r="H337" i="3"/>
  <c r="H343" i="3"/>
  <c r="H348" i="3"/>
  <c r="H353" i="3"/>
  <c r="H359" i="3"/>
  <c r="H364" i="3"/>
  <c r="H369" i="3"/>
  <c r="H375" i="3"/>
  <c r="H380" i="3"/>
  <c r="H385" i="3"/>
  <c r="H391" i="3"/>
  <c r="H396" i="3"/>
  <c r="H401" i="3"/>
  <c r="H407" i="3"/>
  <c r="H412" i="3"/>
  <c r="H417" i="3"/>
  <c r="H423" i="3"/>
  <c r="H428" i="3"/>
  <c r="H433" i="3"/>
  <c r="H439" i="3"/>
  <c r="H444" i="3"/>
  <c r="H449" i="3"/>
  <c r="H455" i="3"/>
  <c r="H460" i="3"/>
  <c r="H465" i="3"/>
  <c r="H471" i="3"/>
  <c r="H476" i="3"/>
  <c r="H481" i="3"/>
  <c r="H487" i="3"/>
  <c r="H492" i="3"/>
  <c r="H497" i="3"/>
  <c r="H503" i="3"/>
  <c r="H508" i="3"/>
  <c r="H513" i="3"/>
  <c r="H517" i="3"/>
  <c r="H521" i="3"/>
  <c r="H525" i="3"/>
  <c r="H529" i="3"/>
  <c r="H533" i="3"/>
  <c r="H537" i="3"/>
  <c r="H541" i="3"/>
  <c r="H545" i="3"/>
  <c r="H549" i="3"/>
  <c r="H553" i="3"/>
  <c r="H557" i="3"/>
  <c r="H561" i="3"/>
  <c r="H565" i="3"/>
  <c r="H569" i="3"/>
  <c r="H573" i="3"/>
  <c r="H577" i="3"/>
  <c r="H581" i="3"/>
  <c r="H585" i="3"/>
  <c r="H589" i="3"/>
  <c r="H593" i="3"/>
  <c r="H601" i="3"/>
  <c r="H27" i="3"/>
  <c r="H43" i="3"/>
  <c r="H51" i="3"/>
  <c r="H67" i="3"/>
  <c r="H83" i="3"/>
  <c r="H93" i="3"/>
  <c r="H104" i="3"/>
  <c r="H115" i="3"/>
  <c r="H131" i="3"/>
  <c r="H147" i="3"/>
  <c r="H157" i="3"/>
  <c r="H173" i="3"/>
  <c r="H195" i="3"/>
  <c r="H211" i="3"/>
  <c r="H227" i="3"/>
  <c r="H248" i="3"/>
  <c r="H269" i="3"/>
  <c r="H291" i="3"/>
  <c r="H312" i="3"/>
  <c r="H333" i="3"/>
  <c r="H355" i="3"/>
  <c r="H376" i="3"/>
  <c r="H397" i="3"/>
  <c r="H419" i="3"/>
  <c r="H440" i="3"/>
  <c r="H461" i="3"/>
  <c r="H483" i="3"/>
  <c r="H504" i="3"/>
  <c r="H522" i="3"/>
  <c r="H538" i="3"/>
  <c r="H554" i="3"/>
  <c r="H570" i="3"/>
  <c r="H586" i="3"/>
  <c r="H602" i="3"/>
  <c r="H232" i="3"/>
  <c r="H253" i="3"/>
  <c r="H275" i="3"/>
  <c r="H296" i="3"/>
  <c r="H317" i="3"/>
  <c r="H339" i="3"/>
  <c r="H360" i="3"/>
  <c r="H381" i="3"/>
  <c r="H403" i="3"/>
  <c r="H424" i="3"/>
  <c r="H445" i="3"/>
  <c r="H467" i="3"/>
  <c r="H488" i="3"/>
  <c r="H509" i="3"/>
  <c r="H526" i="3"/>
  <c r="H542" i="3"/>
  <c r="H558" i="3"/>
  <c r="H574" i="3"/>
  <c r="H590" i="3"/>
  <c r="H216" i="3"/>
  <c r="H237" i="3"/>
  <c r="H259" i="3"/>
  <c r="H280" i="3"/>
  <c r="H301" i="3"/>
  <c r="H323" i="3"/>
  <c r="H344" i="3"/>
  <c r="H365" i="3"/>
  <c r="H387" i="3"/>
  <c r="H408" i="3"/>
  <c r="H429" i="3"/>
  <c r="H451" i="3"/>
  <c r="H472" i="3"/>
  <c r="H493" i="3"/>
  <c r="H514" i="3"/>
  <c r="H530" i="3"/>
  <c r="H546" i="3"/>
  <c r="H562" i="3"/>
  <c r="H578" i="3"/>
  <c r="H594" i="3"/>
  <c r="H221" i="3"/>
  <c r="H243" i="3"/>
  <c r="H264" i="3"/>
  <c r="H285" i="3"/>
  <c r="H307" i="3"/>
  <c r="H328" i="3"/>
  <c r="H349" i="3"/>
  <c r="H371" i="3"/>
  <c r="H392" i="3"/>
  <c r="H413" i="3"/>
  <c r="H435" i="3"/>
  <c r="H456" i="3"/>
  <c r="H477" i="3"/>
  <c r="H499" i="3"/>
  <c r="H518" i="3"/>
  <c r="H534" i="3"/>
  <c r="H550" i="3"/>
  <c r="H566" i="3"/>
  <c r="H582" i="3"/>
  <c r="H598" i="3"/>
  <c r="N3" i="3"/>
  <c r="V602" i="4"/>
  <c r="S601" i="4"/>
  <c r="N600" i="4"/>
  <c r="N599" i="4"/>
  <c r="V597" i="4"/>
  <c r="S596" i="4"/>
  <c r="N595" i="4"/>
  <c r="V593" i="4"/>
  <c r="S592" i="4"/>
  <c r="N591" i="4"/>
  <c r="V589" i="4"/>
  <c r="S588" i="4"/>
  <c r="N587" i="4"/>
  <c r="V585" i="4"/>
  <c r="S584" i="4"/>
  <c r="N583" i="4"/>
  <c r="V581" i="4"/>
  <c r="S580" i="4"/>
  <c r="N579" i="4"/>
  <c r="V577" i="4"/>
  <c r="S576" i="4"/>
  <c r="N575" i="4"/>
  <c r="V573" i="4"/>
  <c r="S572" i="4"/>
  <c r="N571" i="4"/>
  <c r="V569" i="4"/>
  <c r="S568" i="4"/>
  <c r="N567" i="4"/>
  <c r="V565" i="4"/>
  <c r="S564" i="4"/>
  <c r="N563" i="4"/>
  <c r="V561" i="4"/>
  <c r="S560" i="4"/>
  <c r="N559" i="4"/>
  <c r="V557" i="4"/>
  <c r="S556" i="4"/>
  <c r="N555" i="4"/>
  <c r="V553" i="4"/>
  <c r="S552" i="4"/>
  <c r="N551" i="4"/>
  <c r="V549" i="4"/>
  <c r="S548" i="4"/>
  <c r="N547" i="4"/>
  <c r="V545" i="4"/>
  <c r="S544" i="4"/>
  <c r="N543" i="4"/>
  <c r="V541" i="4"/>
  <c r="S540" i="4"/>
  <c r="N539" i="4"/>
  <c r="V537" i="4"/>
  <c r="S536" i="4"/>
  <c r="N535" i="4"/>
  <c r="V533" i="4"/>
  <c r="S532" i="4"/>
  <c r="N531" i="4"/>
  <c r="S602" i="4"/>
  <c r="N601" i="4"/>
  <c r="V599" i="4"/>
  <c r="V598" i="4"/>
  <c r="S597" i="4"/>
  <c r="N596" i="4"/>
  <c r="V594" i="4"/>
  <c r="S593" i="4"/>
  <c r="N592" i="4"/>
  <c r="V590" i="4"/>
  <c r="S589" i="4"/>
  <c r="N588" i="4"/>
  <c r="V586" i="4"/>
  <c r="S585" i="4"/>
  <c r="N584" i="4"/>
  <c r="V582" i="4"/>
  <c r="S581" i="4"/>
  <c r="N580" i="4"/>
  <c r="V578" i="4"/>
  <c r="S577" i="4"/>
  <c r="N576" i="4"/>
  <c r="V574" i="4"/>
  <c r="S573" i="4"/>
  <c r="N572" i="4"/>
  <c r="V570" i="4"/>
  <c r="S569" i="4"/>
  <c r="N568" i="4"/>
  <c r="V566" i="4"/>
  <c r="S565" i="4"/>
  <c r="N564" i="4"/>
  <c r="V562" i="4"/>
  <c r="S561" i="4"/>
  <c r="N560" i="4"/>
  <c r="V558" i="4"/>
  <c r="S557" i="4"/>
  <c r="N556" i="4"/>
  <c r="V554" i="4"/>
  <c r="S553" i="4"/>
  <c r="N552" i="4"/>
  <c r="V550" i="4"/>
  <c r="S549" i="4"/>
  <c r="N548" i="4"/>
  <c r="V546" i="4"/>
  <c r="S545" i="4"/>
  <c r="N544" i="4"/>
  <c r="V542" i="4"/>
  <c r="S541" i="4"/>
  <c r="N540" i="4"/>
  <c r="V538" i="4"/>
  <c r="S537" i="4"/>
  <c r="N536" i="4"/>
  <c r="V534" i="4"/>
  <c r="S533" i="4"/>
  <c r="N532" i="4"/>
  <c r="V530" i="4"/>
  <c r="N602" i="4"/>
  <c r="V595" i="4"/>
  <c r="S594" i="4"/>
  <c r="N593" i="4"/>
  <c r="V587" i="4"/>
  <c r="S586" i="4"/>
  <c r="N585" i="4"/>
  <c r="V579" i="4"/>
  <c r="S578" i="4"/>
  <c r="N577" i="4"/>
  <c r="V571" i="4"/>
  <c r="S570" i="4"/>
  <c r="N569" i="4"/>
  <c r="V563" i="4"/>
  <c r="S562" i="4"/>
  <c r="N561" i="4"/>
  <c r="V555" i="4"/>
  <c r="S554" i="4"/>
  <c r="N553" i="4"/>
  <c r="V547" i="4"/>
  <c r="S546" i="4"/>
  <c r="N545" i="4"/>
  <c r="V596" i="4"/>
  <c r="S595" i="4"/>
  <c r="N594" i="4"/>
  <c r="V588" i="4"/>
  <c r="S587" i="4"/>
  <c r="N586" i="4"/>
  <c r="V580" i="4"/>
  <c r="S579" i="4"/>
  <c r="N578" i="4"/>
  <c r="V572" i="4"/>
  <c r="S571" i="4"/>
  <c r="N570" i="4"/>
  <c r="V564" i="4"/>
  <c r="S563" i="4"/>
  <c r="N562" i="4"/>
  <c r="V556" i="4"/>
  <c r="S555" i="4"/>
  <c r="N554" i="4"/>
  <c r="V548" i="4"/>
  <c r="S547" i="4"/>
  <c r="N546" i="4"/>
  <c r="V540" i="4"/>
  <c r="S539" i="4"/>
  <c r="N538" i="4"/>
  <c r="V532" i="4"/>
  <c r="S531" i="4"/>
  <c r="N530" i="4"/>
  <c r="V528" i="4"/>
  <c r="S527" i="4"/>
  <c r="N526" i="4"/>
  <c r="V524" i="4"/>
  <c r="S523" i="4"/>
  <c r="N522" i="4"/>
  <c r="V520" i="4"/>
  <c r="S519" i="4"/>
  <c r="N518" i="4"/>
  <c r="V516" i="4"/>
  <c r="S515" i="4"/>
  <c r="N514" i="4"/>
  <c r="V512" i="4"/>
  <c r="S511" i="4"/>
  <c r="N510" i="4"/>
  <c r="V508" i="4"/>
  <c r="S507" i="4"/>
  <c r="N506" i="4"/>
  <c r="V504" i="4"/>
  <c r="S503" i="4"/>
  <c r="N502" i="4"/>
  <c r="V500" i="4"/>
  <c r="S499" i="4"/>
  <c r="N498" i="4"/>
  <c r="V496" i="4"/>
  <c r="S495" i="4"/>
  <c r="N494" i="4"/>
  <c r="V600" i="4"/>
  <c r="S599" i="4"/>
  <c r="S598" i="4"/>
  <c r="N597" i="4"/>
  <c r="V591" i="4"/>
  <c r="S590" i="4"/>
  <c r="N589" i="4"/>
  <c r="V583" i="4"/>
  <c r="S582" i="4"/>
  <c r="N581" i="4"/>
  <c r="V575" i="4"/>
  <c r="S574" i="4"/>
  <c r="N573" i="4"/>
  <c r="V567" i="4"/>
  <c r="S566" i="4"/>
  <c r="N565" i="4"/>
  <c r="V559" i="4"/>
  <c r="S558" i="4"/>
  <c r="N557" i="4"/>
  <c r="V551" i="4"/>
  <c r="S550" i="4"/>
  <c r="N549" i="4"/>
  <c r="V543" i="4"/>
  <c r="S542" i="4"/>
  <c r="V601" i="4"/>
  <c r="S600" i="4"/>
  <c r="N598" i="4"/>
  <c r="V592" i="4"/>
  <c r="S591" i="4"/>
  <c r="N590" i="4"/>
  <c r="V584" i="4"/>
  <c r="S583" i="4"/>
  <c r="N582" i="4"/>
  <c r="V576" i="4"/>
  <c r="S575" i="4"/>
  <c r="N574" i="4"/>
  <c r="V568" i="4"/>
  <c r="S567" i="4"/>
  <c r="N566" i="4"/>
  <c r="V560" i="4"/>
  <c r="S559" i="4"/>
  <c r="N558" i="4"/>
  <c r="V552" i="4"/>
  <c r="S551" i="4"/>
  <c r="N550" i="4"/>
  <c r="V544" i="4"/>
  <c r="S543" i="4"/>
  <c r="N542" i="4"/>
  <c r="V536" i="4"/>
  <c r="S535" i="4"/>
  <c r="N534" i="4"/>
  <c r="S529" i="4"/>
  <c r="N528" i="4"/>
  <c r="V526" i="4"/>
  <c r="S525" i="4"/>
  <c r="N524" i="4"/>
  <c r="V522" i="4"/>
  <c r="S521" i="4"/>
  <c r="N520" i="4"/>
  <c r="V518" i="4"/>
  <c r="S517" i="4"/>
  <c r="N516" i="4"/>
  <c r="V514" i="4"/>
  <c r="S513" i="4"/>
  <c r="N512" i="4"/>
  <c r="V510" i="4"/>
  <c r="S509" i="4"/>
  <c r="N508" i="4"/>
  <c r="V506" i="4"/>
  <c r="S505" i="4"/>
  <c r="N504" i="4"/>
  <c r="V502" i="4"/>
  <c r="S501" i="4"/>
  <c r="N500" i="4"/>
  <c r="V498" i="4"/>
  <c r="S497" i="4"/>
  <c r="N541" i="4"/>
  <c r="S534" i="4"/>
  <c r="V525" i="4"/>
  <c r="S524" i="4"/>
  <c r="N523" i="4"/>
  <c r="V517" i="4"/>
  <c r="S516" i="4"/>
  <c r="N515" i="4"/>
  <c r="V509" i="4"/>
  <c r="S508" i="4"/>
  <c r="N507" i="4"/>
  <c r="S538" i="4"/>
  <c r="V531" i="4"/>
  <c r="V527" i="4"/>
  <c r="S526" i="4"/>
  <c r="N525" i="4"/>
  <c r="V519" i="4"/>
  <c r="S518" i="4"/>
  <c r="N517" i="4"/>
  <c r="V511" i="4"/>
  <c r="S510" i="4"/>
  <c r="N509" i="4"/>
  <c r="V503" i="4"/>
  <c r="S502" i="4"/>
  <c r="N501" i="4"/>
  <c r="S494" i="4"/>
  <c r="V492" i="4"/>
  <c r="S491" i="4"/>
  <c r="N490" i="4"/>
  <c r="V488" i="4"/>
  <c r="S487" i="4"/>
  <c r="N486" i="4"/>
  <c r="V484" i="4"/>
  <c r="S483" i="4"/>
  <c r="N482" i="4"/>
  <c r="V480" i="4"/>
  <c r="S479" i="4"/>
  <c r="N478" i="4"/>
  <c r="V476" i="4"/>
  <c r="S475" i="4"/>
  <c r="N474" i="4"/>
  <c r="V472" i="4"/>
  <c r="S471" i="4"/>
  <c r="N470" i="4"/>
  <c r="V468" i="4"/>
  <c r="S467" i="4"/>
  <c r="N466" i="4"/>
  <c r="V464" i="4"/>
  <c r="S463" i="4"/>
  <c r="N462" i="4"/>
  <c r="V460" i="4"/>
  <c r="S459" i="4"/>
  <c r="N458" i="4"/>
  <c r="V456" i="4"/>
  <c r="S455" i="4"/>
  <c r="N454" i="4"/>
  <c r="V452" i="4"/>
  <c r="S451" i="4"/>
  <c r="N450" i="4"/>
  <c r="V448" i="4"/>
  <c r="S447" i="4"/>
  <c r="N446" i="4"/>
  <c r="V444" i="4"/>
  <c r="S443" i="4"/>
  <c r="V535" i="4"/>
  <c r="N533" i="4"/>
  <c r="V529" i="4"/>
  <c r="S528" i="4"/>
  <c r="N527" i="4"/>
  <c r="V521" i="4"/>
  <c r="S520" i="4"/>
  <c r="N519" i="4"/>
  <c r="V513" i="4"/>
  <c r="S512" i="4"/>
  <c r="N511" i="4"/>
  <c r="V505" i="4"/>
  <c r="S504" i="4"/>
  <c r="N503" i="4"/>
  <c r="V539" i="4"/>
  <c r="N537" i="4"/>
  <c r="S530" i="4"/>
  <c r="N529" i="4"/>
  <c r="V523" i="4"/>
  <c r="S522" i="4"/>
  <c r="N521" i="4"/>
  <c r="V515" i="4"/>
  <c r="S514" i="4"/>
  <c r="N513" i="4"/>
  <c r="V507" i="4"/>
  <c r="S506" i="4"/>
  <c r="N505" i="4"/>
  <c r="V499" i="4"/>
  <c r="S498" i="4"/>
  <c r="N497" i="4"/>
  <c r="N496" i="4"/>
  <c r="V495" i="4"/>
  <c r="S493" i="4"/>
  <c r="N492" i="4"/>
  <c r="V490" i="4"/>
  <c r="S489" i="4"/>
  <c r="N488" i="4"/>
  <c r="V486" i="4"/>
  <c r="S485" i="4"/>
  <c r="N484" i="4"/>
  <c r="V482" i="4"/>
  <c r="S481" i="4"/>
  <c r="N480" i="4"/>
  <c r="V478" i="4"/>
  <c r="S477" i="4"/>
  <c r="N476" i="4"/>
  <c r="V474" i="4"/>
  <c r="S473" i="4"/>
  <c r="N472" i="4"/>
  <c r="V470" i="4"/>
  <c r="S469" i="4"/>
  <c r="N468" i="4"/>
  <c r="V466" i="4"/>
  <c r="S465" i="4"/>
  <c r="N464" i="4"/>
  <c r="V462" i="4"/>
  <c r="S461" i="4"/>
  <c r="N460" i="4"/>
  <c r="V458" i="4"/>
  <c r="S457" i="4"/>
  <c r="N456" i="4"/>
  <c r="V454" i="4"/>
  <c r="S453" i="4"/>
  <c r="N452" i="4"/>
  <c r="V450" i="4"/>
  <c r="S449" i="4"/>
  <c r="N448" i="4"/>
  <c r="V446" i="4"/>
  <c r="S445" i="4"/>
  <c r="N444" i="4"/>
  <c r="V497" i="4"/>
  <c r="V489" i="4"/>
  <c r="S488" i="4"/>
  <c r="N487" i="4"/>
  <c r="V481" i="4"/>
  <c r="S480" i="4"/>
  <c r="N479" i="4"/>
  <c r="V473" i="4"/>
  <c r="S472" i="4"/>
  <c r="N471" i="4"/>
  <c r="V465" i="4"/>
  <c r="S464" i="4"/>
  <c r="N463" i="4"/>
  <c r="V457" i="4"/>
  <c r="S456" i="4"/>
  <c r="N455" i="4"/>
  <c r="V449" i="4"/>
  <c r="S448" i="4"/>
  <c r="N447" i="4"/>
  <c r="V441" i="4"/>
  <c r="V501" i="4"/>
  <c r="N499" i="4"/>
  <c r="N495" i="4"/>
  <c r="V491" i="4"/>
  <c r="S490" i="4"/>
  <c r="N489" i="4"/>
  <c r="V483" i="4"/>
  <c r="S482" i="4"/>
  <c r="N481" i="4"/>
  <c r="V475" i="4"/>
  <c r="S474" i="4"/>
  <c r="N473" i="4"/>
  <c r="V467" i="4"/>
  <c r="S466" i="4"/>
  <c r="N465" i="4"/>
  <c r="V459" i="4"/>
  <c r="S458" i="4"/>
  <c r="N457" i="4"/>
  <c r="V451" i="4"/>
  <c r="S450" i="4"/>
  <c r="N449" i="4"/>
  <c r="V443" i="4"/>
  <c r="V442" i="4"/>
  <c r="S441" i="4"/>
  <c r="S496" i="4"/>
  <c r="V493" i="4"/>
  <c r="S492" i="4"/>
  <c r="N491" i="4"/>
  <c r="V485" i="4"/>
  <c r="S484" i="4"/>
  <c r="N483" i="4"/>
  <c r="V477" i="4"/>
  <c r="S476" i="4"/>
  <c r="N475" i="4"/>
  <c r="V469" i="4"/>
  <c r="S468" i="4"/>
  <c r="N467" i="4"/>
  <c r="V461" i="4"/>
  <c r="S460" i="4"/>
  <c r="N459" i="4"/>
  <c r="V453" i="4"/>
  <c r="S452" i="4"/>
  <c r="N451" i="4"/>
  <c r="V445" i="4"/>
  <c r="S444" i="4"/>
  <c r="N443" i="4"/>
  <c r="S442" i="4"/>
  <c r="N441" i="4"/>
  <c r="V439" i="4"/>
  <c r="S438" i="4"/>
  <c r="N437" i="4"/>
  <c r="V435" i="4"/>
  <c r="S434" i="4"/>
  <c r="N433" i="4"/>
  <c r="V431" i="4"/>
  <c r="S430" i="4"/>
  <c r="N429" i="4"/>
  <c r="V427" i="4"/>
  <c r="S426" i="4"/>
  <c r="N425" i="4"/>
  <c r="V423" i="4"/>
  <c r="S422" i="4"/>
  <c r="N421" i="4"/>
  <c r="V419" i="4"/>
  <c r="S418" i="4"/>
  <c r="N417" i="4"/>
  <c r="V415" i="4"/>
  <c r="S414" i="4"/>
  <c r="N413" i="4"/>
  <c r="V411" i="4"/>
  <c r="S410" i="4"/>
  <c r="N409" i="4"/>
  <c r="V407" i="4"/>
  <c r="S406" i="4"/>
  <c r="N405" i="4"/>
  <c r="V403" i="4"/>
  <c r="S402" i="4"/>
  <c r="N401" i="4"/>
  <c r="V399" i="4"/>
  <c r="S398" i="4"/>
  <c r="S500" i="4"/>
  <c r="V494" i="4"/>
  <c r="N493" i="4"/>
  <c r="V487" i="4"/>
  <c r="S486" i="4"/>
  <c r="N485" i="4"/>
  <c r="V479" i="4"/>
  <c r="S478" i="4"/>
  <c r="N477" i="4"/>
  <c r="V471" i="4"/>
  <c r="S470" i="4"/>
  <c r="N469" i="4"/>
  <c r="V463" i="4"/>
  <c r="S462" i="4"/>
  <c r="N461" i="4"/>
  <c r="V455" i="4"/>
  <c r="S454" i="4"/>
  <c r="N453" i="4"/>
  <c r="V447" i="4"/>
  <c r="S446" i="4"/>
  <c r="N445" i="4"/>
  <c r="N442" i="4"/>
  <c r="V440" i="4"/>
  <c r="S439" i="4"/>
  <c r="N438" i="4"/>
  <c r="V436" i="4"/>
  <c r="S435" i="4"/>
  <c r="N434" i="4"/>
  <c r="V432" i="4"/>
  <c r="S431" i="4"/>
  <c r="N430" i="4"/>
  <c r="V428" i="4"/>
  <c r="S427" i="4"/>
  <c r="N426" i="4"/>
  <c r="V424" i="4"/>
  <c r="S423" i="4"/>
  <c r="N422" i="4"/>
  <c r="V420" i="4"/>
  <c r="S419" i="4"/>
  <c r="N418" i="4"/>
  <c r="V416" i="4"/>
  <c r="S415" i="4"/>
  <c r="N414" i="4"/>
  <c r="V412" i="4"/>
  <c r="S411" i="4"/>
  <c r="N410" i="4"/>
  <c r="V408" i="4"/>
  <c r="S407" i="4"/>
  <c r="N406" i="4"/>
  <c r="V404" i="4"/>
  <c r="S403" i="4"/>
  <c r="N402" i="4"/>
  <c r="V400" i="4"/>
  <c r="S399" i="4"/>
  <c r="N398" i="4"/>
  <c r="V437" i="4"/>
  <c r="S436" i="4"/>
  <c r="N435" i="4"/>
  <c r="V429" i="4"/>
  <c r="S428" i="4"/>
  <c r="N427" i="4"/>
  <c r="V421" i="4"/>
  <c r="S420" i="4"/>
  <c r="N419" i="4"/>
  <c r="V413" i="4"/>
  <c r="S412" i="4"/>
  <c r="N411" i="4"/>
  <c r="V405" i="4"/>
  <c r="S404" i="4"/>
  <c r="N403" i="4"/>
  <c r="N397" i="4"/>
  <c r="V395" i="4"/>
  <c r="S394" i="4"/>
  <c r="N393" i="4"/>
  <c r="V391" i="4"/>
  <c r="S390" i="4"/>
  <c r="N389" i="4"/>
  <c r="V387" i="4"/>
  <c r="S386" i="4"/>
  <c r="N385" i="4"/>
  <c r="V383" i="4"/>
  <c r="S382" i="4"/>
  <c r="N381" i="4"/>
  <c r="V379" i="4"/>
  <c r="S378" i="4"/>
  <c r="N377" i="4"/>
  <c r="V375" i="4"/>
  <c r="S374" i="4"/>
  <c r="N373" i="4"/>
  <c r="V371" i="4"/>
  <c r="S370" i="4"/>
  <c r="N369" i="4"/>
  <c r="V367" i="4"/>
  <c r="S366" i="4"/>
  <c r="N365" i="4"/>
  <c r="V363" i="4"/>
  <c r="S362" i="4"/>
  <c r="N361" i="4"/>
  <c r="V359" i="4"/>
  <c r="S358" i="4"/>
  <c r="N357" i="4"/>
  <c r="V355" i="4"/>
  <c r="S354" i="4"/>
  <c r="N353" i="4"/>
  <c r="V351" i="4"/>
  <c r="S350" i="4"/>
  <c r="N349" i="4"/>
  <c r="V347" i="4"/>
  <c r="S346" i="4"/>
  <c r="N345" i="4"/>
  <c r="V343" i="4"/>
  <c r="S342" i="4"/>
  <c r="N341" i="4"/>
  <c r="V339" i="4"/>
  <c r="S338" i="4"/>
  <c r="N337" i="4"/>
  <c r="V335" i="4"/>
  <c r="S334" i="4"/>
  <c r="N333" i="4"/>
  <c r="V331" i="4"/>
  <c r="S330" i="4"/>
  <c r="N329" i="4"/>
  <c r="V327" i="4"/>
  <c r="S326" i="4"/>
  <c r="N325" i="4"/>
  <c r="V323" i="4"/>
  <c r="S322" i="4"/>
  <c r="N321" i="4"/>
  <c r="V319" i="4"/>
  <c r="S318" i="4"/>
  <c r="V438" i="4"/>
  <c r="S437" i="4"/>
  <c r="N436" i="4"/>
  <c r="V430" i="4"/>
  <c r="S429" i="4"/>
  <c r="N428" i="4"/>
  <c r="V422" i="4"/>
  <c r="S421" i="4"/>
  <c r="N420" i="4"/>
  <c r="V414" i="4"/>
  <c r="S413" i="4"/>
  <c r="N412" i="4"/>
  <c r="V406" i="4"/>
  <c r="S405" i="4"/>
  <c r="N404" i="4"/>
  <c r="V398" i="4"/>
  <c r="V396" i="4"/>
  <c r="S395" i="4"/>
  <c r="N394" i="4"/>
  <c r="V392" i="4"/>
  <c r="S391" i="4"/>
  <c r="N390" i="4"/>
  <c r="V388" i="4"/>
  <c r="S387" i="4"/>
  <c r="N386" i="4"/>
  <c r="V384" i="4"/>
  <c r="S383" i="4"/>
  <c r="N382" i="4"/>
  <c r="V380" i="4"/>
  <c r="S379" i="4"/>
  <c r="N378" i="4"/>
  <c r="V376" i="4"/>
  <c r="S375" i="4"/>
  <c r="N374" i="4"/>
  <c r="V372" i="4"/>
  <c r="S371" i="4"/>
  <c r="N370" i="4"/>
  <c r="V368" i="4"/>
  <c r="S367" i="4"/>
  <c r="N366" i="4"/>
  <c r="V364" i="4"/>
  <c r="S363" i="4"/>
  <c r="N362" i="4"/>
  <c r="V360" i="4"/>
  <c r="S359" i="4"/>
  <c r="N358" i="4"/>
  <c r="V356" i="4"/>
  <c r="S355" i="4"/>
  <c r="N354" i="4"/>
  <c r="V352" i="4"/>
  <c r="S351" i="4"/>
  <c r="N350" i="4"/>
  <c r="V348" i="4"/>
  <c r="S347" i="4"/>
  <c r="N346" i="4"/>
  <c r="V344" i="4"/>
  <c r="S343" i="4"/>
  <c r="N342" i="4"/>
  <c r="V340" i="4"/>
  <c r="S339" i="4"/>
  <c r="N338" i="4"/>
  <c r="V336" i="4"/>
  <c r="S335" i="4"/>
  <c r="N334" i="4"/>
  <c r="V332" i="4"/>
  <c r="S331" i="4"/>
  <c r="N330" i="4"/>
  <c r="V328" i="4"/>
  <c r="S327" i="4"/>
  <c r="N326" i="4"/>
  <c r="V324" i="4"/>
  <c r="S323" i="4"/>
  <c r="N322" i="4"/>
  <c r="V320" i="4"/>
  <c r="S319" i="4"/>
  <c r="N318" i="4"/>
  <c r="S440" i="4"/>
  <c r="N439" i="4"/>
  <c r="V433" i="4"/>
  <c r="S432" i="4"/>
  <c r="N431" i="4"/>
  <c r="V425" i="4"/>
  <c r="S424" i="4"/>
  <c r="N423" i="4"/>
  <c r="V417" i="4"/>
  <c r="S416" i="4"/>
  <c r="N415" i="4"/>
  <c r="V409" i="4"/>
  <c r="S408" i="4"/>
  <c r="N407" i="4"/>
  <c r="V401" i="4"/>
  <c r="S400" i="4"/>
  <c r="N399" i="4"/>
  <c r="V397" i="4"/>
  <c r="S396" i="4"/>
  <c r="N395" i="4"/>
  <c r="V393" i="4"/>
  <c r="S392" i="4"/>
  <c r="N391" i="4"/>
  <c r="V389" i="4"/>
  <c r="S388" i="4"/>
  <c r="N387" i="4"/>
  <c r="V385" i="4"/>
  <c r="S384" i="4"/>
  <c r="N383" i="4"/>
  <c r="V381" i="4"/>
  <c r="S380" i="4"/>
  <c r="N379" i="4"/>
  <c r="V377" i="4"/>
  <c r="S376" i="4"/>
  <c r="N375" i="4"/>
  <c r="V373" i="4"/>
  <c r="S372" i="4"/>
  <c r="N371" i="4"/>
  <c r="V369" i="4"/>
  <c r="S368" i="4"/>
  <c r="N367" i="4"/>
  <c r="V365" i="4"/>
  <c r="S364" i="4"/>
  <c r="N363" i="4"/>
  <c r="V361" i="4"/>
  <c r="S360" i="4"/>
  <c r="N359" i="4"/>
  <c r="V357" i="4"/>
  <c r="S356" i="4"/>
  <c r="N355" i="4"/>
  <c r="V353" i="4"/>
  <c r="S352" i="4"/>
  <c r="N351" i="4"/>
  <c r="V349" i="4"/>
  <c r="S348" i="4"/>
  <c r="N347" i="4"/>
  <c r="V345" i="4"/>
  <c r="S344" i="4"/>
  <c r="N343" i="4"/>
  <c r="V341" i="4"/>
  <c r="S340" i="4"/>
  <c r="N339" i="4"/>
  <c r="V337" i="4"/>
  <c r="S336" i="4"/>
  <c r="N335" i="4"/>
  <c r="V333" i="4"/>
  <c r="S332" i="4"/>
  <c r="N331" i="4"/>
  <c r="V329" i="4"/>
  <c r="S328" i="4"/>
  <c r="N327" i="4"/>
  <c r="V325" i="4"/>
  <c r="S324" i="4"/>
  <c r="N323" i="4"/>
  <c r="V321" i="4"/>
  <c r="S320" i="4"/>
  <c r="N319" i="4"/>
  <c r="V317" i="4"/>
  <c r="S316" i="4"/>
  <c r="N315" i="4"/>
  <c r="V313" i="4"/>
  <c r="S312" i="4"/>
  <c r="N311" i="4"/>
  <c r="V309" i="4"/>
  <c r="S308" i="4"/>
  <c r="N307" i="4"/>
  <c r="V305" i="4"/>
  <c r="S304" i="4"/>
  <c r="N303" i="4"/>
  <c r="V301" i="4"/>
  <c r="S300" i="4"/>
  <c r="N299" i="4"/>
  <c r="V297" i="4"/>
  <c r="S296" i="4"/>
  <c r="N295" i="4"/>
  <c r="V293" i="4"/>
  <c r="S292" i="4"/>
  <c r="N291" i="4"/>
  <c r="V289" i="4"/>
  <c r="S288" i="4"/>
  <c r="N287" i="4"/>
  <c r="V285" i="4"/>
  <c r="S284" i="4"/>
  <c r="N283" i="4"/>
  <c r="V281" i="4"/>
  <c r="S280" i="4"/>
  <c r="N279" i="4"/>
  <c r="V277" i="4"/>
  <c r="S276" i="4"/>
  <c r="N275" i="4"/>
  <c r="N440" i="4"/>
  <c r="V434" i="4"/>
  <c r="S433" i="4"/>
  <c r="N432" i="4"/>
  <c r="V426" i="4"/>
  <c r="S425" i="4"/>
  <c r="N424" i="4"/>
  <c r="V418" i="4"/>
  <c r="S417" i="4"/>
  <c r="N416" i="4"/>
  <c r="V410" i="4"/>
  <c r="S409" i="4"/>
  <c r="N408" i="4"/>
  <c r="V402" i="4"/>
  <c r="S401" i="4"/>
  <c r="N400" i="4"/>
  <c r="S397" i="4"/>
  <c r="N396" i="4"/>
  <c r="V394" i="4"/>
  <c r="S393" i="4"/>
  <c r="N392" i="4"/>
  <c r="V390" i="4"/>
  <c r="S389" i="4"/>
  <c r="N388" i="4"/>
  <c r="V386" i="4"/>
  <c r="S385" i="4"/>
  <c r="N384" i="4"/>
  <c r="V382" i="4"/>
  <c r="S381" i="4"/>
  <c r="N380" i="4"/>
  <c r="V378" i="4"/>
  <c r="S377" i="4"/>
  <c r="N376" i="4"/>
  <c r="V374" i="4"/>
  <c r="S373" i="4"/>
  <c r="N372" i="4"/>
  <c r="V370" i="4"/>
  <c r="S369" i="4"/>
  <c r="N368" i="4"/>
  <c r="V366" i="4"/>
  <c r="S365" i="4"/>
  <c r="N364" i="4"/>
  <c r="V362" i="4"/>
  <c r="S361" i="4"/>
  <c r="N360" i="4"/>
  <c r="V358" i="4"/>
  <c r="S357" i="4"/>
  <c r="N356" i="4"/>
  <c r="V354" i="4"/>
  <c r="S353" i="4"/>
  <c r="N352" i="4"/>
  <c r="V350" i="4"/>
  <c r="S349" i="4"/>
  <c r="N348" i="4"/>
  <c r="V346" i="4"/>
  <c r="S345" i="4"/>
  <c r="N344" i="4"/>
  <c r="V342" i="4"/>
  <c r="S341" i="4"/>
  <c r="N340" i="4"/>
  <c r="V338" i="4"/>
  <c r="S337" i="4"/>
  <c r="N336" i="4"/>
  <c r="V334" i="4"/>
  <c r="S333" i="4"/>
  <c r="N332" i="4"/>
  <c r="V330" i="4"/>
  <c r="S329" i="4"/>
  <c r="N328" i="4"/>
  <c r="V326" i="4"/>
  <c r="S325" i="4"/>
  <c r="N324" i="4"/>
  <c r="V322" i="4"/>
  <c r="S321" i="4"/>
  <c r="N320" i="4"/>
  <c r="V318" i="4"/>
  <c r="S317" i="4"/>
  <c r="N316" i="4"/>
  <c r="V314" i="4"/>
  <c r="S313" i="4"/>
  <c r="N312" i="4"/>
  <c r="V310" i="4"/>
  <c r="S309" i="4"/>
  <c r="N308" i="4"/>
  <c r="V306" i="4"/>
  <c r="S305" i="4"/>
  <c r="N304" i="4"/>
  <c r="V302" i="4"/>
  <c r="S301" i="4"/>
  <c r="N300" i="4"/>
  <c r="V298" i="4"/>
  <c r="S297" i="4"/>
  <c r="N296" i="4"/>
  <c r="V294" i="4"/>
  <c r="S293" i="4"/>
  <c r="N292" i="4"/>
  <c r="V290" i="4"/>
  <c r="S289" i="4"/>
  <c r="N288" i="4"/>
  <c r="V286" i="4"/>
  <c r="S285" i="4"/>
  <c r="N284" i="4"/>
  <c r="V282" i="4"/>
  <c r="S281" i="4"/>
  <c r="N280" i="4"/>
  <c r="V278" i="4"/>
  <c r="S277" i="4"/>
  <c r="N276" i="4"/>
  <c r="V274" i="4"/>
  <c r="N317" i="4"/>
  <c r="V311" i="4"/>
  <c r="S310" i="4"/>
  <c r="N309" i="4"/>
  <c r="V303" i="4"/>
  <c r="S302" i="4"/>
  <c r="N301" i="4"/>
  <c r="V295" i="4"/>
  <c r="S294" i="4"/>
  <c r="N293" i="4"/>
  <c r="V287" i="4"/>
  <c r="S286" i="4"/>
  <c r="N285" i="4"/>
  <c r="V279" i="4"/>
  <c r="S278" i="4"/>
  <c r="N277" i="4"/>
  <c r="N273" i="4"/>
  <c r="V271" i="4"/>
  <c r="S270" i="4"/>
  <c r="N269" i="4"/>
  <c r="V267" i="4"/>
  <c r="S266" i="4"/>
  <c r="N265" i="4"/>
  <c r="V263" i="4"/>
  <c r="S262" i="4"/>
  <c r="N261" i="4"/>
  <c r="V259" i="4"/>
  <c r="S258" i="4"/>
  <c r="N257" i="4"/>
  <c r="V255" i="4"/>
  <c r="S254" i="4"/>
  <c r="N253" i="4"/>
  <c r="V251" i="4"/>
  <c r="S250" i="4"/>
  <c r="N249" i="4"/>
  <c r="V247" i="4"/>
  <c r="S246" i="4"/>
  <c r="N245" i="4"/>
  <c r="V243" i="4"/>
  <c r="S242" i="4"/>
  <c r="N241" i="4"/>
  <c r="V239" i="4"/>
  <c r="S238" i="4"/>
  <c r="N237" i="4"/>
  <c r="V235" i="4"/>
  <c r="S234" i="4"/>
  <c r="N233" i="4"/>
  <c r="V231" i="4"/>
  <c r="S230" i="4"/>
  <c r="N229" i="4"/>
  <c r="V227" i="4"/>
  <c r="S226" i="4"/>
  <c r="N225" i="4"/>
  <c r="V223" i="4"/>
  <c r="S222" i="4"/>
  <c r="N221" i="4"/>
  <c r="V219" i="4"/>
  <c r="S218" i="4"/>
  <c r="N217" i="4"/>
  <c r="V215" i="4"/>
  <c r="S214" i="4"/>
  <c r="N213" i="4"/>
  <c r="V211" i="4"/>
  <c r="S210" i="4"/>
  <c r="N209" i="4"/>
  <c r="V207" i="4"/>
  <c r="S206" i="4"/>
  <c r="N205" i="4"/>
  <c r="V203" i="4"/>
  <c r="S202" i="4"/>
  <c r="N201" i="4"/>
  <c r="V199" i="4"/>
  <c r="S198" i="4"/>
  <c r="N197" i="4"/>
  <c r="V195" i="4"/>
  <c r="S194" i="4"/>
  <c r="N193" i="4"/>
  <c r="V191" i="4"/>
  <c r="S190" i="4"/>
  <c r="N189" i="4"/>
  <c r="V312" i="4"/>
  <c r="S311" i="4"/>
  <c r="N310" i="4"/>
  <c r="V304" i="4"/>
  <c r="S303" i="4"/>
  <c r="N302" i="4"/>
  <c r="V296" i="4"/>
  <c r="S295" i="4"/>
  <c r="N294" i="4"/>
  <c r="V288" i="4"/>
  <c r="S287" i="4"/>
  <c r="N286" i="4"/>
  <c r="V280" i="4"/>
  <c r="S279" i="4"/>
  <c r="N278" i="4"/>
  <c r="V272" i="4"/>
  <c r="S271" i="4"/>
  <c r="N270" i="4"/>
  <c r="V268" i="4"/>
  <c r="S267" i="4"/>
  <c r="N266" i="4"/>
  <c r="V264" i="4"/>
  <c r="S263" i="4"/>
  <c r="N262" i="4"/>
  <c r="V260" i="4"/>
  <c r="S259" i="4"/>
  <c r="N258" i="4"/>
  <c r="V256" i="4"/>
  <c r="S255" i="4"/>
  <c r="N254" i="4"/>
  <c r="V252" i="4"/>
  <c r="S251" i="4"/>
  <c r="N250" i="4"/>
  <c r="V248" i="4"/>
  <c r="S247" i="4"/>
  <c r="N246" i="4"/>
  <c r="V244" i="4"/>
  <c r="S243" i="4"/>
  <c r="N242" i="4"/>
  <c r="V240" i="4"/>
  <c r="S239" i="4"/>
  <c r="N238" i="4"/>
  <c r="V236" i="4"/>
  <c r="S235" i="4"/>
  <c r="N234" i="4"/>
  <c r="V232" i="4"/>
  <c r="S231" i="4"/>
  <c r="N230" i="4"/>
  <c r="V228" i="4"/>
  <c r="S227" i="4"/>
  <c r="N226" i="4"/>
  <c r="V224" i="4"/>
  <c r="S223" i="4"/>
  <c r="N222" i="4"/>
  <c r="V220" i="4"/>
  <c r="S219" i="4"/>
  <c r="N218" i="4"/>
  <c r="V216" i="4"/>
  <c r="S215" i="4"/>
  <c r="N214" i="4"/>
  <c r="V212" i="4"/>
  <c r="S211" i="4"/>
  <c r="N210" i="4"/>
  <c r="V208" i="4"/>
  <c r="S207" i="4"/>
  <c r="N206" i="4"/>
  <c r="V204" i="4"/>
  <c r="S203" i="4"/>
  <c r="N202" i="4"/>
  <c r="V200" i="4"/>
  <c r="S199" i="4"/>
  <c r="N198" i="4"/>
  <c r="V196" i="4"/>
  <c r="S195" i="4"/>
  <c r="N194" i="4"/>
  <c r="V192" i="4"/>
  <c r="S191" i="4"/>
  <c r="N190" i="4"/>
  <c r="V188" i="4"/>
  <c r="V315" i="4"/>
  <c r="S314" i="4"/>
  <c r="N313" i="4"/>
  <c r="V307" i="4"/>
  <c r="S306" i="4"/>
  <c r="N305" i="4"/>
  <c r="V299" i="4"/>
  <c r="S298" i="4"/>
  <c r="N297" i="4"/>
  <c r="V291" i="4"/>
  <c r="S290" i="4"/>
  <c r="N289" i="4"/>
  <c r="V283" i="4"/>
  <c r="S282" i="4"/>
  <c r="N281" i="4"/>
  <c r="V275" i="4"/>
  <c r="S274" i="4"/>
  <c r="V273" i="4"/>
  <c r="S272" i="4"/>
  <c r="N271" i="4"/>
  <c r="V269" i="4"/>
  <c r="S268" i="4"/>
  <c r="N267" i="4"/>
  <c r="V265" i="4"/>
  <c r="S264" i="4"/>
  <c r="N263" i="4"/>
  <c r="V261" i="4"/>
  <c r="S260" i="4"/>
  <c r="N259" i="4"/>
  <c r="V257" i="4"/>
  <c r="S256" i="4"/>
  <c r="N255" i="4"/>
  <c r="V253" i="4"/>
  <c r="S252" i="4"/>
  <c r="N251" i="4"/>
  <c r="V249" i="4"/>
  <c r="S248" i="4"/>
  <c r="N247" i="4"/>
  <c r="V245" i="4"/>
  <c r="S244" i="4"/>
  <c r="N243" i="4"/>
  <c r="V241" i="4"/>
  <c r="S240" i="4"/>
  <c r="N239" i="4"/>
  <c r="V237" i="4"/>
  <c r="S236" i="4"/>
  <c r="N235" i="4"/>
  <c r="V233" i="4"/>
  <c r="S232" i="4"/>
  <c r="N231" i="4"/>
  <c r="V229" i="4"/>
  <c r="S228" i="4"/>
  <c r="N227" i="4"/>
  <c r="V225" i="4"/>
  <c r="S224" i="4"/>
  <c r="N223" i="4"/>
  <c r="V221" i="4"/>
  <c r="S220" i="4"/>
  <c r="N219" i="4"/>
  <c r="V217" i="4"/>
  <c r="S216" i="4"/>
  <c r="N215" i="4"/>
  <c r="V213" i="4"/>
  <c r="S212" i="4"/>
  <c r="N211" i="4"/>
  <c r="V209" i="4"/>
  <c r="S208" i="4"/>
  <c r="N207" i="4"/>
  <c r="V205" i="4"/>
  <c r="S204" i="4"/>
  <c r="N203" i="4"/>
  <c r="V201" i="4"/>
  <c r="S200" i="4"/>
  <c r="N199" i="4"/>
  <c r="V197" i="4"/>
  <c r="S196" i="4"/>
  <c r="N195" i="4"/>
  <c r="V193" i="4"/>
  <c r="S192" i="4"/>
  <c r="N191" i="4"/>
  <c r="V189" i="4"/>
  <c r="S188" i="4"/>
  <c r="N187" i="4"/>
  <c r="V185" i="4"/>
  <c r="S184" i="4"/>
  <c r="N183" i="4"/>
  <c r="V181" i="4"/>
  <c r="S180" i="4"/>
  <c r="N179" i="4"/>
  <c r="V177" i="4"/>
  <c r="S176" i="4"/>
  <c r="N175" i="4"/>
  <c r="V173" i="4"/>
  <c r="S172" i="4"/>
  <c r="N171" i="4"/>
  <c r="V169" i="4"/>
  <c r="S168" i="4"/>
  <c r="N167" i="4"/>
  <c r="V165" i="4"/>
  <c r="S164" i="4"/>
  <c r="N163" i="4"/>
  <c r="V161" i="4"/>
  <c r="S160" i="4"/>
  <c r="N159" i="4"/>
  <c r="V157" i="4"/>
  <c r="S156" i="4"/>
  <c r="N155" i="4"/>
  <c r="V153" i="4"/>
  <c r="S152" i="4"/>
  <c r="N151" i="4"/>
  <c r="V149" i="4"/>
  <c r="V316" i="4"/>
  <c r="S315" i="4"/>
  <c r="N314" i="4"/>
  <c r="V308" i="4"/>
  <c r="S307" i="4"/>
  <c r="N306" i="4"/>
  <c r="V300" i="4"/>
  <c r="S299" i="4"/>
  <c r="N298" i="4"/>
  <c r="V292" i="4"/>
  <c r="S291" i="4"/>
  <c r="N290" i="4"/>
  <c r="V284" i="4"/>
  <c r="S283" i="4"/>
  <c r="N282" i="4"/>
  <c r="V276" i="4"/>
  <c r="S275" i="4"/>
  <c r="N274" i="4"/>
  <c r="S273" i="4"/>
  <c r="N272" i="4"/>
  <c r="V270" i="4"/>
  <c r="S269" i="4"/>
  <c r="N268" i="4"/>
  <c r="V266" i="4"/>
  <c r="S265" i="4"/>
  <c r="N264" i="4"/>
  <c r="V262" i="4"/>
  <c r="S261" i="4"/>
  <c r="N260" i="4"/>
  <c r="V258" i="4"/>
  <c r="S257" i="4"/>
  <c r="N256" i="4"/>
  <c r="V254" i="4"/>
  <c r="S253" i="4"/>
  <c r="N252" i="4"/>
  <c r="V250" i="4"/>
  <c r="S249" i="4"/>
  <c r="N248" i="4"/>
  <c r="V246" i="4"/>
  <c r="S245" i="4"/>
  <c r="N244" i="4"/>
  <c r="V242" i="4"/>
  <c r="S241" i="4"/>
  <c r="N240" i="4"/>
  <c r="V238" i="4"/>
  <c r="S237" i="4"/>
  <c r="N236" i="4"/>
  <c r="V234" i="4"/>
  <c r="S233" i="4"/>
  <c r="N232" i="4"/>
  <c r="V230" i="4"/>
  <c r="S229" i="4"/>
  <c r="N228" i="4"/>
  <c r="V226" i="4"/>
  <c r="S225" i="4"/>
  <c r="N224" i="4"/>
  <c r="V222" i="4"/>
  <c r="S221" i="4"/>
  <c r="N220" i="4"/>
  <c r="V218" i="4"/>
  <c r="S217" i="4"/>
  <c r="N216" i="4"/>
  <c r="V214" i="4"/>
  <c r="S213" i="4"/>
  <c r="N212" i="4"/>
  <c r="V210" i="4"/>
  <c r="S209" i="4"/>
  <c r="N208" i="4"/>
  <c r="V206" i="4"/>
  <c r="S205" i="4"/>
  <c r="N204" i="4"/>
  <c r="V202" i="4"/>
  <c r="S201" i="4"/>
  <c r="N200" i="4"/>
  <c r="V198" i="4"/>
  <c r="S197" i="4"/>
  <c r="N196" i="4"/>
  <c r="V194" i="4"/>
  <c r="S193" i="4"/>
  <c r="N192" i="4"/>
  <c r="V190" i="4"/>
  <c r="S189" i="4"/>
  <c r="N188" i="4"/>
  <c r="V186" i="4"/>
  <c r="S185" i="4"/>
  <c r="N184" i="4"/>
  <c r="V182" i="4"/>
  <c r="S181" i="4"/>
  <c r="N180" i="4"/>
  <c r="V178" i="4"/>
  <c r="S177" i="4"/>
  <c r="N176" i="4"/>
  <c r="V174" i="4"/>
  <c r="S173" i="4"/>
  <c r="N172" i="4"/>
  <c r="V170" i="4"/>
  <c r="S169" i="4"/>
  <c r="N168" i="4"/>
  <c r="V166" i="4"/>
  <c r="S165" i="4"/>
  <c r="N164" i="4"/>
  <c r="V162" i="4"/>
  <c r="S161" i="4"/>
  <c r="N160" i="4"/>
  <c r="V158" i="4"/>
  <c r="S157" i="4"/>
  <c r="N156" i="4"/>
  <c r="V154" i="4"/>
  <c r="S153" i="4"/>
  <c r="N152" i="4"/>
  <c r="V150" i="4"/>
  <c r="V187" i="4"/>
  <c r="S186" i="4"/>
  <c r="N185" i="4"/>
  <c r="V179" i="4"/>
  <c r="S178" i="4"/>
  <c r="N177" i="4"/>
  <c r="V171" i="4"/>
  <c r="S170" i="4"/>
  <c r="N169" i="4"/>
  <c r="V163" i="4"/>
  <c r="S162" i="4"/>
  <c r="N161" i="4"/>
  <c r="V155" i="4"/>
  <c r="S154" i="4"/>
  <c r="N153" i="4"/>
  <c r="V148" i="4"/>
  <c r="S147" i="4"/>
  <c r="N146" i="4"/>
  <c r="V144" i="4"/>
  <c r="S143" i="4"/>
  <c r="N142" i="4"/>
  <c r="V140" i="4"/>
  <c r="S139" i="4"/>
  <c r="N138" i="4"/>
  <c r="V136" i="4"/>
  <c r="S135" i="4"/>
  <c r="N134" i="4"/>
  <c r="V132" i="4"/>
  <c r="S131" i="4"/>
  <c r="N130" i="4"/>
  <c r="V128" i="4"/>
  <c r="S127" i="4"/>
  <c r="N126" i="4"/>
  <c r="V124" i="4"/>
  <c r="S123" i="4"/>
  <c r="N122" i="4"/>
  <c r="V120" i="4"/>
  <c r="S119" i="4"/>
  <c r="N118" i="4"/>
  <c r="V116" i="4"/>
  <c r="S115" i="4"/>
  <c r="N114" i="4"/>
  <c r="V112" i="4"/>
  <c r="S111" i="4"/>
  <c r="N110" i="4"/>
  <c r="V108" i="4"/>
  <c r="S107" i="4"/>
  <c r="N106" i="4"/>
  <c r="V104" i="4"/>
  <c r="S103" i="4"/>
  <c r="N102" i="4"/>
  <c r="V100" i="4"/>
  <c r="S99" i="4"/>
  <c r="N98" i="4"/>
  <c r="V96" i="4"/>
  <c r="S95" i="4"/>
  <c r="N94" i="4"/>
  <c r="V92" i="4"/>
  <c r="S91" i="4"/>
  <c r="N90" i="4"/>
  <c r="V88" i="4"/>
  <c r="S87" i="4"/>
  <c r="N86" i="4"/>
  <c r="V84" i="4"/>
  <c r="S83" i="4"/>
  <c r="N82" i="4"/>
  <c r="V80" i="4"/>
  <c r="S79" i="4"/>
  <c r="N78" i="4"/>
  <c r="V76" i="4"/>
  <c r="S75" i="4"/>
  <c r="N74" i="4"/>
  <c r="V72" i="4"/>
  <c r="S71" i="4"/>
  <c r="N70" i="4"/>
  <c r="V68" i="4"/>
  <c r="S67" i="4"/>
  <c r="N66" i="4"/>
  <c r="V64" i="4"/>
  <c r="S63" i="4"/>
  <c r="N62" i="4"/>
  <c r="V60" i="4"/>
  <c r="S59" i="4"/>
  <c r="N58" i="4"/>
  <c r="V56" i="4"/>
  <c r="S55" i="4"/>
  <c r="N54" i="4"/>
  <c r="V52" i="4"/>
  <c r="S51" i="4"/>
  <c r="N50" i="4"/>
  <c r="V48" i="4"/>
  <c r="S47" i="4"/>
  <c r="N46" i="4"/>
  <c r="S43" i="4"/>
  <c r="S39" i="4"/>
  <c r="N34" i="4"/>
  <c r="V32" i="4"/>
  <c r="N26" i="4"/>
  <c r="V24" i="4"/>
  <c r="N18" i="4"/>
  <c r="V16" i="4"/>
  <c r="S11" i="4"/>
  <c r="N6" i="4"/>
  <c r="V4" i="4"/>
  <c r="V25" i="4"/>
  <c r="V17" i="4"/>
  <c r="N15" i="4"/>
  <c r="S187" i="4"/>
  <c r="N186" i="4"/>
  <c r="V180" i="4"/>
  <c r="S179" i="4"/>
  <c r="N178" i="4"/>
  <c r="V172" i="4"/>
  <c r="S171" i="4"/>
  <c r="N170" i="4"/>
  <c r="V164" i="4"/>
  <c r="S163" i="4"/>
  <c r="N162" i="4"/>
  <c r="V156" i="4"/>
  <c r="S155" i="4"/>
  <c r="N154" i="4"/>
  <c r="S148" i="4"/>
  <c r="N147" i="4"/>
  <c r="V145" i="4"/>
  <c r="S144" i="4"/>
  <c r="N143" i="4"/>
  <c r="V141" i="4"/>
  <c r="S140" i="4"/>
  <c r="N139" i="4"/>
  <c r="V137" i="4"/>
  <c r="S136" i="4"/>
  <c r="N135" i="4"/>
  <c r="V133" i="4"/>
  <c r="S132" i="4"/>
  <c r="N131" i="4"/>
  <c r="V129" i="4"/>
  <c r="S128" i="4"/>
  <c r="N127" i="4"/>
  <c r="V125" i="4"/>
  <c r="S124" i="4"/>
  <c r="N123" i="4"/>
  <c r="V121" i="4"/>
  <c r="S120" i="4"/>
  <c r="N119" i="4"/>
  <c r="V117" i="4"/>
  <c r="S116" i="4"/>
  <c r="N115" i="4"/>
  <c r="V113" i="4"/>
  <c r="S112" i="4"/>
  <c r="N111" i="4"/>
  <c r="V109" i="4"/>
  <c r="S108" i="4"/>
  <c r="N107" i="4"/>
  <c r="V105" i="4"/>
  <c r="S104" i="4"/>
  <c r="N103" i="4"/>
  <c r="V101" i="4"/>
  <c r="S100" i="4"/>
  <c r="N99" i="4"/>
  <c r="V97" i="4"/>
  <c r="S96" i="4"/>
  <c r="N95" i="4"/>
  <c r="V93" i="4"/>
  <c r="S92" i="4"/>
  <c r="N91" i="4"/>
  <c r="V89" i="4"/>
  <c r="S88" i="4"/>
  <c r="N87" i="4"/>
  <c r="V85" i="4"/>
  <c r="S84" i="4"/>
  <c r="N83" i="4"/>
  <c r="V81" i="4"/>
  <c r="S80" i="4"/>
  <c r="N79" i="4"/>
  <c r="V77" i="4"/>
  <c r="S76" i="4"/>
  <c r="N75" i="4"/>
  <c r="V73" i="4"/>
  <c r="S72" i="4"/>
  <c r="N71" i="4"/>
  <c r="V69" i="4"/>
  <c r="S68" i="4"/>
  <c r="N67" i="4"/>
  <c r="V65" i="4"/>
  <c r="S64" i="4"/>
  <c r="N63" i="4"/>
  <c r="V61" i="4"/>
  <c r="S60" i="4"/>
  <c r="N59" i="4"/>
  <c r="V57" i="4"/>
  <c r="S56" i="4"/>
  <c r="N55" i="4"/>
  <c r="V53" i="4"/>
  <c r="S52" i="4"/>
  <c r="N51" i="4"/>
  <c r="V49" i="4"/>
  <c r="S48" i="4"/>
  <c r="N47" i="4"/>
  <c r="V45" i="4"/>
  <c r="S44" i="4"/>
  <c r="N43" i="4"/>
  <c r="V41" i="4"/>
  <c r="S40" i="4"/>
  <c r="N39" i="4"/>
  <c r="V37" i="4"/>
  <c r="S36" i="4"/>
  <c r="N35" i="4"/>
  <c r="V33" i="4"/>
  <c r="S32" i="4"/>
  <c r="N31" i="4"/>
  <c r="V29" i="4"/>
  <c r="S28" i="4"/>
  <c r="N27" i="4"/>
  <c r="S20" i="4"/>
  <c r="V183" i="4"/>
  <c r="S182" i="4"/>
  <c r="N181" i="4"/>
  <c r="V175" i="4"/>
  <c r="S174" i="4"/>
  <c r="N173" i="4"/>
  <c r="V167" i="4"/>
  <c r="S166" i="4"/>
  <c r="N165" i="4"/>
  <c r="V159" i="4"/>
  <c r="S158" i="4"/>
  <c r="N157" i="4"/>
  <c r="V151" i="4"/>
  <c r="S150" i="4"/>
  <c r="S149" i="4"/>
  <c r="N148" i="4"/>
  <c r="V146" i="4"/>
  <c r="S145" i="4"/>
  <c r="N144" i="4"/>
  <c r="V142" i="4"/>
  <c r="S141" i="4"/>
  <c r="N140" i="4"/>
  <c r="V138" i="4"/>
  <c r="S137" i="4"/>
  <c r="N136" i="4"/>
  <c r="V134" i="4"/>
  <c r="S133" i="4"/>
  <c r="N132" i="4"/>
  <c r="V130" i="4"/>
  <c r="S129" i="4"/>
  <c r="N128" i="4"/>
  <c r="V126" i="4"/>
  <c r="S125" i="4"/>
  <c r="N124" i="4"/>
  <c r="V122" i="4"/>
  <c r="S121" i="4"/>
  <c r="N120" i="4"/>
  <c r="V118" i="4"/>
  <c r="S117" i="4"/>
  <c r="N116" i="4"/>
  <c r="V114" i="4"/>
  <c r="S113" i="4"/>
  <c r="N112" i="4"/>
  <c r="V110" i="4"/>
  <c r="S109" i="4"/>
  <c r="N108" i="4"/>
  <c r="V106" i="4"/>
  <c r="S105" i="4"/>
  <c r="N104" i="4"/>
  <c r="V102" i="4"/>
  <c r="S101" i="4"/>
  <c r="N100" i="4"/>
  <c r="V98" i="4"/>
  <c r="S97" i="4"/>
  <c r="N96" i="4"/>
  <c r="V94" i="4"/>
  <c r="S93" i="4"/>
  <c r="N92" i="4"/>
  <c r="V90" i="4"/>
  <c r="S89" i="4"/>
  <c r="N88" i="4"/>
  <c r="V86" i="4"/>
  <c r="S85" i="4"/>
  <c r="N84" i="4"/>
  <c r="V82" i="4"/>
  <c r="S81" i="4"/>
  <c r="N80" i="4"/>
  <c r="V78" i="4"/>
  <c r="S77" i="4"/>
  <c r="N76" i="4"/>
  <c r="V74" i="4"/>
  <c r="S73" i="4"/>
  <c r="N72" i="4"/>
  <c r="V70" i="4"/>
  <c r="S69" i="4"/>
  <c r="N68" i="4"/>
  <c r="V66" i="4"/>
  <c r="S65" i="4"/>
  <c r="N64" i="4"/>
  <c r="V62" i="4"/>
  <c r="S61" i="4"/>
  <c r="N60" i="4"/>
  <c r="V58" i="4"/>
  <c r="S57" i="4"/>
  <c r="N56" i="4"/>
  <c r="V54" i="4"/>
  <c r="S53" i="4"/>
  <c r="N52" i="4"/>
  <c r="V50" i="4"/>
  <c r="S49" i="4"/>
  <c r="N48" i="4"/>
  <c r="V46" i="4"/>
  <c r="S45" i="4"/>
  <c r="N44" i="4"/>
  <c r="V42" i="4"/>
  <c r="S41" i="4"/>
  <c r="N40" i="4"/>
  <c r="V38" i="4"/>
  <c r="S37" i="4"/>
  <c r="N36" i="4"/>
  <c r="V34" i="4"/>
  <c r="S33" i="4"/>
  <c r="N32" i="4"/>
  <c r="V30" i="4"/>
  <c r="S29" i="4"/>
  <c r="N28" i="4"/>
  <c r="V26" i="4"/>
  <c r="S25" i="4"/>
  <c r="N24" i="4"/>
  <c r="V22" i="4"/>
  <c r="S21" i="4"/>
  <c r="N20" i="4"/>
  <c r="V18" i="4"/>
  <c r="S17" i="4"/>
  <c r="N16" i="4"/>
  <c r="V14" i="4"/>
  <c r="S13" i="4"/>
  <c r="N12" i="4"/>
  <c r="V10" i="4"/>
  <c r="S9" i="4"/>
  <c r="N8" i="4"/>
  <c r="V6" i="4"/>
  <c r="S5" i="4"/>
  <c r="N4" i="4"/>
  <c r="V40" i="4"/>
  <c r="S35" i="4"/>
  <c r="S31" i="4"/>
  <c r="N30" i="4"/>
  <c r="V28" i="4"/>
  <c r="S23" i="4"/>
  <c r="S19" i="4"/>
  <c r="N14" i="4"/>
  <c r="V12" i="4"/>
  <c r="N10" i="4"/>
  <c r="V8" i="4"/>
  <c r="S3" i="4"/>
  <c r="N23" i="4"/>
  <c r="V184" i="4"/>
  <c r="S183" i="4"/>
  <c r="N182" i="4"/>
  <c r="V176" i="4"/>
  <c r="S175" i="4"/>
  <c r="N174" i="4"/>
  <c r="V168" i="4"/>
  <c r="S167" i="4"/>
  <c r="N166" i="4"/>
  <c r="V160" i="4"/>
  <c r="S159" i="4"/>
  <c r="N158" i="4"/>
  <c r="V152" i="4"/>
  <c r="S151" i="4"/>
  <c r="N150" i="4"/>
  <c r="N149" i="4"/>
  <c r="V147" i="4"/>
  <c r="S146" i="4"/>
  <c r="N145" i="4"/>
  <c r="V143" i="4"/>
  <c r="S142" i="4"/>
  <c r="N141" i="4"/>
  <c r="V139" i="4"/>
  <c r="S138" i="4"/>
  <c r="N137" i="4"/>
  <c r="V135" i="4"/>
  <c r="S134" i="4"/>
  <c r="N133" i="4"/>
  <c r="V131" i="4"/>
  <c r="S130" i="4"/>
  <c r="N129" i="4"/>
  <c r="V127" i="4"/>
  <c r="S126" i="4"/>
  <c r="N125" i="4"/>
  <c r="V123" i="4"/>
  <c r="S122" i="4"/>
  <c r="N121" i="4"/>
  <c r="V119" i="4"/>
  <c r="S118" i="4"/>
  <c r="N117" i="4"/>
  <c r="V115" i="4"/>
  <c r="S114" i="4"/>
  <c r="N113" i="4"/>
  <c r="V111" i="4"/>
  <c r="S110" i="4"/>
  <c r="N109" i="4"/>
  <c r="V107" i="4"/>
  <c r="S106" i="4"/>
  <c r="N105" i="4"/>
  <c r="V103" i="4"/>
  <c r="S102" i="4"/>
  <c r="N101" i="4"/>
  <c r="V99" i="4"/>
  <c r="S98" i="4"/>
  <c r="N97" i="4"/>
  <c r="V95" i="4"/>
  <c r="S94" i="4"/>
  <c r="N93" i="4"/>
  <c r="V91" i="4"/>
  <c r="S90" i="4"/>
  <c r="N89" i="4"/>
  <c r="V87" i="4"/>
  <c r="S86" i="4"/>
  <c r="N85" i="4"/>
  <c r="V83" i="4"/>
  <c r="S82" i="4"/>
  <c r="N81" i="4"/>
  <c r="V79" i="4"/>
  <c r="S78" i="4"/>
  <c r="N77" i="4"/>
  <c r="V75" i="4"/>
  <c r="S74" i="4"/>
  <c r="N73" i="4"/>
  <c r="V71" i="4"/>
  <c r="S70" i="4"/>
  <c r="N69" i="4"/>
  <c r="V67" i="4"/>
  <c r="S66" i="4"/>
  <c r="N65" i="4"/>
  <c r="V63" i="4"/>
  <c r="S62" i="4"/>
  <c r="N61" i="4"/>
  <c r="V59" i="4"/>
  <c r="S58" i="4"/>
  <c r="N57" i="4"/>
  <c r="V55" i="4"/>
  <c r="S54" i="4"/>
  <c r="N53" i="4"/>
  <c r="V51" i="4"/>
  <c r="S50" i="4"/>
  <c r="N49" i="4"/>
  <c r="V47" i="4"/>
  <c r="S46" i="4"/>
  <c r="N45" i="4"/>
  <c r="V43" i="4"/>
  <c r="S42" i="4"/>
  <c r="N41" i="4"/>
  <c r="V39" i="4"/>
  <c r="S38" i="4"/>
  <c r="N37" i="4"/>
  <c r="V35" i="4"/>
  <c r="S34" i="4"/>
  <c r="N33" i="4"/>
  <c r="V31" i="4"/>
  <c r="S30" i="4"/>
  <c r="N29" i="4"/>
  <c r="V27" i="4"/>
  <c r="S26" i="4"/>
  <c r="N25" i="4"/>
  <c r="V23" i="4"/>
  <c r="S22" i="4"/>
  <c r="N21" i="4"/>
  <c r="V19" i="4"/>
  <c r="S18" i="4"/>
  <c r="N17" i="4"/>
  <c r="V15" i="4"/>
  <c r="S14" i="4"/>
  <c r="N13" i="4"/>
  <c r="V11" i="4"/>
  <c r="S10" i="4"/>
  <c r="N9" i="4"/>
  <c r="V7" i="4"/>
  <c r="S6" i="4"/>
  <c r="N5" i="4"/>
  <c r="V3" i="4"/>
  <c r="V44" i="4"/>
  <c r="N42" i="4"/>
  <c r="N38" i="4"/>
  <c r="V36" i="4"/>
  <c r="S27" i="4"/>
  <c r="N22" i="4"/>
  <c r="V20" i="4"/>
  <c r="S15" i="4"/>
  <c r="S7" i="4"/>
  <c r="S24" i="4"/>
  <c r="V21" i="4"/>
  <c r="N19" i="4"/>
  <c r="S16" i="4"/>
  <c r="V13" i="4"/>
  <c r="N11" i="4"/>
  <c r="S4" i="4"/>
  <c r="N3" i="4"/>
  <c r="S8" i="4"/>
  <c r="V5" i="4"/>
  <c r="S12" i="4"/>
  <c r="V9" i="4"/>
  <c r="N7" i="4"/>
  <c r="T424" i="3"/>
  <c r="Q299" i="3"/>
  <c r="Q388" i="3"/>
  <c r="N34" i="3"/>
  <c r="N515" i="3"/>
  <c r="Q181" i="3"/>
  <c r="T434" i="3"/>
  <c r="N600" i="3"/>
  <c r="T151" i="3"/>
  <c r="T428" i="3"/>
  <c r="Q33" i="3"/>
  <c r="T480" i="3"/>
  <c r="T390" i="3"/>
  <c r="Q541" i="3"/>
  <c r="Q482" i="3"/>
  <c r="T262" i="3"/>
  <c r="T397" i="3"/>
  <c r="N119" i="3"/>
  <c r="T97" i="3"/>
  <c r="T166" i="3"/>
  <c r="N351" i="3"/>
  <c r="Q162" i="3"/>
  <c r="T106" i="3"/>
  <c r="Q193" i="3"/>
  <c r="N279" i="3"/>
  <c r="Q96" i="3"/>
  <c r="Q592" i="3"/>
  <c r="Q404" i="3"/>
  <c r="T203" i="3"/>
  <c r="T352" i="3"/>
  <c r="T134" i="3"/>
  <c r="Q27" i="3"/>
  <c r="N323" i="3"/>
  <c r="Q30" i="3"/>
  <c r="T486" i="3"/>
  <c r="Q79" i="3"/>
  <c r="T421" i="3"/>
  <c r="N512" i="3"/>
  <c r="N506" i="3"/>
  <c r="N201" i="3"/>
  <c r="N305" i="3"/>
  <c r="Q446" i="3"/>
  <c r="N452" i="3"/>
  <c r="Q107" i="3"/>
  <c r="N194" i="3"/>
  <c r="Q93" i="3"/>
  <c r="N179" i="3"/>
  <c r="Q81" i="3"/>
  <c r="T176" i="3"/>
  <c r="T257" i="3"/>
  <c r="N509" i="3"/>
  <c r="Q176" i="3"/>
  <c r="N189" i="3"/>
  <c r="N429" i="3"/>
  <c r="N95" i="3"/>
  <c r="T28" i="3"/>
  <c r="N479" i="3"/>
  <c r="N136" i="3"/>
  <c r="N65" i="3"/>
  <c r="N383" i="3"/>
  <c r="Q352" i="3"/>
  <c r="N339" i="3"/>
  <c r="T419" i="3"/>
  <c r="T11" i="3"/>
  <c r="T278" i="3"/>
  <c r="T516" i="3"/>
  <c r="T395" i="3"/>
  <c r="T585" i="3"/>
  <c r="T411" i="3"/>
  <c r="T517" i="3"/>
  <c r="N433" i="3"/>
  <c r="Q371" i="3"/>
  <c r="N187" i="3"/>
  <c r="T479" i="3"/>
  <c r="T234" i="3"/>
  <c r="N239" i="3"/>
  <c r="T368" i="3"/>
  <c r="N221" i="3"/>
  <c r="N410" i="3"/>
  <c r="N525" i="3"/>
  <c r="T170" i="3"/>
  <c r="N457" i="3"/>
  <c r="T258" i="3"/>
  <c r="Q135" i="3"/>
  <c r="Q409" i="3"/>
  <c r="N151" i="3"/>
  <c r="N277" i="3"/>
  <c r="T525" i="3"/>
  <c r="Q525" i="3"/>
  <c r="Q63" i="3"/>
  <c r="Q221" i="3"/>
  <c r="Q599" i="3"/>
  <c r="T260" i="3"/>
  <c r="N171" i="3"/>
  <c r="N253" i="3"/>
  <c r="T167" i="3"/>
  <c r="Q43" i="3"/>
  <c r="Q213" i="3"/>
  <c r="T573" i="3"/>
  <c r="T498" i="3"/>
  <c r="N24" i="3"/>
  <c r="Q184" i="3"/>
  <c r="N259" i="3"/>
  <c r="Q326" i="3"/>
  <c r="N565" i="3"/>
  <c r="Q532" i="3"/>
  <c r="T587" i="3"/>
  <c r="Q527" i="3"/>
  <c r="N146" i="3"/>
  <c r="N489" i="3"/>
  <c r="Q100" i="3"/>
  <c r="T578" i="3"/>
  <c r="Q273" i="3"/>
  <c r="N29" i="3"/>
  <c r="Q110" i="3"/>
  <c r="N272" i="3"/>
  <c r="T18" i="3"/>
  <c r="Q46" i="3"/>
  <c r="N448" i="3"/>
  <c r="N370" i="3"/>
  <c r="T600" i="3"/>
  <c r="Q287" i="3"/>
  <c r="Q211" i="3"/>
  <c r="Q37" i="3"/>
  <c r="Q495" i="3"/>
  <c r="N602" i="3"/>
  <c r="T84" i="3"/>
  <c r="T121" i="3"/>
  <c r="T251" i="3"/>
  <c r="T96" i="3"/>
  <c r="T32" i="3"/>
  <c r="Q159" i="3"/>
  <c r="Q370" i="3"/>
  <c r="Q183" i="3"/>
  <c r="Q533" i="3"/>
  <c r="N12" i="3"/>
  <c r="T530" i="3"/>
  <c r="T226" i="3"/>
  <c r="Q134" i="3"/>
  <c r="Q91" i="3"/>
  <c r="N92" i="3"/>
  <c r="T26" i="3"/>
  <c r="T412" i="3"/>
  <c r="N495" i="3"/>
  <c r="N113" i="3"/>
  <c r="T513" i="3"/>
  <c r="N70" i="3"/>
  <c r="Q383" i="3"/>
  <c r="Q23" i="3"/>
  <c r="T327" i="3"/>
  <c r="Q319" i="3"/>
  <c r="T503" i="3"/>
  <c r="N571" i="3"/>
  <c r="N115" i="3"/>
  <c r="T512" i="3"/>
  <c r="T244" i="3"/>
  <c r="N534" i="3"/>
  <c r="N131" i="3"/>
  <c r="T163" i="3"/>
  <c r="N297" i="3"/>
  <c r="Q382" i="3"/>
  <c r="Q366" i="3"/>
  <c r="N594" i="3"/>
  <c r="N311" i="3"/>
  <c r="Q150" i="3"/>
  <c r="Q348" i="3"/>
  <c r="T127" i="3"/>
  <c r="T100" i="3"/>
  <c r="N180" i="3"/>
  <c r="T597" i="3"/>
  <c r="N360" i="3"/>
  <c r="N540" i="3"/>
  <c r="Q49" i="3"/>
  <c r="Q253" i="3"/>
  <c r="T398" i="3"/>
  <c r="N73" i="3"/>
  <c r="Q153" i="3"/>
  <c r="N313" i="3"/>
  <c r="Q151" i="3"/>
  <c r="T378" i="3"/>
  <c r="T162" i="3"/>
  <c r="T572" i="3"/>
  <c r="T113" i="3"/>
  <c r="Q187" i="3"/>
  <c r="T439" i="3"/>
  <c r="Q290" i="3"/>
  <c r="N453" i="3"/>
  <c r="Q55" i="3"/>
  <c r="N154" i="3"/>
  <c r="Q34" i="3"/>
  <c r="N158" i="3"/>
  <c r="Q277" i="3"/>
  <c r="N67" i="3"/>
  <c r="N251" i="3"/>
  <c r="Q402" i="3"/>
  <c r="N315" i="3"/>
  <c r="Q587" i="3"/>
  <c r="N181" i="3"/>
  <c r="N307" i="3"/>
  <c r="Q121" i="3"/>
  <c r="Q114" i="3"/>
  <c r="N117" i="3"/>
  <c r="N155" i="3"/>
  <c r="Q334" i="3"/>
  <c r="Q254" i="3"/>
  <c r="Q593" i="3"/>
  <c r="N135" i="3"/>
  <c r="T556" i="3"/>
  <c r="Q283" i="3"/>
  <c r="N508" i="3"/>
  <c r="T20" i="3"/>
  <c r="N137" i="3"/>
  <c r="Q514" i="3"/>
  <c r="Q7" i="3"/>
  <c r="T90" i="3"/>
  <c r="N235" i="3"/>
  <c r="Q112" i="3"/>
  <c r="N425" i="3"/>
  <c r="N368" i="3"/>
  <c r="N576" i="3"/>
  <c r="T355" i="3"/>
  <c r="N118" i="3"/>
  <c r="Q177" i="3"/>
  <c r="T455" i="3"/>
  <c r="N544" i="3"/>
  <c r="N161" i="3"/>
  <c r="Q152" i="3"/>
  <c r="N216" i="3"/>
  <c r="N275" i="3"/>
  <c r="Q392" i="3"/>
  <c r="N190" i="3"/>
  <c r="N25" i="3"/>
  <c r="T405" i="3"/>
  <c r="Q68" i="3"/>
  <c r="N463" i="3"/>
  <c r="T104" i="3"/>
  <c r="N42" i="3"/>
  <c r="N49" i="3"/>
  <c r="T582" i="3"/>
  <c r="T549" i="3"/>
  <c r="T30" i="3"/>
  <c r="Q361" i="3"/>
  <c r="N75" i="3"/>
  <c r="Q432" i="3"/>
  <c r="N125" i="3"/>
  <c r="Q143" i="3"/>
  <c r="T416" i="3"/>
  <c r="T564" i="3"/>
  <c r="N458" i="3"/>
  <c r="Q95" i="3"/>
  <c r="N93" i="3"/>
  <c r="Q486" i="3"/>
  <c r="N466" i="3"/>
  <c r="Q309" i="3"/>
  <c r="T348" i="3"/>
  <c r="N456" i="3"/>
  <c r="T523" i="3"/>
  <c r="T535" i="3"/>
  <c r="N26" i="3"/>
  <c r="T276" i="3"/>
  <c r="Q73" i="3"/>
  <c r="Q375" i="3"/>
  <c r="T459" i="3"/>
  <c r="N475" i="3"/>
  <c r="N341" i="3"/>
  <c r="N375" i="3"/>
  <c r="T205" i="3"/>
  <c r="T501" i="3"/>
  <c r="N56" i="3"/>
  <c r="Q529" i="3"/>
  <c r="N590" i="3"/>
  <c r="N366" i="3"/>
  <c r="Q473" i="3"/>
  <c r="T493" i="3"/>
  <c r="T555" i="3"/>
  <c r="Q9" i="3"/>
  <c r="Q105" i="3"/>
  <c r="T320" i="3"/>
  <c r="N338" i="3"/>
  <c r="Q542" i="3"/>
  <c r="N123" i="3"/>
  <c r="T345" i="3"/>
  <c r="N406" i="3"/>
  <c r="Q507" i="3"/>
  <c r="N561" i="3"/>
  <c r="N355" i="3"/>
  <c r="T115" i="3"/>
  <c r="Q231" i="3"/>
  <c r="N358" i="3"/>
  <c r="Q342" i="3"/>
  <c r="Q459" i="3"/>
  <c r="N381" i="3"/>
  <c r="T168" i="3"/>
  <c r="N184" i="3"/>
  <c r="Q582" i="3"/>
  <c r="N389" i="3"/>
  <c r="N63" i="3"/>
  <c r="T227" i="3"/>
  <c r="Q61" i="3"/>
  <c r="N497" i="3"/>
  <c r="Q256" i="3"/>
  <c r="N304" i="3"/>
  <c r="T392" i="3"/>
  <c r="N430" i="3"/>
  <c r="T78" i="3"/>
  <c r="Q22" i="3"/>
  <c r="T123" i="3"/>
  <c r="Q92" i="3"/>
  <c r="T261" i="3"/>
  <c r="Q18" i="3"/>
  <c r="T63" i="3"/>
  <c r="Q60" i="3"/>
  <c r="Q596" i="3"/>
  <c r="N365" i="3"/>
  <c r="Q398" i="3"/>
  <c r="Q526" i="3"/>
  <c r="N504" i="3"/>
  <c r="N405" i="3"/>
  <c r="T446" i="3"/>
  <c r="N191" i="3"/>
  <c r="T39" i="3"/>
  <c r="N578" i="3"/>
  <c r="Q316" i="3"/>
  <c r="T559" i="3"/>
  <c r="Q160" i="3"/>
  <c r="T528" i="3"/>
  <c r="T560" i="3"/>
  <c r="T36" i="3"/>
  <c r="N225" i="3"/>
  <c r="N126" i="3"/>
  <c r="Q31" i="3"/>
  <c r="T391" i="3"/>
  <c r="Q317" i="3"/>
  <c r="Q255" i="3"/>
  <c r="T298" i="3"/>
  <c r="N572" i="3"/>
  <c r="Q168" i="3"/>
  <c r="T108" i="3"/>
  <c r="N268" i="3"/>
  <c r="T161" i="3"/>
  <c r="N172" i="3"/>
  <c r="Q149" i="3"/>
  <c r="T389" i="3"/>
  <c r="N219" i="3"/>
  <c r="Q261" i="3"/>
  <c r="T401" i="3"/>
  <c r="T444" i="3"/>
  <c r="T506" i="3"/>
  <c r="Q563" i="3"/>
  <c r="N267" i="3"/>
  <c r="Q490" i="3"/>
  <c r="N138" i="3"/>
  <c r="N227" i="3"/>
  <c r="N471" i="3"/>
  <c r="N166" i="3"/>
  <c r="Q250" i="3"/>
  <c r="N344" i="3"/>
  <c r="T82" i="3"/>
  <c r="T385" i="3"/>
  <c r="T202" i="3"/>
  <c r="N419" i="3"/>
  <c r="N242" i="3"/>
  <c r="T178" i="3"/>
  <c r="T235" i="3"/>
  <c r="N72" i="3"/>
  <c r="T442" i="3"/>
  <c r="T265" i="3"/>
  <c r="Q373" i="3"/>
  <c r="Q400" i="3"/>
  <c r="N443" i="3"/>
  <c r="Q589" i="3"/>
  <c r="T218" i="3"/>
  <c r="N436" i="3"/>
  <c r="Q223" i="3"/>
  <c r="T584" i="3"/>
  <c r="T23" i="3"/>
  <c r="N156" i="3"/>
  <c r="T71" i="3"/>
  <c r="N245" i="3"/>
  <c r="T198" i="3"/>
  <c r="N486" i="3"/>
  <c r="N535" i="3"/>
  <c r="T150" i="3"/>
  <c r="Q293" i="3"/>
  <c r="N481" i="3"/>
  <c r="N563" i="3"/>
  <c r="Q269" i="3"/>
  <c r="Q284" i="3"/>
  <c r="Q199" i="3"/>
  <c r="Q67" i="3"/>
  <c r="N328" i="3"/>
  <c r="T224" i="3"/>
  <c r="N164" i="3"/>
  <c r="N399" i="3"/>
  <c r="T418" i="3"/>
  <c r="T384" i="3"/>
  <c r="Q564" i="3"/>
  <c r="Q259" i="3"/>
  <c r="Q163" i="3"/>
  <c r="N385" i="3"/>
  <c r="T552" i="3"/>
  <c r="N422" i="3"/>
  <c r="Q428" i="3"/>
  <c r="T220" i="3"/>
  <c r="N395" i="3"/>
  <c r="T77" i="3"/>
  <c r="T296" i="3"/>
  <c r="Q384" i="3"/>
  <c r="N255" i="3"/>
  <c r="Q130" i="3"/>
  <c r="N513" i="3"/>
  <c r="N560" i="3"/>
  <c r="N455" i="3"/>
  <c r="N477" i="3"/>
  <c r="T588" i="3"/>
  <c r="N83" i="3"/>
  <c r="T116" i="3"/>
  <c r="Q210" i="3"/>
  <c r="Q440" i="3"/>
  <c r="Q169" i="3"/>
  <c r="N591" i="3"/>
  <c r="Q265" i="3"/>
  <c r="Q478" i="3"/>
  <c r="Q222" i="3"/>
  <c r="N316" i="3"/>
  <c r="N423" i="3"/>
  <c r="N372" i="3"/>
  <c r="Q216" i="3"/>
  <c r="T118" i="3"/>
  <c r="N165" i="3"/>
  <c r="N31" i="3"/>
  <c r="Q567" i="3"/>
  <c r="Q538" i="3"/>
  <c r="Q65" i="3"/>
  <c r="N36" i="3"/>
  <c r="N526" i="3"/>
  <c r="T273" i="3"/>
  <c r="T437" i="3"/>
  <c r="T342" i="3"/>
  <c r="Q471" i="3"/>
  <c r="N596" i="3"/>
  <c r="N249" i="3"/>
  <c r="Q243" i="3"/>
  <c r="Q185" i="3"/>
  <c r="N17" i="3"/>
  <c r="Q166" i="3"/>
  <c r="N107" i="3"/>
  <c r="T76" i="3"/>
  <c r="T55" i="3"/>
  <c r="T311" i="3"/>
  <c r="Q175" i="3"/>
  <c r="T245" i="3"/>
  <c r="T515" i="3"/>
  <c r="N66" i="3"/>
  <c r="N376" i="3"/>
  <c r="T29" i="3"/>
  <c r="N224" i="3"/>
  <c r="N200" i="3"/>
  <c r="N522" i="3"/>
  <c r="N120" i="3"/>
  <c r="N431" i="3"/>
  <c r="Q280" i="3"/>
  <c r="Q194" i="3"/>
  <c r="Q493" i="3"/>
  <c r="T383" i="3"/>
  <c r="Q78" i="3"/>
  <c r="N281" i="3"/>
  <c r="N99" i="3"/>
  <c r="N432" i="3"/>
  <c r="N533" i="3"/>
  <c r="N558" i="3"/>
  <c r="Q481" i="3"/>
  <c r="N396" i="3"/>
  <c r="Q601" i="3"/>
  <c r="Q275" i="3"/>
  <c r="Q154" i="3"/>
  <c r="T41" i="3"/>
  <c r="N592" i="3"/>
  <c r="Q10" i="3"/>
  <c r="T533" i="3"/>
  <c r="N202" i="3"/>
  <c r="N408" i="3"/>
  <c r="Q439" i="3"/>
  <c r="Q340" i="3"/>
  <c r="Q540" i="3"/>
  <c r="Q57" i="3"/>
  <c r="N441" i="3"/>
  <c r="Q491" i="3"/>
  <c r="T376" i="3"/>
  <c r="T504" i="3"/>
  <c r="Q450" i="3"/>
  <c r="Q258" i="3"/>
  <c r="T133" i="3"/>
  <c r="N292" i="3"/>
  <c r="Q547" i="3"/>
  <c r="T246" i="3"/>
  <c r="T49" i="3"/>
  <c r="Q550" i="3"/>
  <c r="T10" i="3"/>
  <c r="Q173" i="3"/>
  <c r="N38" i="3"/>
  <c r="T230" i="3"/>
  <c r="Q379" i="3"/>
  <c r="Q497" i="3"/>
  <c r="T354" i="3"/>
  <c r="N380" i="3"/>
  <c r="T67" i="3"/>
  <c r="Q460" i="3"/>
  <c r="T282" i="3"/>
  <c r="T142" i="3"/>
  <c r="Q161" i="3"/>
  <c r="T304" i="3"/>
  <c r="N333" i="3"/>
  <c r="N44" i="3"/>
  <c r="T483" i="3"/>
  <c r="Q206" i="3"/>
  <c r="T567" i="3"/>
  <c r="Q145" i="3"/>
  <c r="Q602" i="3"/>
  <c r="N478" i="3"/>
  <c r="Q496" i="3"/>
  <c r="N499" i="3"/>
  <c r="N62" i="3"/>
  <c r="N411" i="3"/>
  <c r="N59" i="3"/>
  <c r="Q257" i="3"/>
  <c r="Q324" i="3"/>
  <c r="T387" i="3"/>
  <c r="N438" i="3"/>
  <c r="Q144" i="3"/>
  <c r="Q524" i="3"/>
  <c r="Q252" i="3"/>
  <c r="Q218" i="3"/>
  <c r="T349" i="3"/>
  <c r="N322" i="3"/>
  <c r="Q537" i="3"/>
  <c r="Q236" i="3"/>
  <c r="Q11" i="3"/>
  <c r="T422" i="3"/>
  <c r="N302" i="3"/>
  <c r="Q429" i="3"/>
  <c r="N13" i="3"/>
  <c r="N587" i="3"/>
  <c r="T187" i="3"/>
  <c r="Q575" i="3"/>
  <c r="Q102" i="3"/>
  <c r="N577" i="3"/>
  <c r="Q420" i="3"/>
  <c r="N528" i="3"/>
  <c r="N175" i="3"/>
  <c r="Q421" i="3"/>
  <c r="T24" i="3"/>
  <c r="N337" i="3"/>
  <c r="N282" i="3"/>
  <c r="T482" i="3"/>
  <c r="Q167" i="3"/>
  <c r="Q470" i="3"/>
  <c r="Q315" i="3"/>
  <c r="T221" i="3"/>
  <c r="N32" i="3"/>
  <c r="Q357" i="3"/>
  <c r="T225" i="3"/>
  <c r="Q247" i="3"/>
  <c r="Q200" i="3"/>
  <c r="N498" i="3"/>
  <c r="N114" i="3"/>
  <c r="T374" i="3"/>
  <c r="N545" i="3"/>
  <c r="Q118" i="3"/>
  <c r="T192" i="3"/>
  <c r="T467" i="3"/>
  <c r="T272" i="3"/>
  <c r="Q414" i="3"/>
  <c r="Q570" i="3"/>
  <c r="N447" i="3"/>
  <c r="N274" i="3"/>
  <c r="T400" i="3"/>
  <c r="Q69" i="3"/>
  <c r="Q115" i="3"/>
  <c r="N88" i="3"/>
  <c r="Q464" i="3"/>
  <c r="Q332" i="3"/>
  <c r="T219" i="3"/>
  <c r="N584" i="3"/>
  <c r="N309" i="3"/>
  <c r="Q343" i="3"/>
  <c r="T536" i="3"/>
  <c r="T182" i="3"/>
  <c r="T184" i="3"/>
  <c r="Q140" i="3"/>
  <c r="N567" i="3"/>
  <c r="T252" i="3"/>
  <c r="Q461" i="3"/>
  <c r="T484" i="3"/>
  <c r="Q576" i="3"/>
  <c r="Q25" i="3"/>
  <c r="Q303" i="3"/>
  <c r="Q426" i="3"/>
  <c r="N260" i="3"/>
  <c r="N501" i="3"/>
  <c r="T520" i="3"/>
  <c r="N601" i="3"/>
  <c r="Q307" i="3"/>
  <c r="Q85" i="3"/>
  <c r="Q505" i="3"/>
  <c r="T539" i="3"/>
  <c r="Q86" i="3"/>
  <c r="T120" i="3"/>
  <c r="Q480" i="3"/>
  <c r="T343" i="3"/>
  <c r="Q52" i="3"/>
  <c r="T284" i="3"/>
  <c r="N414" i="3"/>
  <c r="Q39" i="3"/>
  <c r="N409" i="3"/>
  <c r="Q413" i="3"/>
  <c r="N127" i="3"/>
  <c r="T592" i="3"/>
  <c r="N149" i="3"/>
  <c r="T81" i="3"/>
  <c r="N263" i="3"/>
  <c r="T441" i="3"/>
  <c r="T325" i="3"/>
  <c r="T40" i="3"/>
  <c r="T590" i="3"/>
  <c r="Q501" i="3"/>
  <c r="Q42" i="3"/>
  <c r="N116" i="3"/>
  <c r="N144" i="3"/>
  <c r="Q21" i="3"/>
  <c r="Q449" i="3"/>
  <c r="T562" i="3"/>
  <c r="N517" i="3"/>
  <c r="Q585" i="3"/>
  <c r="T309" i="3"/>
  <c r="Q588" i="3"/>
  <c r="Q483" i="3"/>
  <c r="T526" i="3"/>
  <c r="T86" i="3"/>
  <c r="Q437" i="3"/>
  <c r="Q36" i="3"/>
  <c r="N134" i="3"/>
  <c r="Q579" i="3"/>
  <c r="T283" i="3"/>
  <c r="T487" i="3"/>
  <c r="T156" i="3"/>
  <c r="N97" i="3"/>
  <c r="Q534" i="3"/>
  <c r="T598" i="3"/>
  <c r="T307" i="3"/>
  <c r="T177" i="3"/>
  <c r="Q276" i="3"/>
  <c r="T502" i="3"/>
  <c r="N529" i="3"/>
  <c r="T250" i="3"/>
  <c r="N580" i="3"/>
  <c r="T500" i="3"/>
  <c r="T570" i="3"/>
  <c r="N193" i="3"/>
  <c r="N445" i="3"/>
  <c r="T372" i="3"/>
  <c r="N398" i="3"/>
  <c r="N212" i="3"/>
  <c r="Q291" i="3"/>
  <c r="N491" i="3"/>
  <c r="Q591" i="3"/>
  <c r="N361" i="3"/>
  <c r="T527" i="3"/>
  <c r="Q513" i="3"/>
  <c r="Q164" i="3"/>
  <c r="Q363" i="3"/>
  <c r="T548" i="3"/>
  <c r="Q129" i="3"/>
  <c r="N514" i="3"/>
  <c r="T415" i="3"/>
  <c r="Q320" i="3"/>
  <c r="Q188" i="3"/>
  <c r="N371" i="3"/>
  <c r="T316" i="3"/>
  <c r="N96" i="3"/>
  <c r="T35" i="3"/>
  <c r="T46" i="3"/>
  <c r="N394" i="3"/>
  <c r="Q339" i="3"/>
  <c r="T547" i="3"/>
  <c r="T189" i="3"/>
  <c r="N543" i="3"/>
  <c r="Q214" i="3"/>
  <c r="Q492" i="3"/>
  <c r="T322" i="3"/>
  <c r="N21" i="3"/>
  <c r="Q131" i="3"/>
  <c r="N60" i="3"/>
  <c r="Q457" i="3"/>
  <c r="N182" i="3"/>
  <c r="Q419" i="3"/>
  <c r="N220" i="3"/>
  <c r="Q520" i="3"/>
  <c r="Q311" i="3"/>
  <c r="T363" i="3"/>
  <c r="Q260" i="3"/>
  <c r="N265" i="3"/>
  <c r="Q51" i="3"/>
  <c r="N472" i="3"/>
  <c r="T126" i="3"/>
  <c r="N177" i="3"/>
  <c r="N103" i="3"/>
  <c r="N269" i="3"/>
  <c r="T107" i="3"/>
  <c r="Q189" i="3"/>
  <c r="Q360" i="3"/>
  <c r="N270" i="3"/>
  <c r="N415" i="3"/>
  <c r="T5" i="3"/>
  <c r="N283" i="3"/>
  <c r="Q156" i="3"/>
  <c r="N152" i="3"/>
  <c r="T303" i="3"/>
  <c r="Q597" i="3"/>
  <c r="T6" i="3"/>
  <c r="Q417" i="3"/>
  <c r="N464" i="3"/>
  <c r="T436" i="3"/>
  <c r="T159" i="3"/>
  <c r="Q122" i="3"/>
  <c r="N8" i="3"/>
  <c r="Q137" i="3"/>
  <c r="Q536" i="3"/>
  <c r="Q462" i="3"/>
  <c r="N53" i="3"/>
  <c r="T13" i="3"/>
  <c r="Q330" i="3"/>
  <c r="Q506" i="3"/>
  <c r="N367" i="3"/>
  <c r="Q395" i="3"/>
  <c r="Q553" i="3"/>
  <c r="N129" i="3"/>
  <c r="Q278" i="3"/>
  <c r="T266" i="3"/>
  <c r="T417" i="3"/>
  <c r="T132" i="3"/>
  <c r="Q355" i="3"/>
  <c r="Q62" i="3"/>
  <c r="N412" i="3"/>
  <c r="N418" i="3"/>
  <c r="T449" i="3"/>
  <c r="N299" i="3"/>
  <c r="T488" i="3"/>
  <c r="N362" i="3"/>
  <c r="N69" i="3"/>
  <c r="N74" i="3"/>
  <c r="Q600" i="3"/>
  <c r="Q90" i="3"/>
  <c r="N393" i="3"/>
  <c r="T45" i="3"/>
  <c r="T14" i="3"/>
  <c r="T447" i="3"/>
  <c r="Q88" i="3"/>
  <c r="Q519" i="3"/>
  <c r="T568" i="3"/>
  <c r="T337" i="3"/>
  <c r="T470" i="3"/>
  <c r="N303" i="3"/>
  <c r="Q463" i="3"/>
  <c r="T69" i="3"/>
  <c r="Q197" i="3"/>
  <c r="Q82" i="3"/>
  <c r="Q554" i="3"/>
  <c r="N254" i="3"/>
  <c r="Q397" i="3"/>
  <c r="N54" i="3"/>
  <c r="T360" i="3"/>
  <c r="N557" i="3"/>
  <c r="Q295" i="3"/>
  <c r="Q301" i="3"/>
  <c r="Q489" i="3"/>
  <c r="T443" i="3"/>
  <c r="N391" i="3"/>
  <c r="N598" i="3"/>
  <c r="T238" i="3"/>
  <c r="N85" i="3"/>
  <c r="N291" i="3"/>
  <c r="N294" i="3"/>
  <c r="Q48" i="3"/>
  <c r="Q202" i="3"/>
  <c r="Q468" i="3"/>
  <c r="T593" i="3"/>
  <c r="N226" i="3"/>
  <c r="Q406" i="3"/>
  <c r="T511" i="3"/>
  <c r="T413" i="3"/>
  <c r="T141" i="3"/>
  <c r="Q186" i="3"/>
  <c r="T275" i="3"/>
  <c r="N250" i="3"/>
  <c r="Q239" i="3"/>
  <c r="Q38" i="3"/>
  <c r="T243" i="3"/>
  <c r="Q487" i="3"/>
  <c r="N86" i="3"/>
  <c r="N390" i="3"/>
  <c r="Q556" i="3"/>
  <c r="N211" i="3"/>
  <c r="N439" i="3"/>
  <c r="N321" i="3"/>
  <c r="N159" i="3"/>
  <c r="N530" i="3"/>
  <c r="T65" i="3"/>
  <c r="Q465" i="3"/>
  <c r="N502" i="3"/>
  <c r="N546" i="3"/>
  <c r="T165" i="3"/>
  <c r="Q205" i="3"/>
  <c r="T457" i="3"/>
  <c r="N14" i="3"/>
  <c r="T154" i="3"/>
  <c r="Q98" i="3"/>
  <c r="T301" i="3"/>
  <c r="Q515" i="3"/>
  <c r="N205" i="3"/>
  <c r="T596" i="3"/>
  <c r="Q297" i="3"/>
  <c r="Q182" i="3"/>
  <c r="T576" i="3"/>
  <c r="Q325" i="3"/>
  <c r="Q246" i="3"/>
  <c r="T64" i="3"/>
  <c r="Q418" i="3"/>
  <c r="T445" i="3"/>
  <c r="Q509" i="3"/>
  <c r="N176" i="3"/>
  <c r="Q422" i="3"/>
  <c r="Q84" i="3"/>
  <c r="Q574" i="3"/>
  <c r="Q560" i="3"/>
  <c r="T180" i="3"/>
  <c r="Q577" i="3"/>
  <c r="T302" i="3"/>
  <c r="T17" i="3"/>
  <c r="T514" i="3"/>
  <c r="N188" i="3"/>
  <c r="Q347" i="3"/>
  <c r="N214" i="3"/>
  <c r="Q584" i="3"/>
  <c r="N198" i="3"/>
  <c r="T58" i="3"/>
  <c r="Q274" i="3"/>
  <c r="Q551" i="3"/>
  <c r="N108" i="3"/>
  <c r="T509" i="3"/>
  <c r="T394" i="3"/>
  <c r="N579" i="3"/>
  <c r="Q28" i="3"/>
  <c r="Q430" i="3"/>
  <c r="Q268" i="3"/>
  <c r="Q212" i="3"/>
  <c r="N401" i="3"/>
  <c r="T242" i="3"/>
  <c r="N568" i="3"/>
  <c r="N257" i="3"/>
  <c r="N488" i="3"/>
  <c r="N377" i="3"/>
  <c r="T38" i="3"/>
  <c r="T144" i="3"/>
  <c r="N197" i="3"/>
  <c r="Q44" i="3"/>
  <c r="N318" i="3"/>
  <c r="N285" i="3"/>
  <c r="N296" i="3"/>
  <c r="T103" i="3"/>
  <c r="T550" i="3"/>
  <c r="Q35" i="3"/>
  <c r="T318" i="3"/>
  <c r="N276" i="3"/>
  <c r="T75" i="3"/>
  <c r="T183" i="3"/>
  <c r="Q454" i="3"/>
  <c r="T308" i="3"/>
  <c r="N308" i="3"/>
  <c r="Q56" i="3"/>
  <c r="T448" i="3"/>
  <c r="N426" i="3"/>
  <c r="T497" i="3"/>
  <c r="N231" i="3"/>
  <c r="Q50" i="3"/>
  <c r="T338" i="3"/>
  <c r="T306" i="3"/>
  <c r="T529" i="3"/>
  <c r="Q208" i="3"/>
  <c r="N459" i="3"/>
  <c r="Q87" i="3"/>
  <c r="Q281" i="3"/>
  <c r="Q485" i="3"/>
  <c r="T544" i="3"/>
  <c r="Q272" i="3"/>
  <c r="T206" i="3"/>
  <c r="Q385" i="3"/>
  <c r="Q549" i="3"/>
  <c r="T331" i="3"/>
  <c r="T314" i="3"/>
  <c r="N532" i="3"/>
  <c r="T558" i="3"/>
  <c r="T111" i="3"/>
  <c r="N102" i="3"/>
  <c r="T406" i="3"/>
  <c r="Q399" i="3"/>
  <c r="N124" i="3"/>
  <c r="T240" i="3"/>
  <c r="N329" i="3"/>
  <c r="T317" i="3"/>
  <c r="N300" i="3"/>
  <c r="Q242" i="3"/>
  <c r="T255" i="3"/>
  <c r="Q393" i="3"/>
  <c r="T145" i="3"/>
  <c r="Q109" i="3"/>
  <c r="T99" i="3"/>
  <c r="Q499" i="3"/>
  <c r="T591" i="3"/>
  <c r="T88" i="3"/>
  <c r="N9" i="3"/>
  <c r="T554" i="3"/>
  <c r="N547" i="3"/>
  <c r="T369" i="3"/>
  <c r="Q566" i="3"/>
  <c r="Q262" i="3"/>
  <c r="N199" i="3"/>
  <c r="N76" i="3"/>
  <c r="T329" i="3"/>
  <c r="T521" i="3"/>
  <c r="N35" i="3"/>
  <c r="N290" i="3"/>
  <c r="N185" i="3"/>
  <c r="Q484" i="3"/>
  <c r="Q387" i="3"/>
  <c r="T137" i="3"/>
  <c r="N162" i="3"/>
  <c r="Q74" i="3"/>
  <c r="Q394" i="3"/>
  <c r="Q562" i="3"/>
  <c r="N378" i="3"/>
  <c r="T454" i="3"/>
  <c r="T124" i="3"/>
  <c r="N428" i="3"/>
  <c r="Q364" i="3"/>
  <c r="N538" i="3"/>
  <c r="T101" i="3"/>
  <c r="Q353" i="3"/>
  <c r="T594" i="3"/>
  <c r="N435" i="3"/>
  <c r="N482" i="3"/>
  <c r="T60" i="3"/>
  <c r="T215" i="3"/>
  <c r="N346" i="3"/>
  <c r="T380" i="3"/>
  <c r="T431" i="3"/>
  <c r="Q219" i="3"/>
  <c r="T407" i="3"/>
  <c r="Q196" i="3"/>
  <c r="T505" i="3"/>
  <c r="T164" i="3"/>
  <c r="T475" i="3"/>
  <c r="T359" i="3"/>
  <c r="N597" i="3"/>
  <c r="N163" i="3"/>
  <c r="N440" i="3"/>
  <c r="Q305" i="3"/>
  <c r="Q103" i="3"/>
  <c r="Q321" i="3"/>
  <c r="N258" i="3"/>
  <c r="T148" i="3"/>
  <c r="N442" i="3"/>
  <c r="Q75" i="3"/>
  <c r="Q217" i="3"/>
  <c r="T538" i="3"/>
  <c r="N58" i="3"/>
  <c r="Q365" i="3"/>
  <c r="Q396" i="3"/>
  <c r="T4" i="3"/>
  <c r="Q120" i="3"/>
  <c r="Q416" i="3"/>
  <c r="N145" i="3"/>
  <c r="T589" i="3"/>
  <c r="N298" i="3"/>
  <c r="N484" i="3"/>
  <c r="T542" i="3"/>
  <c r="Q76" i="3"/>
  <c r="T351" i="3"/>
  <c r="Q381" i="3"/>
  <c r="T297" i="3"/>
  <c r="N357" i="3"/>
  <c r="T122" i="3"/>
  <c r="T285" i="3"/>
  <c r="Q66" i="3"/>
  <c r="N553" i="3"/>
  <c r="N320" i="3"/>
  <c r="N462" i="3"/>
  <c r="T259" i="3"/>
  <c r="Q113" i="3"/>
  <c r="T420" i="3"/>
  <c r="N520" i="3"/>
  <c r="Q508" i="3"/>
  <c r="Q351" i="3"/>
  <c r="N474" i="3"/>
  <c r="N585" i="3"/>
  <c r="T574" i="3"/>
  <c r="N485" i="3"/>
  <c r="Q264" i="3"/>
  <c r="T83" i="3"/>
  <c r="N80" i="3"/>
  <c r="T201" i="3"/>
  <c r="T565" i="3"/>
  <c r="T546" i="3"/>
  <c r="Q479" i="3"/>
  <c r="T247" i="3"/>
  <c r="Q427" i="3"/>
  <c r="Q431" i="3"/>
  <c r="T204" i="3"/>
  <c r="T173" i="3"/>
  <c r="T473" i="3"/>
  <c r="T185" i="3"/>
  <c r="T48" i="3"/>
  <c r="Q308" i="3"/>
  <c r="Q445" i="3"/>
  <c r="N312" i="3"/>
  <c r="T579" i="3"/>
  <c r="Q292" i="3"/>
  <c r="Q116" i="3"/>
  <c r="Q512" i="3"/>
  <c r="T66" i="3"/>
  <c r="T464" i="3"/>
  <c r="N195" i="3"/>
  <c r="N22" i="3"/>
  <c r="T112" i="3"/>
  <c r="T263" i="3"/>
  <c r="T310" i="3"/>
  <c r="T268" i="3"/>
  <c r="Q171" i="3"/>
  <c r="T191" i="3"/>
  <c r="N595" i="3"/>
  <c r="T19" i="3"/>
  <c r="Q569" i="3"/>
  <c r="N343" i="3"/>
  <c r="N247" i="3"/>
  <c r="N527" i="3"/>
  <c r="N556" i="3"/>
  <c r="N314" i="3"/>
  <c r="T143" i="3"/>
  <c r="N327" i="3"/>
  <c r="N210" i="3"/>
  <c r="N170" i="3"/>
  <c r="Q362" i="3"/>
  <c r="T463" i="3"/>
  <c r="Q329" i="3"/>
  <c r="Q245" i="3"/>
  <c r="T465" i="3"/>
  <c r="N424" i="3"/>
  <c r="T68" i="3"/>
  <c r="T172" i="3"/>
  <c r="Q552" i="3"/>
  <c r="T410" i="3"/>
  <c r="Q234" i="3"/>
  <c r="T286" i="3"/>
  <c r="T51" i="3"/>
  <c r="Q306" i="3"/>
  <c r="Q40" i="3"/>
  <c r="Q310" i="3"/>
  <c r="Q8" i="3"/>
  <c r="T105" i="3"/>
  <c r="T336" i="3"/>
  <c r="Q518" i="3"/>
  <c r="T362" i="3"/>
  <c r="N139" i="3"/>
  <c r="Q528" i="3"/>
  <c r="T212" i="3"/>
  <c r="Q15" i="3"/>
  <c r="N407" i="3"/>
  <c r="Q26" i="3"/>
  <c r="Q338" i="3"/>
  <c r="T190" i="3"/>
  <c r="T365" i="3"/>
  <c r="N570" i="3"/>
  <c r="T481" i="3"/>
  <c r="N39" i="3"/>
  <c r="Q466" i="3"/>
  <c r="Q141" i="3"/>
  <c r="N284" i="3"/>
  <c r="T429" i="3"/>
  <c r="T477" i="3"/>
  <c r="N382" i="3"/>
  <c r="Q72" i="3"/>
  <c r="T370" i="3"/>
  <c r="N330" i="3"/>
  <c r="T54" i="3"/>
  <c r="Q191" i="3"/>
  <c r="Q101" i="3"/>
  <c r="T332" i="3"/>
  <c r="N121" i="3"/>
  <c r="N363" i="3"/>
  <c r="Q407" i="3"/>
  <c r="T157" i="3"/>
  <c r="N541" i="3"/>
  <c r="T37" i="3"/>
  <c r="T334" i="3"/>
  <c r="T495" i="3"/>
  <c r="N524" i="3"/>
  <c r="Q580" i="3"/>
  <c r="T291" i="3"/>
  <c r="N79" i="3"/>
  <c r="Q573" i="3"/>
  <c r="T577" i="3"/>
  <c r="Q138" i="3"/>
  <c r="N206" i="3"/>
  <c r="N240" i="3"/>
  <c r="N306" i="3"/>
  <c r="N434" i="3"/>
  <c r="N480" i="3"/>
  <c r="T319" i="3"/>
  <c r="N278" i="3"/>
  <c r="Q467" i="3"/>
  <c r="Q344" i="3"/>
  <c r="Q294" i="3"/>
  <c r="Q539" i="3"/>
  <c r="Q477" i="3"/>
  <c r="N559" i="3"/>
  <c r="T228" i="3"/>
  <c r="N519" i="3"/>
  <c r="T563" i="3"/>
  <c r="Q558" i="3"/>
  <c r="Q441" i="3"/>
  <c r="T461" i="3"/>
  <c r="N539" i="3"/>
  <c r="Q412" i="3"/>
  <c r="T364" i="3"/>
  <c r="Q111" i="3"/>
  <c r="T353" i="3"/>
  <c r="T507" i="3"/>
  <c r="Q4" i="3"/>
  <c r="T79" i="3"/>
  <c r="T408" i="3"/>
  <c r="Q555" i="3"/>
  <c r="N223" i="3"/>
  <c r="Q557" i="3"/>
  <c r="N350" i="3"/>
  <c r="Q165" i="3"/>
  <c r="T472" i="3"/>
  <c r="T399" i="3"/>
  <c r="T438" i="3"/>
  <c r="Q244" i="3"/>
  <c r="T531" i="3"/>
  <c r="N140" i="3"/>
  <c r="Q279" i="3"/>
  <c r="T95" i="3"/>
  <c r="N61" i="3"/>
  <c r="Q70" i="3"/>
  <c r="T217" i="3"/>
  <c r="T158" i="3"/>
  <c r="Q104" i="3"/>
  <c r="Q522" i="3"/>
  <c r="N98" i="3"/>
  <c r="T366" i="3"/>
  <c r="T12" i="3"/>
  <c r="N317" i="3"/>
  <c r="T153" i="3"/>
  <c r="N104" i="3"/>
  <c r="Q224" i="3"/>
  <c r="T557" i="3"/>
  <c r="N352" i="3"/>
  <c r="Q369" i="3"/>
  <c r="N404" i="3"/>
  <c r="N262" i="3"/>
  <c r="Q209" i="3"/>
  <c r="T125" i="3"/>
  <c r="N229" i="3"/>
  <c r="Q179" i="3"/>
  <c r="T294" i="3"/>
  <c r="Q590" i="3"/>
  <c r="T16" i="3"/>
  <c r="Q54" i="3"/>
  <c r="T229" i="3"/>
  <c r="N573" i="3"/>
  <c r="N233" i="3"/>
  <c r="Q132" i="3"/>
  <c r="T347" i="3"/>
  <c r="Q229" i="3"/>
  <c r="T209" i="3"/>
  <c r="N335" i="3"/>
  <c r="N470" i="3"/>
  <c r="Q476" i="3"/>
  <c r="N186" i="3"/>
  <c r="T89" i="3"/>
  <c r="N537" i="3"/>
  <c r="N168" i="3"/>
  <c r="T186" i="3"/>
  <c r="N84" i="3"/>
  <c r="Q226" i="3"/>
  <c r="N562" i="3"/>
  <c r="T388" i="3"/>
  <c r="N228" i="3"/>
  <c r="N109" i="3"/>
  <c r="Q198" i="3"/>
  <c r="T196" i="3"/>
  <c r="Q32" i="3"/>
  <c r="Q442" i="3"/>
  <c r="Q453" i="3"/>
  <c r="Q456" i="3"/>
  <c r="Q333" i="3"/>
  <c r="T72" i="3"/>
  <c r="T27" i="3"/>
  <c r="Q29" i="3"/>
  <c r="N326" i="3"/>
  <c r="Q302" i="3"/>
  <c r="Q288" i="3"/>
  <c r="Q238" i="3"/>
  <c r="Q106" i="3"/>
  <c r="T7" i="3"/>
  <c r="T236" i="3"/>
  <c r="Q359" i="3"/>
  <c r="Q498" i="3"/>
  <c r="N493" i="3"/>
  <c r="T114" i="3"/>
  <c r="Q89" i="3"/>
  <c r="Q510" i="3"/>
  <c r="Q337" i="3"/>
  <c r="Q139" i="3"/>
  <c r="N523" i="3"/>
  <c r="N196" i="3"/>
  <c r="N554" i="3"/>
  <c r="Q251" i="3"/>
  <c r="N101" i="3"/>
  <c r="T553" i="3"/>
  <c r="Q346" i="3"/>
  <c r="T169" i="3"/>
  <c r="T271" i="3"/>
  <c r="T155" i="3"/>
  <c r="Q358" i="3"/>
  <c r="T131" i="3"/>
  <c r="N183" i="3"/>
  <c r="T377" i="3"/>
  <c r="T119" i="3"/>
  <c r="N427" i="3"/>
  <c r="Q19" i="3"/>
  <c r="Q568" i="3"/>
  <c r="T52" i="3"/>
  <c r="Q447" i="3"/>
  <c r="Q148" i="3"/>
  <c r="T42" i="3"/>
  <c r="T471" i="3"/>
  <c r="N374" i="3"/>
  <c r="T292" i="3"/>
  <c r="T524" i="3"/>
  <c r="N421" i="3"/>
  <c r="T136" i="3"/>
  <c r="T335" i="3"/>
  <c r="N325" i="3"/>
  <c r="N248" i="3"/>
  <c r="Q20" i="3"/>
  <c r="N81" i="3"/>
  <c r="Q266" i="3"/>
  <c r="N342" i="3"/>
  <c r="Q24" i="3"/>
  <c r="T237" i="3"/>
  <c r="N465" i="3"/>
  <c r="T601" i="3"/>
  <c r="N256" i="3"/>
  <c r="T290" i="3"/>
  <c r="Q500" i="3"/>
  <c r="N46" i="3"/>
  <c r="N403" i="3"/>
  <c r="T248" i="3"/>
  <c r="N241" i="3"/>
  <c r="Q203" i="3"/>
  <c r="N454" i="3"/>
  <c r="T239" i="3"/>
  <c r="T199" i="3"/>
  <c r="N11" i="3"/>
  <c r="Q411" i="3"/>
  <c r="T321" i="3"/>
  <c r="Q546" i="3"/>
  <c r="T264" i="3"/>
  <c r="N293" i="3"/>
  <c r="Q391" i="3"/>
  <c r="Q270" i="3"/>
  <c r="Q548" i="3"/>
  <c r="T537" i="3"/>
  <c r="T599" i="3"/>
  <c r="Q108" i="3"/>
  <c r="T128" i="3"/>
  <c r="T541" i="3"/>
  <c r="T188" i="3"/>
  <c r="Q312" i="3"/>
  <c r="N364" i="3"/>
  <c r="Q544" i="3"/>
  <c r="N82" i="3"/>
  <c r="N397" i="3"/>
  <c r="T586" i="3"/>
  <c r="Q511" i="3"/>
  <c r="N324" i="3"/>
  <c r="Q41" i="3"/>
  <c r="T313" i="3"/>
  <c r="T139" i="3"/>
  <c r="N536" i="3"/>
  <c r="T340" i="3"/>
  <c r="Q180" i="3"/>
  <c r="T339" i="3"/>
  <c r="Q345" i="3"/>
  <c r="Q356" i="3"/>
  <c r="Q285" i="3"/>
  <c r="Q201" i="3"/>
  <c r="N27" i="3"/>
  <c r="Q286" i="3"/>
  <c r="T404" i="3"/>
  <c r="T458" i="3"/>
  <c r="N400" i="3"/>
  <c r="N518" i="3"/>
  <c r="T147" i="3"/>
  <c r="N345" i="3"/>
  <c r="N48" i="3"/>
  <c r="Q571" i="3"/>
  <c r="Q328" i="3"/>
  <c r="T117" i="3"/>
  <c r="Q389" i="3"/>
  <c r="Q545" i="3"/>
  <c r="N41" i="3"/>
  <c r="Q232" i="3"/>
  <c r="T295" i="3"/>
  <c r="Q410" i="3"/>
  <c r="Q376" i="3"/>
  <c r="N6" i="3"/>
  <c r="N122" i="3"/>
  <c r="T289" i="3"/>
  <c r="Q444" i="3"/>
  <c r="T110" i="3"/>
  <c r="Q142" i="3"/>
  <c r="N217" i="3"/>
  <c r="T43" i="3"/>
  <c r="T435" i="3"/>
  <c r="T510" i="3"/>
  <c r="Q436" i="3"/>
  <c r="T223" i="3"/>
  <c r="N261" i="3"/>
  <c r="Q341" i="3"/>
  <c r="Q535" i="3"/>
  <c r="N203" i="3"/>
  <c r="Q241" i="3"/>
  <c r="T149" i="3"/>
  <c r="T440" i="3"/>
  <c r="T494" i="3"/>
  <c r="N143" i="3"/>
  <c r="N469" i="3"/>
  <c r="N43" i="3"/>
  <c r="Q516" i="3"/>
  <c r="Q327" i="3"/>
  <c r="N331" i="3"/>
  <c r="N356" i="3"/>
  <c r="T561" i="3"/>
  <c r="T70" i="3"/>
  <c r="T344" i="3"/>
  <c r="T426" i="3"/>
  <c r="T280" i="3"/>
  <c r="N353" i="3"/>
  <c r="T267" i="3"/>
  <c r="N483" i="3"/>
  <c r="N4" i="3"/>
  <c r="Q368" i="3"/>
  <c r="Q13" i="3"/>
  <c r="Q17" i="3"/>
  <c r="Q523" i="3"/>
  <c r="N549" i="3"/>
  <c r="Q415" i="3"/>
  <c r="T315" i="3"/>
  <c r="T299" i="3"/>
  <c r="N33" i="3"/>
  <c r="N50" i="3"/>
  <c r="N450" i="3"/>
  <c r="N586" i="3"/>
  <c r="T333" i="3"/>
  <c r="T274" i="3"/>
  <c r="T532" i="3"/>
  <c r="N105" i="3"/>
  <c r="Q136" i="3"/>
  <c r="Q157" i="3"/>
  <c r="Q128" i="3"/>
  <c r="Q133" i="3"/>
  <c r="N582" i="3"/>
  <c r="T403" i="3"/>
  <c r="T61" i="3"/>
  <c r="T492" i="3"/>
  <c r="T305" i="3"/>
  <c r="N207" i="3"/>
  <c r="T25" i="3"/>
  <c r="T216" i="3"/>
  <c r="Q504" i="3"/>
  <c r="N37" i="3"/>
  <c r="T409" i="3"/>
  <c r="T241" i="3"/>
  <c r="Q472" i="3"/>
  <c r="T595" i="3"/>
  <c r="T379" i="3"/>
  <c r="T460" i="3"/>
  <c r="N160" i="3"/>
  <c r="T386" i="3"/>
  <c r="T56" i="3"/>
  <c r="T146" i="3"/>
  <c r="Q451" i="3"/>
  <c r="N548" i="3"/>
  <c r="T73" i="3"/>
  <c r="N264" i="3"/>
  <c r="N500" i="3"/>
  <c r="T543" i="3"/>
  <c r="N449" i="3"/>
  <c r="T31" i="3"/>
  <c r="N112" i="3"/>
  <c r="N169" i="3"/>
  <c r="T92" i="3"/>
  <c r="Q117" i="3"/>
  <c r="T233" i="3"/>
  <c r="T451" i="3"/>
  <c r="T279" i="3"/>
  <c r="Q458" i="3"/>
  <c r="Q314" i="3"/>
  <c r="T211" i="3"/>
  <c r="T326" i="3"/>
  <c r="N130" i="3"/>
  <c r="T47" i="3"/>
  <c r="N286" i="3"/>
  <c r="N153" i="3"/>
  <c r="Q170" i="3"/>
  <c r="T518" i="3"/>
  <c r="N555" i="3"/>
  <c r="N507" i="3"/>
  <c r="Q304" i="3"/>
  <c r="N492" i="3"/>
  <c r="Q433" i="3"/>
  <c r="N52" i="3"/>
  <c r="N420" i="3"/>
  <c r="T433" i="3"/>
  <c r="Q350" i="3"/>
  <c r="N30" i="3"/>
  <c r="N301" i="3"/>
  <c r="N148" i="3"/>
  <c r="N552" i="3"/>
  <c r="N287" i="3"/>
  <c r="T213" i="3"/>
  <c r="T499" i="3"/>
  <c r="T402" i="3"/>
  <c r="Q248" i="3"/>
  <c r="T269" i="3"/>
  <c r="Q322" i="3"/>
  <c r="T485" i="3"/>
  <c r="T277" i="3"/>
  <c r="T98" i="3"/>
  <c r="Q372" i="3"/>
  <c r="Q469" i="3"/>
  <c r="N5" i="3"/>
  <c r="Q455" i="3"/>
  <c r="Q282" i="3"/>
  <c r="N141" i="3"/>
  <c r="T94" i="3"/>
  <c r="Q561" i="3"/>
  <c r="N340" i="3"/>
  <c r="Q503" i="3"/>
  <c r="T522" i="3"/>
  <c r="Q401" i="3"/>
  <c r="T357" i="3"/>
  <c r="Q47" i="3"/>
  <c r="N110" i="3"/>
  <c r="T85" i="3"/>
  <c r="T414" i="3"/>
  <c r="N167" i="3"/>
  <c r="Q475" i="3"/>
  <c r="Q249" i="3"/>
  <c r="Q374" i="3"/>
  <c r="T356" i="3"/>
  <c r="Q543" i="3"/>
  <c r="N487" i="3"/>
  <c r="T489" i="3"/>
  <c r="Q59" i="3"/>
  <c r="N128" i="3"/>
  <c r="Q488" i="3"/>
  <c r="N359" i="3"/>
  <c r="N388" i="3"/>
  <c r="Q64" i="3"/>
  <c r="T330" i="3"/>
  <c r="N106" i="3"/>
  <c r="Q6" i="3"/>
  <c r="N15" i="3"/>
  <c r="Q594" i="3"/>
  <c r="T93" i="3"/>
  <c r="T427" i="3"/>
  <c r="N288" i="3"/>
  <c r="T135" i="3"/>
  <c r="T293" i="3"/>
  <c r="N503" i="3"/>
  <c r="Q423" i="3"/>
  <c r="T194" i="3"/>
  <c r="T450" i="3"/>
  <c r="N90" i="3"/>
  <c r="Q263" i="3"/>
  <c r="T249" i="3"/>
  <c r="Q572" i="3"/>
  <c r="N444" i="3"/>
  <c r="T466" i="3"/>
  <c r="T571" i="3"/>
  <c r="Q408" i="3"/>
  <c r="T197" i="3"/>
  <c r="N334" i="3"/>
  <c r="Q3" i="3"/>
  <c r="T207" i="3"/>
  <c r="N521" i="3"/>
  <c r="Q313" i="3"/>
  <c r="T328" i="3"/>
  <c r="Q94" i="3"/>
  <c r="T393" i="3"/>
  <c r="N174" i="3"/>
  <c r="Q77" i="3"/>
  <c r="Q195" i="3"/>
  <c r="Q335" i="3"/>
  <c r="N218" i="3"/>
  <c r="N215" i="3"/>
  <c r="T581" i="3"/>
  <c r="T270" i="3"/>
  <c r="N461" i="3"/>
  <c r="N40" i="3"/>
  <c r="T423" i="3"/>
  <c r="T432" i="3"/>
  <c r="Q45" i="3"/>
  <c r="Q215" i="3"/>
  <c r="N451" i="3"/>
  <c r="T453" i="3"/>
  <c r="N593" i="3"/>
  <c r="T496" i="3"/>
  <c r="T15" i="3"/>
  <c r="N460" i="3"/>
  <c r="Q127" i="3"/>
  <c r="N45" i="3"/>
  <c r="Q405" i="3"/>
  <c r="Q174" i="3"/>
  <c r="T33" i="3"/>
  <c r="Q97" i="3"/>
  <c r="Q530" i="3"/>
  <c r="N531" i="3"/>
  <c r="N516" i="3"/>
  <c r="N252" i="3"/>
  <c r="T371" i="3"/>
  <c r="T396" i="3"/>
  <c r="N599" i="3"/>
  <c r="T256" i="3"/>
  <c r="N566" i="3"/>
  <c r="N234" i="3"/>
  <c r="Q158" i="3"/>
  <c r="Q517" i="3"/>
  <c r="Q559" i="3"/>
  <c r="N387" i="3"/>
  <c r="N87" i="3"/>
  <c r="N490" i="3"/>
  <c r="N386" i="3"/>
  <c r="T181" i="3"/>
  <c r="T74" i="3"/>
  <c r="Q227" i="3"/>
  <c r="N510" i="3"/>
  <c r="N354" i="3"/>
  <c r="T425" i="3"/>
  <c r="N575" i="3"/>
  <c r="N569" i="3"/>
  <c r="T323" i="3"/>
  <c r="T575" i="3"/>
  <c r="T358" i="3"/>
  <c r="N147" i="3"/>
  <c r="Q16" i="3"/>
  <c r="Q147" i="3"/>
  <c r="N574" i="3"/>
  <c r="N111" i="3"/>
  <c r="Q595" i="3"/>
  <c r="Q424" i="3"/>
  <c r="T200" i="3"/>
  <c r="Q204" i="3"/>
  <c r="Q240" i="3"/>
  <c r="N28" i="3"/>
  <c r="N402" i="3"/>
  <c r="T22" i="3"/>
  <c r="T490" i="3"/>
  <c r="T129" i="3"/>
  <c r="N417" i="3"/>
  <c r="Q271" i="3"/>
  <c r="Q124" i="3"/>
  <c r="Q126" i="3"/>
  <c r="N173" i="3"/>
  <c r="N373" i="3"/>
  <c r="N379" i="3"/>
  <c r="N243" i="3"/>
  <c r="T474" i="3"/>
  <c r="N19" i="3"/>
  <c r="Q502" i="3"/>
  <c r="N222" i="3"/>
  <c r="Q434" i="3"/>
  <c r="N18" i="3"/>
  <c r="T288" i="3"/>
  <c r="Q235" i="3"/>
  <c r="N230" i="3"/>
  <c r="N589" i="3"/>
  <c r="Q386" i="3"/>
  <c r="T57" i="3"/>
  <c r="Q521" i="3"/>
  <c r="T312" i="3"/>
  <c r="N511" i="3"/>
  <c r="T491" i="3"/>
  <c r="T375" i="3"/>
  <c r="Q220" i="3"/>
  <c r="N392" i="3"/>
  <c r="Q12" i="3"/>
  <c r="N437" i="3"/>
  <c r="Q435" i="3"/>
  <c r="T53" i="3"/>
  <c r="Q367" i="3"/>
  <c r="N236" i="3"/>
  <c r="T80" i="3"/>
  <c r="N64" i="3"/>
  <c r="T109" i="3"/>
  <c r="T193" i="3"/>
  <c r="N505" i="3"/>
  <c r="Q380" i="3"/>
  <c r="Q178" i="3"/>
  <c r="Q58" i="3"/>
  <c r="N550" i="3"/>
  <c r="T91" i="3"/>
  <c r="N23" i="3"/>
  <c r="Q583" i="3"/>
  <c r="T346" i="3"/>
  <c r="Q531" i="3"/>
  <c r="Q125" i="3"/>
  <c r="Q267" i="3"/>
  <c r="Q225" i="3"/>
  <c r="N369" i="3"/>
  <c r="T62" i="3"/>
  <c r="Q390" i="3"/>
  <c r="N16" i="3"/>
  <c r="T478" i="3"/>
  <c r="N232" i="3"/>
  <c r="T381" i="3"/>
  <c r="Q581" i="3"/>
  <c r="Q83" i="3"/>
  <c r="T175" i="3"/>
  <c r="N473" i="3"/>
  <c r="T179" i="3"/>
  <c r="N94" i="3"/>
  <c r="Q598" i="3"/>
  <c r="N237" i="3"/>
  <c r="T373" i="3"/>
  <c r="T281" i="3"/>
  <c r="N150" i="3"/>
  <c r="N89" i="3"/>
  <c r="Q192" i="3"/>
  <c r="T102" i="3"/>
  <c r="T452" i="3"/>
  <c r="T583" i="3"/>
  <c r="Q119" i="3"/>
  <c r="Q5" i="3"/>
  <c r="N209" i="3"/>
  <c r="Q565" i="3"/>
  <c r="N332" i="3"/>
  <c r="N280" i="3"/>
  <c r="Q438" i="3"/>
  <c r="N51" i="3"/>
  <c r="T87" i="3"/>
  <c r="N416" i="3"/>
  <c r="N583" i="3"/>
  <c r="N266" i="3"/>
  <c r="N213" i="3"/>
  <c r="N319" i="3"/>
  <c r="T341" i="3"/>
  <c r="N581" i="3"/>
  <c r="T8" i="3"/>
  <c r="Q474" i="3"/>
  <c r="T44" i="3"/>
  <c r="N244" i="3"/>
  <c r="N238" i="3"/>
  <c r="N384" i="3"/>
  <c r="T59" i="3"/>
  <c r="T222" i="3"/>
  <c r="T140" i="3"/>
  <c r="N133" i="3"/>
  <c r="Q452" i="3"/>
  <c r="N289" i="3"/>
  <c r="N564" i="3"/>
  <c r="Q99" i="3"/>
  <c r="N78" i="3"/>
  <c r="T534" i="3"/>
  <c r="T602" i="3"/>
  <c r="T350" i="3"/>
  <c r="Q323" i="3"/>
  <c r="T50" i="3"/>
  <c r="Q155" i="3"/>
  <c r="T9" i="3"/>
  <c r="Q443" i="3"/>
  <c r="Q71" i="3"/>
  <c r="N204" i="3"/>
  <c r="T551" i="3"/>
  <c r="N132" i="3"/>
  <c r="T152" i="3"/>
  <c r="T545" i="3"/>
  <c r="Q228" i="3"/>
  <c r="T21" i="3"/>
  <c r="Q578" i="3"/>
  <c r="Q146" i="3"/>
  <c r="T508" i="3"/>
  <c r="Q296" i="3"/>
  <c r="N336" i="3"/>
  <c r="N496" i="3"/>
  <c r="N178" i="3"/>
  <c r="Q298" i="3"/>
  <c r="T253" i="3"/>
  <c r="N71" i="3"/>
  <c r="N273" i="3"/>
  <c r="T462" i="3"/>
  <c r="N47" i="3"/>
  <c r="Q207" i="3"/>
  <c r="N588" i="3"/>
  <c r="Q448" i="3"/>
  <c r="N57" i="3"/>
  <c r="T566" i="3"/>
  <c r="T456" i="3"/>
  <c r="Q289" i="3"/>
  <c r="N7" i="3"/>
  <c r="T231" i="3"/>
  <c r="T3" i="3"/>
  <c r="N271" i="3"/>
  <c r="N208" i="3"/>
  <c r="T210" i="3"/>
  <c r="Q172" i="3"/>
  <c r="T430" i="3"/>
  <c r="T34" i="3"/>
  <c r="T171" i="3"/>
  <c r="Q336" i="3"/>
  <c r="T367" i="3"/>
  <c r="Q586" i="3"/>
  <c r="Q123" i="3"/>
  <c r="Q494" i="3"/>
  <c r="Q230" i="3"/>
  <c r="N295" i="3"/>
  <c r="T214" i="3"/>
  <c r="T174" i="3"/>
  <c r="T160" i="3"/>
  <c r="Q190" i="3"/>
  <c r="Q377" i="3"/>
  <c r="T208" i="3"/>
  <c r="T468" i="3"/>
  <c r="Q53" i="3"/>
  <c r="N20" i="3"/>
  <c r="T519" i="3"/>
  <c r="N246" i="3"/>
  <c r="N349" i="3"/>
  <c r="N157" i="3"/>
  <c r="N68" i="3"/>
  <c r="Q300" i="3"/>
  <c r="Q331" i="3"/>
  <c r="Q237" i="3"/>
  <c r="N347" i="3"/>
  <c r="N348" i="3"/>
  <c r="T580" i="3"/>
  <c r="N100" i="3"/>
  <c r="T138" i="3"/>
  <c r="T469" i="3"/>
  <c r="N542" i="3"/>
  <c r="T569" i="3"/>
  <c r="N55" i="3"/>
  <c r="N91" i="3"/>
  <c r="T361" i="3"/>
  <c r="T324" i="3"/>
  <c r="T540" i="3"/>
  <c r="N476" i="3"/>
  <c r="N446" i="3"/>
  <c r="T232" i="3"/>
  <c r="T300" i="3"/>
  <c r="N142" i="3"/>
  <c r="N413" i="3"/>
  <c r="N310" i="3"/>
  <c r="Q354" i="3"/>
  <c r="Q318" i="3"/>
  <c r="T476" i="3"/>
  <c r="T195" i="3"/>
  <c r="N494" i="3"/>
  <c r="N10" i="3"/>
  <c r="N192" i="3"/>
  <c r="Q349" i="3"/>
  <c r="Q378" i="3"/>
  <c r="N77" i="3"/>
  <c r="Q14" i="3"/>
  <c r="N551" i="3"/>
  <c r="Q80" i="3"/>
  <c r="T130" i="3"/>
  <c r="T287" i="3"/>
  <c r="Q233" i="3"/>
  <c r="Q425" i="3"/>
  <c r="N467" i="3"/>
  <c r="Q403" i="3"/>
  <c r="N468" i="3"/>
  <c r="T382" i="3"/>
  <c r="T254" i="3"/>
  <c r="X10" i="4" l="1"/>
  <c r="X6" i="4"/>
  <c r="X14" i="4"/>
  <c r="X5" i="4"/>
  <c r="X9" i="4"/>
  <c r="X17" i="4"/>
  <c r="X29" i="4"/>
  <c r="X4" i="4"/>
  <c r="X8" i="4"/>
  <c r="X12" i="4"/>
  <c r="X16" i="4"/>
  <c r="X20" i="4"/>
  <c r="X24" i="4"/>
  <c r="X28" i="4"/>
  <c r="X32" i="4"/>
  <c r="X36" i="4"/>
  <c r="X40" i="4"/>
  <c r="X44" i="4"/>
  <c r="X48" i="4"/>
  <c r="X52" i="4"/>
  <c r="X56" i="4"/>
  <c r="X60" i="4"/>
  <c r="X64" i="4"/>
  <c r="X68" i="4"/>
  <c r="X72" i="4"/>
  <c r="X76" i="4"/>
  <c r="X80" i="4"/>
  <c r="X84" i="4"/>
  <c r="X88" i="4"/>
  <c r="X92" i="4"/>
  <c r="X96" i="4"/>
  <c r="X100" i="4"/>
  <c r="X104" i="4"/>
  <c r="X108" i="4"/>
  <c r="X112" i="4"/>
  <c r="X116" i="4"/>
  <c r="X120" i="4"/>
  <c r="X124" i="4"/>
  <c r="X128" i="4"/>
  <c r="X132" i="4"/>
  <c r="X136" i="4"/>
  <c r="X140" i="4"/>
  <c r="X144" i="4"/>
  <c r="X148" i="4"/>
  <c r="X157" i="4"/>
  <c r="X165" i="4"/>
  <c r="X173" i="4"/>
  <c r="X181" i="4"/>
  <c r="X26" i="4"/>
  <c r="X21" i="4"/>
  <c r="X25" i="4"/>
  <c r="X33" i="4"/>
  <c r="X37" i="4"/>
  <c r="X7" i="4"/>
  <c r="X11" i="4"/>
  <c r="X15" i="4"/>
  <c r="X19" i="4"/>
  <c r="X23" i="4"/>
  <c r="X27" i="4"/>
  <c r="X31" i="4"/>
  <c r="X35" i="4"/>
  <c r="X39" i="4"/>
  <c r="X43" i="4"/>
  <c r="X47" i="4"/>
  <c r="X51" i="4"/>
  <c r="X55" i="4"/>
  <c r="X59" i="4"/>
  <c r="X63" i="4"/>
  <c r="X67" i="4"/>
  <c r="X71" i="4"/>
  <c r="X75" i="4"/>
  <c r="X79" i="4"/>
  <c r="X83" i="4"/>
  <c r="X87" i="4"/>
  <c r="X91" i="4"/>
  <c r="X95" i="4"/>
  <c r="X99" i="4"/>
  <c r="X103" i="4"/>
  <c r="X107" i="4"/>
  <c r="X111" i="4"/>
  <c r="X115" i="4"/>
  <c r="X119" i="4"/>
  <c r="X123" i="4"/>
  <c r="X127" i="4"/>
  <c r="X131" i="4"/>
  <c r="X135" i="4"/>
  <c r="X139" i="4"/>
  <c r="X143" i="4"/>
  <c r="X147" i="4"/>
  <c r="X156" i="4"/>
  <c r="X164" i="4"/>
  <c r="X172" i="4"/>
  <c r="X180" i="4"/>
  <c r="X18" i="4"/>
  <c r="X22" i="4"/>
  <c r="X30" i="4"/>
  <c r="X34" i="4"/>
  <c r="X38" i="4"/>
  <c r="X42" i="4"/>
  <c r="X46" i="4"/>
  <c r="X50" i="4"/>
  <c r="X54" i="4"/>
  <c r="X58" i="4"/>
  <c r="X62" i="4"/>
  <c r="X66" i="4"/>
  <c r="X70" i="4"/>
  <c r="X74" i="4"/>
  <c r="X78" i="4"/>
  <c r="X82" i="4"/>
  <c r="X86" i="4"/>
  <c r="X90" i="4"/>
  <c r="X94" i="4"/>
  <c r="X98" i="4"/>
  <c r="X102" i="4"/>
  <c r="X106" i="4"/>
  <c r="X110" i="4"/>
  <c r="X114" i="4"/>
  <c r="X118" i="4"/>
  <c r="X122" i="4"/>
  <c r="X126" i="4"/>
  <c r="X130" i="4"/>
  <c r="X134" i="4"/>
  <c r="X138" i="4"/>
  <c r="X142" i="4"/>
  <c r="X146" i="4"/>
  <c r="X153" i="4"/>
  <c r="X161" i="4"/>
  <c r="X169" i="4"/>
  <c r="X177" i="4"/>
  <c r="X185" i="4"/>
  <c r="X13" i="4"/>
  <c r="X41" i="4"/>
  <c r="X45" i="4"/>
  <c r="X49" i="4"/>
  <c r="X53" i="4"/>
  <c r="X57" i="4"/>
  <c r="X61" i="4"/>
  <c r="X65" i="4"/>
  <c r="X69" i="4"/>
  <c r="X73" i="4"/>
  <c r="X77" i="4"/>
  <c r="X81" i="4"/>
  <c r="X85" i="4"/>
  <c r="X89" i="4"/>
  <c r="X93" i="4"/>
  <c r="X97" i="4"/>
  <c r="X101" i="4"/>
  <c r="X105" i="4"/>
  <c r="X109" i="4"/>
  <c r="X113" i="4"/>
  <c r="X117" i="4"/>
  <c r="X121" i="4"/>
  <c r="X125" i="4"/>
  <c r="X129" i="4"/>
  <c r="X133" i="4"/>
  <c r="X137" i="4"/>
  <c r="X141" i="4"/>
  <c r="X145" i="4"/>
  <c r="X149" i="4"/>
  <c r="X152" i="4"/>
  <c r="X160" i="4"/>
  <c r="X168" i="4"/>
  <c r="X176" i="4"/>
  <c r="X184" i="4"/>
  <c r="X151" i="4"/>
  <c r="X155" i="4"/>
  <c r="X159" i="4"/>
  <c r="X163" i="4"/>
  <c r="X167" i="4"/>
  <c r="X171" i="4"/>
  <c r="X175" i="4"/>
  <c r="X179" i="4"/>
  <c r="X183" i="4"/>
  <c r="X187" i="4"/>
  <c r="X191" i="4"/>
  <c r="X195" i="4"/>
  <c r="X199" i="4"/>
  <c r="X203" i="4"/>
  <c r="X207" i="4"/>
  <c r="X211" i="4"/>
  <c r="X215" i="4"/>
  <c r="X219" i="4"/>
  <c r="X223" i="4"/>
  <c r="X227" i="4"/>
  <c r="X231" i="4"/>
  <c r="X235" i="4"/>
  <c r="X239" i="4"/>
  <c r="X243" i="4"/>
  <c r="X247" i="4"/>
  <c r="X251" i="4"/>
  <c r="X255" i="4"/>
  <c r="X259" i="4"/>
  <c r="X263" i="4"/>
  <c r="X267" i="4"/>
  <c r="X271" i="4"/>
  <c r="X281" i="4"/>
  <c r="X289" i="4"/>
  <c r="X297" i="4"/>
  <c r="X305" i="4"/>
  <c r="X313" i="4"/>
  <c r="X150" i="4"/>
  <c r="X154" i="4"/>
  <c r="X158" i="4"/>
  <c r="X162" i="4"/>
  <c r="X166" i="4"/>
  <c r="X170" i="4"/>
  <c r="X174" i="4"/>
  <c r="X178" i="4"/>
  <c r="X182" i="4"/>
  <c r="X186" i="4"/>
  <c r="X190" i="4"/>
  <c r="X194" i="4"/>
  <c r="X198" i="4"/>
  <c r="X202" i="4"/>
  <c r="X206" i="4"/>
  <c r="X210" i="4"/>
  <c r="X214" i="4"/>
  <c r="X218" i="4"/>
  <c r="X222" i="4"/>
  <c r="X226" i="4"/>
  <c r="X230" i="4"/>
  <c r="X234" i="4"/>
  <c r="X238" i="4"/>
  <c r="X242" i="4"/>
  <c r="X246" i="4"/>
  <c r="X250" i="4"/>
  <c r="X254" i="4"/>
  <c r="X258" i="4"/>
  <c r="X262" i="4"/>
  <c r="X266" i="4"/>
  <c r="X270" i="4"/>
  <c r="X280" i="4"/>
  <c r="X288" i="4"/>
  <c r="X296" i="4"/>
  <c r="X304" i="4"/>
  <c r="X312" i="4"/>
  <c r="X189" i="4"/>
  <c r="X193" i="4"/>
  <c r="X197" i="4"/>
  <c r="X201" i="4"/>
  <c r="X205" i="4"/>
  <c r="X209" i="4"/>
  <c r="X213" i="4"/>
  <c r="X217" i="4"/>
  <c r="X221" i="4"/>
  <c r="X225" i="4"/>
  <c r="X229" i="4"/>
  <c r="X233" i="4"/>
  <c r="X237" i="4"/>
  <c r="X241" i="4"/>
  <c r="X245" i="4"/>
  <c r="X249" i="4"/>
  <c r="X253" i="4"/>
  <c r="X257" i="4"/>
  <c r="X261" i="4"/>
  <c r="X265" i="4"/>
  <c r="X269" i="4"/>
  <c r="X273" i="4"/>
  <c r="X277" i="4"/>
  <c r="X285" i="4"/>
  <c r="X293" i="4"/>
  <c r="X301" i="4"/>
  <c r="X309" i="4"/>
  <c r="X317" i="4"/>
  <c r="X188" i="4"/>
  <c r="X192" i="4"/>
  <c r="X196" i="4"/>
  <c r="X200" i="4"/>
  <c r="X204" i="4"/>
  <c r="X208" i="4"/>
  <c r="X212" i="4"/>
  <c r="X216" i="4"/>
  <c r="X220" i="4"/>
  <c r="X224" i="4"/>
  <c r="X228" i="4"/>
  <c r="X232" i="4"/>
  <c r="X236" i="4"/>
  <c r="X240" i="4"/>
  <c r="X244" i="4"/>
  <c r="X248" i="4"/>
  <c r="X252" i="4"/>
  <c r="X256" i="4"/>
  <c r="X260" i="4"/>
  <c r="X264" i="4"/>
  <c r="X268" i="4"/>
  <c r="X272" i="4"/>
  <c r="X276" i="4"/>
  <c r="X284" i="4"/>
  <c r="X292" i="4"/>
  <c r="X300" i="4"/>
  <c r="X308" i="4"/>
  <c r="X316" i="4"/>
  <c r="X275" i="4"/>
  <c r="X279" i="4"/>
  <c r="X283" i="4"/>
  <c r="X287" i="4"/>
  <c r="X291" i="4"/>
  <c r="X295" i="4"/>
  <c r="X299" i="4"/>
  <c r="X303" i="4"/>
  <c r="X307" i="4"/>
  <c r="X311" i="4"/>
  <c r="X315" i="4"/>
  <c r="X319" i="4"/>
  <c r="X323" i="4"/>
  <c r="X327" i="4"/>
  <c r="X331" i="4"/>
  <c r="X335" i="4"/>
  <c r="X339" i="4"/>
  <c r="X343" i="4"/>
  <c r="X347" i="4"/>
  <c r="X351" i="4"/>
  <c r="X355" i="4"/>
  <c r="X359" i="4"/>
  <c r="X363" i="4"/>
  <c r="X367" i="4"/>
  <c r="X371" i="4"/>
  <c r="X375" i="4"/>
  <c r="X379" i="4"/>
  <c r="X383" i="4"/>
  <c r="X387" i="4"/>
  <c r="X391" i="4"/>
  <c r="X395" i="4"/>
  <c r="X399" i="4"/>
  <c r="X407" i="4"/>
  <c r="X415" i="4"/>
  <c r="X423" i="4"/>
  <c r="X431" i="4"/>
  <c r="X439" i="4"/>
  <c r="X274" i="4"/>
  <c r="X278" i="4"/>
  <c r="X282" i="4"/>
  <c r="X286" i="4"/>
  <c r="X290" i="4"/>
  <c r="X294" i="4"/>
  <c r="X298" i="4"/>
  <c r="X302" i="4"/>
  <c r="X306" i="4"/>
  <c r="X310" i="4"/>
  <c r="X314" i="4"/>
  <c r="X318" i="4"/>
  <c r="X322" i="4"/>
  <c r="X326" i="4"/>
  <c r="X330" i="4"/>
  <c r="X334" i="4"/>
  <c r="X338" i="4"/>
  <c r="X342" i="4"/>
  <c r="X346" i="4"/>
  <c r="X350" i="4"/>
  <c r="X354" i="4"/>
  <c r="X358" i="4"/>
  <c r="X362" i="4"/>
  <c r="X366" i="4"/>
  <c r="X370" i="4"/>
  <c r="X374" i="4"/>
  <c r="X378" i="4"/>
  <c r="X382" i="4"/>
  <c r="X386" i="4"/>
  <c r="X390" i="4"/>
  <c r="X394" i="4"/>
  <c r="X398" i="4"/>
  <c r="X406" i="4"/>
  <c r="X414" i="4"/>
  <c r="X422" i="4"/>
  <c r="X430" i="4"/>
  <c r="X438" i="4"/>
  <c r="X321" i="4"/>
  <c r="X325" i="4"/>
  <c r="X329" i="4"/>
  <c r="X333" i="4"/>
  <c r="X337" i="4"/>
  <c r="X341" i="4"/>
  <c r="X345" i="4"/>
  <c r="X349" i="4"/>
  <c r="X353" i="4"/>
  <c r="X357" i="4"/>
  <c r="X361" i="4"/>
  <c r="X365" i="4"/>
  <c r="X369" i="4"/>
  <c r="X373" i="4"/>
  <c r="X377" i="4"/>
  <c r="X381" i="4"/>
  <c r="X385" i="4"/>
  <c r="X389" i="4"/>
  <c r="X393" i="4"/>
  <c r="X397" i="4"/>
  <c r="X403" i="4"/>
  <c r="X411" i="4"/>
  <c r="X419" i="4"/>
  <c r="X427" i="4"/>
  <c r="X435" i="4"/>
  <c r="X320" i="4"/>
  <c r="X324" i="4"/>
  <c r="X328" i="4"/>
  <c r="X332" i="4"/>
  <c r="X336" i="4"/>
  <c r="X340" i="4"/>
  <c r="X344" i="4"/>
  <c r="X348" i="4"/>
  <c r="X352" i="4"/>
  <c r="X356" i="4"/>
  <c r="X360" i="4"/>
  <c r="X364" i="4"/>
  <c r="X368" i="4"/>
  <c r="X372" i="4"/>
  <c r="X376" i="4"/>
  <c r="X380" i="4"/>
  <c r="X384" i="4"/>
  <c r="X388" i="4"/>
  <c r="X392" i="4"/>
  <c r="X396" i="4"/>
  <c r="X402" i="4"/>
  <c r="X410" i="4"/>
  <c r="X418" i="4"/>
  <c r="X426" i="4"/>
  <c r="X434" i="4"/>
  <c r="X401" i="4"/>
  <c r="X405" i="4"/>
  <c r="X409" i="4"/>
  <c r="X413" i="4"/>
  <c r="X417" i="4"/>
  <c r="X421" i="4"/>
  <c r="X425" i="4"/>
  <c r="X429" i="4"/>
  <c r="X433" i="4"/>
  <c r="X437" i="4"/>
  <c r="X441" i="4"/>
  <c r="X444" i="4"/>
  <c r="X452" i="4"/>
  <c r="X460" i="4"/>
  <c r="X468" i="4"/>
  <c r="X476" i="4"/>
  <c r="X484" i="4"/>
  <c r="X492" i="4"/>
  <c r="X496" i="4"/>
  <c r="X498" i="4"/>
  <c r="X400" i="4"/>
  <c r="X404" i="4"/>
  <c r="X408" i="4"/>
  <c r="X412" i="4"/>
  <c r="X416" i="4"/>
  <c r="X420" i="4"/>
  <c r="X424" i="4"/>
  <c r="X428" i="4"/>
  <c r="X432" i="4"/>
  <c r="X436" i="4"/>
  <c r="X440" i="4"/>
  <c r="X450" i="4"/>
  <c r="X458" i="4"/>
  <c r="X466" i="4"/>
  <c r="X474" i="4"/>
  <c r="X482" i="4"/>
  <c r="X490" i="4"/>
  <c r="X448" i="4"/>
  <c r="X456" i="4"/>
  <c r="X464" i="4"/>
  <c r="X472" i="4"/>
  <c r="X480" i="4"/>
  <c r="X488" i="4"/>
  <c r="X442" i="4"/>
  <c r="X446" i="4"/>
  <c r="X454" i="4"/>
  <c r="X462" i="4"/>
  <c r="X470" i="4"/>
  <c r="X478" i="4"/>
  <c r="X486" i="4"/>
  <c r="X494" i="4"/>
  <c r="X502" i="4"/>
  <c r="X443" i="4"/>
  <c r="X447" i="4"/>
  <c r="X451" i="4"/>
  <c r="X455" i="4"/>
  <c r="X459" i="4"/>
  <c r="X463" i="4"/>
  <c r="X467" i="4"/>
  <c r="X471" i="4"/>
  <c r="X475" i="4"/>
  <c r="X479" i="4"/>
  <c r="X483" i="4"/>
  <c r="X487" i="4"/>
  <c r="X491" i="4"/>
  <c r="X504" i="4"/>
  <c r="X512" i="4"/>
  <c r="X520" i="4"/>
  <c r="X528" i="4"/>
  <c r="X510" i="4"/>
  <c r="X518" i="4"/>
  <c r="X526" i="4"/>
  <c r="X540" i="4"/>
  <c r="X445" i="4"/>
  <c r="X449" i="4"/>
  <c r="X453" i="4"/>
  <c r="X457" i="4"/>
  <c r="X461" i="4"/>
  <c r="X465" i="4"/>
  <c r="X469" i="4"/>
  <c r="X473" i="4"/>
  <c r="X477" i="4"/>
  <c r="X481" i="4"/>
  <c r="X485" i="4"/>
  <c r="X489" i="4"/>
  <c r="X493" i="4"/>
  <c r="X495" i="4"/>
  <c r="X500" i="4"/>
  <c r="X508" i="4"/>
  <c r="X516" i="4"/>
  <c r="X524" i="4"/>
  <c r="X536" i="4"/>
  <c r="X506" i="4"/>
  <c r="X514" i="4"/>
  <c r="X522" i="4"/>
  <c r="X530" i="4"/>
  <c r="X532" i="4"/>
  <c r="X499" i="4"/>
  <c r="X503" i="4"/>
  <c r="X507" i="4"/>
  <c r="X511" i="4"/>
  <c r="X515" i="4"/>
  <c r="X519" i="4"/>
  <c r="X523" i="4"/>
  <c r="X527" i="4"/>
  <c r="X533" i="4"/>
  <c r="X541" i="4"/>
  <c r="X549" i="4"/>
  <c r="X557" i="4"/>
  <c r="X565" i="4"/>
  <c r="X573" i="4"/>
  <c r="X581" i="4"/>
  <c r="X589" i="4"/>
  <c r="X597" i="4"/>
  <c r="X548" i="4"/>
  <c r="X556" i="4"/>
  <c r="X564" i="4"/>
  <c r="X572" i="4"/>
  <c r="X580" i="4"/>
  <c r="X588" i="4"/>
  <c r="X596" i="4"/>
  <c r="X497" i="4"/>
  <c r="X501" i="4"/>
  <c r="X505" i="4"/>
  <c r="X509" i="4"/>
  <c r="X513" i="4"/>
  <c r="X517" i="4"/>
  <c r="X521" i="4"/>
  <c r="X525" i="4"/>
  <c r="X529" i="4"/>
  <c r="X537" i="4"/>
  <c r="X545" i="4"/>
  <c r="X553" i="4"/>
  <c r="X561" i="4"/>
  <c r="X569" i="4"/>
  <c r="X577" i="4"/>
  <c r="X585" i="4"/>
  <c r="X593" i="4"/>
  <c r="X602" i="4"/>
  <c r="X544" i="4"/>
  <c r="X552" i="4"/>
  <c r="X560" i="4"/>
  <c r="X568" i="4"/>
  <c r="X576" i="4"/>
  <c r="X584" i="4"/>
  <c r="X592" i="4"/>
  <c r="X601" i="4"/>
  <c r="X531" i="4"/>
  <c r="X535" i="4"/>
  <c r="X539" i="4"/>
  <c r="X543" i="4"/>
  <c r="X547" i="4"/>
  <c r="X551" i="4"/>
  <c r="X555" i="4"/>
  <c r="X559" i="4"/>
  <c r="X563" i="4"/>
  <c r="X567" i="4"/>
  <c r="X571" i="4"/>
  <c r="X575" i="4"/>
  <c r="X579" i="4"/>
  <c r="X583" i="4"/>
  <c r="X587" i="4"/>
  <c r="X591" i="4"/>
  <c r="X595" i="4"/>
  <c r="X599" i="4"/>
  <c r="X600" i="4"/>
  <c r="X534" i="4"/>
  <c r="X538" i="4"/>
  <c r="X542" i="4"/>
  <c r="X546" i="4"/>
  <c r="X550" i="4"/>
  <c r="X554" i="4"/>
  <c r="X558" i="4"/>
  <c r="X562" i="4"/>
  <c r="X566" i="4"/>
  <c r="X570" i="4"/>
  <c r="X574" i="4"/>
  <c r="X578" i="4"/>
  <c r="X582" i="4"/>
  <c r="X586" i="4"/>
  <c r="X590" i="4"/>
  <c r="X594" i="4"/>
  <c r="X598" i="4"/>
  <c r="W3" i="4"/>
  <c r="W591" i="4"/>
  <c r="W575" i="4"/>
  <c r="W559" i="4"/>
  <c r="W543" i="4"/>
  <c r="W527" i="4"/>
  <c r="W468" i="4"/>
  <c r="W587" i="4"/>
  <c r="W571" i="4"/>
  <c r="W555" i="4"/>
  <c r="W539" i="4"/>
  <c r="W523" i="4"/>
  <c r="W506" i="4"/>
  <c r="W484" i="4"/>
  <c r="W463" i="4"/>
  <c r="W511" i="4"/>
  <c r="W599" i="4"/>
  <c r="W583" i="4"/>
  <c r="W567" i="4"/>
  <c r="W551" i="4"/>
  <c r="W535" i="4"/>
  <c r="W519" i="4"/>
  <c r="W500" i="4"/>
  <c r="W479" i="4"/>
  <c r="W458" i="4"/>
  <c r="W490" i="4"/>
  <c r="W595" i="4"/>
  <c r="W579" i="4"/>
  <c r="W563" i="4"/>
  <c r="W547" i="4"/>
  <c r="W531" i="4"/>
  <c r="W515" i="4"/>
  <c r="W495" i="4"/>
  <c r="W474" i="4"/>
  <c r="W330" i="4"/>
  <c r="W452" i="4"/>
  <c r="W447" i="4"/>
  <c r="W442" i="4"/>
  <c r="W436" i="4"/>
  <c r="W431" i="4"/>
  <c r="W426" i="4"/>
  <c r="W418" i="4"/>
  <c r="W410" i="4"/>
  <c r="W402" i="4"/>
  <c r="W394" i="4"/>
  <c r="W386" i="4"/>
  <c r="W378" i="4"/>
  <c r="W370" i="4"/>
  <c r="W362" i="4"/>
  <c r="W354" i="4"/>
  <c r="W346" i="4"/>
  <c r="W338" i="4"/>
  <c r="W322" i="4"/>
  <c r="W314" i="4"/>
  <c r="W306" i="4"/>
  <c r="W298" i="4"/>
  <c r="W290" i="4"/>
  <c r="W282" i="4"/>
  <c r="W274" i="4"/>
  <c r="W266" i="4"/>
  <c r="W258" i="4"/>
  <c r="W250" i="4"/>
  <c r="W242" i="4"/>
  <c r="W234" i="4"/>
  <c r="W226" i="4"/>
  <c r="W218" i="4"/>
  <c r="W210" i="4"/>
  <c r="W202" i="4"/>
  <c r="W194" i="4"/>
  <c r="W186" i="4"/>
  <c r="W178" i="4"/>
  <c r="W163" i="4"/>
  <c r="W147" i="4"/>
  <c r="W131" i="4"/>
  <c r="W115" i="4"/>
  <c r="W99" i="4"/>
  <c r="W83" i="4"/>
  <c r="W67" i="4"/>
  <c r="W51" i="4"/>
  <c r="W35" i="4"/>
  <c r="W19" i="4"/>
  <c r="W602" i="4"/>
  <c r="W598" i="4"/>
  <c r="W594" i="4"/>
  <c r="W590" i="4"/>
  <c r="W586" i="4"/>
  <c r="W582" i="4"/>
  <c r="W578" i="4"/>
  <c r="W574" i="4"/>
  <c r="W570" i="4"/>
  <c r="W566" i="4"/>
  <c r="W562" i="4"/>
  <c r="W558" i="4"/>
  <c r="W554" i="4"/>
  <c r="W550" i="4"/>
  <c r="W546" i="4"/>
  <c r="W542" i="4"/>
  <c r="W538" i="4"/>
  <c r="W534" i="4"/>
  <c r="W530" i="4"/>
  <c r="W526" i="4"/>
  <c r="W522" i="4"/>
  <c r="W518" i="4"/>
  <c r="W514" i="4"/>
  <c r="W510" i="4"/>
  <c r="W504" i="4"/>
  <c r="W499" i="4"/>
  <c r="W494" i="4"/>
  <c r="W488" i="4"/>
  <c r="W483" i="4"/>
  <c r="W478" i="4"/>
  <c r="W472" i="4"/>
  <c r="W467" i="4"/>
  <c r="W462" i="4"/>
  <c r="W456" i="4"/>
  <c r="W451" i="4"/>
  <c r="W446" i="4"/>
  <c r="W440" i="4"/>
  <c r="W435" i="4"/>
  <c r="W430" i="4"/>
  <c r="W423" i="4"/>
  <c r="W415" i="4"/>
  <c r="W407" i="4"/>
  <c r="W399" i="4"/>
  <c r="W391" i="4"/>
  <c r="W383" i="4"/>
  <c r="W375" i="4"/>
  <c r="W367" i="4"/>
  <c r="W359" i="4"/>
  <c r="W351" i="4"/>
  <c r="W343" i="4"/>
  <c r="W335" i="4"/>
  <c r="W327" i="4"/>
  <c r="W319" i="4"/>
  <c r="W311" i="4"/>
  <c r="W303" i="4"/>
  <c r="W295" i="4"/>
  <c r="W287" i="4"/>
  <c r="W279" i="4"/>
  <c r="W271" i="4"/>
  <c r="W263" i="4"/>
  <c r="W255" i="4"/>
  <c r="W247" i="4"/>
  <c r="W239" i="4"/>
  <c r="W231" i="4"/>
  <c r="W223" i="4"/>
  <c r="W215" i="4"/>
  <c r="W207" i="4"/>
  <c r="W199" i="4"/>
  <c r="W191" i="4"/>
  <c r="W183" i="4"/>
  <c r="W175" i="4"/>
  <c r="W159" i="4"/>
  <c r="W143" i="4"/>
  <c r="W127" i="4"/>
  <c r="W111" i="4"/>
  <c r="W95" i="4"/>
  <c r="W79" i="4"/>
  <c r="W63" i="4"/>
  <c r="W47" i="4"/>
  <c r="W31" i="4"/>
  <c r="W15" i="4"/>
  <c r="W601" i="4"/>
  <c r="W597" i="4"/>
  <c r="W593" i="4"/>
  <c r="W589" i="4"/>
  <c r="W585" i="4"/>
  <c r="W581" i="4"/>
  <c r="W577" i="4"/>
  <c r="W573" i="4"/>
  <c r="W569" i="4"/>
  <c r="W565" i="4"/>
  <c r="W561" i="4"/>
  <c r="W557" i="4"/>
  <c r="W553" i="4"/>
  <c r="W549" i="4"/>
  <c r="W545" i="4"/>
  <c r="W541" i="4"/>
  <c r="W537" i="4"/>
  <c r="W533" i="4"/>
  <c r="W529" i="4"/>
  <c r="W525" i="4"/>
  <c r="W521" i="4"/>
  <c r="W517" i="4"/>
  <c r="W513" i="4"/>
  <c r="W508" i="4"/>
  <c r="W503" i="4"/>
  <c r="W498" i="4"/>
  <c r="W492" i="4"/>
  <c r="W487" i="4"/>
  <c r="W482" i="4"/>
  <c r="W476" i="4"/>
  <c r="W471" i="4"/>
  <c r="W466" i="4"/>
  <c r="W460" i="4"/>
  <c r="W455" i="4"/>
  <c r="W450" i="4"/>
  <c r="W444" i="4"/>
  <c r="W439" i="4"/>
  <c r="W434" i="4"/>
  <c r="W428" i="4"/>
  <c r="W422" i="4"/>
  <c r="W414" i="4"/>
  <c r="W406" i="4"/>
  <c r="W398" i="4"/>
  <c r="W390" i="4"/>
  <c r="W382" i="4"/>
  <c r="W374" i="4"/>
  <c r="W366" i="4"/>
  <c r="W358" i="4"/>
  <c r="W350" i="4"/>
  <c r="W342" i="4"/>
  <c r="W334" i="4"/>
  <c r="W326" i="4"/>
  <c r="W318" i="4"/>
  <c r="W310" i="4"/>
  <c r="W302" i="4"/>
  <c r="W294" i="4"/>
  <c r="W286" i="4"/>
  <c r="W278" i="4"/>
  <c r="W270" i="4"/>
  <c r="W262" i="4"/>
  <c r="W254" i="4"/>
  <c r="W246" i="4"/>
  <c r="W238" i="4"/>
  <c r="W230" i="4"/>
  <c r="W222" i="4"/>
  <c r="W214" i="4"/>
  <c r="W206" i="4"/>
  <c r="W198" i="4"/>
  <c r="W190" i="4"/>
  <c r="W182" i="4"/>
  <c r="W171" i="4"/>
  <c r="W155" i="4"/>
  <c r="W139" i="4"/>
  <c r="W123" i="4"/>
  <c r="W107" i="4"/>
  <c r="W91" i="4"/>
  <c r="W75" i="4"/>
  <c r="W59" i="4"/>
  <c r="W43" i="4"/>
  <c r="W27" i="4"/>
  <c r="W11" i="4"/>
  <c r="W600" i="4"/>
  <c r="W596" i="4"/>
  <c r="W592" i="4"/>
  <c r="W588" i="4"/>
  <c r="W584" i="4"/>
  <c r="W580" i="4"/>
  <c r="W576" i="4"/>
  <c r="W572" i="4"/>
  <c r="W568" i="4"/>
  <c r="W564" i="4"/>
  <c r="W560" i="4"/>
  <c r="W556" i="4"/>
  <c r="W552" i="4"/>
  <c r="W548" i="4"/>
  <c r="W544" i="4"/>
  <c r="W540" i="4"/>
  <c r="W536" i="4"/>
  <c r="W532" i="4"/>
  <c r="W528" i="4"/>
  <c r="W524" i="4"/>
  <c r="W520" i="4"/>
  <c r="W516" i="4"/>
  <c r="W512" i="4"/>
  <c r="W507" i="4"/>
  <c r="W502" i="4"/>
  <c r="W496" i="4"/>
  <c r="W491" i="4"/>
  <c r="W486" i="4"/>
  <c r="W480" i="4"/>
  <c r="W475" i="4"/>
  <c r="W470" i="4"/>
  <c r="W464" i="4"/>
  <c r="W459" i="4"/>
  <c r="W454" i="4"/>
  <c r="W448" i="4"/>
  <c r="W443" i="4"/>
  <c r="W438" i="4"/>
  <c r="W432" i="4"/>
  <c r="W427" i="4"/>
  <c r="W419" i="4"/>
  <c r="W411" i="4"/>
  <c r="W403" i="4"/>
  <c r="W395" i="4"/>
  <c r="W387" i="4"/>
  <c r="W379" i="4"/>
  <c r="W371" i="4"/>
  <c r="W363" i="4"/>
  <c r="W355" i="4"/>
  <c r="W347" i="4"/>
  <c r="W339" i="4"/>
  <c r="W331" i="4"/>
  <c r="W323" i="4"/>
  <c r="W315" i="4"/>
  <c r="W307" i="4"/>
  <c r="W299" i="4"/>
  <c r="W291" i="4"/>
  <c r="W283" i="4"/>
  <c r="W275" i="4"/>
  <c r="W267" i="4"/>
  <c r="W259" i="4"/>
  <c r="W251" i="4"/>
  <c r="W243" i="4"/>
  <c r="W235" i="4"/>
  <c r="W227" i="4"/>
  <c r="W219" i="4"/>
  <c r="W211" i="4"/>
  <c r="W203" i="4"/>
  <c r="W195" i="4"/>
  <c r="W187" i="4"/>
  <c r="W179" i="4"/>
  <c r="W167" i="4"/>
  <c r="W151" i="4"/>
  <c r="W135" i="4"/>
  <c r="W119" i="4"/>
  <c r="W103" i="4"/>
  <c r="W87" i="4"/>
  <c r="W71" i="4"/>
  <c r="W55" i="4"/>
  <c r="W39" i="4"/>
  <c r="W23" i="4"/>
  <c r="W7" i="4"/>
  <c r="W174" i="4"/>
  <c r="W170" i="4"/>
  <c r="W166" i="4"/>
  <c r="W162" i="4"/>
  <c r="W158" i="4"/>
  <c r="W154" i="4"/>
  <c r="W150" i="4"/>
  <c r="W146" i="4"/>
  <c r="W142" i="4"/>
  <c r="W138" i="4"/>
  <c r="W134" i="4"/>
  <c r="W130" i="4"/>
  <c r="W126" i="4"/>
  <c r="W122" i="4"/>
  <c r="W118" i="4"/>
  <c r="W114" i="4"/>
  <c r="W110" i="4"/>
  <c r="W106" i="4"/>
  <c r="W102" i="4"/>
  <c r="W98" i="4"/>
  <c r="W94" i="4"/>
  <c r="W90" i="4"/>
  <c r="W86" i="4"/>
  <c r="W82" i="4"/>
  <c r="W78" i="4"/>
  <c r="W74" i="4"/>
  <c r="W70" i="4"/>
  <c r="W66" i="4"/>
  <c r="W62" i="4"/>
  <c r="W58" i="4"/>
  <c r="W54" i="4"/>
  <c r="W50" i="4"/>
  <c r="W46" i="4"/>
  <c r="W42" i="4"/>
  <c r="W38" i="4"/>
  <c r="W34" i="4"/>
  <c r="W30" i="4"/>
  <c r="W26" i="4"/>
  <c r="W22" i="4"/>
  <c r="W18" i="4"/>
  <c r="W14" i="4"/>
  <c r="W10" i="4"/>
  <c r="W6" i="4"/>
  <c r="W509" i="4"/>
  <c r="W505" i="4"/>
  <c r="W501" i="4"/>
  <c r="W497" i="4"/>
  <c r="W493" i="4"/>
  <c r="W489" i="4"/>
  <c r="W485" i="4"/>
  <c r="W481" i="4"/>
  <c r="W477" i="4"/>
  <c r="W473" i="4"/>
  <c r="W469" i="4"/>
  <c r="W465" i="4"/>
  <c r="W461" i="4"/>
  <c r="W457" i="4"/>
  <c r="W453" i="4"/>
  <c r="W449" i="4"/>
  <c r="W445" i="4"/>
  <c r="W441" i="4"/>
  <c r="W437" i="4"/>
  <c r="W433" i="4"/>
  <c r="W429" i="4"/>
  <c r="W425" i="4"/>
  <c r="W421" i="4"/>
  <c r="W417" i="4"/>
  <c r="W413" i="4"/>
  <c r="W409" i="4"/>
  <c r="W405" i="4"/>
  <c r="W401" i="4"/>
  <c r="W397" i="4"/>
  <c r="W393" i="4"/>
  <c r="W389" i="4"/>
  <c r="W385" i="4"/>
  <c r="W381" i="4"/>
  <c r="W377" i="4"/>
  <c r="W373" i="4"/>
  <c r="W369" i="4"/>
  <c r="W365" i="4"/>
  <c r="W361" i="4"/>
  <c r="W357" i="4"/>
  <c r="W353" i="4"/>
  <c r="W349" i="4"/>
  <c r="W345" i="4"/>
  <c r="W341" i="4"/>
  <c r="W337" i="4"/>
  <c r="W333" i="4"/>
  <c r="W329" i="4"/>
  <c r="W325" i="4"/>
  <c r="W321" i="4"/>
  <c r="W317" i="4"/>
  <c r="W313" i="4"/>
  <c r="W309" i="4"/>
  <c r="W305" i="4"/>
  <c r="W301" i="4"/>
  <c r="W297" i="4"/>
  <c r="W293" i="4"/>
  <c r="W289" i="4"/>
  <c r="W285" i="4"/>
  <c r="W281" i="4"/>
  <c r="W277" i="4"/>
  <c r="W273" i="4"/>
  <c r="W269" i="4"/>
  <c r="W265" i="4"/>
  <c r="W261" i="4"/>
  <c r="W257" i="4"/>
  <c r="W253" i="4"/>
  <c r="W249" i="4"/>
  <c r="W245" i="4"/>
  <c r="W241" i="4"/>
  <c r="W237" i="4"/>
  <c r="W233" i="4"/>
  <c r="W229" i="4"/>
  <c r="W225" i="4"/>
  <c r="W221" i="4"/>
  <c r="W217" i="4"/>
  <c r="W213" i="4"/>
  <c r="W209" i="4"/>
  <c r="W205" i="4"/>
  <c r="W201" i="4"/>
  <c r="W197" i="4"/>
  <c r="W193" i="4"/>
  <c r="W189" i="4"/>
  <c r="W185" i="4"/>
  <c r="W181" i="4"/>
  <c r="W177" i="4"/>
  <c r="W173" i="4"/>
  <c r="W169" i="4"/>
  <c r="W165" i="4"/>
  <c r="W161" i="4"/>
  <c r="W157" i="4"/>
  <c r="W153" i="4"/>
  <c r="W149" i="4"/>
  <c r="W145" i="4"/>
  <c r="W141" i="4"/>
  <c r="W137" i="4"/>
  <c r="W133" i="4"/>
  <c r="W129" i="4"/>
  <c r="W125" i="4"/>
  <c r="W121" i="4"/>
  <c r="W117" i="4"/>
  <c r="W113" i="4"/>
  <c r="W109" i="4"/>
  <c r="W105" i="4"/>
  <c r="W101" i="4"/>
  <c r="W97" i="4"/>
  <c r="W93" i="4"/>
  <c r="W89" i="4"/>
  <c r="W85" i="4"/>
  <c r="W81" i="4"/>
  <c r="W77" i="4"/>
  <c r="W73" i="4"/>
  <c r="W69" i="4"/>
  <c r="W65" i="4"/>
  <c r="W61" i="4"/>
  <c r="W57" i="4"/>
  <c r="W53" i="4"/>
  <c r="W49" i="4"/>
  <c r="W45" i="4"/>
  <c r="W41" i="4"/>
  <c r="W37" i="4"/>
  <c r="W33" i="4"/>
  <c r="W29" i="4"/>
  <c r="W25" i="4"/>
  <c r="W21" i="4"/>
  <c r="W17" i="4"/>
  <c r="W13" i="4"/>
  <c r="W9" i="4"/>
  <c r="W5" i="4"/>
  <c r="W424" i="4"/>
  <c r="W420" i="4"/>
  <c r="W416" i="4"/>
  <c r="W412" i="4"/>
  <c r="W408" i="4"/>
  <c r="W404" i="4"/>
  <c r="W400" i="4"/>
  <c r="W396" i="4"/>
  <c r="W392" i="4"/>
  <c r="W388" i="4"/>
  <c r="W384" i="4"/>
  <c r="W380" i="4"/>
  <c r="W376" i="4"/>
  <c r="W372" i="4"/>
  <c r="W368" i="4"/>
  <c r="W364" i="4"/>
  <c r="W360" i="4"/>
  <c r="W356" i="4"/>
  <c r="W352" i="4"/>
  <c r="W348" i="4"/>
  <c r="W344" i="4"/>
  <c r="W340" i="4"/>
  <c r="W336" i="4"/>
  <c r="W332" i="4"/>
  <c r="W328" i="4"/>
  <c r="W324" i="4"/>
  <c r="W320" i="4"/>
  <c r="W316" i="4"/>
  <c r="W312" i="4"/>
  <c r="W308" i="4"/>
  <c r="W304" i="4"/>
  <c r="W300" i="4"/>
  <c r="W296" i="4"/>
  <c r="W292" i="4"/>
  <c r="W288" i="4"/>
  <c r="W284" i="4"/>
  <c r="W280" i="4"/>
  <c r="W276" i="4"/>
  <c r="W272" i="4"/>
  <c r="W268" i="4"/>
  <c r="W264" i="4"/>
  <c r="W260" i="4"/>
  <c r="W256" i="4"/>
  <c r="W252" i="4"/>
  <c r="W248" i="4"/>
  <c r="W244" i="4"/>
  <c r="W240" i="4"/>
  <c r="W236" i="4"/>
  <c r="W232" i="4"/>
  <c r="W228" i="4"/>
  <c r="W224" i="4"/>
  <c r="W220" i="4"/>
  <c r="W216" i="4"/>
  <c r="W212" i="4"/>
  <c r="W208" i="4"/>
  <c r="W204" i="4"/>
  <c r="W200" i="4"/>
  <c r="W196" i="4"/>
  <c r="W192" i="4"/>
  <c r="W188" i="4"/>
  <c r="W184" i="4"/>
  <c r="W180" i="4"/>
  <c r="W176" i="4"/>
  <c r="W172" i="4"/>
  <c r="W168" i="4"/>
  <c r="W164" i="4"/>
  <c r="W160" i="4"/>
  <c r="W156" i="4"/>
  <c r="W152" i="4"/>
  <c r="W148" i="4"/>
  <c r="W144" i="4"/>
  <c r="W140" i="4"/>
  <c r="W136" i="4"/>
  <c r="W132" i="4"/>
  <c r="W128" i="4"/>
  <c r="W124" i="4"/>
  <c r="W120" i="4"/>
  <c r="W116" i="4"/>
  <c r="W112" i="4"/>
  <c r="W108" i="4"/>
  <c r="W104" i="4"/>
  <c r="W100" i="4"/>
  <c r="W96" i="4"/>
  <c r="W92" i="4"/>
  <c r="W88" i="4"/>
  <c r="W84" i="4"/>
  <c r="W80" i="4"/>
  <c r="W76" i="4"/>
  <c r="W72" i="4"/>
  <c r="W68" i="4"/>
  <c r="W64" i="4"/>
  <c r="W60" i="4"/>
  <c r="W56" i="4"/>
  <c r="W52" i="4"/>
  <c r="W48" i="4"/>
  <c r="W44" i="4"/>
  <c r="W40" i="4"/>
  <c r="W36" i="4"/>
  <c r="W32" i="4"/>
  <c r="W28" i="4"/>
  <c r="W24" i="4"/>
  <c r="W20" i="4"/>
  <c r="W16" i="4"/>
  <c r="W12" i="4"/>
  <c r="W8" i="4"/>
  <c r="W4" i="4"/>
  <c r="X3" i="4"/>
  <c r="P7" i="4"/>
  <c r="R7" i="4"/>
  <c r="Q7" i="4"/>
  <c r="U12" i="4"/>
  <c r="U8" i="4"/>
  <c r="P3" i="4"/>
  <c r="R3" i="4"/>
  <c r="O3" i="4"/>
  <c r="Q3" i="4"/>
  <c r="U4" i="4"/>
  <c r="P11" i="4"/>
  <c r="R11" i="4"/>
  <c r="Q11" i="4"/>
  <c r="U16" i="4"/>
  <c r="P19" i="4"/>
  <c r="R19" i="4"/>
  <c r="Q19" i="4"/>
  <c r="U24" i="4"/>
  <c r="U7" i="4"/>
  <c r="U15" i="4"/>
  <c r="P22" i="4"/>
  <c r="R22" i="4"/>
  <c r="Q22" i="4"/>
  <c r="U27" i="4"/>
  <c r="P38" i="4"/>
  <c r="R38" i="4"/>
  <c r="Q38" i="4"/>
  <c r="P42" i="4"/>
  <c r="R42" i="4"/>
  <c r="Q42" i="4"/>
  <c r="P5" i="4"/>
  <c r="R5" i="4"/>
  <c r="Q5" i="4"/>
  <c r="U6" i="4"/>
  <c r="P9" i="4"/>
  <c r="R9" i="4"/>
  <c r="Q9" i="4"/>
  <c r="U10" i="4"/>
  <c r="P13" i="4"/>
  <c r="R13" i="4"/>
  <c r="Q13" i="4"/>
  <c r="U14" i="4"/>
  <c r="P17" i="4"/>
  <c r="R17" i="4"/>
  <c r="Q17" i="4"/>
  <c r="U18" i="4"/>
  <c r="P21" i="4"/>
  <c r="R21" i="4"/>
  <c r="Q21" i="4"/>
  <c r="U22" i="4"/>
  <c r="P25" i="4"/>
  <c r="R25" i="4"/>
  <c r="Q25" i="4"/>
  <c r="U26" i="4"/>
  <c r="P29" i="4"/>
  <c r="R29" i="4"/>
  <c r="Q29" i="4"/>
  <c r="U30" i="4"/>
  <c r="P33" i="4"/>
  <c r="R33" i="4"/>
  <c r="Q33" i="4"/>
  <c r="U34" i="4"/>
  <c r="P37" i="4"/>
  <c r="R37" i="4"/>
  <c r="Q37" i="4"/>
  <c r="U38" i="4"/>
  <c r="P41" i="4"/>
  <c r="R41" i="4"/>
  <c r="Q41" i="4"/>
  <c r="U42" i="4"/>
  <c r="P45" i="4"/>
  <c r="R45" i="4"/>
  <c r="Q45" i="4"/>
  <c r="U46" i="4"/>
  <c r="P49" i="4"/>
  <c r="R49" i="4"/>
  <c r="Q49" i="4"/>
  <c r="U50" i="4"/>
  <c r="P53" i="4"/>
  <c r="R53" i="4"/>
  <c r="Q53" i="4"/>
  <c r="U54" i="4"/>
  <c r="P57" i="4"/>
  <c r="R57" i="4"/>
  <c r="Q57" i="4"/>
  <c r="U58" i="4"/>
  <c r="P61" i="4"/>
  <c r="R61" i="4"/>
  <c r="Q61" i="4"/>
  <c r="U62" i="4"/>
  <c r="P65" i="4"/>
  <c r="R65" i="4"/>
  <c r="Q65" i="4"/>
  <c r="U66" i="4"/>
  <c r="P69" i="4"/>
  <c r="R69" i="4"/>
  <c r="Q69" i="4"/>
  <c r="U70" i="4"/>
  <c r="P73" i="4"/>
  <c r="R73" i="4"/>
  <c r="Q73" i="4"/>
  <c r="U74" i="4"/>
  <c r="P77" i="4"/>
  <c r="R77" i="4"/>
  <c r="Q77" i="4"/>
  <c r="U78" i="4"/>
  <c r="P81" i="4"/>
  <c r="R81" i="4"/>
  <c r="Q81" i="4"/>
  <c r="U82" i="4"/>
  <c r="P85" i="4"/>
  <c r="R85" i="4"/>
  <c r="Q85" i="4"/>
  <c r="U86" i="4"/>
  <c r="P89" i="4"/>
  <c r="R89" i="4"/>
  <c r="Q89" i="4"/>
  <c r="U90" i="4"/>
  <c r="P93" i="4"/>
  <c r="R93" i="4"/>
  <c r="Q93" i="4"/>
  <c r="U94" i="4"/>
  <c r="P97" i="4"/>
  <c r="R97" i="4"/>
  <c r="Q97" i="4"/>
  <c r="U98" i="4"/>
  <c r="P101" i="4"/>
  <c r="R101" i="4"/>
  <c r="Q101" i="4"/>
  <c r="U102" i="4"/>
  <c r="R105" i="4"/>
  <c r="P105" i="4"/>
  <c r="Q105" i="4"/>
  <c r="U106" i="4"/>
  <c r="P109" i="4"/>
  <c r="R109" i="4"/>
  <c r="Q109" i="4"/>
  <c r="U110" i="4"/>
  <c r="P113" i="4"/>
  <c r="R113" i="4"/>
  <c r="Q113" i="4"/>
  <c r="U114" i="4"/>
  <c r="P117" i="4"/>
  <c r="R117" i="4"/>
  <c r="Q117" i="4"/>
  <c r="U118" i="4"/>
  <c r="P121" i="4"/>
  <c r="R121" i="4"/>
  <c r="Q121" i="4"/>
  <c r="U122" i="4"/>
  <c r="P125" i="4"/>
  <c r="R125" i="4"/>
  <c r="Q125" i="4"/>
  <c r="U126" i="4"/>
  <c r="P129" i="4"/>
  <c r="R129" i="4"/>
  <c r="Q129" i="4"/>
  <c r="U130" i="4"/>
  <c r="P133" i="4"/>
  <c r="R133" i="4"/>
  <c r="Q133" i="4"/>
  <c r="U134" i="4"/>
  <c r="R137" i="4"/>
  <c r="P137" i="4"/>
  <c r="Q137" i="4"/>
  <c r="U138" i="4"/>
  <c r="P141" i="4"/>
  <c r="R141" i="4"/>
  <c r="Q141" i="4"/>
  <c r="U142" i="4"/>
  <c r="P145" i="4"/>
  <c r="R145" i="4"/>
  <c r="Q145" i="4"/>
  <c r="U146" i="4"/>
  <c r="P149" i="4"/>
  <c r="R149" i="4"/>
  <c r="Q149" i="4"/>
  <c r="P150" i="4"/>
  <c r="R150" i="4"/>
  <c r="Q150" i="4"/>
  <c r="U151" i="4"/>
  <c r="R158" i="4"/>
  <c r="P158" i="4"/>
  <c r="Q158" i="4"/>
  <c r="U159" i="4"/>
  <c r="P166" i="4"/>
  <c r="R166" i="4"/>
  <c r="Q166" i="4"/>
  <c r="U167" i="4"/>
  <c r="R174" i="4"/>
  <c r="P174" i="4"/>
  <c r="Q174" i="4"/>
  <c r="U175" i="4"/>
  <c r="P182" i="4"/>
  <c r="R182" i="4"/>
  <c r="Q182" i="4"/>
  <c r="U183" i="4"/>
  <c r="P23" i="4"/>
  <c r="R23" i="4"/>
  <c r="Q23" i="4"/>
  <c r="U3" i="4"/>
  <c r="P10" i="4"/>
  <c r="R10" i="4"/>
  <c r="Q10" i="4"/>
  <c r="P14" i="4"/>
  <c r="R14" i="4"/>
  <c r="Q14" i="4"/>
  <c r="U19" i="4"/>
  <c r="U23" i="4"/>
  <c r="P30" i="4"/>
  <c r="R30" i="4"/>
  <c r="Q30" i="4"/>
  <c r="U31" i="4"/>
  <c r="U35" i="4"/>
  <c r="R4" i="4"/>
  <c r="P4" i="4"/>
  <c r="Q4" i="4"/>
  <c r="U5" i="4"/>
  <c r="P8" i="4"/>
  <c r="R8" i="4"/>
  <c r="Q8" i="4"/>
  <c r="U9" i="4"/>
  <c r="R12" i="4"/>
  <c r="P12" i="4"/>
  <c r="Q12" i="4"/>
  <c r="U13" i="4"/>
  <c r="R16" i="4"/>
  <c r="P16" i="4"/>
  <c r="Q16" i="4"/>
  <c r="U17" i="4"/>
  <c r="R20" i="4"/>
  <c r="P20" i="4"/>
  <c r="Q20" i="4"/>
  <c r="U21" i="4"/>
  <c r="P24" i="4"/>
  <c r="R24" i="4"/>
  <c r="Q24" i="4"/>
  <c r="U25" i="4"/>
  <c r="R28" i="4"/>
  <c r="P28" i="4"/>
  <c r="Q28" i="4"/>
  <c r="U29" i="4"/>
  <c r="R32" i="4"/>
  <c r="P32" i="4"/>
  <c r="Q32" i="4"/>
  <c r="U33" i="4"/>
  <c r="R36" i="4"/>
  <c r="P36" i="4"/>
  <c r="Q36" i="4"/>
  <c r="U37" i="4"/>
  <c r="P40" i="4"/>
  <c r="R40" i="4"/>
  <c r="Q40" i="4"/>
  <c r="U41" i="4"/>
  <c r="R44" i="4"/>
  <c r="P44" i="4"/>
  <c r="Q44" i="4"/>
  <c r="U45" i="4"/>
  <c r="R48" i="4"/>
  <c r="P48" i="4"/>
  <c r="Q48" i="4"/>
  <c r="U49" i="4"/>
  <c r="R52" i="4"/>
  <c r="P52" i="4"/>
  <c r="Q52" i="4"/>
  <c r="U53" i="4"/>
  <c r="P56" i="4"/>
  <c r="R56" i="4"/>
  <c r="Q56" i="4"/>
  <c r="U57" i="4"/>
  <c r="R60" i="4"/>
  <c r="P60" i="4"/>
  <c r="Q60" i="4"/>
  <c r="U61" i="4"/>
  <c r="R64" i="4"/>
  <c r="P64" i="4"/>
  <c r="Q64" i="4"/>
  <c r="U65" i="4"/>
  <c r="R68" i="4"/>
  <c r="P68" i="4"/>
  <c r="Q68" i="4"/>
  <c r="U69" i="4"/>
  <c r="P72" i="4"/>
  <c r="R72" i="4"/>
  <c r="Q72" i="4"/>
  <c r="U73" i="4"/>
  <c r="R76" i="4"/>
  <c r="P76" i="4"/>
  <c r="Q76" i="4"/>
  <c r="U77" i="4"/>
  <c r="R80" i="4"/>
  <c r="P80" i="4"/>
  <c r="Q80" i="4"/>
  <c r="U81" i="4"/>
  <c r="R84" i="4"/>
  <c r="P84" i="4"/>
  <c r="Q84" i="4"/>
  <c r="U85" i="4"/>
  <c r="P88" i="4"/>
  <c r="R88" i="4"/>
  <c r="Q88" i="4"/>
  <c r="U89" i="4"/>
  <c r="P92" i="4"/>
  <c r="R92" i="4"/>
  <c r="Q92" i="4"/>
  <c r="U93" i="4"/>
  <c r="P96" i="4"/>
  <c r="Q96" i="4"/>
  <c r="R96" i="4"/>
  <c r="U97" i="4"/>
  <c r="P100" i="4"/>
  <c r="R100" i="4"/>
  <c r="Q100" i="4"/>
  <c r="U101" i="4"/>
  <c r="P104" i="4"/>
  <c r="R104" i="4"/>
  <c r="Q104" i="4"/>
  <c r="U105" i="4"/>
  <c r="P108" i="4"/>
  <c r="R108" i="4"/>
  <c r="Q108" i="4"/>
  <c r="U109" i="4"/>
  <c r="P112" i="4"/>
  <c r="R112" i="4"/>
  <c r="Q112" i="4"/>
  <c r="U113" i="4"/>
  <c r="P116" i="4"/>
  <c r="R116" i="4"/>
  <c r="Q116" i="4"/>
  <c r="U117" i="4"/>
  <c r="P120" i="4"/>
  <c r="R120" i="4"/>
  <c r="Q120" i="4"/>
  <c r="U121" i="4"/>
  <c r="P124" i="4"/>
  <c r="R124" i="4"/>
  <c r="Q124" i="4"/>
  <c r="U125" i="4"/>
  <c r="P128" i="4"/>
  <c r="Q128" i="4"/>
  <c r="R128" i="4"/>
  <c r="U129" i="4"/>
  <c r="P132" i="4"/>
  <c r="R132" i="4"/>
  <c r="Q132" i="4"/>
  <c r="U133" i="4"/>
  <c r="P136" i="4"/>
  <c r="R136" i="4"/>
  <c r="Q136" i="4"/>
  <c r="U137" i="4"/>
  <c r="P140" i="4"/>
  <c r="R140" i="4"/>
  <c r="Q140" i="4"/>
  <c r="U141" i="4"/>
  <c r="P144" i="4"/>
  <c r="Q144" i="4"/>
  <c r="R144" i="4"/>
  <c r="U145" i="4"/>
  <c r="P148" i="4"/>
  <c r="R148" i="4"/>
  <c r="Q148" i="4"/>
  <c r="U149" i="4"/>
  <c r="U150" i="4"/>
  <c r="P157" i="4"/>
  <c r="R157" i="4"/>
  <c r="Q157" i="4"/>
  <c r="U158" i="4"/>
  <c r="P165" i="4"/>
  <c r="R165" i="4"/>
  <c r="Q165" i="4"/>
  <c r="U166" i="4"/>
  <c r="P173" i="4"/>
  <c r="R173" i="4"/>
  <c r="Q173" i="4"/>
  <c r="U174" i="4"/>
  <c r="P181" i="4"/>
  <c r="R181" i="4"/>
  <c r="Q181" i="4"/>
  <c r="U182" i="4"/>
  <c r="U20" i="4"/>
  <c r="P27" i="4"/>
  <c r="R27" i="4"/>
  <c r="Q27" i="4"/>
  <c r="U28" i="4"/>
  <c r="P31" i="4"/>
  <c r="R31" i="4"/>
  <c r="Q31" i="4"/>
  <c r="U32" i="4"/>
  <c r="P35" i="4"/>
  <c r="R35" i="4"/>
  <c r="Q35" i="4"/>
  <c r="U36" i="4"/>
  <c r="P39" i="4"/>
  <c r="R39" i="4"/>
  <c r="Q39" i="4"/>
  <c r="U40" i="4"/>
  <c r="P43" i="4"/>
  <c r="R43" i="4"/>
  <c r="Q43" i="4"/>
  <c r="U44" i="4"/>
  <c r="P47" i="4"/>
  <c r="R47" i="4"/>
  <c r="Q47" i="4"/>
  <c r="U48" i="4"/>
  <c r="P51" i="4"/>
  <c r="R51" i="4"/>
  <c r="Q51" i="4"/>
  <c r="U52" i="4"/>
  <c r="P55" i="4"/>
  <c r="R55" i="4"/>
  <c r="Q55" i="4"/>
  <c r="U56" i="4"/>
  <c r="P59" i="4"/>
  <c r="R59" i="4"/>
  <c r="Q59" i="4"/>
  <c r="U60" i="4"/>
  <c r="P63" i="4"/>
  <c r="R63" i="4"/>
  <c r="Q63" i="4"/>
  <c r="U64" i="4"/>
  <c r="P67" i="4"/>
  <c r="R67" i="4"/>
  <c r="Q67" i="4"/>
  <c r="U68" i="4"/>
  <c r="P71" i="4"/>
  <c r="R71" i="4"/>
  <c r="Q71" i="4"/>
  <c r="U72" i="4"/>
  <c r="P75" i="4"/>
  <c r="R75" i="4"/>
  <c r="Q75" i="4"/>
  <c r="U76" i="4"/>
  <c r="P79" i="4"/>
  <c r="R79" i="4"/>
  <c r="Q79" i="4"/>
  <c r="U80" i="4"/>
  <c r="P83" i="4"/>
  <c r="R83" i="4"/>
  <c r="Q83" i="4"/>
  <c r="U84" i="4"/>
  <c r="P87" i="4"/>
  <c r="R87" i="4"/>
  <c r="Q87" i="4"/>
  <c r="U88" i="4"/>
  <c r="P91" i="4"/>
  <c r="R91" i="4"/>
  <c r="Q91" i="4"/>
  <c r="U92" i="4"/>
  <c r="P95" i="4"/>
  <c r="R95" i="4"/>
  <c r="Q95" i="4"/>
  <c r="U96" i="4"/>
  <c r="P99" i="4"/>
  <c r="R99" i="4"/>
  <c r="Q99" i="4"/>
  <c r="U100" i="4"/>
  <c r="P103" i="4"/>
  <c r="R103" i="4"/>
  <c r="Q103" i="4"/>
  <c r="U104" i="4"/>
  <c r="P107" i="4"/>
  <c r="R107" i="4"/>
  <c r="Q107" i="4"/>
  <c r="U108" i="4"/>
  <c r="P111" i="4"/>
  <c r="R111" i="4"/>
  <c r="Q111" i="4"/>
  <c r="U112" i="4"/>
  <c r="P115" i="4"/>
  <c r="R115" i="4"/>
  <c r="Q115" i="4"/>
  <c r="U116" i="4"/>
  <c r="P119" i="4"/>
  <c r="R119" i="4"/>
  <c r="Q119" i="4"/>
  <c r="U120" i="4"/>
  <c r="P123" i="4"/>
  <c r="R123" i="4"/>
  <c r="Q123" i="4"/>
  <c r="U124" i="4"/>
  <c r="P127" i="4"/>
  <c r="R127" i="4"/>
  <c r="Q127" i="4"/>
  <c r="U128" i="4"/>
  <c r="P131" i="4"/>
  <c r="R131" i="4"/>
  <c r="Q131" i="4"/>
  <c r="U132" i="4"/>
  <c r="P135" i="4"/>
  <c r="R135" i="4"/>
  <c r="Q135" i="4"/>
  <c r="U136" i="4"/>
  <c r="P139" i="4"/>
  <c r="R139" i="4"/>
  <c r="Q139" i="4"/>
  <c r="U140" i="4"/>
  <c r="P143" i="4"/>
  <c r="R143" i="4"/>
  <c r="Q143" i="4"/>
  <c r="U144" i="4"/>
  <c r="P147" i="4"/>
  <c r="R147" i="4"/>
  <c r="Q147" i="4"/>
  <c r="U148" i="4"/>
  <c r="P154" i="4"/>
  <c r="R154" i="4"/>
  <c r="Q154" i="4"/>
  <c r="U155" i="4"/>
  <c r="P162" i="4"/>
  <c r="R162" i="4"/>
  <c r="Q162" i="4"/>
  <c r="U163" i="4"/>
  <c r="P170" i="4"/>
  <c r="R170" i="4"/>
  <c r="Q170" i="4"/>
  <c r="U171" i="4"/>
  <c r="P178" i="4"/>
  <c r="R178" i="4"/>
  <c r="Q178" i="4"/>
  <c r="U179" i="4"/>
  <c r="P186" i="4"/>
  <c r="R186" i="4"/>
  <c r="Q186" i="4"/>
  <c r="U187" i="4"/>
  <c r="P15" i="4"/>
  <c r="R15" i="4"/>
  <c r="Q15" i="4"/>
  <c r="P6" i="4"/>
  <c r="R6" i="4"/>
  <c r="Q6" i="4"/>
  <c r="U11" i="4"/>
  <c r="P18" i="4"/>
  <c r="R18" i="4"/>
  <c r="Q18" i="4"/>
  <c r="P26" i="4"/>
  <c r="R26" i="4"/>
  <c r="Q26" i="4"/>
  <c r="P34" i="4"/>
  <c r="R34" i="4"/>
  <c r="Q34" i="4"/>
  <c r="U39" i="4"/>
  <c r="U43" i="4"/>
  <c r="P46" i="4"/>
  <c r="R46" i="4"/>
  <c r="Q46" i="4"/>
  <c r="U47" i="4"/>
  <c r="P50" i="4"/>
  <c r="R50" i="4"/>
  <c r="Q50" i="4"/>
  <c r="U51" i="4"/>
  <c r="P54" i="4"/>
  <c r="R54" i="4"/>
  <c r="Q54" i="4"/>
  <c r="U55" i="4"/>
  <c r="P58" i="4"/>
  <c r="R58" i="4"/>
  <c r="Q58" i="4"/>
  <c r="U59" i="4"/>
  <c r="P62" i="4"/>
  <c r="R62" i="4"/>
  <c r="Q62" i="4"/>
  <c r="U63" i="4"/>
  <c r="P66" i="4"/>
  <c r="R66" i="4"/>
  <c r="Q66" i="4"/>
  <c r="U67" i="4"/>
  <c r="P70" i="4"/>
  <c r="R70" i="4"/>
  <c r="Q70" i="4"/>
  <c r="U71" i="4"/>
  <c r="P74" i="4"/>
  <c r="R74" i="4"/>
  <c r="Q74" i="4"/>
  <c r="U75" i="4"/>
  <c r="P78" i="4"/>
  <c r="R78" i="4"/>
  <c r="Q78" i="4"/>
  <c r="U79" i="4"/>
  <c r="P82" i="4"/>
  <c r="R82" i="4"/>
  <c r="Q82" i="4"/>
  <c r="U83" i="4"/>
  <c r="P86" i="4"/>
  <c r="R86" i="4"/>
  <c r="Q86" i="4"/>
  <c r="U87" i="4"/>
  <c r="P90" i="4"/>
  <c r="R90" i="4"/>
  <c r="Q90" i="4"/>
  <c r="U91" i="4"/>
  <c r="R94" i="4"/>
  <c r="P94" i="4"/>
  <c r="Q94" i="4"/>
  <c r="U95" i="4"/>
  <c r="P98" i="4"/>
  <c r="R98" i="4"/>
  <c r="Q98" i="4"/>
  <c r="U99" i="4"/>
  <c r="P102" i="4"/>
  <c r="R102" i="4"/>
  <c r="Q102" i="4"/>
  <c r="U103" i="4"/>
  <c r="P106" i="4"/>
  <c r="R106" i="4"/>
  <c r="Q106" i="4"/>
  <c r="U107" i="4"/>
  <c r="R110" i="4"/>
  <c r="P110" i="4"/>
  <c r="Q110" i="4"/>
  <c r="U111" i="4"/>
  <c r="P114" i="4"/>
  <c r="R114" i="4"/>
  <c r="Q114" i="4"/>
  <c r="U115" i="4"/>
  <c r="P118" i="4"/>
  <c r="R118" i="4"/>
  <c r="Q118" i="4"/>
  <c r="U119" i="4"/>
  <c r="P122" i="4"/>
  <c r="R122" i="4"/>
  <c r="Q122" i="4"/>
  <c r="U123" i="4"/>
  <c r="P126" i="4"/>
  <c r="R126" i="4"/>
  <c r="Q126" i="4"/>
  <c r="U127" i="4"/>
  <c r="P130" i="4"/>
  <c r="R130" i="4"/>
  <c r="Q130" i="4"/>
  <c r="U131" i="4"/>
  <c r="P134" i="4"/>
  <c r="R134" i="4"/>
  <c r="Q134" i="4"/>
  <c r="U135" i="4"/>
  <c r="P138" i="4"/>
  <c r="R138" i="4"/>
  <c r="Q138" i="4"/>
  <c r="U139" i="4"/>
  <c r="P142" i="4"/>
  <c r="R142" i="4"/>
  <c r="Q142" i="4"/>
  <c r="U143" i="4"/>
  <c r="P146" i="4"/>
  <c r="R146" i="4"/>
  <c r="Q146" i="4"/>
  <c r="U147" i="4"/>
  <c r="R153" i="4"/>
  <c r="P153" i="4"/>
  <c r="Q153" i="4"/>
  <c r="U154" i="4"/>
  <c r="P161" i="4"/>
  <c r="R161" i="4"/>
  <c r="Q161" i="4"/>
  <c r="U162" i="4"/>
  <c r="R169" i="4"/>
  <c r="P169" i="4"/>
  <c r="Q169" i="4"/>
  <c r="U170" i="4"/>
  <c r="P177" i="4"/>
  <c r="R177" i="4"/>
  <c r="Q177" i="4"/>
  <c r="U178" i="4"/>
  <c r="P185" i="4"/>
  <c r="R185" i="4"/>
  <c r="Q185" i="4"/>
  <c r="U186" i="4"/>
  <c r="P152" i="4"/>
  <c r="R152" i="4"/>
  <c r="Q152" i="4"/>
  <c r="U153" i="4"/>
  <c r="P156" i="4"/>
  <c r="R156" i="4"/>
  <c r="Q156" i="4"/>
  <c r="U157" i="4"/>
  <c r="P160" i="4"/>
  <c r="Q160" i="4"/>
  <c r="R160" i="4"/>
  <c r="U161" i="4"/>
  <c r="P164" i="4"/>
  <c r="R164" i="4"/>
  <c r="Q164" i="4"/>
  <c r="U165" i="4"/>
  <c r="P168" i="4"/>
  <c r="R168" i="4"/>
  <c r="Q168" i="4"/>
  <c r="U169" i="4"/>
  <c r="P172" i="4"/>
  <c r="R172" i="4"/>
  <c r="Q172" i="4"/>
  <c r="U173" i="4"/>
  <c r="P176" i="4"/>
  <c r="R176" i="4"/>
  <c r="Q176" i="4"/>
  <c r="U177" i="4"/>
  <c r="R180" i="4"/>
  <c r="Q180" i="4"/>
  <c r="P180" i="4"/>
  <c r="U181" i="4"/>
  <c r="P184" i="4"/>
  <c r="R184" i="4"/>
  <c r="Q184" i="4"/>
  <c r="U185" i="4"/>
  <c r="P188" i="4"/>
  <c r="R188" i="4"/>
  <c r="Q188" i="4"/>
  <c r="U189" i="4"/>
  <c r="P192" i="4"/>
  <c r="Q192" i="4"/>
  <c r="R192" i="4"/>
  <c r="U193" i="4"/>
  <c r="P196" i="4"/>
  <c r="R196" i="4"/>
  <c r="Q196" i="4"/>
  <c r="U197" i="4"/>
  <c r="P200" i="4"/>
  <c r="R200" i="4"/>
  <c r="Q200" i="4"/>
  <c r="U201" i="4"/>
  <c r="P204" i="4"/>
  <c r="R204" i="4"/>
  <c r="Q204" i="4"/>
  <c r="U205" i="4"/>
  <c r="P208" i="4"/>
  <c r="Q208" i="4"/>
  <c r="R208" i="4"/>
  <c r="U209" i="4"/>
  <c r="P212" i="4"/>
  <c r="R212" i="4"/>
  <c r="Q212" i="4"/>
  <c r="U213" i="4"/>
  <c r="P216" i="4"/>
  <c r="R216" i="4"/>
  <c r="Q216" i="4"/>
  <c r="U217" i="4"/>
  <c r="P220" i="4"/>
  <c r="R220" i="4"/>
  <c r="Q220" i="4"/>
  <c r="U221" i="4"/>
  <c r="P224" i="4"/>
  <c r="Q224" i="4"/>
  <c r="R224" i="4"/>
  <c r="U225" i="4"/>
  <c r="P228" i="4"/>
  <c r="R228" i="4"/>
  <c r="Q228" i="4"/>
  <c r="U229" i="4"/>
  <c r="P232" i="4"/>
  <c r="R232" i="4"/>
  <c r="Q232" i="4"/>
  <c r="U233" i="4"/>
  <c r="P236" i="4"/>
  <c r="R236" i="4"/>
  <c r="Q236" i="4"/>
  <c r="U237" i="4"/>
  <c r="P240" i="4"/>
  <c r="R240" i="4"/>
  <c r="Q240" i="4"/>
  <c r="U241" i="4"/>
  <c r="R244" i="4"/>
  <c r="P244" i="4"/>
  <c r="Q244" i="4"/>
  <c r="U245" i="4"/>
  <c r="P248" i="4"/>
  <c r="R248" i="4"/>
  <c r="Q248" i="4"/>
  <c r="U249" i="4"/>
  <c r="P252" i="4"/>
  <c r="R252" i="4"/>
  <c r="Q252" i="4"/>
  <c r="U253" i="4"/>
  <c r="P256" i="4"/>
  <c r="Q256" i="4"/>
  <c r="R256" i="4"/>
  <c r="U257" i="4"/>
  <c r="P260" i="4"/>
  <c r="R260" i="4"/>
  <c r="Q260" i="4"/>
  <c r="U261" i="4"/>
  <c r="P264" i="4"/>
  <c r="R264" i="4"/>
  <c r="Q264" i="4"/>
  <c r="U265" i="4"/>
  <c r="P268" i="4"/>
  <c r="R268" i="4"/>
  <c r="Q268" i="4"/>
  <c r="U269" i="4"/>
  <c r="P272" i="4"/>
  <c r="Q272" i="4"/>
  <c r="R272" i="4"/>
  <c r="U273" i="4"/>
  <c r="P274" i="4"/>
  <c r="R274" i="4"/>
  <c r="Q274" i="4"/>
  <c r="U275" i="4"/>
  <c r="R282" i="4"/>
  <c r="P282" i="4"/>
  <c r="Q282" i="4"/>
  <c r="U283" i="4"/>
  <c r="P290" i="4"/>
  <c r="R290" i="4"/>
  <c r="Q290" i="4"/>
  <c r="U291" i="4"/>
  <c r="R298" i="4"/>
  <c r="P298" i="4"/>
  <c r="Q298" i="4"/>
  <c r="U299" i="4"/>
  <c r="P306" i="4"/>
  <c r="R306" i="4"/>
  <c r="Q306" i="4"/>
  <c r="U307" i="4"/>
  <c r="R314" i="4"/>
  <c r="P314" i="4"/>
  <c r="Q314" i="4"/>
  <c r="U315" i="4"/>
  <c r="P151" i="4"/>
  <c r="R151" i="4"/>
  <c r="Q151" i="4"/>
  <c r="U152" i="4"/>
  <c r="P155" i="4"/>
  <c r="R155" i="4"/>
  <c r="Q155" i="4"/>
  <c r="U156" i="4"/>
  <c r="P159" i="4"/>
  <c r="R159" i="4"/>
  <c r="Q159" i="4"/>
  <c r="U160" i="4"/>
  <c r="P163" i="4"/>
  <c r="R163" i="4"/>
  <c r="Q163" i="4"/>
  <c r="U164" i="4"/>
  <c r="P167" i="4"/>
  <c r="R167" i="4"/>
  <c r="Q167" i="4"/>
  <c r="U168" i="4"/>
  <c r="P171" i="4"/>
  <c r="R171" i="4"/>
  <c r="Q171" i="4"/>
  <c r="U172" i="4"/>
  <c r="P175" i="4"/>
  <c r="R175" i="4"/>
  <c r="Q175" i="4"/>
  <c r="U176" i="4"/>
  <c r="P179" i="4"/>
  <c r="R179" i="4"/>
  <c r="Q179" i="4"/>
  <c r="U180" i="4"/>
  <c r="P183" i="4"/>
  <c r="R183" i="4"/>
  <c r="Q183" i="4"/>
  <c r="U184" i="4"/>
  <c r="P187" i="4"/>
  <c r="R187" i="4"/>
  <c r="Q187" i="4"/>
  <c r="U188" i="4"/>
  <c r="P191" i="4"/>
  <c r="R191" i="4"/>
  <c r="Q191" i="4"/>
  <c r="U192" i="4"/>
  <c r="P195" i="4"/>
  <c r="R195" i="4"/>
  <c r="Q195" i="4"/>
  <c r="U196" i="4"/>
  <c r="P199" i="4"/>
  <c r="R199" i="4"/>
  <c r="Q199" i="4"/>
  <c r="U200" i="4"/>
  <c r="P203" i="4"/>
  <c r="R203" i="4"/>
  <c r="Q203" i="4"/>
  <c r="U204" i="4"/>
  <c r="P207" i="4"/>
  <c r="R207" i="4"/>
  <c r="Q207" i="4"/>
  <c r="U208" i="4"/>
  <c r="P211" i="4"/>
  <c r="R211" i="4"/>
  <c r="Q211" i="4"/>
  <c r="U212" i="4"/>
  <c r="P215" i="4"/>
  <c r="R215" i="4"/>
  <c r="Q215" i="4"/>
  <c r="U216" i="4"/>
  <c r="P219" i="4"/>
  <c r="R219" i="4"/>
  <c r="Q219" i="4"/>
  <c r="U220" i="4"/>
  <c r="P223" i="4"/>
  <c r="R223" i="4"/>
  <c r="Q223" i="4"/>
  <c r="U224" i="4"/>
  <c r="P227" i="4"/>
  <c r="R227" i="4"/>
  <c r="Q227" i="4"/>
  <c r="U228" i="4"/>
  <c r="P231" i="4"/>
  <c r="R231" i="4"/>
  <c r="Q231" i="4"/>
  <c r="U232" i="4"/>
  <c r="P235" i="4"/>
  <c r="R235" i="4"/>
  <c r="Q235" i="4"/>
  <c r="U236" i="4"/>
  <c r="P239" i="4"/>
  <c r="R239" i="4"/>
  <c r="Q239" i="4"/>
  <c r="U240" i="4"/>
  <c r="P243" i="4"/>
  <c r="R243" i="4"/>
  <c r="Q243" i="4"/>
  <c r="U244" i="4"/>
  <c r="P247" i="4"/>
  <c r="R247" i="4"/>
  <c r="Q247" i="4"/>
  <c r="U248" i="4"/>
  <c r="P251" i="4"/>
  <c r="R251" i="4"/>
  <c r="Q251" i="4"/>
  <c r="U252" i="4"/>
  <c r="P255" i="4"/>
  <c r="R255" i="4"/>
  <c r="Q255" i="4"/>
  <c r="U256" i="4"/>
  <c r="P259" i="4"/>
  <c r="R259" i="4"/>
  <c r="Q259" i="4"/>
  <c r="U260" i="4"/>
  <c r="P263" i="4"/>
  <c r="R263" i="4"/>
  <c r="Q263" i="4"/>
  <c r="U264" i="4"/>
  <c r="P267" i="4"/>
  <c r="R267" i="4"/>
  <c r="Q267" i="4"/>
  <c r="U268" i="4"/>
  <c r="P271" i="4"/>
  <c r="R271" i="4"/>
  <c r="Q271" i="4"/>
  <c r="U272" i="4"/>
  <c r="U274" i="4"/>
  <c r="P281" i="4"/>
  <c r="R281" i="4"/>
  <c r="Q281" i="4"/>
  <c r="U282" i="4"/>
  <c r="P289" i="4"/>
  <c r="R289" i="4"/>
  <c r="Q289" i="4"/>
  <c r="U290" i="4"/>
  <c r="P297" i="4"/>
  <c r="R297" i="4"/>
  <c r="Q297" i="4"/>
  <c r="U298" i="4"/>
  <c r="P305" i="4"/>
  <c r="R305" i="4"/>
  <c r="Q305" i="4"/>
  <c r="U306" i="4"/>
  <c r="P313" i="4"/>
  <c r="R313" i="4"/>
  <c r="Q313" i="4"/>
  <c r="U314" i="4"/>
  <c r="P190" i="4"/>
  <c r="R190" i="4"/>
  <c r="Q190" i="4"/>
  <c r="U191" i="4"/>
  <c r="P194" i="4"/>
  <c r="R194" i="4"/>
  <c r="Q194" i="4"/>
  <c r="U195" i="4"/>
  <c r="P198" i="4"/>
  <c r="R198" i="4"/>
  <c r="Q198" i="4"/>
  <c r="U199" i="4"/>
  <c r="P202" i="4"/>
  <c r="R202" i="4"/>
  <c r="Q202" i="4"/>
  <c r="U203" i="4"/>
  <c r="P206" i="4"/>
  <c r="R206" i="4"/>
  <c r="Q206" i="4"/>
  <c r="U207" i="4"/>
  <c r="P210" i="4"/>
  <c r="R210" i="4"/>
  <c r="Q210" i="4"/>
  <c r="U211" i="4"/>
  <c r="P214" i="4"/>
  <c r="R214" i="4"/>
  <c r="Q214" i="4"/>
  <c r="U215" i="4"/>
  <c r="P218" i="4"/>
  <c r="R218" i="4"/>
  <c r="Q218" i="4"/>
  <c r="U219" i="4"/>
  <c r="R222" i="4"/>
  <c r="P222" i="4"/>
  <c r="Q222" i="4"/>
  <c r="U223" i="4"/>
  <c r="P226" i="4"/>
  <c r="R226" i="4"/>
  <c r="Q226" i="4"/>
  <c r="U227" i="4"/>
  <c r="P230" i="4"/>
  <c r="R230" i="4"/>
  <c r="Q230" i="4"/>
  <c r="U231" i="4"/>
  <c r="P234" i="4"/>
  <c r="R234" i="4"/>
  <c r="Q234" i="4"/>
  <c r="U235" i="4"/>
  <c r="R238" i="4"/>
  <c r="P238" i="4"/>
  <c r="Q238" i="4"/>
  <c r="U239" i="4"/>
  <c r="P242" i="4"/>
  <c r="R242" i="4"/>
  <c r="Q242" i="4"/>
  <c r="U243" i="4"/>
  <c r="P246" i="4"/>
  <c r="R246" i="4"/>
  <c r="Q246" i="4"/>
  <c r="U247" i="4"/>
  <c r="P250" i="4"/>
  <c r="R250" i="4"/>
  <c r="Q250" i="4"/>
  <c r="U251" i="4"/>
  <c r="P254" i="4"/>
  <c r="R254" i="4"/>
  <c r="Q254" i="4"/>
  <c r="U255" i="4"/>
  <c r="P258" i="4"/>
  <c r="R258" i="4"/>
  <c r="Q258" i="4"/>
  <c r="U259" i="4"/>
  <c r="P262" i="4"/>
  <c r="R262" i="4"/>
  <c r="Q262" i="4"/>
  <c r="U263" i="4"/>
  <c r="P266" i="4"/>
  <c r="R266" i="4"/>
  <c r="Q266" i="4"/>
  <c r="U267" i="4"/>
  <c r="P270" i="4"/>
  <c r="R270" i="4"/>
  <c r="Q270" i="4"/>
  <c r="U271" i="4"/>
  <c r="R278" i="4"/>
  <c r="P278" i="4"/>
  <c r="Q278" i="4"/>
  <c r="U279" i="4"/>
  <c r="P286" i="4"/>
  <c r="R286" i="4"/>
  <c r="Q286" i="4"/>
  <c r="U287" i="4"/>
  <c r="R294" i="4"/>
  <c r="P294" i="4"/>
  <c r="Q294" i="4"/>
  <c r="U295" i="4"/>
  <c r="P302" i="4"/>
  <c r="R302" i="4"/>
  <c r="Q302" i="4"/>
  <c r="U303" i="4"/>
  <c r="R310" i="4"/>
  <c r="P310" i="4"/>
  <c r="Q310" i="4"/>
  <c r="U311" i="4"/>
  <c r="P189" i="4"/>
  <c r="R189" i="4"/>
  <c r="Q189" i="4"/>
  <c r="U190" i="4"/>
  <c r="P193" i="4"/>
  <c r="R193" i="4"/>
  <c r="Q193" i="4"/>
  <c r="U194" i="4"/>
  <c r="P197" i="4"/>
  <c r="R197" i="4"/>
  <c r="Q197" i="4"/>
  <c r="U198" i="4"/>
  <c r="R201" i="4"/>
  <c r="P201" i="4"/>
  <c r="Q201" i="4"/>
  <c r="U202" i="4"/>
  <c r="P205" i="4"/>
  <c r="R205" i="4"/>
  <c r="Q205" i="4"/>
  <c r="U206" i="4"/>
  <c r="P209" i="4"/>
  <c r="R209" i="4"/>
  <c r="Q209" i="4"/>
  <c r="U210" i="4"/>
  <c r="P213" i="4"/>
  <c r="R213" i="4"/>
  <c r="Q213" i="4"/>
  <c r="U214" i="4"/>
  <c r="R217" i="4"/>
  <c r="P217" i="4"/>
  <c r="Q217" i="4"/>
  <c r="U218" i="4"/>
  <c r="P221" i="4"/>
  <c r="R221" i="4"/>
  <c r="Q221" i="4"/>
  <c r="U222" i="4"/>
  <c r="P225" i="4"/>
  <c r="R225" i="4"/>
  <c r="Q225" i="4"/>
  <c r="U226" i="4"/>
  <c r="P229" i="4"/>
  <c r="R229" i="4"/>
  <c r="Q229" i="4"/>
  <c r="U230" i="4"/>
  <c r="R233" i="4"/>
  <c r="P233" i="4"/>
  <c r="Q233" i="4"/>
  <c r="U234" i="4"/>
  <c r="P237" i="4"/>
  <c r="R237" i="4"/>
  <c r="Q237" i="4"/>
  <c r="U238" i="4"/>
  <c r="P241" i="4"/>
  <c r="R241" i="4"/>
  <c r="Q241" i="4"/>
  <c r="U242" i="4"/>
  <c r="P245" i="4"/>
  <c r="R245" i="4"/>
  <c r="Q245" i="4"/>
  <c r="U246" i="4"/>
  <c r="P249" i="4"/>
  <c r="R249" i="4"/>
  <c r="Q249" i="4"/>
  <c r="U250" i="4"/>
  <c r="P253" i="4"/>
  <c r="R253" i="4"/>
  <c r="Q253" i="4"/>
  <c r="U254" i="4"/>
  <c r="P257" i="4"/>
  <c r="R257" i="4"/>
  <c r="Q257" i="4"/>
  <c r="U258" i="4"/>
  <c r="P261" i="4"/>
  <c r="R261" i="4"/>
  <c r="Q261" i="4"/>
  <c r="U262" i="4"/>
  <c r="R265" i="4"/>
  <c r="Q265" i="4"/>
  <c r="P265" i="4"/>
  <c r="U266" i="4"/>
  <c r="P269" i="4"/>
  <c r="R269" i="4"/>
  <c r="Q269" i="4"/>
  <c r="U270" i="4"/>
  <c r="P273" i="4"/>
  <c r="R273" i="4"/>
  <c r="Q273" i="4"/>
  <c r="P277" i="4"/>
  <c r="R277" i="4"/>
  <c r="Q277" i="4"/>
  <c r="U278" i="4"/>
  <c r="P285" i="4"/>
  <c r="R285" i="4"/>
  <c r="Q285" i="4"/>
  <c r="U286" i="4"/>
  <c r="P293" i="4"/>
  <c r="R293" i="4"/>
  <c r="Q293" i="4"/>
  <c r="U294" i="4"/>
  <c r="P301" i="4"/>
  <c r="R301" i="4"/>
  <c r="Q301" i="4"/>
  <c r="U302" i="4"/>
  <c r="P309" i="4"/>
  <c r="R309" i="4"/>
  <c r="Q309" i="4"/>
  <c r="U310" i="4"/>
  <c r="P317" i="4"/>
  <c r="R317" i="4"/>
  <c r="Q317" i="4"/>
  <c r="P276" i="4"/>
  <c r="R276" i="4"/>
  <c r="Q276" i="4"/>
  <c r="U277" i="4"/>
  <c r="P280" i="4"/>
  <c r="R280" i="4"/>
  <c r="Q280" i="4"/>
  <c r="U281" i="4"/>
  <c r="P284" i="4"/>
  <c r="R284" i="4"/>
  <c r="Q284" i="4"/>
  <c r="U285" i="4"/>
  <c r="P288" i="4"/>
  <c r="Q288" i="4"/>
  <c r="R288" i="4"/>
  <c r="U289" i="4"/>
  <c r="P292" i="4"/>
  <c r="R292" i="4"/>
  <c r="Q292" i="4"/>
  <c r="U293" i="4"/>
  <c r="P296" i="4"/>
  <c r="R296" i="4"/>
  <c r="Q296" i="4"/>
  <c r="U297" i="4"/>
  <c r="P300" i="4"/>
  <c r="R300" i="4"/>
  <c r="Q300" i="4"/>
  <c r="U301" i="4"/>
  <c r="P304" i="4"/>
  <c r="R304" i="4"/>
  <c r="Q304" i="4"/>
  <c r="U305" i="4"/>
  <c r="P308" i="4"/>
  <c r="R308" i="4"/>
  <c r="Q308" i="4"/>
  <c r="U309" i="4"/>
  <c r="P312" i="4"/>
  <c r="R312" i="4"/>
  <c r="Q312" i="4"/>
  <c r="U313" i="4"/>
  <c r="P316" i="4"/>
  <c r="R316" i="4"/>
  <c r="Q316" i="4"/>
  <c r="U317" i="4"/>
  <c r="P320" i="4"/>
  <c r="Q320" i="4"/>
  <c r="R320" i="4"/>
  <c r="U321" i="4"/>
  <c r="P324" i="4"/>
  <c r="R324" i="4"/>
  <c r="Q324" i="4"/>
  <c r="U325" i="4"/>
  <c r="P328" i="4"/>
  <c r="R328" i="4"/>
  <c r="Q328" i="4"/>
  <c r="U329" i="4"/>
  <c r="P332" i="4"/>
  <c r="R332" i="4"/>
  <c r="Q332" i="4"/>
  <c r="U333" i="4"/>
  <c r="P336" i="4"/>
  <c r="R336" i="4"/>
  <c r="Q336" i="4"/>
  <c r="U337" i="4"/>
  <c r="P340" i="4"/>
  <c r="R340" i="4"/>
  <c r="Q340" i="4"/>
  <c r="U341" i="4"/>
  <c r="P344" i="4"/>
  <c r="R344" i="4"/>
  <c r="Q344" i="4"/>
  <c r="U345" i="4"/>
  <c r="P348" i="4"/>
  <c r="R348" i="4"/>
  <c r="Q348" i="4"/>
  <c r="U349" i="4"/>
  <c r="P352" i="4"/>
  <c r="Q352" i="4"/>
  <c r="R352" i="4"/>
  <c r="U353" i="4"/>
  <c r="P356" i="4"/>
  <c r="R356" i="4"/>
  <c r="Q356" i="4"/>
  <c r="U357" i="4"/>
  <c r="P360" i="4"/>
  <c r="R360" i="4"/>
  <c r="Q360" i="4"/>
  <c r="U361" i="4"/>
  <c r="P364" i="4"/>
  <c r="R364" i="4"/>
  <c r="Q364" i="4"/>
  <c r="U365" i="4"/>
  <c r="P368" i="4"/>
  <c r="R368" i="4"/>
  <c r="Q368" i="4"/>
  <c r="U369" i="4"/>
  <c r="P372" i="4"/>
  <c r="R372" i="4"/>
  <c r="Q372" i="4"/>
  <c r="U373" i="4"/>
  <c r="P376" i="4"/>
  <c r="R376" i="4"/>
  <c r="Q376" i="4"/>
  <c r="U377" i="4"/>
  <c r="P380" i="4"/>
  <c r="R380" i="4"/>
  <c r="Q380" i="4"/>
  <c r="U381" i="4"/>
  <c r="P384" i="4"/>
  <c r="R384" i="4"/>
  <c r="Q384" i="4"/>
  <c r="U385" i="4"/>
  <c r="P388" i="4"/>
  <c r="R388" i="4"/>
  <c r="Q388" i="4"/>
  <c r="U389" i="4"/>
  <c r="P392" i="4"/>
  <c r="R392" i="4"/>
  <c r="Q392" i="4"/>
  <c r="U393" i="4"/>
  <c r="P396" i="4"/>
  <c r="R396" i="4"/>
  <c r="Q396" i="4"/>
  <c r="U397" i="4"/>
  <c r="P400" i="4"/>
  <c r="R400" i="4"/>
  <c r="Q400" i="4"/>
  <c r="U401" i="4"/>
  <c r="P408" i="4"/>
  <c r="R408" i="4"/>
  <c r="Q408" i="4"/>
  <c r="U409" i="4"/>
  <c r="P416" i="4"/>
  <c r="R416" i="4"/>
  <c r="Q416" i="4"/>
  <c r="U417" i="4"/>
  <c r="P424" i="4"/>
  <c r="R424" i="4"/>
  <c r="Q424" i="4"/>
  <c r="U425" i="4"/>
  <c r="P432" i="4"/>
  <c r="R432" i="4"/>
  <c r="Q432" i="4"/>
  <c r="U433" i="4"/>
  <c r="P440" i="4"/>
  <c r="R440" i="4"/>
  <c r="Q440" i="4"/>
  <c r="P275" i="4"/>
  <c r="R275" i="4"/>
  <c r="Q275" i="4"/>
  <c r="U276" i="4"/>
  <c r="P279" i="4"/>
  <c r="R279" i="4"/>
  <c r="Q279" i="4"/>
  <c r="U280" i="4"/>
  <c r="P283" i="4"/>
  <c r="R283" i="4"/>
  <c r="Q283" i="4"/>
  <c r="U284" i="4"/>
  <c r="P287" i="4"/>
  <c r="R287" i="4"/>
  <c r="Q287" i="4"/>
  <c r="U288" i="4"/>
  <c r="P291" i="4"/>
  <c r="R291" i="4"/>
  <c r="Q291" i="4"/>
  <c r="U292" i="4"/>
  <c r="P295" i="4"/>
  <c r="R295" i="4"/>
  <c r="Q295" i="4"/>
  <c r="U296" i="4"/>
  <c r="P299" i="4"/>
  <c r="R299" i="4"/>
  <c r="Q299" i="4"/>
  <c r="U300" i="4"/>
  <c r="P303" i="4"/>
  <c r="R303" i="4"/>
  <c r="Q303" i="4"/>
  <c r="U304" i="4"/>
  <c r="P307" i="4"/>
  <c r="R307" i="4"/>
  <c r="Q307" i="4"/>
  <c r="U308" i="4"/>
  <c r="P311" i="4"/>
  <c r="R311" i="4"/>
  <c r="Q311" i="4"/>
  <c r="U312" i="4"/>
  <c r="P315" i="4"/>
  <c r="R315" i="4"/>
  <c r="Q315" i="4"/>
  <c r="U316" i="4"/>
  <c r="P319" i="4"/>
  <c r="R319" i="4"/>
  <c r="Q319" i="4"/>
  <c r="U320" i="4"/>
  <c r="P323" i="4"/>
  <c r="R323" i="4"/>
  <c r="Q323" i="4"/>
  <c r="U324" i="4"/>
  <c r="P327" i="4"/>
  <c r="R327" i="4"/>
  <c r="Q327" i="4"/>
  <c r="U328" i="4"/>
  <c r="P331" i="4"/>
  <c r="R331" i="4"/>
  <c r="Q331" i="4"/>
  <c r="U332" i="4"/>
  <c r="P335" i="4"/>
  <c r="R335" i="4"/>
  <c r="Q335" i="4"/>
  <c r="U336" i="4"/>
  <c r="P339" i="4"/>
  <c r="R339" i="4"/>
  <c r="Q339" i="4"/>
  <c r="U340" i="4"/>
  <c r="P343" i="4"/>
  <c r="R343" i="4"/>
  <c r="Q343" i="4"/>
  <c r="U344" i="4"/>
  <c r="P347" i="4"/>
  <c r="R347" i="4"/>
  <c r="Q347" i="4"/>
  <c r="U348" i="4"/>
  <c r="P351" i="4"/>
  <c r="R351" i="4"/>
  <c r="Q351" i="4"/>
  <c r="U352" i="4"/>
  <c r="P355" i="4"/>
  <c r="R355" i="4"/>
  <c r="Q355" i="4"/>
  <c r="U356" i="4"/>
  <c r="P359" i="4"/>
  <c r="R359" i="4"/>
  <c r="Q359" i="4"/>
  <c r="U360" i="4"/>
  <c r="P363" i="4"/>
  <c r="R363" i="4"/>
  <c r="Q363" i="4"/>
  <c r="U364" i="4"/>
  <c r="P367" i="4"/>
  <c r="R367" i="4"/>
  <c r="Q367" i="4"/>
  <c r="U368" i="4"/>
  <c r="P371" i="4"/>
  <c r="R371" i="4"/>
  <c r="Q371" i="4"/>
  <c r="U372" i="4"/>
  <c r="P375" i="4"/>
  <c r="R375" i="4"/>
  <c r="Q375" i="4"/>
  <c r="U376" i="4"/>
  <c r="P379" i="4"/>
  <c r="R379" i="4"/>
  <c r="Q379" i="4"/>
  <c r="U380" i="4"/>
  <c r="P383" i="4"/>
  <c r="R383" i="4"/>
  <c r="Q383" i="4"/>
  <c r="U384" i="4"/>
  <c r="P387" i="4"/>
  <c r="R387" i="4"/>
  <c r="Q387" i="4"/>
  <c r="U388" i="4"/>
  <c r="P391" i="4"/>
  <c r="R391" i="4"/>
  <c r="Q391" i="4"/>
  <c r="U392" i="4"/>
  <c r="P395" i="4"/>
  <c r="R395" i="4"/>
  <c r="Q395" i="4"/>
  <c r="U396" i="4"/>
  <c r="P399" i="4"/>
  <c r="R399" i="4"/>
  <c r="Q399" i="4"/>
  <c r="U400" i="4"/>
  <c r="P407" i="4"/>
  <c r="R407" i="4"/>
  <c r="Q407" i="4"/>
  <c r="U408" i="4"/>
  <c r="P415" i="4"/>
  <c r="R415" i="4"/>
  <c r="Q415" i="4"/>
  <c r="U416" i="4"/>
  <c r="P423" i="4"/>
  <c r="R423" i="4"/>
  <c r="Q423" i="4"/>
  <c r="U424" i="4"/>
  <c r="P431" i="4"/>
  <c r="R431" i="4"/>
  <c r="Q431" i="4"/>
  <c r="U432" i="4"/>
  <c r="P439" i="4"/>
  <c r="R439" i="4"/>
  <c r="Q439" i="4"/>
  <c r="U440" i="4"/>
  <c r="P318" i="4"/>
  <c r="R318" i="4"/>
  <c r="Q318" i="4"/>
  <c r="U319" i="4"/>
  <c r="P322" i="4"/>
  <c r="R322" i="4"/>
  <c r="Q322" i="4"/>
  <c r="U323" i="4"/>
  <c r="R326" i="4"/>
  <c r="P326" i="4"/>
  <c r="Q326" i="4"/>
  <c r="U327" i="4"/>
  <c r="R330" i="4"/>
  <c r="P330" i="4"/>
  <c r="Q330" i="4"/>
  <c r="U331" i="4"/>
  <c r="P334" i="4"/>
  <c r="R334" i="4"/>
  <c r="Q334" i="4"/>
  <c r="U335" i="4"/>
  <c r="P338" i="4"/>
  <c r="R338" i="4"/>
  <c r="Q338" i="4"/>
  <c r="U339" i="4"/>
  <c r="R342" i="4"/>
  <c r="P342" i="4"/>
  <c r="Q342" i="4"/>
  <c r="U343" i="4"/>
  <c r="R346" i="4"/>
  <c r="P346" i="4"/>
  <c r="Q346" i="4"/>
  <c r="U347" i="4"/>
  <c r="P350" i="4"/>
  <c r="R350" i="4"/>
  <c r="Q350" i="4"/>
  <c r="U351" i="4"/>
  <c r="P354" i="4"/>
  <c r="R354" i="4"/>
  <c r="Q354" i="4"/>
  <c r="U355" i="4"/>
  <c r="R358" i="4"/>
  <c r="P358" i="4"/>
  <c r="Q358" i="4"/>
  <c r="U359" i="4"/>
  <c r="R362" i="4"/>
  <c r="P362" i="4"/>
  <c r="Q362" i="4"/>
  <c r="U363" i="4"/>
  <c r="P366" i="4"/>
  <c r="R366" i="4"/>
  <c r="Q366" i="4"/>
  <c r="U367" i="4"/>
  <c r="P370" i="4"/>
  <c r="R370" i="4"/>
  <c r="Q370" i="4"/>
  <c r="U371" i="4"/>
  <c r="R374" i="4"/>
  <c r="P374" i="4"/>
  <c r="Q374" i="4"/>
  <c r="U375" i="4"/>
  <c r="R378" i="4"/>
  <c r="P378" i="4"/>
  <c r="Q378" i="4"/>
  <c r="U379" i="4"/>
  <c r="P382" i="4"/>
  <c r="R382" i="4"/>
  <c r="Q382" i="4"/>
  <c r="U383" i="4"/>
  <c r="P386" i="4"/>
  <c r="R386" i="4"/>
  <c r="Q386" i="4"/>
  <c r="U387" i="4"/>
  <c r="R390" i="4"/>
  <c r="P390" i="4"/>
  <c r="Q390" i="4"/>
  <c r="U391" i="4"/>
  <c r="R394" i="4"/>
  <c r="P394" i="4"/>
  <c r="Q394" i="4"/>
  <c r="U395" i="4"/>
  <c r="P404" i="4"/>
  <c r="R404" i="4"/>
  <c r="Q404" i="4"/>
  <c r="U405" i="4"/>
  <c r="P412" i="4"/>
  <c r="R412" i="4"/>
  <c r="Q412" i="4"/>
  <c r="U413" i="4"/>
  <c r="P420" i="4"/>
  <c r="R420" i="4"/>
  <c r="Q420" i="4"/>
  <c r="U421" i="4"/>
  <c r="P428" i="4"/>
  <c r="R428" i="4"/>
  <c r="Q428" i="4"/>
  <c r="U429" i="4"/>
  <c r="P436" i="4"/>
  <c r="R436" i="4"/>
  <c r="Q436" i="4"/>
  <c r="U437" i="4"/>
  <c r="U318" i="4"/>
  <c r="P321" i="4"/>
  <c r="R321" i="4"/>
  <c r="Q321" i="4"/>
  <c r="U322" i="4"/>
  <c r="P325" i="4"/>
  <c r="R325" i="4"/>
  <c r="Q325" i="4"/>
  <c r="U326" i="4"/>
  <c r="P329" i="4"/>
  <c r="R329" i="4"/>
  <c r="Q329" i="4"/>
  <c r="U330" i="4"/>
  <c r="P333" i="4"/>
  <c r="R333" i="4"/>
  <c r="Q333" i="4"/>
  <c r="U334" i="4"/>
  <c r="P337" i="4"/>
  <c r="R337" i="4"/>
  <c r="Q337" i="4"/>
  <c r="U338" i="4"/>
  <c r="P341" i="4"/>
  <c r="R341" i="4"/>
  <c r="Q341" i="4"/>
  <c r="U342" i="4"/>
  <c r="P345" i="4"/>
  <c r="R345" i="4"/>
  <c r="Q345" i="4"/>
  <c r="U346" i="4"/>
  <c r="P349" i="4"/>
  <c r="R349" i="4"/>
  <c r="Q349" i="4"/>
  <c r="U350" i="4"/>
  <c r="P353" i="4"/>
  <c r="R353" i="4"/>
  <c r="Q353" i="4"/>
  <c r="U354" i="4"/>
  <c r="P357" i="4"/>
  <c r="R357" i="4"/>
  <c r="Q357" i="4"/>
  <c r="U358" i="4"/>
  <c r="P361" i="4"/>
  <c r="R361" i="4"/>
  <c r="Q361" i="4"/>
  <c r="U362" i="4"/>
  <c r="P365" i="4"/>
  <c r="R365" i="4"/>
  <c r="Q365" i="4"/>
  <c r="U366" i="4"/>
  <c r="P369" i="4"/>
  <c r="R369" i="4"/>
  <c r="Q369" i="4"/>
  <c r="U370" i="4"/>
  <c r="P373" i="4"/>
  <c r="R373" i="4"/>
  <c r="Q373" i="4"/>
  <c r="U374" i="4"/>
  <c r="P377" i="4"/>
  <c r="R377" i="4"/>
  <c r="Q377" i="4"/>
  <c r="U378" i="4"/>
  <c r="P381" i="4"/>
  <c r="R381" i="4"/>
  <c r="Q381" i="4"/>
  <c r="U382" i="4"/>
  <c r="P385" i="4"/>
  <c r="R385" i="4"/>
  <c r="Q385" i="4"/>
  <c r="U386" i="4"/>
  <c r="P389" i="4"/>
  <c r="R389" i="4"/>
  <c r="Q389" i="4"/>
  <c r="U390" i="4"/>
  <c r="P393" i="4"/>
  <c r="R393" i="4"/>
  <c r="Q393" i="4"/>
  <c r="U394" i="4"/>
  <c r="P397" i="4"/>
  <c r="R397" i="4"/>
  <c r="Q397" i="4"/>
  <c r="P403" i="4"/>
  <c r="R403" i="4"/>
  <c r="Q403" i="4"/>
  <c r="U404" i="4"/>
  <c r="P411" i="4"/>
  <c r="R411" i="4"/>
  <c r="Q411" i="4"/>
  <c r="U412" i="4"/>
  <c r="P419" i="4"/>
  <c r="R419" i="4"/>
  <c r="Q419" i="4"/>
  <c r="U420" i="4"/>
  <c r="P427" i="4"/>
  <c r="R427" i="4"/>
  <c r="Q427" i="4"/>
  <c r="U428" i="4"/>
  <c r="P435" i="4"/>
  <c r="R435" i="4"/>
  <c r="Q435" i="4"/>
  <c r="U436" i="4"/>
  <c r="P398" i="4"/>
  <c r="R398" i="4"/>
  <c r="Q398" i="4"/>
  <c r="U399" i="4"/>
  <c r="P402" i="4"/>
  <c r="R402" i="4"/>
  <c r="Q402" i="4"/>
  <c r="U403" i="4"/>
  <c r="R406" i="4"/>
  <c r="P406" i="4"/>
  <c r="Q406" i="4"/>
  <c r="U407" i="4"/>
  <c r="R410" i="4"/>
  <c r="P410" i="4"/>
  <c r="Q410" i="4"/>
  <c r="U411" i="4"/>
  <c r="P414" i="4"/>
  <c r="R414" i="4"/>
  <c r="Q414" i="4"/>
  <c r="U415" i="4"/>
  <c r="P418" i="4"/>
  <c r="R418" i="4"/>
  <c r="Q418" i="4"/>
  <c r="U419" i="4"/>
  <c r="R422" i="4"/>
  <c r="P422" i="4"/>
  <c r="Q422" i="4"/>
  <c r="U423" i="4"/>
  <c r="R426" i="4"/>
  <c r="P426" i="4"/>
  <c r="Q426" i="4"/>
  <c r="U427" i="4"/>
  <c r="P430" i="4"/>
  <c r="R430" i="4"/>
  <c r="Q430" i="4"/>
  <c r="U431" i="4"/>
  <c r="P434" i="4"/>
  <c r="R434" i="4"/>
  <c r="Q434" i="4"/>
  <c r="U435" i="4"/>
  <c r="R438" i="4"/>
  <c r="P438" i="4"/>
  <c r="Q438" i="4"/>
  <c r="U439" i="4"/>
  <c r="R442" i="4"/>
  <c r="P442" i="4"/>
  <c r="Q442" i="4"/>
  <c r="P445" i="4"/>
  <c r="R445" i="4"/>
  <c r="Q445" i="4"/>
  <c r="U446" i="4"/>
  <c r="P453" i="4"/>
  <c r="R453" i="4"/>
  <c r="Q453" i="4"/>
  <c r="U454" i="4"/>
  <c r="P461" i="4"/>
  <c r="R461" i="4"/>
  <c r="Q461" i="4"/>
  <c r="U462" i="4"/>
  <c r="P469" i="4"/>
  <c r="R469" i="4"/>
  <c r="Q469" i="4"/>
  <c r="U470" i="4"/>
  <c r="P477" i="4"/>
  <c r="R477" i="4"/>
  <c r="Q477" i="4"/>
  <c r="U478" i="4"/>
  <c r="P485" i="4"/>
  <c r="R485" i="4"/>
  <c r="Q485" i="4"/>
  <c r="U486" i="4"/>
  <c r="P493" i="4"/>
  <c r="R493" i="4"/>
  <c r="Q493" i="4"/>
  <c r="U500" i="4"/>
  <c r="U398" i="4"/>
  <c r="P401" i="4"/>
  <c r="R401" i="4"/>
  <c r="Q401" i="4"/>
  <c r="U402" i="4"/>
  <c r="P405" i="4"/>
  <c r="R405" i="4"/>
  <c r="Q405" i="4"/>
  <c r="U406" i="4"/>
  <c r="P409" i="4"/>
  <c r="R409" i="4"/>
  <c r="Q409" i="4"/>
  <c r="U410" i="4"/>
  <c r="P413" i="4"/>
  <c r="R413" i="4"/>
  <c r="Q413" i="4"/>
  <c r="U414" i="4"/>
  <c r="P417" i="4"/>
  <c r="R417" i="4"/>
  <c r="Q417" i="4"/>
  <c r="U418" i="4"/>
  <c r="P421" i="4"/>
  <c r="R421" i="4"/>
  <c r="Q421" i="4"/>
  <c r="U422" i="4"/>
  <c r="P425" i="4"/>
  <c r="R425" i="4"/>
  <c r="Q425" i="4"/>
  <c r="U426" i="4"/>
  <c r="P429" i="4"/>
  <c r="R429" i="4"/>
  <c r="Q429" i="4"/>
  <c r="U430" i="4"/>
  <c r="P433" i="4"/>
  <c r="R433" i="4"/>
  <c r="Q433" i="4"/>
  <c r="U434" i="4"/>
  <c r="P437" i="4"/>
  <c r="R437" i="4"/>
  <c r="Q437" i="4"/>
  <c r="U438" i="4"/>
  <c r="P441" i="4"/>
  <c r="R441" i="4"/>
  <c r="Q441" i="4"/>
  <c r="U442" i="4"/>
  <c r="P443" i="4"/>
  <c r="R443" i="4"/>
  <c r="Q443" i="4"/>
  <c r="U444" i="4"/>
  <c r="P451" i="4"/>
  <c r="R451" i="4"/>
  <c r="Q451" i="4"/>
  <c r="U452" i="4"/>
  <c r="P459" i="4"/>
  <c r="R459" i="4"/>
  <c r="Q459" i="4"/>
  <c r="U460" i="4"/>
  <c r="P467" i="4"/>
  <c r="R467" i="4"/>
  <c r="Q467" i="4"/>
  <c r="U468" i="4"/>
  <c r="P475" i="4"/>
  <c r="R475" i="4"/>
  <c r="Q475" i="4"/>
  <c r="U476" i="4"/>
  <c r="P483" i="4"/>
  <c r="R483" i="4"/>
  <c r="Q483" i="4"/>
  <c r="U484" i="4"/>
  <c r="P491" i="4"/>
  <c r="R491" i="4"/>
  <c r="Q491" i="4"/>
  <c r="U492" i="4"/>
  <c r="U496" i="4"/>
  <c r="U441" i="4"/>
  <c r="P449" i="4"/>
  <c r="R449" i="4"/>
  <c r="Q449" i="4"/>
  <c r="U450" i="4"/>
  <c r="P457" i="4"/>
  <c r="R457" i="4"/>
  <c r="Q457" i="4"/>
  <c r="U458" i="4"/>
  <c r="P465" i="4"/>
  <c r="R465" i="4"/>
  <c r="Q465" i="4"/>
  <c r="U466" i="4"/>
  <c r="P473" i="4"/>
  <c r="R473" i="4"/>
  <c r="Q473" i="4"/>
  <c r="U474" i="4"/>
  <c r="P481" i="4"/>
  <c r="R481" i="4"/>
  <c r="Q481" i="4"/>
  <c r="U482" i="4"/>
  <c r="P489" i="4"/>
  <c r="R489" i="4"/>
  <c r="Q489" i="4"/>
  <c r="U490" i="4"/>
  <c r="P495" i="4"/>
  <c r="R495" i="4"/>
  <c r="Q495" i="4"/>
  <c r="P499" i="4"/>
  <c r="R499" i="4"/>
  <c r="Q499" i="4"/>
  <c r="P447" i="4"/>
  <c r="R447" i="4"/>
  <c r="Q447" i="4"/>
  <c r="U448" i="4"/>
  <c r="P455" i="4"/>
  <c r="R455" i="4"/>
  <c r="Q455" i="4"/>
  <c r="U456" i="4"/>
  <c r="P463" i="4"/>
  <c r="R463" i="4"/>
  <c r="Q463" i="4"/>
  <c r="U464" i="4"/>
  <c r="P471" i="4"/>
  <c r="R471" i="4"/>
  <c r="Q471" i="4"/>
  <c r="U472" i="4"/>
  <c r="P479" i="4"/>
  <c r="R479" i="4"/>
  <c r="Q479" i="4"/>
  <c r="U480" i="4"/>
  <c r="P487" i="4"/>
  <c r="R487" i="4"/>
  <c r="Q487" i="4"/>
  <c r="U488" i="4"/>
  <c r="P444" i="4"/>
  <c r="R444" i="4"/>
  <c r="Q444" i="4"/>
  <c r="U445" i="4"/>
  <c r="P448" i="4"/>
  <c r="R448" i="4"/>
  <c r="Q448" i="4"/>
  <c r="U449" i="4"/>
  <c r="P452" i="4"/>
  <c r="R452" i="4"/>
  <c r="Q452" i="4"/>
  <c r="U453" i="4"/>
  <c r="P456" i="4"/>
  <c r="R456" i="4"/>
  <c r="Q456" i="4"/>
  <c r="U457" i="4"/>
  <c r="P460" i="4"/>
  <c r="R460" i="4"/>
  <c r="Q460" i="4"/>
  <c r="U461" i="4"/>
  <c r="P464" i="4"/>
  <c r="R464" i="4"/>
  <c r="Q464" i="4"/>
  <c r="U465" i="4"/>
  <c r="P468" i="4"/>
  <c r="R468" i="4"/>
  <c r="Q468" i="4"/>
  <c r="U469" i="4"/>
  <c r="P472" i="4"/>
  <c r="R472" i="4"/>
  <c r="Q472" i="4"/>
  <c r="U473" i="4"/>
  <c r="P476" i="4"/>
  <c r="R476" i="4"/>
  <c r="Q476" i="4"/>
  <c r="U477" i="4"/>
  <c r="P480" i="4"/>
  <c r="R480" i="4"/>
  <c r="Q480" i="4"/>
  <c r="U481" i="4"/>
  <c r="P484" i="4"/>
  <c r="R484" i="4"/>
  <c r="Q484" i="4"/>
  <c r="U485" i="4"/>
  <c r="P488" i="4"/>
  <c r="R488" i="4"/>
  <c r="Q488" i="4"/>
  <c r="U489" i="4"/>
  <c r="P492" i="4"/>
  <c r="R492" i="4"/>
  <c r="Q492" i="4"/>
  <c r="U493" i="4"/>
  <c r="P496" i="4"/>
  <c r="R496" i="4"/>
  <c r="Q496" i="4"/>
  <c r="P497" i="4"/>
  <c r="R497" i="4"/>
  <c r="Q497" i="4"/>
  <c r="U498" i="4"/>
  <c r="P505" i="4"/>
  <c r="R505" i="4"/>
  <c r="Q505" i="4"/>
  <c r="U506" i="4"/>
  <c r="P513" i="4"/>
  <c r="R513" i="4"/>
  <c r="Q513" i="4"/>
  <c r="U514" i="4"/>
  <c r="P521" i="4"/>
  <c r="R521" i="4"/>
  <c r="Q521" i="4"/>
  <c r="U522" i="4"/>
  <c r="P529" i="4"/>
  <c r="R529" i="4"/>
  <c r="Q529" i="4"/>
  <c r="U530" i="4"/>
  <c r="P537" i="4"/>
  <c r="R537" i="4"/>
  <c r="Q537" i="4"/>
  <c r="P503" i="4"/>
  <c r="R503" i="4"/>
  <c r="Q503" i="4"/>
  <c r="U504" i="4"/>
  <c r="P511" i="4"/>
  <c r="R511" i="4"/>
  <c r="Q511" i="4"/>
  <c r="U512" i="4"/>
  <c r="P519" i="4"/>
  <c r="R519" i="4"/>
  <c r="Q519" i="4"/>
  <c r="U520" i="4"/>
  <c r="P527" i="4"/>
  <c r="R527" i="4"/>
  <c r="Q527" i="4"/>
  <c r="U528" i="4"/>
  <c r="P533" i="4"/>
  <c r="R533" i="4"/>
  <c r="Q533" i="4"/>
  <c r="U443" i="4"/>
  <c r="P446" i="4"/>
  <c r="R446" i="4"/>
  <c r="Q446" i="4"/>
  <c r="U447" i="4"/>
  <c r="P450" i="4"/>
  <c r="R450" i="4"/>
  <c r="Q450" i="4"/>
  <c r="U451" i="4"/>
  <c r="R454" i="4"/>
  <c r="P454" i="4"/>
  <c r="Q454" i="4"/>
  <c r="U455" i="4"/>
  <c r="R458" i="4"/>
  <c r="P458" i="4"/>
  <c r="Q458" i="4"/>
  <c r="U459" i="4"/>
  <c r="P462" i="4"/>
  <c r="R462" i="4"/>
  <c r="Q462" i="4"/>
  <c r="U463" i="4"/>
  <c r="P466" i="4"/>
  <c r="R466" i="4"/>
  <c r="Q466" i="4"/>
  <c r="U467" i="4"/>
  <c r="R470" i="4"/>
  <c r="P470" i="4"/>
  <c r="Q470" i="4"/>
  <c r="U471" i="4"/>
  <c r="R474" i="4"/>
  <c r="P474" i="4"/>
  <c r="Q474" i="4"/>
  <c r="U475" i="4"/>
  <c r="P478" i="4"/>
  <c r="R478" i="4"/>
  <c r="Q478" i="4"/>
  <c r="U479" i="4"/>
  <c r="P482" i="4"/>
  <c r="R482" i="4"/>
  <c r="Q482" i="4"/>
  <c r="U483" i="4"/>
  <c r="R486" i="4"/>
  <c r="P486" i="4"/>
  <c r="Q486" i="4"/>
  <c r="U487" i="4"/>
  <c r="R490" i="4"/>
  <c r="P490" i="4"/>
  <c r="Q490" i="4"/>
  <c r="U491" i="4"/>
  <c r="U494" i="4"/>
  <c r="P501" i="4"/>
  <c r="R501" i="4"/>
  <c r="Q501" i="4"/>
  <c r="U502" i="4"/>
  <c r="P509" i="4"/>
  <c r="R509" i="4"/>
  <c r="Q509" i="4"/>
  <c r="U510" i="4"/>
  <c r="P517" i="4"/>
  <c r="R517" i="4"/>
  <c r="Q517" i="4"/>
  <c r="U518" i="4"/>
  <c r="P525" i="4"/>
  <c r="R525" i="4"/>
  <c r="Q525" i="4"/>
  <c r="U526" i="4"/>
  <c r="U538" i="4"/>
  <c r="P507" i="4"/>
  <c r="R507" i="4"/>
  <c r="Q507" i="4"/>
  <c r="U508" i="4"/>
  <c r="P515" i="4"/>
  <c r="R515" i="4"/>
  <c r="Q515" i="4"/>
  <c r="U516" i="4"/>
  <c r="P523" i="4"/>
  <c r="R523" i="4"/>
  <c r="Q523" i="4"/>
  <c r="U524" i="4"/>
  <c r="U534" i="4"/>
  <c r="P541" i="4"/>
  <c r="R541" i="4"/>
  <c r="Q541" i="4"/>
  <c r="U497" i="4"/>
  <c r="P500" i="4"/>
  <c r="R500" i="4"/>
  <c r="Q500" i="4"/>
  <c r="U501" i="4"/>
  <c r="P504" i="4"/>
  <c r="R504" i="4"/>
  <c r="Q504" i="4"/>
  <c r="U505" i="4"/>
  <c r="P508" i="4"/>
  <c r="R508" i="4"/>
  <c r="Q508" i="4"/>
  <c r="U509" i="4"/>
  <c r="P512" i="4"/>
  <c r="R512" i="4"/>
  <c r="Q512" i="4"/>
  <c r="U513" i="4"/>
  <c r="P516" i="4"/>
  <c r="R516" i="4"/>
  <c r="Q516" i="4"/>
  <c r="U517" i="4"/>
  <c r="P520" i="4"/>
  <c r="R520" i="4"/>
  <c r="Q520" i="4"/>
  <c r="U521" i="4"/>
  <c r="P524" i="4"/>
  <c r="R524" i="4"/>
  <c r="Q524" i="4"/>
  <c r="U525" i="4"/>
  <c r="P528" i="4"/>
  <c r="R528" i="4"/>
  <c r="Q528" i="4"/>
  <c r="U529" i="4"/>
  <c r="R534" i="4"/>
  <c r="P534" i="4"/>
  <c r="Q534" i="4"/>
  <c r="U535" i="4"/>
  <c r="P542" i="4"/>
  <c r="R542" i="4"/>
  <c r="Q542" i="4"/>
  <c r="U543" i="4"/>
  <c r="R550" i="4"/>
  <c r="P550" i="4"/>
  <c r="Q550" i="4"/>
  <c r="U551" i="4"/>
  <c r="P558" i="4"/>
  <c r="R558" i="4"/>
  <c r="Q558" i="4"/>
  <c r="U559" i="4"/>
  <c r="R566" i="4"/>
  <c r="P566" i="4"/>
  <c r="Q566" i="4"/>
  <c r="U567" i="4"/>
  <c r="P574" i="4"/>
  <c r="R574" i="4"/>
  <c r="Q574" i="4"/>
  <c r="U575" i="4"/>
  <c r="R582" i="4"/>
  <c r="P582" i="4"/>
  <c r="Q582" i="4"/>
  <c r="U583" i="4"/>
  <c r="P590" i="4"/>
  <c r="R590" i="4"/>
  <c r="Q590" i="4"/>
  <c r="U591" i="4"/>
  <c r="P598" i="4"/>
  <c r="R598" i="4"/>
  <c r="Q598" i="4"/>
  <c r="U600" i="4"/>
  <c r="U542" i="4"/>
  <c r="P549" i="4"/>
  <c r="R549" i="4"/>
  <c r="Q549" i="4"/>
  <c r="U550" i="4"/>
  <c r="P557" i="4"/>
  <c r="R557" i="4"/>
  <c r="Q557" i="4"/>
  <c r="U558" i="4"/>
  <c r="P565" i="4"/>
  <c r="R565" i="4"/>
  <c r="Q565" i="4"/>
  <c r="U566" i="4"/>
  <c r="P573" i="4"/>
  <c r="R573" i="4"/>
  <c r="Q573" i="4"/>
  <c r="U574" i="4"/>
  <c r="P581" i="4"/>
  <c r="R581" i="4"/>
  <c r="Q581" i="4"/>
  <c r="U582" i="4"/>
  <c r="P589" i="4"/>
  <c r="R589" i="4"/>
  <c r="Q589" i="4"/>
  <c r="U590" i="4"/>
  <c r="P597" i="4"/>
  <c r="R597" i="4"/>
  <c r="Q597" i="4"/>
  <c r="U598" i="4"/>
  <c r="U599" i="4"/>
  <c r="P494" i="4"/>
  <c r="R494" i="4"/>
  <c r="Q494" i="4"/>
  <c r="U495" i="4"/>
  <c r="P498" i="4"/>
  <c r="R498" i="4"/>
  <c r="Q498" i="4"/>
  <c r="U499" i="4"/>
  <c r="R502" i="4"/>
  <c r="P502" i="4"/>
  <c r="Q502" i="4"/>
  <c r="U503" i="4"/>
  <c r="R506" i="4"/>
  <c r="P506" i="4"/>
  <c r="Q506" i="4"/>
  <c r="U507" i="4"/>
  <c r="P510" i="4"/>
  <c r="R510" i="4"/>
  <c r="Q510" i="4"/>
  <c r="U511" i="4"/>
  <c r="P514" i="4"/>
  <c r="R514" i="4"/>
  <c r="Q514" i="4"/>
  <c r="U515" i="4"/>
  <c r="R518" i="4"/>
  <c r="P518" i="4"/>
  <c r="Q518" i="4"/>
  <c r="U519" i="4"/>
  <c r="R522" i="4"/>
  <c r="P522" i="4"/>
  <c r="Q522" i="4"/>
  <c r="U523" i="4"/>
  <c r="P526" i="4"/>
  <c r="R526" i="4"/>
  <c r="Q526" i="4"/>
  <c r="U527" i="4"/>
  <c r="P530" i="4"/>
  <c r="R530" i="4"/>
  <c r="Q530" i="4"/>
  <c r="U531" i="4"/>
  <c r="R538" i="4"/>
  <c r="P538" i="4"/>
  <c r="Q538" i="4"/>
  <c r="U539" i="4"/>
  <c r="P546" i="4"/>
  <c r="R546" i="4"/>
  <c r="Q546" i="4"/>
  <c r="U547" i="4"/>
  <c r="R554" i="4"/>
  <c r="P554" i="4"/>
  <c r="Q554" i="4"/>
  <c r="U555" i="4"/>
  <c r="P562" i="4"/>
  <c r="R562" i="4"/>
  <c r="Q562" i="4"/>
  <c r="U563" i="4"/>
  <c r="R570" i="4"/>
  <c r="P570" i="4"/>
  <c r="Q570" i="4"/>
  <c r="U571" i="4"/>
  <c r="P578" i="4"/>
  <c r="R578" i="4"/>
  <c r="Q578" i="4"/>
  <c r="U579" i="4"/>
  <c r="R586" i="4"/>
  <c r="P586" i="4"/>
  <c r="Q586" i="4"/>
  <c r="U587" i="4"/>
  <c r="P594" i="4"/>
  <c r="R594" i="4"/>
  <c r="Q594" i="4"/>
  <c r="U595" i="4"/>
  <c r="P545" i="4"/>
  <c r="R545" i="4"/>
  <c r="Q545" i="4"/>
  <c r="U546" i="4"/>
  <c r="P553" i="4"/>
  <c r="R553" i="4"/>
  <c r="Q553" i="4"/>
  <c r="U554" i="4"/>
  <c r="P561" i="4"/>
  <c r="R561" i="4"/>
  <c r="Q561" i="4"/>
  <c r="U562" i="4"/>
  <c r="P569" i="4"/>
  <c r="R569" i="4"/>
  <c r="Q569" i="4"/>
  <c r="U570" i="4"/>
  <c r="P577" i="4"/>
  <c r="R577" i="4"/>
  <c r="Q577" i="4"/>
  <c r="U578" i="4"/>
  <c r="P585" i="4"/>
  <c r="R585" i="4"/>
  <c r="Q585" i="4"/>
  <c r="U586" i="4"/>
  <c r="P593" i="4"/>
  <c r="R593" i="4"/>
  <c r="Q593" i="4"/>
  <c r="U594" i="4"/>
  <c r="P602" i="4"/>
  <c r="R602" i="4"/>
  <c r="Q602" i="4"/>
  <c r="P532" i="4"/>
  <c r="R532" i="4"/>
  <c r="Q532" i="4"/>
  <c r="U533" i="4"/>
  <c r="P536" i="4"/>
  <c r="R536" i="4"/>
  <c r="Q536" i="4"/>
  <c r="U537" i="4"/>
  <c r="P540" i="4"/>
  <c r="R540" i="4"/>
  <c r="Q540" i="4"/>
  <c r="U541" i="4"/>
  <c r="P544" i="4"/>
  <c r="R544" i="4"/>
  <c r="Q544" i="4"/>
  <c r="U545" i="4"/>
  <c r="P548" i="4"/>
  <c r="R548" i="4"/>
  <c r="Q548" i="4"/>
  <c r="U549" i="4"/>
  <c r="P552" i="4"/>
  <c r="R552" i="4"/>
  <c r="Q552" i="4"/>
  <c r="U553" i="4"/>
  <c r="P556" i="4"/>
  <c r="R556" i="4"/>
  <c r="Q556" i="4"/>
  <c r="U557" i="4"/>
  <c r="P560" i="4"/>
  <c r="R560" i="4"/>
  <c r="Q560" i="4"/>
  <c r="U561" i="4"/>
  <c r="P564" i="4"/>
  <c r="R564" i="4"/>
  <c r="Q564" i="4"/>
  <c r="U565" i="4"/>
  <c r="P568" i="4"/>
  <c r="R568" i="4"/>
  <c r="Q568" i="4"/>
  <c r="U569" i="4"/>
  <c r="P572" i="4"/>
  <c r="R572" i="4"/>
  <c r="Q572" i="4"/>
  <c r="U573" i="4"/>
  <c r="P576" i="4"/>
  <c r="R576" i="4"/>
  <c r="Q576" i="4"/>
  <c r="U577" i="4"/>
  <c r="P580" i="4"/>
  <c r="R580" i="4"/>
  <c r="Q580" i="4"/>
  <c r="U581" i="4"/>
  <c r="P584" i="4"/>
  <c r="R584" i="4"/>
  <c r="Q584" i="4"/>
  <c r="U585" i="4"/>
  <c r="P588" i="4"/>
  <c r="R588" i="4"/>
  <c r="Q588" i="4"/>
  <c r="U589" i="4"/>
  <c r="P592" i="4"/>
  <c r="R592" i="4"/>
  <c r="Q592" i="4"/>
  <c r="U593" i="4"/>
  <c r="P596" i="4"/>
  <c r="R596" i="4"/>
  <c r="Q596" i="4"/>
  <c r="U597" i="4"/>
  <c r="P601" i="4"/>
  <c r="R601" i="4"/>
  <c r="Q601" i="4"/>
  <c r="U602" i="4"/>
  <c r="P531" i="4"/>
  <c r="R531" i="4"/>
  <c r="Q531" i="4"/>
  <c r="U532" i="4"/>
  <c r="P535" i="4"/>
  <c r="R535" i="4"/>
  <c r="Q535" i="4"/>
  <c r="U536" i="4"/>
  <c r="P539" i="4"/>
  <c r="R539" i="4"/>
  <c r="Q539" i="4"/>
  <c r="U540" i="4"/>
  <c r="P543" i="4"/>
  <c r="R543" i="4"/>
  <c r="Q543" i="4"/>
  <c r="U544" i="4"/>
  <c r="P547" i="4"/>
  <c r="R547" i="4"/>
  <c r="Q547" i="4"/>
  <c r="U548" i="4"/>
  <c r="P551" i="4"/>
  <c r="R551" i="4"/>
  <c r="Q551" i="4"/>
  <c r="U552" i="4"/>
  <c r="P555" i="4"/>
  <c r="R555" i="4"/>
  <c r="Q555" i="4"/>
  <c r="U556" i="4"/>
  <c r="P559" i="4"/>
  <c r="R559" i="4"/>
  <c r="Q559" i="4"/>
  <c r="U560" i="4"/>
  <c r="P563" i="4"/>
  <c r="R563" i="4"/>
  <c r="Q563" i="4"/>
  <c r="U564" i="4"/>
  <c r="P567" i="4"/>
  <c r="R567" i="4"/>
  <c r="Q567" i="4"/>
  <c r="U568" i="4"/>
  <c r="P571" i="4"/>
  <c r="R571" i="4"/>
  <c r="Q571" i="4"/>
  <c r="U572" i="4"/>
  <c r="P575" i="4"/>
  <c r="R575" i="4"/>
  <c r="Q575" i="4"/>
  <c r="U576" i="4"/>
  <c r="P579" i="4"/>
  <c r="R579" i="4"/>
  <c r="Q579" i="4"/>
  <c r="U580" i="4"/>
  <c r="P583" i="4"/>
  <c r="R583" i="4"/>
  <c r="Q583" i="4"/>
  <c r="U584" i="4"/>
  <c r="P587" i="4"/>
  <c r="R587" i="4"/>
  <c r="Q587" i="4"/>
  <c r="U588" i="4"/>
  <c r="P591" i="4"/>
  <c r="R591" i="4"/>
  <c r="Q591" i="4"/>
  <c r="U592" i="4"/>
  <c r="P595" i="4"/>
  <c r="R595" i="4"/>
  <c r="Q595" i="4"/>
  <c r="U596" i="4"/>
  <c r="P599" i="4"/>
  <c r="R599" i="4"/>
  <c r="Q599" i="4"/>
  <c r="P600" i="4"/>
  <c r="R600" i="4"/>
  <c r="Q600" i="4"/>
  <c r="U601" i="4"/>
  <c r="T3" i="4"/>
  <c r="T599" i="4"/>
  <c r="T595" i="4"/>
  <c r="T591" i="4"/>
  <c r="T587" i="4"/>
  <c r="T583" i="4"/>
  <c r="T579" i="4"/>
  <c r="T575" i="4"/>
  <c r="T571" i="4"/>
  <c r="T567" i="4"/>
  <c r="T563" i="4"/>
  <c r="T559" i="4"/>
  <c r="T555" i="4"/>
  <c r="T551" i="4"/>
  <c r="T547" i="4"/>
  <c r="T543" i="4"/>
  <c r="T539" i="4"/>
  <c r="T535" i="4"/>
  <c r="T531" i="4"/>
  <c r="T527" i="4"/>
  <c r="T523" i="4"/>
  <c r="T519" i="4"/>
  <c r="T515" i="4"/>
  <c r="T511" i="4"/>
  <c r="T499" i="4"/>
  <c r="T483" i="4"/>
  <c r="T467" i="4"/>
  <c r="T451" i="4"/>
  <c r="T435" i="4"/>
  <c r="T419" i="4"/>
  <c r="T403" i="4"/>
  <c r="T387" i="4"/>
  <c r="T371" i="4"/>
  <c r="T355" i="4"/>
  <c r="T339" i="4"/>
  <c r="T323" i="4"/>
  <c r="T307" i="4"/>
  <c r="T291" i="4"/>
  <c r="T275" i="4"/>
  <c r="T259" i="4"/>
  <c r="T243" i="4"/>
  <c r="T227" i="4"/>
  <c r="T211" i="4"/>
  <c r="T195" i="4"/>
  <c r="T179" i="4"/>
  <c r="T163" i="4"/>
  <c r="T147" i="4"/>
  <c r="T131" i="4"/>
  <c r="T115" i="4"/>
  <c r="T99" i="4"/>
  <c r="T83" i="4"/>
  <c r="T67" i="4"/>
  <c r="T51" i="4"/>
  <c r="T35" i="4"/>
  <c r="T19" i="4"/>
  <c r="T602" i="4"/>
  <c r="T598" i="4"/>
  <c r="T594" i="4"/>
  <c r="T590" i="4"/>
  <c r="T586" i="4"/>
  <c r="T582" i="4"/>
  <c r="T578" i="4"/>
  <c r="T574" i="4"/>
  <c r="T570" i="4"/>
  <c r="T566" i="4"/>
  <c r="T562" i="4"/>
  <c r="T558" i="4"/>
  <c r="T554" i="4"/>
  <c r="T550" i="4"/>
  <c r="T546" i="4"/>
  <c r="T542" i="4"/>
  <c r="T538" i="4"/>
  <c r="T534" i="4"/>
  <c r="T530" i="4"/>
  <c r="T526" i="4"/>
  <c r="T522" i="4"/>
  <c r="T518" i="4"/>
  <c r="T514" i="4"/>
  <c r="T510" i="4"/>
  <c r="T495" i="4"/>
  <c r="T479" i="4"/>
  <c r="T463" i="4"/>
  <c r="T447" i="4"/>
  <c r="T431" i="4"/>
  <c r="T415" i="4"/>
  <c r="T399" i="4"/>
  <c r="T383" i="4"/>
  <c r="T367" i="4"/>
  <c r="T351" i="4"/>
  <c r="T335" i="4"/>
  <c r="T319" i="4"/>
  <c r="T303" i="4"/>
  <c r="T287" i="4"/>
  <c r="T271" i="4"/>
  <c r="T255" i="4"/>
  <c r="T239" i="4"/>
  <c r="T223" i="4"/>
  <c r="T207" i="4"/>
  <c r="T191" i="4"/>
  <c r="T175" i="4"/>
  <c r="T159" i="4"/>
  <c r="T143" i="4"/>
  <c r="T127" i="4"/>
  <c r="T111" i="4"/>
  <c r="T95" i="4"/>
  <c r="T79" i="4"/>
  <c r="T63" i="4"/>
  <c r="T47" i="4"/>
  <c r="T31" i="4"/>
  <c r="T15" i="4"/>
  <c r="T601" i="4"/>
  <c r="T597" i="4"/>
  <c r="T593" i="4"/>
  <c r="T589" i="4"/>
  <c r="T585" i="4"/>
  <c r="T581" i="4"/>
  <c r="T577" i="4"/>
  <c r="T573" i="4"/>
  <c r="T569" i="4"/>
  <c r="T565" i="4"/>
  <c r="T561" i="4"/>
  <c r="T557" i="4"/>
  <c r="T553" i="4"/>
  <c r="T549" i="4"/>
  <c r="T545" i="4"/>
  <c r="T541" i="4"/>
  <c r="T537" i="4"/>
  <c r="T533" i="4"/>
  <c r="T529" i="4"/>
  <c r="T525" i="4"/>
  <c r="T521" i="4"/>
  <c r="T517" i="4"/>
  <c r="T513" i="4"/>
  <c r="T507" i="4"/>
  <c r="T491" i="4"/>
  <c r="T475" i="4"/>
  <c r="T459" i="4"/>
  <c r="T443" i="4"/>
  <c r="T427" i="4"/>
  <c r="T411" i="4"/>
  <c r="T395" i="4"/>
  <c r="T379" i="4"/>
  <c r="T363" i="4"/>
  <c r="T347" i="4"/>
  <c r="T331" i="4"/>
  <c r="T315" i="4"/>
  <c r="T299" i="4"/>
  <c r="T283" i="4"/>
  <c r="T267" i="4"/>
  <c r="T251" i="4"/>
  <c r="T235" i="4"/>
  <c r="T219" i="4"/>
  <c r="T203" i="4"/>
  <c r="T187" i="4"/>
  <c r="T171" i="4"/>
  <c r="T155" i="4"/>
  <c r="T139" i="4"/>
  <c r="T123" i="4"/>
  <c r="T107" i="4"/>
  <c r="T91" i="4"/>
  <c r="T75" i="4"/>
  <c r="T59" i="4"/>
  <c r="T43" i="4"/>
  <c r="T27" i="4"/>
  <c r="T11" i="4"/>
  <c r="T600" i="4"/>
  <c r="T596" i="4"/>
  <c r="T592" i="4"/>
  <c r="T588" i="4"/>
  <c r="T584" i="4"/>
  <c r="T580" i="4"/>
  <c r="T576" i="4"/>
  <c r="T572" i="4"/>
  <c r="T568" i="4"/>
  <c r="T564" i="4"/>
  <c r="T560" i="4"/>
  <c r="T556" i="4"/>
  <c r="T552" i="4"/>
  <c r="T548" i="4"/>
  <c r="T544" i="4"/>
  <c r="T540" i="4"/>
  <c r="T536" i="4"/>
  <c r="T532" i="4"/>
  <c r="T528" i="4"/>
  <c r="T524" i="4"/>
  <c r="T520" i="4"/>
  <c r="T516" i="4"/>
  <c r="T512" i="4"/>
  <c r="T503" i="4"/>
  <c r="T487" i="4"/>
  <c r="T471" i="4"/>
  <c r="T455" i="4"/>
  <c r="T439" i="4"/>
  <c r="T423" i="4"/>
  <c r="T407" i="4"/>
  <c r="T391" i="4"/>
  <c r="T375" i="4"/>
  <c r="T359" i="4"/>
  <c r="T343" i="4"/>
  <c r="T327" i="4"/>
  <c r="T311" i="4"/>
  <c r="T295" i="4"/>
  <c r="T279" i="4"/>
  <c r="T263" i="4"/>
  <c r="T247" i="4"/>
  <c r="T231" i="4"/>
  <c r="T215" i="4"/>
  <c r="T199" i="4"/>
  <c r="T183" i="4"/>
  <c r="T167" i="4"/>
  <c r="T151" i="4"/>
  <c r="T135" i="4"/>
  <c r="T119" i="4"/>
  <c r="T103" i="4"/>
  <c r="T87" i="4"/>
  <c r="T71" i="4"/>
  <c r="T55" i="4"/>
  <c r="T39" i="4"/>
  <c r="T23" i="4"/>
  <c r="T7" i="4"/>
  <c r="T506" i="4"/>
  <c r="T502" i="4"/>
  <c r="T498" i="4"/>
  <c r="T494" i="4"/>
  <c r="T490" i="4"/>
  <c r="T486" i="4"/>
  <c r="T482" i="4"/>
  <c r="T478" i="4"/>
  <c r="T474" i="4"/>
  <c r="T470" i="4"/>
  <c r="T466" i="4"/>
  <c r="T462" i="4"/>
  <c r="T458" i="4"/>
  <c r="T454" i="4"/>
  <c r="T450" i="4"/>
  <c r="T446" i="4"/>
  <c r="T442" i="4"/>
  <c r="T438" i="4"/>
  <c r="T434" i="4"/>
  <c r="T430" i="4"/>
  <c r="T426" i="4"/>
  <c r="T422" i="4"/>
  <c r="T418" i="4"/>
  <c r="T414" i="4"/>
  <c r="T410" i="4"/>
  <c r="T406" i="4"/>
  <c r="T402" i="4"/>
  <c r="T398" i="4"/>
  <c r="T394" i="4"/>
  <c r="T390" i="4"/>
  <c r="T386" i="4"/>
  <c r="T382" i="4"/>
  <c r="T378" i="4"/>
  <c r="T374" i="4"/>
  <c r="T370" i="4"/>
  <c r="T366" i="4"/>
  <c r="T362" i="4"/>
  <c r="T358" i="4"/>
  <c r="T354" i="4"/>
  <c r="T350" i="4"/>
  <c r="T346" i="4"/>
  <c r="T342" i="4"/>
  <c r="T338" i="4"/>
  <c r="T334" i="4"/>
  <c r="T330" i="4"/>
  <c r="T326" i="4"/>
  <c r="T322" i="4"/>
  <c r="T318" i="4"/>
  <c r="T314" i="4"/>
  <c r="T310" i="4"/>
  <c r="T306" i="4"/>
  <c r="T302" i="4"/>
  <c r="T298" i="4"/>
  <c r="T294" i="4"/>
  <c r="T290" i="4"/>
  <c r="T286" i="4"/>
  <c r="T282" i="4"/>
  <c r="T278" i="4"/>
  <c r="T274" i="4"/>
  <c r="T270" i="4"/>
  <c r="T266" i="4"/>
  <c r="T262" i="4"/>
  <c r="T258" i="4"/>
  <c r="T254" i="4"/>
  <c r="T250" i="4"/>
  <c r="T246" i="4"/>
  <c r="T242" i="4"/>
  <c r="T238" i="4"/>
  <c r="T234" i="4"/>
  <c r="T230" i="4"/>
  <c r="T226" i="4"/>
  <c r="T222" i="4"/>
  <c r="T218" i="4"/>
  <c r="T214" i="4"/>
  <c r="T210" i="4"/>
  <c r="T206" i="4"/>
  <c r="T202" i="4"/>
  <c r="T198" i="4"/>
  <c r="T194" i="4"/>
  <c r="T190" i="4"/>
  <c r="T186" i="4"/>
  <c r="T182" i="4"/>
  <c r="T178" i="4"/>
  <c r="T174" i="4"/>
  <c r="T170" i="4"/>
  <c r="T166" i="4"/>
  <c r="T162" i="4"/>
  <c r="T158" i="4"/>
  <c r="T154" i="4"/>
  <c r="T150" i="4"/>
  <c r="T146" i="4"/>
  <c r="T142" i="4"/>
  <c r="T138" i="4"/>
  <c r="T134" i="4"/>
  <c r="T130" i="4"/>
  <c r="T126" i="4"/>
  <c r="T122" i="4"/>
  <c r="T118" i="4"/>
  <c r="T114" i="4"/>
  <c r="T110" i="4"/>
  <c r="T106" i="4"/>
  <c r="T102" i="4"/>
  <c r="T98" i="4"/>
  <c r="T94" i="4"/>
  <c r="T90" i="4"/>
  <c r="T86" i="4"/>
  <c r="T82" i="4"/>
  <c r="T78" i="4"/>
  <c r="T74" i="4"/>
  <c r="T70" i="4"/>
  <c r="T66" i="4"/>
  <c r="T62" i="4"/>
  <c r="T58" i="4"/>
  <c r="T54" i="4"/>
  <c r="T50" i="4"/>
  <c r="T46" i="4"/>
  <c r="T42" i="4"/>
  <c r="T38" i="4"/>
  <c r="T34" i="4"/>
  <c r="T30" i="4"/>
  <c r="T26" i="4"/>
  <c r="T22" i="4"/>
  <c r="T18" i="4"/>
  <c r="T14" i="4"/>
  <c r="T10" i="4"/>
  <c r="T6" i="4"/>
  <c r="T509" i="4"/>
  <c r="T505" i="4"/>
  <c r="T501" i="4"/>
  <c r="T497" i="4"/>
  <c r="T493" i="4"/>
  <c r="T489" i="4"/>
  <c r="T485" i="4"/>
  <c r="T481" i="4"/>
  <c r="T477" i="4"/>
  <c r="T473" i="4"/>
  <c r="T469" i="4"/>
  <c r="T465" i="4"/>
  <c r="T461" i="4"/>
  <c r="T457" i="4"/>
  <c r="T453" i="4"/>
  <c r="T449" i="4"/>
  <c r="T445" i="4"/>
  <c r="T441" i="4"/>
  <c r="T437" i="4"/>
  <c r="T433" i="4"/>
  <c r="T429" i="4"/>
  <c r="T425" i="4"/>
  <c r="T421" i="4"/>
  <c r="T417" i="4"/>
  <c r="T413" i="4"/>
  <c r="T409" i="4"/>
  <c r="T405" i="4"/>
  <c r="T401" i="4"/>
  <c r="T397" i="4"/>
  <c r="T393" i="4"/>
  <c r="T389" i="4"/>
  <c r="T385" i="4"/>
  <c r="T381" i="4"/>
  <c r="T377" i="4"/>
  <c r="T373" i="4"/>
  <c r="T369" i="4"/>
  <c r="T365" i="4"/>
  <c r="T361" i="4"/>
  <c r="T357" i="4"/>
  <c r="T353" i="4"/>
  <c r="T349" i="4"/>
  <c r="T345" i="4"/>
  <c r="T341" i="4"/>
  <c r="T337" i="4"/>
  <c r="T333" i="4"/>
  <c r="T329" i="4"/>
  <c r="T325" i="4"/>
  <c r="T321" i="4"/>
  <c r="T317" i="4"/>
  <c r="T313" i="4"/>
  <c r="T309" i="4"/>
  <c r="T305" i="4"/>
  <c r="T301" i="4"/>
  <c r="T297" i="4"/>
  <c r="T293" i="4"/>
  <c r="T289" i="4"/>
  <c r="T285" i="4"/>
  <c r="T281" i="4"/>
  <c r="T277" i="4"/>
  <c r="T273" i="4"/>
  <c r="T269" i="4"/>
  <c r="T265" i="4"/>
  <c r="T261" i="4"/>
  <c r="T257" i="4"/>
  <c r="T253" i="4"/>
  <c r="T249" i="4"/>
  <c r="T245" i="4"/>
  <c r="T241" i="4"/>
  <c r="T237" i="4"/>
  <c r="T233" i="4"/>
  <c r="T229" i="4"/>
  <c r="T225" i="4"/>
  <c r="T221" i="4"/>
  <c r="T217" i="4"/>
  <c r="T213" i="4"/>
  <c r="T209" i="4"/>
  <c r="T205" i="4"/>
  <c r="T201" i="4"/>
  <c r="T197" i="4"/>
  <c r="T193" i="4"/>
  <c r="T189" i="4"/>
  <c r="T185" i="4"/>
  <c r="T181" i="4"/>
  <c r="T177" i="4"/>
  <c r="T173" i="4"/>
  <c r="T169" i="4"/>
  <c r="T165" i="4"/>
  <c r="T161" i="4"/>
  <c r="T157" i="4"/>
  <c r="T153" i="4"/>
  <c r="T149" i="4"/>
  <c r="T145" i="4"/>
  <c r="T141" i="4"/>
  <c r="T137" i="4"/>
  <c r="T133" i="4"/>
  <c r="T129" i="4"/>
  <c r="T125" i="4"/>
  <c r="T121" i="4"/>
  <c r="T117" i="4"/>
  <c r="T113" i="4"/>
  <c r="T109" i="4"/>
  <c r="T105" i="4"/>
  <c r="T101" i="4"/>
  <c r="T97" i="4"/>
  <c r="T93" i="4"/>
  <c r="T89" i="4"/>
  <c r="T85" i="4"/>
  <c r="T81" i="4"/>
  <c r="T77" i="4"/>
  <c r="T73" i="4"/>
  <c r="T69" i="4"/>
  <c r="T65" i="4"/>
  <c r="T61" i="4"/>
  <c r="T57" i="4"/>
  <c r="T53" i="4"/>
  <c r="T49" i="4"/>
  <c r="T45" i="4"/>
  <c r="T41" i="4"/>
  <c r="T37" i="4"/>
  <c r="T33" i="4"/>
  <c r="T29" i="4"/>
  <c r="T25" i="4"/>
  <c r="T21" i="4"/>
  <c r="T17" i="4"/>
  <c r="T13" i="4"/>
  <c r="T9" i="4"/>
  <c r="T5" i="4"/>
  <c r="T508" i="4"/>
  <c r="T504" i="4"/>
  <c r="T500" i="4"/>
  <c r="T496" i="4"/>
  <c r="T492" i="4"/>
  <c r="T488" i="4"/>
  <c r="T484" i="4"/>
  <c r="T480" i="4"/>
  <c r="T476" i="4"/>
  <c r="T472" i="4"/>
  <c r="T468" i="4"/>
  <c r="T464" i="4"/>
  <c r="T460" i="4"/>
  <c r="T456" i="4"/>
  <c r="T452" i="4"/>
  <c r="T448" i="4"/>
  <c r="T444" i="4"/>
  <c r="T440" i="4"/>
  <c r="T436" i="4"/>
  <c r="T432" i="4"/>
  <c r="T428" i="4"/>
  <c r="T424" i="4"/>
  <c r="T420" i="4"/>
  <c r="T416" i="4"/>
  <c r="T412" i="4"/>
  <c r="T408" i="4"/>
  <c r="T404" i="4"/>
  <c r="T400" i="4"/>
  <c r="T396" i="4"/>
  <c r="T392" i="4"/>
  <c r="T388" i="4"/>
  <c r="T384" i="4"/>
  <c r="T380" i="4"/>
  <c r="T376" i="4"/>
  <c r="T372" i="4"/>
  <c r="T368" i="4"/>
  <c r="T364" i="4"/>
  <c r="T360" i="4"/>
  <c r="T356" i="4"/>
  <c r="T352" i="4"/>
  <c r="T348" i="4"/>
  <c r="T344" i="4"/>
  <c r="T340" i="4"/>
  <c r="T336" i="4"/>
  <c r="T332" i="4"/>
  <c r="T328" i="4"/>
  <c r="T324" i="4"/>
  <c r="T320" i="4"/>
  <c r="T316" i="4"/>
  <c r="T312" i="4"/>
  <c r="T308" i="4"/>
  <c r="T304" i="4"/>
  <c r="T300" i="4"/>
  <c r="T296" i="4"/>
  <c r="T292" i="4"/>
  <c r="T288" i="4"/>
  <c r="T284" i="4"/>
  <c r="T280" i="4"/>
  <c r="T276" i="4"/>
  <c r="T272" i="4"/>
  <c r="T268" i="4"/>
  <c r="T264" i="4"/>
  <c r="T260" i="4"/>
  <c r="T256" i="4"/>
  <c r="T252" i="4"/>
  <c r="T248" i="4"/>
  <c r="T244" i="4"/>
  <c r="T240" i="4"/>
  <c r="T236" i="4"/>
  <c r="T232" i="4"/>
  <c r="T228" i="4"/>
  <c r="T224" i="4"/>
  <c r="T220" i="4"/>
  <c r="T216" i="4"/>
  <c r="T212" i="4"/>
  <c r="T208" i="4"/>
  <c r="T204" i="4"/>
  <c r="T200" i="4"/>
  <c r="T196" i="4"/>
  <c r="T192" i="4"/>
  <c r="T188" i="4"/>
  <c r="T184" i="4"/>
  <c r="T180" i="4"/>
  <c r="T176" i="4"/>
  <c r="T172" i="4"/>
  <c r="T168" i="4"/>
  <c r="T164" i="4"/>
  <c r="T160" i="4"/>
  <c r="T156" i="4"/>
  <c r="T152" i="4"/>
  <c r="T148" i="4"/>
  <c r="T144" i="4"/>
  <c r="T140" i="4"/>
  <c r="T136" i="4"/>
  <c r="T132" i="4"/>
  <c r="T128" i="4"/>
  <c r="T124" i="4"/>
  <c r="T120" i="4"/>
  <c r="T116" i="4"/>
  <c r="T112" i="4"/>
  <c r="T108" i="4"/>
  <c r="T104" i="4"/>
  <c r="T100" i="4"/>
  <c r="T96" i="4"/>
  <c r="T92" i="4"/>
  <c r="T88" i="4"/>
  <c r="T84" i="4"/>
  <c r="T80" i="4"/>
  <c r="T76" i="4"/>
  <c r="T72" i="4"/>
  <c r="T68" i="4"/>
  <c r="T64" i="4"/>
  <c r="T60" i="4"/>
  <c r="T56" i="4"/>
  <c r="T52" i="4"/>
  <c r="T48" i="4"/>
  <c r="T44" i="4"/>
  <c r="T40" i="4"/>
  <c r="T36" i="4"/>
  <c r="T32" i="4"/>
  <c r="T28" i="4"/>
  <c r="T24" i="4"/>
  <c r="T20" i="4"/>
  <c r="T16" i="4"/>
  <c r="T12" i="4"/>
  <c r="T8" i="4"/>
  <c r="T4" i="4"/>
  <c r="R403" i="3"/>
  <c r="R425" i="3"/>
  <c r="R233" i="3"/>
  <c r="R80" i="3"/>
  <c r="R14" i="3"/>
  <c r="R378" i="3"/>
  <c r="R349" i="3"/>
  <c r="R318" i="3"/>
  <c r="R354" i="3"/>
  <c r="R237" i="3"/>
  <c r="R331" i="3"/>
  <c r="R300" i="3"/>
  <c r="R53" i="3"/>
  <c r="R377" i="3"/>
  <c r="R190" i="3"/>
  <c r="R230" i="3"/>
  <c r="R494" i="3"/>
  <c r="R123" i="3"/>
  <c r="R586" i="3"/>
  <c r="R336" i="3"/>
  <c r="R172" i="3"/>
  <c r="R289" i="3"/>
  <c r="R448" i="3"/>
  <c r="R207" i="3"/>
  <c r="R298" i="3"/>
  <c r="R296" i="3"/>
  <c r="R146" i="3"/>
  <c r="R578" i="3"/>
  <c r="R228" i="3"/>
  <c r="R71" i="3"/>
  <c r="R443" i="3"/>
  <c r="R155" i="3"/>
  <c r="R323" i="3"/>
  <c r="R99" i="3"/>
  <c r="R452" i="3"/>
  <c r="R474" i="3"/>
  <c r="R438" i="3"/>
  <c r="R565" i="3"/>
  <c r="R5" i="3"/>
  <c r="R119" i="3"/>
  <c r="R192" i="3"/>
  <c r="R598" i="3"/>
  <c r="R83" i="3"/>
  <c r="R581" i="3"/>
  <c r="R390" i="3"/>
  <c r="R225" i="3"/>
  <c r="R267" i="3"/>
  <c r="R125" i="3"/>
  <c r="R531" i="3"/>
  <c r="R583" i="3"/>
  <c r="R58" i="3"/>
  <c r="R178" i="3"/>
  <c r="R380" i="3"/>
  <c r="R367" i="3"/>
  <c r="R435" i="3"/>
  <c r="R12" i="3"/>
  <c r="R220" i="3"/>
  <c r="R521" i="3"/>
  <c r="R386" i="3"/>
  <c r="R235" i="3"/>
  <c r="R434" i="3"/>
  <c r="R502" i="3"/>
  <c r="R126" i="3"/>
  <c r="R124" i="3"/>
  <c r="R271" i="3"/>
  <c r="R240" i="3"/>
  <c r="R204" i="3"/>
  <c r="R424" i="3"/>
  <c r="R595" i="3"/>
  <c r="R147" i="3"/>
  <c r="R16" i="3"/>
  <c r="R227" i="3"/>
  <c r="R559" i="3"/>
  <c r="R517" i="3"/>
  <c r="R158" i="3"/>
  <c r="R530" i="3"/>
  <c r="R97" i="3"/>
  <c r="R174" i="3"/>
  <c r="R405" i="3"/>
  <c r="R127" i="3"/>
  <c r="R215" i="3"/>
  <c r="R45" i="3"/>
  <c r="R335" i="3"/>
  <c r="R195" i="3"/>
  <c r="R77" i="3"/>
  <c r="R94" i="3"/>
  <c r="R313" i="3"/>
  <c r="R3" i="3"/>
  <c r="R408" i="3"/>
  <c r="R572" i="3"/>
  <c r="R263" i="3"/>
  <c r="R423" i="3"/>
  <c r="R594" i="3"/>
  <c r="R6" i="3"/>
  <c r="R64" i="3"/>
  <c r="R488" i="3"/>
  <c r="R59" i="3"/>
  <c r="R543" i="3"/>
  <c r="R374" i="3"/>
  <c r="R249" i="3"/>
  <c r="R475" i="3"/>
  <c r="R47" i="3"/>
  <c r="R401" i="3"/>
  <c r="R503" i="3"/>
  <c r="R561" i="3"/>
  <c r="R282" i="3"/>
  <c r="R455" i="3"/>
  <c r="R469" i="3"/>
  <c r="R372" i="3"/>
  <c r="R322" i="3"/>
  <c r="R248" i="3"/>
  <c r="R350" i="3"/>
  <c r="R433" i="3"/>
  <c r="R304" i="3"/>
  <c r="R170" i="3"/>
  <c r="R314" i="3"/>
  <c r="R458" i="3"/>
  <c r="R117" i="3"/>
  <c r="R451" i="3"/>
  <c r="R472" i="3"/>
  <c r="R504" i="3"/>
  <c r="R133" i="3"/>
  <c r="R128" i="3"/>
  <c r="R157" i="3"/>
  <c r="R136" i="3"/>
  <c r="R415" i="3"/>
  <c r="R523" i="3"/>
  <c r="R17" i="3"/>
  <c r="R13" i="3"/>
  <c r="R368" i="3"/>
  <c r="R327" i="3"/>
  <c r="R516" i="3"/>
  <c r="R241" i="3"/>
  <c r="R535" i="3"/>
  <c r="R341" i="3"/>
  <c r="R436" i="3"/>
  <c r="R142" i="3"/>
  <c r="R444" i="3"/>
  <c r="R376" i="3"/>
  <c r="R410" i="3"/>
  <c r="R232" i="3"/>
  <c r="R545" i="3"/>
  <c r="R389" i="3"/>
  <c r="R328" i="3"/>
  <c r="R571" i="3"/>
  <c r="R286" i="3"/>
  <c r="R201" i="3"/>
  <c r="R285" i="3"/>
  <c r="R356" i="3"/>
  <c r="R345" i="3"/>
  <c r="R180" i="3"/>
  <c r="R41" i="3"/>
  <c r="R511" i="3"/>
  <c r="R544" i="3"/>
  <c r="R312" i="3"/>
  <c r="R108" i="3"/>
  <c r="R548" i="3"/>
  <c r="R270" i="3"/>
  <c r="R391" i="3"/>
  <c r="R546" i="3"/>
  <c r="R411" i="3"/>
  <c r="R203" i="3"/>
  <c r="R500" i="3"/>
  <c r="R24" i="3"/>
  <c r="R266" i="3"/>
  <c r="R20" i="3"/>
  <c r="R148" i="3"/>
  <c r="R447" i="3"/>
  <c r="R568" i="3"/>
  <c r="R19" i="3"/>
  <c r="R358" i="3"/>
  <c r="R346" i="3"/>
  <c r="R251" i="3"/>
  <c r="R139" i="3"/>
  <c r="R337" i="3"/>
  <c r="R510" i="3"/>
  <c r="R89" i="3"/>
  <c r="R498" i="3"/>
  <c r="R359" i="3"/>
  <c r="R106" i="3"/>
  <c r="R238" i="3"/>
  <c r="R288" i="3"/>
  <c r="R302" i="3"/>
  <c r="R29" i="3"/>
  <c r="R333" i="3"/>
  <c r="R456" i="3"/>
  <c r="R453" i="3"/>
  <c r="R442" i="3"/>
  <c r="R32" i="3"/>
  <c r="R198" i="3"/>
  <c r="R226" i="3"/>
  <c r="R476" i="3"/>
  <c r="R229" i="3"/>
  <c r="R132" i="3"/>
  <c r="R54" i="3"/>
  <c r="R590" i="3"/>
  <c r="R179" i="3"/>
  <c r="R209" i="3"/>
  <c r="R369" i="3"/>
  <c r="R224" i="3"/>
  <c r="R522" i="3"/>
  <c r="R104" i="3"/>
  <c r="R70" i="3"/>
  <c r="R279" i="3"/>
  <c r="R244" i="3"/>
  <c r="R165" i="3"/>
  <c r="R557" i="3"/>
  <c r="R555" i="3"/>
  <c r="R4" i="3"/>
  <c r="R111" i="3"/>
  <c r="R412" i="3"/>
  <c r="R441" i="3"/>
  <c r="R558" i="3"/>
  <c r="R477" i="3"/>
  <c r="R539" i="3"/>
  <c r="R294" i="3"/>
  <c r="R344" i="3"/>
  <c r="R467" i="3"/>
  <c r="R138" i="3"/>
  <c r="R573" i="3"/>
  <c r="R580" i="3"/>
  <c r="R407" i="3"/>
  <c r="R101" i="3"/>
  <c r="R191" i="3"/>
  <c r="R72" i="3"/>
  <c r="R141" i="3"/>
  <c r="R466" i="3"/>
  <c r="R338" i="3"/>
  <c r="R26" i="3"/>
  <c r="R15" i="3"/>
  <c r="R528" i="3"/>
  <c r="R518" i="3"/>
  <c r="R8" i="3"/>
  <c r="R310" i="3"/>
  <c r="R40" i="3"/>
  <c r="R306" i="3"/>
  <c r="R234" i="3"/>
  <c r="R552" i="3"/>
  <c r="R245" i="3"/>
  <c r="R329" i="3"/>
  <c r="R362" i="3"/>
  <c r="R569" i="3"/>
  <c r="R171" i="3"/>
  <c r="R512" i="3"/>
  <c r="R116" i="3"/>
  <c r="R292" i="3"/>
  <c r="R445" i="3"/>
  <c r="R308" i="3"/>
  <c r="R431" i="3"/>
  <c r="R427" i="3"/>
  <c r="R479" i="3"/>
  <c r="R264" i="3"/>
  <c r="R351" i="3"/>
  <c r="R508" i="3"/>
  <c r="R113" i="3"/>
  <c r="R66" i="3"/>
  <c r="R381" i="3"/>
  <c r="R76" i="3"/>
  <c r="R416" i="3"/>
  <c r="R120" i="3"/>
  <c r="R396" i="3"/>
  <c r="R365" i="3"/>
  <c r="R217" i="3"/>
  <c r="R75" i="3"/>
  <c r="R321" i="3"/>
  <c r="R103" i="3"/>
  <c r="R305" i="3"/>
  <c r="R196" i="3"/>
  <c r="R219" i="3"/>
  <c r="R353" i="3"/>
  <c r="R364" i="3"/>
  <c r="R562" i="3"/>
  <c r="R394" i="3"/>
  <c r="R74" i="3"/>
  <c r="R387" i="3"/>
  <c r="R484" i="3"/>
  <c r="R262" i="3"/>
  <c r="R566" i="3"/>
  <c r="R499" i="3"/>
  <c r="R109" i="3"/>
  <c r="R393" i="3"/>
  <c r="R242" i="3"/>
  <c r="R399" i="3"/>
  <c r="R549" i="3"/>
  <c r="R385" i="3"/>
  <c r="R272" i="3"/>
  <c r="R485" i="3"/>
  <c r="R281" i="3"/>
  <c r="R87" i="3"/>
  <c r="R208" i="3"/>
  <c r="R50" i="3"/>
  <c r="R56" i="3"/>
  <c r="R454" i="3"/>
  <c r="R35" i="3"/>
  <c r="R44" i="3"/>
  <c r="R212" i="3"/>
  <c r="R268" i="3"/>
  <c r="R430" i="3"/>
  <c r="R28" i="3"/>
  <c r="R551" i="3"/>
  <c r="R274" i="3"/>
  <c r="R584" i="3"/>
  <c r="R347" i="3"/>
  <c r="R577" i="3"/>
  <c r="R560" i="3"/>
  <c r="R574" i="3"/>
  <c r="R84" i="3"/>
  <c r="R422" i="3"/>
  <c r="R509" i="3"/>
  <c r="R418" i="3"/>
  <c r="R246" i="3"/>
  <c r="R325" i="3"/>
  <c r="R182" i="3"/>
  <c r="R297" i="3"/>
  <c r="R515" i="3"/>
  <c r="R98" i="3"/>
  <c r="R205" i="3"/>
  <c r="R465" i="3"/>
  <c r="R556" i="3"/>
  <c r="R487" i="3"/>
  <c r="R38" i="3"/>
  <c r="R239" i="3"/>
  <c r="R186" i="3"/>
  <c r="R406" i="3"/>
  <c r="R468" i="3"/>
  <c r="R202" i="3"/>
  <c r="R48" i="3"/>
  <c r="R489" i="3"/>
  <c r="R301" i="3"/>
  <c r="R295" i="3"/>
  <c r="R397" i="3"/>
  <c r="R554" i="3"/>
  <c r="R82" i="3"/>
  <c r="R197" i="3"/>
  <c r="R463" i="3"/>
  <c r="R519" i="3"/>
  <c r="R88" i="3"/>
  <c r="R90" i="3"/>
  <c r="R600" i="3"/>
  <c r="R62" i="3"/>
  <c r="R355" i="3"/>
  <c r="R278" i="3"/>
  <c r="R553" i="3"/>
  <c r="R395" i="3"/>
  <c r="R506" i="3"/>
  <c r="R330" i="3"/>
  <c r="R462" i="3"/>
  <c r="R536" i="3"/>
  <c r="R137" i="3"/>
  <c r="R122" i="3"/>
  <c r="R417" i="3"/>
  <c r="R597" i="3"/>
  <c r="R156" i="3"/>
  <c r="R360" i="3"/>
  <c r="R189" i="3"/>
  <c r="R51" i="3"/>
  <c r="R260" i="3"/>
  <c r="R311" i="3"/>
  <c r="R520" i="3"/>
  <c r="R419" i="3"/>
  <c r="R457" i="3"/>
  <c r="R131" i="3"/>
  <c r="R492" i="3"/>
  <c r="R214" i="3"/>
  <c r="R339" i="3"/>
  <c r="R188" i="3"/>
  <c r="R320" i="3"/>
  <c r="R129" i="3"/>
  <c r="R363" i="3"/>
  <c r="R164" i="3"/>
  <c r="R513" i="3"/>
  <c r="R591" i="3"/>
  <c r="R291" i="3"/>
  <c r="R276" i="3"/>
  <c r="R534" i="3"/>
  <c r="R579" i="3"/>
  <c r="R36" i="3"/>
  <c r="R437" i="3"/>
  <c r="R483" i="3"/>
  <c r="R588" i="3"/>
  <c r="R585" i="3"/>
  <c r="R449" i="3"/>
  <c r="R21" i="3"/>
  <c r="R42" i="3"/>
  <c r="R501" i="3"/>
  <c r="R413" i="3"/>
  <c r="R39" i="3"/>
  <c r="R52" i="3"/>
  <c r="R480" i="3"/>
  <c r="R86" i="3"/>
  <c r="R505" i="3"/>
  <c r="R85" i="3"/>
  <c r="R307" i="3"/>
  <c r="R426" i="3"/>
  <c r="R303" i="3"/>
  <c r="R25" i="3"/>
  <c r="R576" i="3"/>
  <c r="R461" i="3"/>
  <c r="R140" i="3"/>
  <c r="R343" i="3"/>
  <c r="R332" i="3"/>
  <c r="R464" i="3"/>
  <c r="R115" i="3"/>
  <c r="R69" i="3"/>
  <c r="R570" i="3"/>
  <c r="R414" i="3"/>
  <c r="R118" i="3"/>
  <c r="R200" i="3"/>
  <c r="R247" i="3"/>
  <c r="R357" i="3"/>
  <c r="R315" i="3"/>
  <c r="R470" i="3"/>
  <c r="R167" i="3"/>
  <c r="R421" i="3"/>
  <c r="R420" i="3"/>
  <c r="R102" i="3"/>
  <c r="R575" i="3"/>
  <c r="R429" i="3"/>
  <c r="R11" i="3"/>
  <c r="R236" i="3"/>
  <c r="R537" i="3"/>
  <c r="R218" i="3"/>
  <c r="R252" i="3"/>
  <c r="R524" i="3"/>
  <c r="R144" i="3"/>
  <c r="R324" i="3"/>
  <c r="R257" i="3"/>
  <c r="R496" i="3"/>
  <c r="R602" i="3"/>
  <c r="R145" i="3"/>
  <c r="R206" i="3"/>
  <c r="R161" i="3"/>
  <c r="R460" i="3"/>
  <c r="R497" i="3"/>
  <c r="R379" i="3"/>
  <c r="R173" i="3"/>
  <c r="R550" i="3"/>
  <c r="R547" i="3"/>
  <c r="R258" i="3"/>
  <c r="R450" i="3"/>
  <c r="R491" i="3"/>
  <c r="R57" i="3"/>
  <c r="R540" i="3"/>
  <c r="R340" i="3"/>
  <c r="R439" i="3"/>
  <c r="R10" i="3"/>
  <c r="R154" i="3"/>
  <c r="R275" i="3"/>
  <c r="R601" i="3"/>
  <c r="R481" i="3"/>
  <c r="R78" i="3"/>
  <c r="R493" i="3"/>
  <c r="R194" i="3"/>
  <c r="R280" i="3"/>
  <c r="R175" i="3"/>
  <c r="R166" i="3"/>
  <c r="R185" i="3"/>
  <c r="R243" i="3"/>
  <c r="R471" i="3"/>
  <c r="R65" i="3"/>
  <c r="R538" i="3"/>
  <c r="R567" i="3"/>
  <c r="R216" i="3"/>
  <c r="R222" i="3"/>
  <c r="R478" i="3"/>
  <c r="R265" i="3"/>
  <c r="R169" i="3"/>
  <c r="R440" i="3"/>
  <c r="R210" i="3"/>
  <c r="R130" i="3"/>
  <c r="R384" i="3"/>
  <c r="R428" i="3"/>
  <c r="R163" i="3"/>
  <c r="R259" i="3"/>
  <c r="R564" i="3"/>
  <c r="R67" i="3"/>
  <c r="R199" i="3"/>
  <c r="R284" i="3"/>
  <c r="R269" i="3"/>
  <c r="R293" i="3"/>
  <c r="R223" i="3"/>
  <c r="R589" i="3"/>
  <c r="R400" i="3"/>
  <c r="R373" i="3"/>
  <c r="R250" i="3"/>
  <c r="R490" i="3"/>
  <c r="R563" i="3"/>
  <c r="R261" i="3"/>
  <c r="R149" i="3"/>
  <c r="R168" i="3"/>
  <c r="R255" i="3"/>
  <c r="R317" i="3"/>
  <c r="R31" i="3"/>
  <c r="R160" i="3"/>
  <c r="R316" i="3"/>
  <c r="R526" i="3"/>
  <c r="R398" i="3"/>
  <c r="R596" i="3"/>
  <c r="R60" i="3"/>
  <c r="R18" i="3"/>
  <c r="R92" i="3"/>
  <c r="R22" i="3"/>
  <c r="R256" i="3"/>
  <c r="R61" i="3"/>
  <c r="R582" i="3"/>
  <c r="R459" i="3"/>
  <c r="R342" i="3"/>
  <c r="R231" i="3"/>
  <c r="R507" i="3"/>
  <c r="R542" i="3"/>
  <c r="R105" i="3"/>
  <c r="R9" i="3"/>
  <c r="R473" i="3"/>
  <c r="R529" i="3"/>
  <c r="R375" i="3"/>
  <c r="R73" i="3"/>
  <c r="R309" i="3"/>
  <c r="R486" i="3"/>
  <c r="R95" i="3"/>
  <c r="R143" i="3"/>
  <c r="R432" i="3"/>
  <c r="R361" i="3"/>
  <c r="R68" i="3"/>
  <c r="R392" i="3"/>
  <c r="R152" i="3"/>
  <c r="R177" i="3"/>
  <c r="R112" i="3"/>
  <c r="R7" i="3"/>
  <c r="R514" i="3"/>
  <c r="R283" i="3"/>
  <c r="R593" i="3"/>
  <c r="R254" i="3"/>
  <c r="R334" i="3"/>
  <c r="R114" i="3"/>
  <c r="R121" i="3"/>
  <c r="R587" i="3"/>
  <c r="R402" i="3"/>
  <c r="R277" i="3"/>
  <c r="R34" i="3"/>
  <c r="R55" i="3"/>
  <c r="R290" i="3"/>
  <c r="R187" i="3"/>
  <c r="R151" i="3"/>
  <c r="R153" i="3"/>
  <c r="R253" i="3"/>
  <c r="R49" i="3"/>
  <c r="R348" i="3"/>
  <c r="R150" i="3"/>
  <c r="R366" i="3"/>
  <c r="R382" i="3"/>
  <c r="R319" i="3"/>
  <c r="R23" i="3"/>
  <c r="R383" i="3"/>
  <c r="R91" i="3"/>
  <c r="R134" i="3"/>
  <c r="R533" i="3"/>
  <c r="R183" i="3"/>
  <c r="R370" i="3"/>
  <c r="R159" i="3"/>
  <c r="R495" i="3"/>
  <c r="R37" i="3"/>
  <c r="R211" i="3"/>
  <c r="R287" i="3"/>
  <c r="R46" i="3"/>
  <c r="R110" i="3"/>
  <c r="R273" i="3"/>
  <c r="R100" i="3"/>
  <c r="R527" i="3"/>
  <c r="R532" i="3"/>
  <c r="R326" i="3"/>
  <c r="R184" i="3"/>
  <c r="R213" i="3"/>
  <c r="R43" i="3"/>
  <c r="R599" i="3"/>
  <c r="R221" i="3"/>
  <c r="R63" i="3"/>
  <c r="R525" i="3"/>
  <c r="R409" i="3"/>
  <c r="R135" i="3"/>
  <c r="R371" i="3"/>
  <c r="R352" i="3"/>
  <c r="R176" i="3"/>
  <c r="R81" i="3"/>
  <c r="R93" i="3"/>
  <c r="R107" i="3"/>
  <c r="R446" i="3"/>
  <c r="R79" i="3"/>
  <c r="R30" i="3"/>
  <c r="R27" i="3"/>
  <c r="R404" i="3"/>
  <c r="R592" i="3"/>
  <c r="R96" i="3"/>
  <c r="R193" i="3"/>
  <c r="R162" i="3"/>
  <c r="R482" i="3"/>
  <c r="R541" i="3"/>
  <c r="R33" i="3"/>
  <c r="R181" i="3"/>
  <c r="R388" i="3"/>
  <c r="R299" i="3"/>
  <c r="O3" i="3"/>
  <c r="P3" i="3"/>
  <c r="U598" i="3"/>
  <c r="U582" i="3"/>
  <c r="U566" i="3"/>
  <c r="U550" i="3"/>
  <c r="U534" i="3"/>
  <c r="U518" i="3"/>
  <c r="U499" i="3"/>
  <c r="U477" i="3"/>
  <c r="U456" i="3"/>
  <c r="U435" i="3"/>
  <c r="U413" i="3"/>
  <c r="U392" i="3"/>
  <c r="U371" i="3"/>
  <c r="U349" i="3"/>
  <c r="U328" i="3"/>
  <c r="U307" i="3"/>
  <c r="U285" i="3"/>
  <c r="U264" i="3"/>
  <c r="U243" i="3"/>
  <c r="U221" i="3"/>
  <c r="U594" i="3"/>
  <c r="U578" i="3"/>
  <c r="U562" i="3"/>
  <c r="U546" i="3"/>
  <c r="U530" i="3"/>
  <c r="U514" i="3"/>
  <c r="U493" i="3"/>
  <c r="U472" i="3"/>
  <c r="U451" i="3"/>
  <c r="U429" i="3"/>
  <c r="U408" i="3"/>
  <c r="U387" i="3"/>
  <c r="U365" i="3"/>
  <c r="U344" i="3"/>
  <c r="U323" i="3"/>
  <c r="U301" i="3"/>
  <c r="U280" i="3"/>
  <c r="U259" i="3"/>
  <c r="U237" i="3"/>
  <c r="U216" i="3"/>
  <c r="U590" i="3"/>
  <c r="U574" i="3"/>
  <c r="U558" i="3"/>
  <c r="U542" i="3"/>
  <c r="U526" i="3"/>
  <c r="U509" i="3"/>
  <c r="U488" i="3"/>
  <c r="U467" i="3"/>
  <c r="U445" i="3"/>
  <c r="U424" i="3"/>
  <c r="U403" i="3"/>
  <c r="U381" i="3"/>
  <c r="U360" i="3"/>
  <c r="U339" i="3"/>
  <c r="U317" i="3"/>
  <c r="U296" i="3"/>
  <c r="U275" i="3"/>
  <c r="U253" i="3"/>
  <c r="U232" i="3"/>
  <c r="U602" i="3"/>
  <c r="U586" i="3"/>
  <c r="U570" i="3"/>
  <c r="U554" i="3"/>
  <c r="U538" i="3"/>
  <c r="U522" i="3"/>
  <c r="U504" i="3"/>
  <c r="U483" i="3"/>
  <c r="U461" i="3"/>
  <c r="U440" i="3"/>
  <c r="U419" i="3"/>
  <c r="U397" i="3"/>
  <c r="U376" i="3"/>
  <c r="U355" i="3"/>
  <c r="U333" i="3"/>
  <c r="U312" i="3"/>
  <c r="U291" i="3"/>
  <c r="U269" i="3"/>
  <c r="U248" i="3"/>
  <c r="U227" i="3"/>
  <c r="U211" i="3"/>
  <c r="U195" i="3"/>
  <c r="U173" i="3"/>
  <c r="U157" i="3"/>
  <c r="U147" i="3"/>
  <c r="U131" i="3"/>
  <c r="U115" i="3"/>
  <c r="U104" i="3"/>
  <c r="U93" i="3"/>
  <c r="U83" i="3"/>
  <c r="U67" i="3"/>
  <c r="U51" i="3"/>
  <c r="U43" i="3"/>
  <c r="U27" i="3"/>
  <c r="U601" i="3"/>
  <c r="U593" i="3"/>
  <c r="U589" i="3"/>
  <c r="U585" i="3"/>
  <c r="U581" i="3"/>
  <c r="U577" i="3"/>
  <c r="U573" i="3"/>
  <c r="U569" i="3"/>
  <c r="U565" i="3"/>
  <c r="U561" i="3"/>
  <c r="U557" i="3"/>
  <c r="U553" i="3"/>
  <c r="U549" i="3"/>
  <c r="U545" i="3"/>
  <c r="U541" i="3"/>
  <c r="U537" i="3"/>
  <c r="U533" i="3"/>
  <c r="U529" i="3"/>
  <c r="U525" i="3"/>
  <c r="U521" i="3"/>
  <c r="U517" i="3"/>
  <c r="U513" i="3"/>
  <c r="U508" i="3"/>
  <c r="U503" i="3"/>
  <c r="U497" i="3"/>
  <c r="U492" i="3"/>
  <c r="U487" i="3"/>
  <c r="U481" i="3"/>
  <c r="U476" i="3"/>
  <c r="U471" i="3"/>
  <c r="U465" i="3"/>
  <c r="U460" i="3"/>
  <c r="U455" i="3"/>
  <c r="U449" i="3"/>
  <c r="U444" i="3"/>
  <c r="U439" i="3"/>
  <c r="U433" i="3"/>
  <c r="U428" i="3"/>
  <c r="U423" i="3"/>
  <c r="U417" i="3"/>
  <c r="U412" i="3"/>
  <c r="U407" i="3"/>
  <c r="U401" i="3"/>
  <c r="U396" i="3"/>
  <c r="U391" i="3"/>
  <c r="U385" i="3"/>
  <c r="U380" i="3"/>
  <c r="U375" i="3"/>
  <c r="U369" i="3"/>
  <c r="U364" i="3"/>
  <c r="U359" i="3"/>
  <c r="U353" i="3"/>
  <c r="U348" i="3"/>
  <c r="U343" i="3"/>
  <c r="U337" i="3"/>
  <c r="U332" i="3"/>
  <c r="U327" i="3"/>
  <c r="U321" i="3"/>
  <c r="U316" i="3"/>
  <c r="U311" i="3"/>
  <c r="U305" i="3"/>
  <c r="U300" i="3"/>
  <c r="U295" i="3"/>
  <c r="U289" i="3"/>
  <c r="U284" i="3"/>
  <c r="U279" i="3"/>
  <c r="U273" i="3"/>
  <c r="U268" i="3"/>
  <c r="U263" i="3"/>
  <c r="U257" i="3"/>
  <c r="U252" i="3"/>
  <c r="U247" i="3"/>
  <c r="U241" i="3"/>
  <c r="U236" i="3"/>
  <c r="U231" i="3"/>
  <c r="U225" i="3"/>
  <c r="U220" i="3"/>
  <c r="U215" i="3"/>
  <c r="U209" i="3"/>
  <c r="U204" i="3"/>
  <c r="U199" i="3"/>
  <c r="U193" i="3"/>
  <c r="U188" i="3"/>
  <c r="U183" i="3"/>
  <c r="U177" i="3"/>
  <c r="U172" i="3"/>
  <c r="U167" i="3"/>
  <c r="U161" i="3"/>
  <c r="U156" i="3"/>
  <c r="U151" i="3"/>
  <c r="U145" i="3"/>
  <c r="U140" i="3"/>
  <c r="U135" i="3"/>
  <c r="U129" i="3"/>
  <c r="U124" i="3"/>
  <c r="U119" i="3"/>
  <c r="U113" i="3"/>
  <c r="U108" i="3"/>
  <c r="U103" i="3"/>
  <c r="U97" i="3"/>
  <c r="U92" i="3"/>
  <c r="U87" i="3"/>
  <c r="U81" i="3"/>
  <c r="U73" i="3"/>
  <c r="U65" i="3"/>
  <c r="U57" i="3"/>
  <c r="U49" i="3"/>
  <c r="U41" i="3"/>
  <c r="U33" i="3"/>
  <c r="U25" i="3"/>
  <c r="U17" i="3"/>
  <c r="U9" i="3"/>
  <c r="U200" i="3"/>
  <c r="U184" i="3"/>
  <c r="U168" i="3"/>
  <c r="U152" i="3"/>
  <c r="U125" i="3"/>
  <c r="U19" i="3"/>
  <c r="U597" i="3"/>
  <c r="U600" i="3"/>
  <c r="U596" i="3"/>
  <c r="U592" i="3"/>
  <c r="U588" i="3"/>
  <c r="U584" i="3"/>
  <c r="U580" i="3"/>
  <c r="U576" i="3"/>
  <c r="U572" i="3"/>
  <c r="U568" i="3"/>
  <c r="U564" i="3"/>
  <c r="U560" i="3"/>
  <c r="U556" i="3"/>
  <c r="U552" i="3"/>
  <c r="U548" i="3"/>
  <c r="U544" i="3"/>
  <c r="U540" i="3"/>
  <c r="U536" i="3"/>
  <c r="U532" i="3"/>
  <c r="U528" i="3"/>
  <c r="U524" i="3"/>
  <c r="U520" i="3"/>
  <c r="U516" i="3"/>
  <c r="U512" i="3"/>
  <c r="U507" i="3"/>
  <c r="U501" i="3"/>
  <c r="U496" i="3"/>
  <c r="U491" i="3"/>
  <c r="U485" i="3"/>
  <c r="U480" i="3"/>
  <c r="U475" i="3"/>
  <c r="U469" i="3"/>
  <c r="U464" i="3"/>
  <c r="U459" i="3"/>
  <c r="U453" i="3"/>
  <c r="U448" i="3"/>
  <c r="U443" i="3"/>
  <c r="U437" i="3"/>
  <c r="U432" i="3"/>
  <c r="U427" i="3"/>
  <c r="U421" i="3"/>
  <c r="U416" i="3"/>
  <c r="U411" i="3"/>
  <c r="U405" i="3"/>
  <c r="U400" i="3"/>
  <c r="U395" i="3"/>
  <c r="U389" i="3"/>
  <c r="U384" i="3"/>
  <c r="U379" i="3"/>
  <c r="U373" i="3"/>
  <c r="U368" i="3"/>
  <c r="U363" i="3"/>
  <c r="U357" i="3"/>
  <c r="U352" i="3"/>
  <c r="U347" i="3"/>
  <c r="U341" i="3"/>
  <c r="U336" i="3"/>
  <c r="U331" i="3"/>
  <c r="U325" i="3"/>
  <c r="U320" i="3"/>
  <c r="U315" i="3"/>
  <c r="U309" i="3"/>
  <c r="U304" i="3"/>
  <c r="U299" i="3"/>
  <c r="U293" i="3"/>
  <c r="U288" i="3"/>
  <c r="U283" i="3"/>
  <c r="U277" i="3"/>
  <c r="U272" i="3"/>
  <c r="U267" i="3"/>
  <c r="U261" i="3"/>
  <c r="U256" i="3"/>
  <c r="U251" i="3"/>
  <c r="U245" i="3"/>
  <c r="U240" i="3"/>
  <c r="U235" i="3"/>
  <c r="U229" i="3"/>
  <c r="U224" i="3"/>
  <c r="U219" i="3"/>
  <c r="U213" i="3"/>
  <c r="U208" i="3"/>
  <c r="U203" i="3"/>
  <c r="U197" i="3"/>
  <c r="U192" i="3"/>
  <c r="U187" i="3"/>
  <c r="U181" i="3"/>
  <c r="U176" i="3"/>
  <c r="U171" i="3"/>
  <c r="U165" i="3"/>
  <c r="U160" i="3"/>
  <c r="U155" i="3"/>
  <c r="U149" i="3"/>
  <c r="U144" i="3"/>
  <c r="U139" i="3"/>
  <c r="U133" i="3"/>
  <c r="U128" i="3"/>
  <c r="U123" i="3"/>
  <c r="U117" i="3"/>
  <c r="U112" i="3"/>
  <c r="U107" i="3"/>
  <c r="U101" i="3"/>
  <c r="U96" i="3"/>
  <c r="U91" i="3"/>
  <c r="U85" i="3"/>
  <c r="U79" i="3"/>
  <c r="U71" i="3"/>
  <c r="U63" i="3"/>
  <c r="U55" i="3"/>
  <c r="U47" i="3"/>
  <c r="U39" i="3"/>
  <c r="U31" i="3"/>
  <c r="U23" i="3"/>
  <c r="U15" i="3"/>
  <c r="U7" i="3"/>
  <c r="U205" i="3"/>
  <c r="U189" i="3"/>
  <c r="U179" i="3"/>
  <c r="U163" i="3"/>
  <c r="U141" i="3"/>
  <c r="U136" i="3"/>
  <c r="U120" i="3"/>
  <c r="U109" i="3"/>
  <c r="U99" i="3"/>
  <c r="U88" i="3"/>
  <c r="U75" i="3"/>
  <c r="U59" i="3"/>
  <c r="U35" i="3"/>
  <c r="U11" i="3"/>
  <c r="U599" i="3"/>
  <c r="U595" i="3"/>
  <c r="U591" i="3"/>
  <c r="U587" i="3"/>
  <c r="U583" i="3"/>
  <c r="U579" i="3"/>
  <c r="U575" i="3"/>
  <c r="U571" i="3"/>
  <c r="U567" i="3"/>
  <c r="U563" i="3"/>
  <c r="U559" i="3"/>
  <c r="U555" i="3"/>
  <c r="U551" i="3"/>
  <c r="U547" i="3"/>
  <c r="U543" i="3"/>
  <c r="U539" i="3"/>
  <c r="U535" i="3"/>
  <c r="U531" i="3"/>
  <c r="U527" i="3"/>
  <c r="U523" i="3"/>
  <c r="U519" i="3"/>
  <c r="U515" i="3"/>
  <c r="U511" i="3"/>
  <c r="U505" i="3"/>
  <c r="U500" i="3"/>
  <c r="U495" i="3"/>
  <c r="U489" i="3"/>
  <c r="U484" i="3"/>
  <c r="U479" i="3"/>
  <c r="U473" i="3"/>
  <c r="U468" i="3"/>
  <c r="U463" i="3"/>
  <c r="U457" i="3"/>
  <c r="U452" i="3"/>
  <c r="U447" i="3"/>
  <c r="U441" i="3"/>
  <c r="U436" i="3"/>
  <c r="U431" i="3"/>
  <c r="U425" i="3"/>
  <c r="U420" i="3"/>
  <c r="U415" i="3"/>
  <c r="U409" i="3"/>
  <c r="U404" i="3"/>
  <c r="U399" i="3"/>
  <c r="U393" i="3"/>
  <c r="U388" i="3"/>
  <c r="U383" i="3"/>
  <c r="U377" i="3"/>
  <c r="U372" i="3"/>
  <c r="U367" i="3"/>
  <c r="U361" i="3"/>
  <c r="U356" i="3"/>
  <c r="U351" i="3"/>
  <c r="U345" i="3"/>
  <c r="U340" i="3"/>
  <c r="U335" i="3"/>
  <c r="U329" i="3"/>
  <c r="U324" i="3"/>
  <c r="U319" i="3"/>
  <c r="U313" i="3"/>
  <c r="U308" i="3"/>
  <c r="U303" i="3"/>
  <c r="U297" i="3"/>
  <c r="U292" i="3"/>
  <c r="U287" i="3"/>
  <c r="U281" i="3"/>
  <c r="U276" i="3"/>
  <c r="U271" i="3"/>
  <c r="U265" i="3"/>
  <c r="U260" i="3"/>
  <c r="U255" i="3"/>
  <c r="U249" i="3"/>
  <c r="U244" i="3"/>
  <c r="U239" i="3"/>
  <c r="U233" i="3"/>
  <c r="U228" i="3"/>
  <c r="U223" i="3"/>
  <c r="U217" i="3"/>
  <c r="U212" i="3"/>
  <c r="U207" i="3"/>
  <c r="U201" i="3"/>
  <c r="U196" i="3"/>
  <c r="U191" i="3"/>
  <c r="U185" i="3"/>
  <c r="U180" i="3"/>
  <c r="U175" i="3"/>
  <c r="U169" i="3"/>
  <c r="U164" i="3"/>
  <c r="U159" i="3"/>
  <c r="U153" i="3"/>
  <c r="U148" i="3"/>
  <c r="U143" i="3"/>
  <c r="U137" i="3"/>
  <c r="U132" i="3"/>
  <c r="U127" i="3"/>
  <c r="U121" i="3"/>
  <c r="U116" i="3"/>
  <c r="U111" i="3"/>
  <c r="U105" i="3"/>
  <c r="U100" i="3"/>
  <c r="U95" i="3"/>
  <c r="U89" i="3"/>
  <c r="U84" i="3"/>
  <c r="U77" i="3"/>
  <c r="U69" i="3"/>
  <c r="U61" i="3"/>
  <c r="U53" i="3"/>
  <c r="U45" i="3"/>
  <c r="U37" i="3"/>
  <c r="U29" i="3"/>
  <c r="U21" i="3"/>
  <c r="U13" i="3"/>
  <c r="U5" i="3"/>
  <c r="U510" i="3"/>
  <c r="U506" i="3"/>
  <c r="U502" i="3"/>
  <c r="U498" i="3"/>
  <c r="U494" i="3"/>
  <c r="U490" i="3"/>
  <c r="U486" i="3"/>
  <c r="U482" i="3"/>
  <c r="U478" i="3"/>
  <c r="U474" i="3"/>
  <c r="U470" i="3"/>
  <c r="U466" i="3"/>
  <c r="U462" i="3"/>
  <c r="U458" i="3"/>
  <c r="U454" i="3"/>
  <c r="U450" i="3"/>
  <c r="U446" i="3"/>
  <c r="U442" i="3"/>
  <c r="U438" i="3"/>
  <c r="U434" i="3"/>
  <c r="U430" i="3"/>
  <c r="U426" i="3"/>
  <c r="U422" i="3"/>
  <c r="U418" i="3"/>
  <c r="U414" i="3"/>
  <c r="U410" i="3"/>
  <c r="U406" i="3"/>
  <c r="U402" i="3"/>
  <c r="U398" i="3"/>
  <c r="U394" i="3"/>
  <c r="U390" i="3"/>
  <c r="U386" i="3"/>
  <c r="U382" i="3"/>
  <c r="U378" i="3"/>
  <c r="U374" i="3"/>
  <c r="U370" i="3"/>
  <c r="U366" i="3"/>
  <c r="U362" i="3"/>
  <c r="U358" i="3"/>
  <c r="U354" i="3"/>
  <c r="U350" i="3"/>
  <c r="U346" i="3"/>
  <c r="U342" i="3"/>
  <c r="U338" i="3"/>
  <c r="U334" i="3"/>
  <c r="U330" i="3"/>
  <c r="U326" i="3"/>
  <c r="U322" i="3"/>
  <c r="U318" i="3"/>
  <c r="U314" i="3"/>
  <c r="U310" i="3"/>
  <c r="U306" i="3"/>
  <c r="U302" i="3"/>
  <c r="U298" i="3"/>
  <c r="U294" i="3"/>
  <c r="U290" i="3"/>
  <c r="U286" i="3"/>
  <c r="U282" i="3"/>
  <c r="U278" i="3"/>
  <c r="U274" i="3"/>
  <c r="U270" i="3"/>
  <c r="U266" i="3"/>
  <c r="U262" i="3"/>
  <c r="U258" i="3"/>
  <c r="U254" i="3"/>
  <c r="U250" i="3"/>
  <c r="U246" i="3"/>
  <c r="U242" i="3"/>
  <c r="U238" i="3"/>
  <c r="U234" i="3"/>
  <c r="U230" i="3"/>
  <c r="U226" i="3"/>
  <c r="U222" i="3"/>
  <c r="U218" i="3"/>
  <c r="U214" i="3"/>
  <c r="U210" i="3"/>
  <c r="U206" i="3"/>
  <c r="U202" i="3"/>
  <c r="U198" i="3"/>
  <c r="U194" i="3"/>
  <c r="U190" i="3"/>
  <c r="U186" i="3"/>
  <c r="U182" i="3"/>
  <c r="U178" i="3"/>
  <c r="U174" i="3"/>
  <c r="U170" i="3"/>
  <c r="U166" i="3"/>
  <c r="U162" i="3"/>
  <c r="U158" i="3"/>
  <c r="U154" i="3"/>
  <c r="U150" i="3"/>
  <c r="U146" i="3"/>
  <c r="U142" i="3"/>
  <c r="U138" i="3"/>
  <c r="U134" i="3"/>
  <c r="U130" i="3"/>
  <c r="U126" i="3"/>
  <c r="U122" i="3"/>
  <c r="U118" i="3"/>
  <c r="U114" i="3"/>
  <c r="U110" i="3"/>
  <c r="U106" i="3"/>
  <c r="U102" i="3"/>
  <c r="U98" i="3"/>
  <c r="U94" i="3"/>
  <c r="U90" i="3"/>
  <c r="U86" i="3"/>
  <c r="U82" i="3"/>
  <c r="U78" i="3"/>
  <c r="U74" i="3"/>
  <c r="U70" i="3"/>
  <c r="U66" i="3"/>
  <c r="U62" i="3"/>
  <c r="U58" i="3"/>
  <c r="U54" i="3"/>
  <c r="U50" i="3"/>
  <c r="U46" i="3"/>
  <c r="U42" i="3"/>
  <c r="U38" i="3"/>
  <c r="U34" i="3"/>
  <c r="U30" i="3"/>
  <c r="U26" i="3"/>
  <c r="U22" i="3"/>
  <c r="U18" i="3"/>
  <c r="U14" i="3"/>
  <c r="U10" i="3"/>
  <c r="U6" i="3"/>
  <c r="U80" i="3"/>
  <c r="U76" i="3"/>
  <c r="U72" i="3"/>
  <c r="U68" i="3"/>
  <c r="U64" i="3"/>
  <c r="U60" i="3"/>
  <c r="U56" i="3"/>
  <c r="U52" i="3"/>
  <c r="U48" i="3"/>
  <c r="U44" i="3"/>
  <c r="U40" i="3"/>
  <c r="U36" i="3"/>
  <c r="U32" i="3"/>
  <c r="U28" i="3"/>
  <c r="U24" i="3"/>
  <c r="U20" i="3"/>
  <c r="U16" i="3"/>
  <c r="U12" i="3"/>
  <c r="U8" i="3"/>
  <c r="U4" i="3"/>
  <c r="U3" i="3"/>
  <c r="V3" i="3"/>
  <c r="V589" i="3"/>
  <c r="V557" i="3"/>
  <c r="V525" i="3"/>
  <c r="V466" i="3"/>
  <c r="V380" i="3"/>
  <c r="V573" i="3"/>
  <c r="V541" i="3"/>
  <c r="V508" i="3"/>
  <c r="V487" i="3"/>
  <c r="V444" i="3"/>
  <c r="V423" i="3"/>
  <c r="V402" i="3"/>
  <c r="V601" i="3"/>
  <c r="V585" i="3"/>
  <c r="V569" i="3"/>
  <c r="V553" i="3"/>
  <c r="V537" i="3"/>
  <c r="V521" i="3"/>
  <c r="V503" i="3"/>
  <c r="V482" i="3"/>
  <c r="V460" i="3"/>
  <c r="V439" i="3"/>
  <c r="V418" i="3"/>
  <c r="V396" i="3"/>
  <c r="V375" i="3"/>
  <c r="V597" i="3"/>
  <c r="V581" i="3"/>
  <c r="V565" i="3"/>
  <c r="V549" i="3"/>
  <c r="V533" i="3"/>
  <c r="V517" i="3"/>
  <c r="V498" i="3"/>
  <c r="V476" i="3"/>
  <c r="V455" i="3"/>
  <c r="V434" i="3"/>
  <c r="V412" i="3"/>
  <c r="V391" i="3"/>
  <c r="V370" i="3"/>
  <c r="V593" i="3"/>
  <c r="V577" i="3"/>
  <c r="V561" i="3"/>
  <c r="V545" i="3"/>
  <c r="V529" i="3"/>
  <c r="V513" i="3"/>
  <c r="V492" i="3"/>
  <c r="V471" i="3"/>
  <c r="V450" i="3"/>
  <c r="V428" i="3"/>
  <c r="V407" i="3"/>
  <c r="V386" i="3"/>
  <c r="V364" i="3"/>
  <c r="V359" i="3"/>
  <c r="V343" i="3"/>
  <c r="V327" i="3"/>
  <c r="V311" i="3"/>
  <c r="V295" i="3"/>
  <c r="V284" i="3"/>
  <c r="V268" i="3"/>
  <c r="V247" i="3"/>
  <c r="V231" i="3"/>
  <c r="V215" i="3"/>
  <c r="V199" i="3"/>
  <c r="V188" i="3"/>
  <c r="V172" i="3"/>
  <c r="V156" i="3"/>
  <c r="V140" i="3"/>
  <c r="V130" i="3"/>
  <c r="V114" i="3"/>
  <c r="V103" i="3"/>
  <c r="V91" i="3"/>
  <c r="V75" i="3"/>
  <c r="V59" i="3"/>
  <c r="V43" i="3"/>
  <c r="V19" i="3"/>
  <c r="V600" i="3"/>
  <c r="V592" i="3"/>
  <c r="V584" i="3"/>
  <c r="V576" i="3"/>
  <c r="V568" i="3"/>
  <c r="V560" i="3"/>
  <c r="V552" i="3"/>
  <c r="V544" i="3"/>
  <c r="V536" i="3"/>
  <c r="V528" i="3"/>
  <c r="V520" i="3"/>
  <c r="V512" i="3"/>
  <c r="V502" i="3"/>
  <c r="V491" i="3"/>
  <c r="V480" i="3"/>
  <c r="V475" i="3"/>
  <c r="V464" i="3"/>
  <c r="V454" i="3"/>
  <c r="V443" i="3"/>
  <c r="V432" i="3"/>
  <c r="V422" i="3"/>
  <c r="V411" i="3"/>
  <c r="V400" i="3"/>
  <c r="V390" i="3"/>
  <c r="V379" i="3"/>
  <c r="V368" i="3"/>
  <c r="V358" i="3"/>
  <c r="V347" i="3"/>
  <c r="V336" i="3"/>
  <c r="V326" i="3"/>
  <c r="V315" i="3"/>
  <c r="V304" i="3"/>
  <c r="V294" i="3"/>
  <c r="V283" i="3"/>
  <c r="V272" i="3"/>
  <c r="V262" i="3"/>
  <c r="V251" i="3"/>
  <c r="V240" i="3"/>
  <c r="V230" i="3"/>
  <c r="V219" i="3"/>
  <c r="V208" i="3"/>
  <c r="V198" i="3"/>
  <c r="V187" i="3"/>
  <c r="V176" i="3"/>
  <c r="V166" i="3"/>
  <c r="V155" i="3"/>
  <c r="V144" i="3"/>
  <c r="V134" i="3"/>
  <c r="V123" i="3"/>
  <c r="V112" i="3"/>
  <c r="V107" i="3"/>
  <c r="V102" i="3"/>
  <c r="V96" i="3"/>
  <c r="V90" i="3"/>
  <c r="V82" i="3"/>
  <c r="V74" i="3"/>
  <c r="V66" i="3"/>
  <c r="V58" i="3"/>
  <c r="V50" i="3"/>
  <c r="V42" i="3"/>
  <c r="V34" i="3"/>
  <c r="V26" i="3"/>
  <c r="V18" i="3"/>
  <c r="V10" i="3"/>
  <c r="V354" i="3"/>
  <c r="V338" i="3"/>
  <c r="V322" i="3"/>
  <c r="V306" i="3"/>
  <c r="V290" i="3"/>
  <c r="V274" i="3"/>
  <c r="V258" i="3"/>
  <c r="V242" i="3"/>
  <c r="V226" i="3"/>
  <c r="V210" i="3"/>
  <c r="V194" i="3"/>
  <c r="V178" i="3"/>
  <c r="V162" i="3"/>
  <c r="V146" i="3"/>
  <c r="V135" i="3"/>
  <c r="V124" i="3"/>
  <c r="V108" i="3"/>
  <c r="V98" i="3"/>
  <c r="V83" i="3"/>
  <c r="V67" i="3"/>
  <c r="V51" i="3"/>
  <c r="V35" i="3"/>
  <c r="V27" i="3"/>
  <c r="V11" i="3"/>
  <c r="V596" i="3"/>
  <c r="V588" i="3"/>
  <c r="V580" i="3"/>
  <c r="V572" i="3"/>
  <c r="V564" i="3"/>
  <c r="V556" i="3"/>
  <c r="V548" i="3"/>
  <c r="V540" i="3"/>
  <c r="V532" i="3"/>
  <c r="V524" i="3"/>
  <c r="V516" i="3"/>
  <c r="V507" i="3"/>
  <c r="V496" i="3"/>
  <c r="V486" i="3"/>
  <c r="V470" i="3"/>
  <c r="V459" i="3"/>
  <c r="V448" i="3"/>
  <c r="V438" i="3"/>
  <c r="V427" i="3"/>
  <c r="V416" i="3"/>
  <c r="V406" i="3"/>
  <c r="V395" i="3"/>
  <c r="V384" i="3"/>
  <c r="V374" i="3"/>
  <c r="V363" i="3"/>
  <c r="V352" i="3"/>
  <c r="V342" i="3"/>
  <c r="V331" i="3"/>
  <c r="V320" i="3"/>
  <c r="V310" i="3"/>
  <c r="V299" i="3"/>
  <c r="V288" i="3"/>
  <c r="V278" i="3"/>
  <c r="V267" i="3"/>
  <c r="V256" i="3"/>
  <c r="V246" i="3"/>
  <c r="V235" i="3"/>
  <c r="V224" i="3"/>
  <c r="V214" i="3"/>
  <c r="V203" i="3"/>
  <c r="V192" i="3"/>
  <c r="V182" i="3"/>
  <c r="V171" i="3"/>
  <c r="V160" i="3"/>
  <c r="V150" i="3"/>
  <c r="V139" i="3"/>
  <c r="V128" i="3"/>
  <c r="V118" i="3"/>
  <c r="V599" i="3"/>
  <c r="V595" i="3"/>
  <c r="V591" i="3"/>
  <c r="V587" i="3"/>
  <c r="V583" i="3"/>
  <c r="V579" i="3"/>
  <c r="V575" i="3"/>
  <c r="V571" i="3"/>
  <c r="V567" i="3"/>
  <c r="V563" i="3"/>
  <c r="V559" i="3"/>
  <c r="V555" i="3"/>
  <c r="V551" i="3"/>
  <c r="V547" i="3"/>
  <c r="V543" i="3"/>
  <c r="V539" i="3"/>
  <c r="V535" i="3"/>
  <c r="V531" i="3"/>
  <c r="V527" i="3"/>
  <c r="V523" i="3"/>
  <c r="V519" i="3"/>
  <c r="V515" i="3"/>
  <c r="V511" i="3"/>
  <c r="V506" i="3"/>
  <c r="V500" i="3"/>
  <c r="V495" i="3"/>
  <c r="V490" i="3"/>
  <c r="V484" i="3"/>
  <c r="V479" i="3"/>
  <c r="V474" i="3"/>
  <c r="V468" i="3"/>
  <c r="V463" i="3"/>
  <c r="V458" i="3"/>
  <c r="V452" i="3"/>
  <c r="V447" i="3"/>
  <c r="V442" i="3"/>
  <c r="V436" i="3"/>
  <c r="V431" i="3"/>
  <c r="V426" i="3"/>
  <c r="V420" i="3"/>
  <c r="V415" i="3"/>
  <c r="V410" i="3"/>
  <c r="V404" i="3"/>
  <c r="V399" i="3"/>
  <c r="V394" i="3"/>
  <c r="V388" i="3"/>
  <c r="V383" i="3"/>
  <c r="V378" i="3"/>
  <c r="V372" i="3"/>
  <c r="V367" i="3"/>
  <c r="V362" i="3"/>
  <c r="V356" i="3"/>
  <c r="V351" i="3"/>
  <c r="V346" i="3"/>
  <c r="V340" i="3"/>
  <c r="V335" i="3"/>
  <c r="V330" i="3"/>
  <c r="V324" i="3"/>
  <c r="V319" i="3"/>
  <c r="V314" i="3"/>
  <c r="V308" i="3"/>
  <c r="V303" i="3"/>
  <c r="V298" i="3"/>
  <c r="V292" i="3"/>
  <c r="V287" i="3"/>
  <c r="V282" i="3"/>
  <c r="V276" i="3"/>
  <c r="V271" i="3"/>
  <c r="V266" i="3"/>
  <c r="V260" i="3"/>
  <c r="V255" i="3"/>
  <c r="V250" i="3"/>
  <c r="V244" i="3"/>
  <c r="V239" i="3"/>
  <c r="V234" i="3"/>
  <c r="V228" i="3"/>
  <c r="V223" i="3"/>
  <c r="V218" i="3"/>
  <c r="V212" i="3"/>
  <c r="V207" i="3"/>
  <c r="V202" i="3"/>
  <c r="V196" i="3"/>
  <c r="V191" i="3"/>
  <c r="V186" i="3"/>
  <c r="V180" i="3"/>
  <c r="V175" i="3"/>
  <c r="V170" i="3"/>
  <c r="V164" i="3"/>
  <c r="V159" i="3"/>
  <c r="V154" i="3"/>
  <c r="V148" i="3"/>
  <c r="V143" i="3"/>
  <c r="V138" i="3"/>
  <c r="V132" i="3"/>
  <c r="V127" i="3"/>
  <c r="V122" i="3"/>
  <c r="V116" i="3"/>
  <c r="V111" i="3"/>
  <c r="V106" i="3"/>
  <c r="V100" i="3"/>
  <c r="V95" i="3"/>
  <c r="V87" i="3"/>
  <c r="V79" i="3"/>
  <c r="V71" i="3"/>
  <c r="V63" i="3"/>
  <c r="V55" i="3"/>
  <c r="V47" i="3"/>
  <c r="V39" i="3"/>
  <c r="V31" i="3"/>
  <c r="V23" i="3"/>
  <c r="V15" i="3"/>
  <c r="V7" i="3"/>
  <c r="V348" i="3"/>
  <c r="V332" i="3"/>
  <c r="V316" i="3"/>
  <c r="V300" i="3"/>
  <c r="V279" i="3"/>
  <c r="V263" i="3"/>
  <c r="V252" i="3"/>
  <c r="V236" i="3"/>
  <c r="V220" i="3"/>
  <c r="V204" i="3"/>
  <c r="V183" i="3"/>
  <c r="V167" i="3"/>
  <c r="V151" i="3"/>
  <c r="V119" i="3"/>
  <c r="V602" i="3"/>
  <c r="V598" i="3"/>
  <c r="V594" i="3"/>
  <c r="V590" i="3"/>
  <c r="V586" i="3"/>
  <c r="V582" i="3"/>
  <c r="V578" i="3"/>
  <c r="V574" i="3"/>
  <c r="V570" i="3"/>
  <c r="V566" i="3"/>
  <c r="V562" i="3"/>
  <c r="V558" i="3"/>
  <c r="V554" i="3"/>
  <c r="V550" i="3"/>
  <c r="V546" i="3"/>
  <c r="V542" i="3"/>
  <c r="V538" i="3"/>
  <c r="V534" i="3"/>
  <c r="V530" i="3"/>
  <c r="V526" i="3"/>
  <c r="V522" i="3"/>
  <c r="V518" i="3"/>
  <c r="V514" i="3"/>
  <c r="V510" i="3"/>
  <c r="V504" i="3"/>
  <c r="V499" i="3"/>
  <c r="V494" i="3"/>
  <c r="V488" i="3"/>
  <c r="V483" i="3"/>
  <c r="V478" i="3"/>
  <c r="V472" i="3"/>
  <c r="V467" i="3"/>
  <c r="V462" i="3"/>
  <c r="V456" i="3"/>
  <c r="V451" i="3"/>
  <c r="V446" i="3"/>
  <c r="V440" i="3"/>
  <c r="V435" i="3"/>
  <c r="V430" i="3"/>
  <c r="V424" i="3"/>
  <c r="V419" i="3"/>
  <c r="V414" i="3"/>
  <c r="V408" i="3"/>
  <c r="V403" i="3"/>
  <c r="V398" i="3"/>
  <c r="V392" i="3"/>
  <c r="V387" i="3"/>
  <c r="V382" i="3"/>
  <c r="V376" i="3"/>
  <c r="V371" i="3"/>
  <c r="V366" i="3"/>
  <c r="V360" i="3"/>
  <c r="V355" i="3"/>
  <c r="V350" i="3"/>
  <c r="V344" i="3"/>
  <c r="V339" i="3"/>
  <c r="V334" i="3"/>
  <c r="V328" i="3"/>
  <c r="V323" i="3"/>
  <c r="V318" i="3"/>
  <c r="V312" i="3"/>
  <c r="V307" i="3"/>
  <c r="V302" i="3"/>
  <c r="V296" i="3"/>
  <c r="V291" i="3"/>
  <c r="V286" i="3"/>
  <c r="V280" i="3"/>
  <c r="V275" i="3"/>
  <c r="V270" i="3"/>
  <c r="V264" i="3"/>
  <c r="V259" i="3"/>
  <c r="V254" i="3"/>
  <c r="V248" i="3"/>
  <c r="V243" i="3"/>
  <c r="V238" i="3"/>
  <c r="V232" i="3"/>
  <c r="V227" i="3"/>
  <c r="V222" i="3"/>
  <c r="V216" i="3"/>
  <c r="V211" i="3"/>
  <c r="V206" i="3"/>
  <c r="V200" i="3"/>
  <c r="V195" i="3"/>
  <c r="V190" i="3"/>
  <c r="V184" i="3"/>
  <c r="V179" i="3"/>
  <c r="V174" i="3"/>
  <c r="V168" i="3"/>
  <c r="V163" i="3"/>
  <c r="V158" i="3"/>
  <c r="V152" i="3"/>
  <c r="V147" i="3"/>
  <c r="V142" i="3"/>
  <c r="V136" i="3"/>
  <c r="V131" i="3"/>
  <c r="V126" i="3"/>
  <c r="V120" i="3"/>
  <c r="V115" i="3"/>
  <c r="V110" i="3"/>
  <c r="V104" i="3"/>
  <c r="V99" i="3"/>
  <c r="V94" i="3"/>
  <c r="V86" i="3"/>
  <c r="V78" i="3"/>
  <c r="V70" i="3"/>
  <c r="V62" i="3"/>
  <c r="V54" i="3"/>
  <c r="V46" i="3"/>
  <c r="V38" i="3"/>
  <c r="V30" i="3"/>
  <c r="V22" i="3"/>
  <c r="V14" i="3"/>
  <c r="V6" i="3"/>
  <c r="V509" i="3"/>
  <c r="V505" i="3"/>
  <c r="V501" i="3"/>
  <c r="V497" i="3"/>
  <c r="V493" i="3"/>
  <c r="V489" i="3"/>
  <c r="V485" i="3"/>
  <c r="V481" i="3"/>
  <c r="V477" i="3"/>
  <c r="V473" i="3"/>
  <c r="V469" i="3"/>
  <c r="V465" i="3"/>
  <c r="V461" i="3"/>
  <c r="V457" i="3"/>
  <c r="V453" i="3"/>
  <c r="V449" i="3"/>
  <c r="V445" i="3"/>
  <c r="V441" i="3"/>
  <c r="V437" i="3"/>
  <c r="V433" i="3"/>
  <c r="V429" i="3"/>
  <c r="V425" i="3"/>
  <c r="V421" i="3"/>
  <c r="V417" i="3"/>
  <c r="V413" i="3"/>
  <c r="V409" i="3"/>
  <c r="V405" i="3"/>
  <c r="V401" i="3"/>
  <c r="V397" i="3"/>
  <c r="V393" i="3"/>
  <c r="V389" i="3"/>
  <c r="V385" i="3"/>
  <c r="V381" i="3"/>
  <c r="V377" i="3"/>
  <c r="V373" i="3"/>
  <c r="V369" i="3"/>
  <c r="V365" i="3"/>
  <c r="V361" i="3"/>
  <c r="V357" i="3"/>
  <c r="V353" i="3"/>
  <c r="V349" i="3"/>
  <c r="V345" i="3"/>
  <c r="V341" i="3"/>
  <c r="V337" i="3"/>
  <c r="V333" i="3"/>
  <c r="V329" i="3"/>
  <c r="V325" i="3"/>
  <c r="V321" i="3"/>
  <c r="V317" i="3"/>
  <c r="V313" i="3"/>
  <c r="V309" i="3"/>
  <c r="V305" i="3"/>
  <c r="V301" i="3"/>
  <c r="V297" i="3"/>
  <c r="V293" i="3"/>
  <c r="V289" i="3"/>
  <c r="V285" i="3"/>
  <c r="V281" i="3"/>
  <c r="V277" i="3"/>
  <c r="V273" i="3"/>
  <c r="V269" i="3"/>
  <c r="V265" i="3"/>
  <c r="V261" i="3"/>
  <c r="V257" i="3"/>
  <c r="V253" i="3"/>
  <c r="V249" i="3"/>
  <c r="V245" i="3"/>
  <c r="V241" i="3"/>
  <c r="V237" i="3"/>
  <c r="V233" i="3"/>
  <c r="V229" i="3"/>
  <c r="V225" i="3"/>
  <c r="V221" i="3"/>
  <c r="V217" i="3"/>
  <c r="V213" i="3"/>
  <c r="V209" i="3"/>
  <c r="V205" i="3"/>
  <c r="V201" i="3"/>
  <c r="V197" i="3"/>
  <c r="V193" i="3"/>
  <c r="V189" i="3"/>
  <c r="V185" i="3"/>
  <c r="V181" i="3"/>
  <c r="V177" i="3"/>
  <c r="V173" i="3"/>
  <c r="V169" i="3"/>
  <c r="V165" i="3"/>
  <c r="V161" i="3"/>
  <c r="V157" i="3"/>
  <c r="V153" i="3"/>
  <c r="V149" i="3"/>
  <c r="V145" i="3"/>
  <c r="V141" i="3"/>
  <c r="V137" i="3"/>
  <c r="V133" i="3"/>
  <c r="V129" i="3"/>
  <c r="V125" i="3"/>
  <c r="V121" i="3"/>
  <c r="V117" i="3"/>
  <c r="V113" i="3"/>
  <c r="V109" i="3"/>
  <c r="V105" i="3"/>
  <c r="V101" i="3"/>
  <c r="V97" i="3"/>
  <c r="V93" i="3"/>
  <c r="V89" i="3"/>
  <c r="V85" i="3"/>
  <c r="V81" i="3"/>
  <c r="V77" i="3"/>
  <c r="V73" i="3"/>
  <c r="V69" i="3"/>
  <c r="V65" i="3"/>
  <c r="V61" i="3"/>
  <c r="V57" i="3"/>
  <c r="V53" i="3"/>
  <c r="V49" i="3"/>
  <c r="V45" i="3"/>
  <c r="V41" i="3"/>
  <c r="V37" i="3"/>
  <c r="V33" i="3"/>
  <c r="V29" i="3"/>
  <c r="V25" i="3"/>
  <c r="V21" i="3"/>
  <c r="V17" i="3"/>
  <c r="V13" i="3"/>
  <c r="V9" i="3"/>
  <c r="V5" i="3"/>
  <c r="V92" i="3"/>
  <c r="V88" i="3"/>
  <c r="V84" i="3"/>
  <c r="V80" i="3"/>
  <c r="V76" i="3"/>
  <c r="V72" i="3"/>
  <c r="V68" i="3"/>
  <c r="V64" i="3"/>
  <c r="V60" i="3"/>
  <c r="V56" i="3"/>
  <c r="V52" i="3"/>
  <c r="V48" i="3"/>
  <c r="V44" i="3"/>
  <c r="V40" i="3"/>
  <c r="V36" i="3"/>
  <c r="V32" i="3"/>
  <c r="V28" i="3"/>
  <c r="V24" i="3"/>
  <c r="V20" i="3"/>
  <c r="V16" i="3"/>
  <c r="V12" i="3"/>
  <c r="V8" i="3"/>
  <c r="V4" i="3"/>
  <c r="S3" i="3"/>
  <c r="S594" i="3"/>
  <c r="S578" i="3"/>
  <c r="S562" i="3"/>
  <c r="S546" i="3"/>
  <c r="S530" i="3"/>
  <c r="S514" i="3"/>
  <c r="S494" i="3"/>
  <c r="S488" i="3"/>
  <c r="S483" i="3"/>
  <c r="S478" i="3"/>
  <c r="S472" i="3"/>
  <c r="S442" i="3"/>
  <c r="S434" i="3"/>
  <c r="S426" i="3"/>
  <c r="S418" i="3"/>
  <c r="S410" i="3"/>
  <c r="S402" i="3"/>
  <c r="S394" i="3"/>
  <c r="S386" i="3"/>
  <c r="S371" i="3"/>
  <c r="S355" i="3"/>
  <c r="S339" i="3"/>
  <c r="S323" i="3"/>
  <c r="S307" i="3"/>
  <c r="S291" i="3"/>
  <c r="S275" i="3"/>
  <c r="S259" i="3"/>
  <c r="S243" i="3"/>
  <c r="S227" i="3"/>
  <c r="S211" i="3"/>
  <c r="S195" i="3"/>
  <c r="S179" i="3"/>
  <c r="S163" i="3"/>
  <c r="S147" i="3"/>
  <c r="S131" i="3"/>
  <c r="S115" i="3"/>
  <c r="S99" i="3"/>
  <c r="S83" i="3"/>
  <c r="S67" i="3"/>
  <c r="S51" i="3"/>
  <c r="S35" i="3"/>
  <c r="S19" i="3"/>
  <c r="S590" i="3"/>
  <c r="S574" i="3"/>
  <c r="S558" i="3"/>
  <c r="S542" i="3"/>
  <c r="S526" i="3"/>
  <c r="S510" i="3"/>
  <c r="S466" i="3"/>
  <c r="S601" i="3"/>
  <c r="S589" i="3"/>
  <c r="S577" i="3"/>
  <c r="S565" i="3"/>
  <c r="S553" i="3"/>
  <c r="S533" i="3"/>
  <c r="S521" i="3"/>
  <c r="S508" i="3"/>
  <c r="S492" i="3"/>
  <c r="S476" i="3"/>
  <c r="S455" i="3"/>
  <c r="S447" i="3"/>
  <c r="S439" i="3"/>
  <c r="S431" i="3"/>
  <c r="S423" i="3"/>
  <c r="S415" i="3"/>
  <c r="S391" i="3"/>
  <c r="S383" i="3"/>
  <c r="S367" i="3"/>
  <c r="S351" i="3"/>
  <c r="S335" i="3"/>
  <c r="S319" i="3"/>
  <c r="S303" i="3"/>
  <c r="S287" i="3"/>
  <c r="S271" i="3"/>
  <c r="S255" i="3"/>
  <c r="S239" i="3"/>
  <c r="S223" i="3"/>
  <c r="S207" i="3"/>
  <c r="S191" i="3"/>
  <c r="S175" i="3"/>
  <c r="S159" i="3"/>
  <c r="S143" i="3"/>
  <c r="S127" i="3"/>
  <c r="S111" i="3"/>
  <c r="S95" i="3"/>
  <c r="S79" i="3"/>
  <c r="S63" i="3"/>
  <c r="S47" i="3"/>
  <c r="S31" i="3"/>
  <c r="S15" i="3"/>
  <c r="S602" i="3"/>
  <c r="S586" i="3"/>
  <c r="S570" i="3"/>
  <c r="S554" i="3"/>
  <c r="S534" i="3"/>
  <c r="S522" i="3"/>
  <c r="S504" i="3"/>
  <c r="S450" i="3"/>
  <c r="S597" i="3"/>
  <c r="S585" i="3"/>
  <c r="S569" i="3"/>
  <c r="S561" i="3"/>
  <c r="S549" i="3"/>
  <c r="S537" i="3"/>
  <c r="S529" i="3"/>
  <c r="S513" i="3"/>
  <c r="S498" i="3"/>
  <c r="S482" i="3"/>
  <c r="S463" i="3"/>
  <c r="S399" i="3"/>
  <c r="S600" i="3"/>
  <c r="S596" i="3"/>
  <c r="S592" i="3"/>
  <c r="S588" i="3"/>
  <c r="S584" i="3"/>
  <c r="S580" i="3"/>
  <c r="S576" i="3"/>
  <c r="S572" i="3"/>
  <c r="S568" i="3"/>
  <c r="S564" i="3"/>
  <c r="S560" i="3"/>
  <c r="S556" i="3"/>
  <c r="S552" i="3"/>
  <c r="S548" i="3"/>
  <c r="S544" i="3"/>
  <c r="S540" i="3"/>
  <c r="S536" i="3"/>
  <c r="S532" i="3"/>
  <c r="S528" i="3"/>
  <c r="S524" i="3"/>
  <c r="S520" i="3"/>
  <c r="S516" i="3"/>
  <c r="S512" i="3"/>
  <c r="S507" i="3"/>
  <c r="S502" i="3"/>
  <c r="S496" i="3"/>
  <c r="S491" i="3"/>
  <c r="S486" i="3"/>
  <c r="S480" i="3"/>
  <c r="S475" i="3"/>
  <c r="S470" i="3"/>
  <c r="S462" i="3"/>
  <c r="S454" i="3"/>
  <c r="S446" i="3"/>
  <c r="S438" i="3"/>
  <c r="S430" i="3"/>
  <c r="S422" i="3"/>
  <c r="S414" i="3"/>
  <c r="S406" i="3"/>
  <c r="S398" i="3"/>
  <c r="S390" i="3"/>
  <c r="S379" i="3"/>
  <c r="S363" i="3"/>
  <c r="S347" i="3"/>
  <c r="S331" i="3"/>
  <c r="S315" i="3"/>
  <c r="S299" i="3"/>
  <c r="S283" i="3"/>
  <c r="S267" i="3"/>
  <c r="S251" i="3"/>
  <c r="S235" i="3"/>
  <c r="S219" i="3"/>
  <c r="S203" i="3"/>
  <c r="S187" i="3"/>
  <c r="S171" i="3"/>
  <c r="S155" i="3"/>
  <c r="S139" i="3"/>
  <c r="S123" i="3"/>
  <c r="S107" i="3"/>
  <c r="S91" i="3"/>
  <c r="S75" i="3"/>
  <c r="S59" i="3"/>
  <c r="S43" i="3"/>
  <c r="S27" i="3"/>
  <c r="S11" i="3"/>
  <c r="S598" i="3"/>
  <c r="S582" i="3"/>
  <c r="S566" i="3"/>
  <c r="S550" i="3"/>
  <c r="S538" i="3"/>
  <c r="S518" i="3"/>
  <c r="S499" i="3"/>
  <c r="S458" i="3"/>
  <c r="S593" i="3"/>
  <c r="S581" i="3"/>
  <c r="S573" i="3"/>
  <c r="S557" i="3"/>
  <c r="S545" i="3"/>
  <c r="S541" i="3"/>
  <c r="S525" i="3"/>
  <c r="S517" i="3"/>
  <c r="S503" i="3"/>
  <c r="S487" i="3"/>
  <c r="S471" i="3"/>
  <c r="S407" i="3"/>
  <c r="S599" i="3"/>
  <c r="S595" i="3"/>
  <c r="S591" i="3"/>
  <c r="S587" i="3"/>
  <c r="S583" i="3"/>
  <c r="S579" i="3"/>
  <c r="S575" i="3"/>
  <c r="S571" i="3"/>
  <c r="S567" i="3"/>
  <c r="S563" i="3"/>
  <c r="S559" i="3"/>
  <c r="S555" i="3"/>
  <c r="S551" i="3"/>
  <c r="S547" i="3"/>
  <c r="S543" i="3"/>
  <c r="S539" i="3"/>
  <c r="S535" i="3"/>
  <c r="S531" i="3"/>
  <c r="S527" i="3"/>
  <c r="S523" i="3"/>
  <c r="S519" i="3"/>
  <c r="S515" i="3"/>
  <c r="S511" i="3"/>
  <c r="S506" i="3"/>
  <c r="S500" i="3"/>
  <c r="S495" i="3"/>
  <c r="S490" i="3"/>
  <c r="S484" i="3"/>
  <c r="S479" i="3"/>
  <c r="S474" i="3"/>
  <c r="S467" i="3"/>
  <c r="S459" i="3"/>
  <c r="S451" i="3"/>
  <c r="S443" i="3"/>
  <c r="S435" i="3"/>
  <c r="S427" i="3"/>
  <c r="S419" i="3"/>
  <c r="S411" i="3"/>
  <c r="S403" i="3"/>
  <c r="S395" i="3"/>
  <c r="S387" i="3"/>
  <c r="S375" i="3"/>
  <c r="S359" i="3"/>
  <c r="S343" i="3"/>
  <c r="S327" i="3"/>
  <c r="S311" i="3"/>
  <c r="S295" i="3"/>
  <c r="S279" i="3"/>
  <c r="S263" i="3"/>
  <c r="S247" i="3"/>
  <c r="S231" i="3"/>
  <c r="S215" i="3"/>
  <c r="S199" i="3"/>
  <c r="S183" i="3"/>
  <c r="S167" i="3"/>
  <c r="S151" i="3"/>
  <c r="S135" i="3"/>
  <c r="S119" i="3"/>
  <c r="S103" i="3"/>
  <c r="S87" i="3"/>
  <c r="S71" i="3"/>
  <c r="S55" i="3"/>
  <c r="S39" i="3"/>
  <c r="S23" i="3"/>
  <c r="S7" i="3"/>
  <c r="S382" i="3"/>
  <c r="S378" i="3"/>
  <c r="S374" i="3"/>
  <c r="S370" i="3"/>
  <c r="S366" i="3"/>
  <c r="S362" i="3"/>
  <c r="S358" i="3"/>
  <c r="S354" i="3"/>
  <c r="S350" i="3"/>
  <c r="S346" i="3"/>
  <c r="S342" i="3"/>
  <c r="S338" i="3"/>
  <c r="S334" i="3"/>
  <c r="S330" i="3"/>
  <c r="S326" i="3"/>
  <c r="S322" i="3"/>
  <c r="S318" i="3"/>
  <c r="S314" i="3"/>
  <c r="S310" i="3"/>
  <c r="S306" i="3"/>
  <c r="S302" i="3"/>
  <c r="S298" i="3"/>
  <c r="S294" i="3"/>
  <c r="S290" i="3"/>
  <c r="S286" i="3"/>
  <c r="S282" i="3"/>
  <c r="S278" i="3"/>
  <c r="S274" i="3"/>
  <c r="S270" i="3"/>
  <c r="S266" i="3"/>
  <c r="S262" i="3"/>
  <c r="S258" i="3"/>
  <c r="S254" i="3"/>
  <c r="S250" i="3"/>
  <c r="S246" i="3"/>
  <c r="S242" i="3"/>
  <c r="S238" i="3"/>
  <c r="S234" i="3"/>
  <c r="S230" i="3"/>
  <c r="S226" i="3"/>
  <c r="S222" i="3"/>
  <c r="S218" i="3"/>
  <c r="S214" i="3"/>
  <c r="S210" i="3"/>
  <c r="S206" i="3"/>
  <c r="S202" i="3"/>
  <c r="S198" i="3"/>
  <c r="S194" i="3"/>
  <c r="S190" i="3"/>
  <c r="S186" i="3"/>
  <c r="S182" i="3"/>
  <c r="S178" i="3"/>
  <c r="S174" i="3"/>
  <c r="S170" i="3"/>
  <c r="S166" i="3"/>
  <c r="S162" i="3"/>
  <c r="S158" i="3"/>
  <c r="S154" i="3"/>
  <c r="S150" i="3"/>
  <c r="S146" i="3"/>
  <c r="S142" i="3"/>
  <c r="S138" i="3"/>
  <c r="S134" i="3"/>
  <c r="S130" i="3"/>
  <c r="S126" i="3"/>
  <c r="S122" i="3"/>
  <c r="S118" i="3"/>
  <c r="S114" i="3"/>
  <c r="S110" i="3"/>
  <c r="S106" i="3"/>
  <c r="S102" i="3"/>
  <c r="S98" i="3"/>
  <c r="S94" i="3"/>
  <c r="S90" i="3"/>
  <c r="S86" i="3"/>
  <c r="S82" i="3"/>
  <c r="S78" i="3"/>
  <c r="S74" i="3"/>
  <c r="S70" i="3"/>
  <c r="S66" i="3"/>
  <c r="S62" i="3"/>
  <c r="S58" i="3"/>
  <c r="S54" i="3"/>
  <c r="S50" i="3"/>
  <c r="S46" i="3"/>
  <c r="S42" i="3"/>
  <c r="S38" i="3"/>
  <c r="S34" i="3"/>
  <c r="S30" i="3"/>
  <c r="S26" i="3"/>
  <c r="S22" i="3"/>
  <c r="S18" i="3"/>
  <c r="S14" i="3"/>
  <c r="S10" i="3"/>
  <c r="S6" i="3"/>
  <c r="S509" i="3"/>
  <c r="S505" i="3"/>
  <c r="S501" i="3"/>
  <c r="S497" i="3"/>
  <c r="S493" i="3"/>
  <c r="S489" i="3"/>
  <c r="S485" i="3"/>
  <c r="S481" i="3"/>
  <c r="S477" i="3"/>
  <c r="S473" i="3"/>
  <c r="S469" i="3"/>
  <c r="S465" i="3"/>
  <c r="S461" i="3"/>
  <c r="S457" i="3"/>
  <c r="S453" i="3"/>
  <c r="S449" i="3"/>
  <c r="S445" i="3"/>
  <c r="S441" i="3"/>
  <c r="S437" i="3"/>
  <c r="S433" i="3"/>
  <c r="S429" i="3"/>
  <c r="S425" i="3"/>
  <c r="S421" i="3"/>
  <c r="S417" i="3"/>
  <c r="S413" i="3"/>
  <c r="S409" i="3"/>
  <c r="S405" i="3"/>
  <c r="S401" i="3"/>
  <c r="S397" i="3"/>
  <c r="S393" i="3"/>
  <c r="S389" i="3"/>
  <c r="S385" i="3"/>
  <c r="S381" i="3"/>
  <c r="S377" i="3"/>
  <c r="S373" i="3"/>
  <c r="S369" i="3"/>
  <c r="S365" i="3"/>
  <c r="S361" i="3"/>
  <c r="S357" i="3"/>
  <c r="S353" i="3"/>
  <c r="S349" i="3"/>
  <c r="S345" i="3"/>
  <c r="S341" i="3"/>
  <c r="S337" i="3"/>
  <c r="S333" i="3"/>
  <c r="S329" i="3"/>
  <c r="S325" i="3"/>
  <c r="S321" i="3"/>
  <c r="S317" i="3"/>
  <c r="S313" i="3"/>
  <c r="S309" i="3"/>
  <c r="S305" i="3"/>
  <c r="S301" i="3"/>
  <c r="S297" i="3"/>
  <c r="S293" i="3"/>
  <c r="S289" i="3"/>
  <c r="S285" i="3"/>
  <c r="S281" i="3"/>
  <c r="S277" i="3"/>
  <c r="S273" i="3"/>
  <c r="S269" i="3"/>
  <c r="S265" i="3"/>
  <c r="S261" i="3"/>
  <c r="S257" i="3"/>
  <c r="S253" i="3"/>
  <c r="S249" i="3"/>
  <c r="S245" i="3"/>
  <c r="S241" i="3"/>
  <c r="S237" i="3"/>
  <c r="S233" i="3"/>
  <c r="S229" i="3"/>
  <c r="S225" i="3"/>
  <c r="S221" i="3"/>
  <c r="S217" i="3"/>
  <c r="S213" i="3"/>
  <c r="S209" i="3"/>
  <c r="S205" i="3"/>
  <c r="S201" i="3"/>
  <c r="S197" i="3"/>
  <c r="S193" i="3"/>
  <c r="S189" i="3"/>
  <c r="S185" i="3"/>
  <c r="S181" i="3"/>
  <c r="S177" i="3"/>
  <c r="S173" i="3"/>
  <c r="S169" i="3"/>
  <c r="S165" i="3"/>
  <c r="S161" i="3"/>
  <c r="S157" i="3"/>
  <c r="S153" i="3"/>
  <c r="S149" i="3"/>
  <c r="S145" i="3"/>
  <c r="S141" i="3"/>
  <c r="S137" i="3"/>
  <c r="S133" i="3"/>
  <c r="S129" i="3"/>
  <c r="S125" i="3"/>
  <c r="S121" i="3"/>
  <c r="S117" i="3"/>
  <c r="S113" i="3"/>
  <c r="S109" i="3"/>
  <c r="S105" i="3"/>
  <c r="S101" i="3"/>
  <c r="S97" i="3"/>
  <c r="S93" i="3"/>
  <c r="S89" i="3"/>
  <c r="S85" i="3"/>
  <c r="S81" i="3"/>
  <c r="S77" i="3"/>
  <c r="S73" i="3"/>
  <c r="S69" i="3"/>
  <c r="S65" i="3"/>
  <c r="S61" i="3"/>
  <c r="S57" i="3"/>
  <c r="S53" i="3"/>
  <c r="S49" i="3"/>
  <c r="S45" i="3"/>
  <c r="S41" i="3"/>
  <c r="S37" i="3"/>
  <c r="S33" i="3"/>
  <c r="S29" i="3"/>
  <c r="S25" i="3"/>
  <c r="S21" i="3"/>
  <c r="S17" i="3"/>
  <c r="S13" i="3"/>
  <c r="S9" i="3"/>
  <c r="S5" i="3"/>
  <c r="S468" i="3"/>
  <c r="S464" i="3"/>
  <c r="S460" i="3"/>
  <c r="S456" i="3"/>
  <c r="S452" i="3"/>
  <c r="S448" i="3"/>
  <c r="S444" i="3"/>
  <c r="S440" i="3"/>
  <c r="S436" i="3"/>
  <c r="S432" i="3"/>
  <c r="S428" i="3"/>
  <c r="S424" i="3"/>
  <c r="S420" i="3"/>
  <c r="S416" i="3"/>
  <c r="S412" i="3"/>
  <c r="S408" i="3"/>
  <c r="S404" i="3"/>
  <c r="S400" i="3"/>
  <c r="S396" i="3"/>
  <c r="S392" i="3"/>
  <c r="S388" i="3"/>
  <c r="S384" i="3"/>
  <c r="S380" i="3"/>
  <c r="S376" i="3"/>
  <c r="S372" i="3"/>
  <c r="S368" i="3"/>
  <c r="S364" i="3"/>
  <c r="S360" i="3"/>
  <c r="S356" i="3"/>
  <c r="S352" i="3"/>
  <c r="S348" i="3"/>
  <c r="S344" i="3"/>
  <c r="S340" i="3"/>
  <c r="S336" i="3"/>
  <c r="S332" i="3"/>
  <c r="S328" i="3"/>
  <c r="S324" i="3"/>
  <c r="S320" i="3"/>
  <c r="S316" i="3"/>
  <c r="S312" i="3"/>
  <c r="S308" i="3"/>
  <c r="S304" i="3"/>
  <c r="S300" i="3"/>
  <c r="S296" i="3"/>
  <c r="S292" i="3"/>
  <c r="S288" i="3"/>
  <c r="S284" i="3"/>
  <c r="S280" i="3"/>
  <c r="S276" i="3"/>
  <c r="S272" i="3"/>
  <c r="S268" i="3"/>
  <c r="S264" i="3"/>
  <c r="S260" i="3"/>
  <c r="S256" i="3"/>
  <c r="S252" i="3"/>
  <c r="S248" i="3"/>
  <c r="S244" i="3"/>
  <c r="S240" i="3"/>
  <c r="S236" i="3"/>
  <c r="S232" i="3"/>
  <c r="S228" i="3"/>
  <c r="S224" i="3"/>
  <c r="S220" i="3"/>
  <c r="S216" i="3"/>
  <c r="S212" i="3"/>
  <c r="S208" i="3"/>
  <c r="S204" i="3"/>
  <c r="S200" i="3"/>
  <c r="S196" i="3"/>
  <c r="S192" i="3"/>
  <c r="S188" i="3"/>
  <c r="S184" i="3"/>
  <c r="S180" i="3"/>
  <c r="S176" i="3"/>
  <c r="S172" i="3"/>
  <c r="S168" i="3"/>
  <c r="S164" i="3"/>
  <c r="S160" i="3"/>
  <c r="S156" i="3"/>
  <c r="S152" i="3"/>
  <c r="S148" i="3"/>
  <c r="S144" i="3"/>
  <c r="S140" i="3"/>
  <c r="S136" i="3"/>
  <c r="S132" i="3"/>
  <c r="S128" i="3"/>
  <c r="S124" i="3"/>
  <c r="S120" i="3"/>
  <c r="S116" i="3"/>
  <c r="S112" i="3"/>
  <c r="S108" i="3"/>
  <c r="S104" i="3"/>
  <c r="S100" i="3"/>
  <c r="S96" i="3"/>
  <c r="S92" i="3"/>
  <c r="S88" i="3"/>
  <c r="S84" i="3"/>
  <c r="S80" i="3"/>
  <c r="S76" i="3"/>
  <c r="S72" i="3"/>
  <c r="S68" i="3"/>
  <c r="S64" i="3"/>
  <c r="S60" i="3"/>
  <c r="S56" i="3"/>
  <c r="S52" i="3"/>
  <c r="S48" i="3"/>
  <c r="S44" i="3"/>
  <c r="S40" i="3"/>
  <c r="S36" i="3"/>
  <c r="S32" i="3"/>
  <c r="S28" i="3"/>
  <c r="S24" i="3"/>
  <c r="S20" i="3"/>
  <c r="S16" i="3"/>
  <c r="S12" i="3"/>
  <c r="S8" i="3"/>
  <c r="S4" i="3"/>
  <c r="O7" i="4"/>
  <c r="O11" i="4"/>
  <c r="O19" i="4"/>
  <c r="O22" i="4"/>
  <c r="O38" i="4"/>
  <c r="O42" i="4"/>
  <c r="O5" i="4"/>
  <c r="O9" i="4"/>
  <c r="O13" i="4"/>
  <c r="O17" i="4"/>
  <c r="O21" i="4"/>
  <c r="O25" i="4"/>
  <c r="O29" i="4"/>
  <c r="O33" i="4"/>
  <c r="O37" i="4"/>
  <c r="O41" i="4"/>
  <c r="O45" i="4"/>
  <c r="O49" i="4"/>
  <c r="O53" i="4"/>
  <c r="O57" i="4"/>
  <c r="O61" i="4"/>
  <c r="O65" i="4"/>
  <c r="O69" i="4"/>
  <c r="O73" i="4"/>
  <c r="O77" i="4"/>
  <c r="O81" i="4"/>
  <c r="O85" i="4"/>
  <c r="O89" i="4"/>
  <c r="O93" i="4"/>
  <c r="O97" i="4"/>
  <c r="O101" i="4"/>
  <c r="O105" i="4"/>
  <c r="O109" i="4"/>
  <c r="O113" i="4"/>
  <c r="O117" i="4"/>
  <c r="O121" i="4"/>
  <c r="O125" i="4"/>
  <c r="O129" i="4"/>
  <c r="O133" i="4"/>
  <c r="O137" i="4"/>
  <c r="O141" i="4"/>
  <c r="O145" i="4"/>
  <c r="O149" i="4"/>
  <c r="O150" i="4"/>
  <c r="O158" i="4"/>
  <c r="O166" i="4"/>
  <c r="O174" i="4"/>
  <c r="O182" i="4"/>
  <c r="O23" i="4"/>
  <c r="O10" i="4"/>
  <c r="O14" i="4"/>
  <c r="O30" i="4"/>
  <c r="O4" i="4"/>
  <c r="O8" i="4"/>
  <c r="O12" i="4"/>
  <c r="O16" i="4"/>
  <c r="O20" i="4"/>
  <c r="O24" i="4"/>
  <c r="O28" i="4"/>
  <c r="O32" i="4"/>
  <c r="O36" i="4"/>
  <c r="O40" i="4"/>
  <c r="O44" i="4"/>
  <c r="O48" i="4"/>
  <c r="O52" i="4"/>
  <c r="O56" i="4"/>
  <c r="O60" i="4"/>
  <c r="O64" i="4"/>
  <c r="O68" i="4"/>
  <c r="O72" i="4"/>
  <c r="O76" i="4"/>
  <c r="O80" i="4"/>
  <c r="O84" i="4"/>
  <c r="O88" i="4"/>
  <c r="O92" i="4"/>
  <c r="O96" i="4"/>
  <c r="O100" i="4"/>
  <c r="O104" i="4"/>
  <c r="O108" i="4"/>
  <c r="O112" i="4"/>
  <c r="O116" i="4"/>
  <c r="O120" i="4"/>
  <c r="O124" i="4"/>
  <c r="O128" i="4"/>
  <c r="O132" i="4"/>
  <c r="O136" i="4"/>
  <c r="O140" i="4"/>
  <c r="O144" i="4"/>
  <c r="O148" i="4"/>
  <c r="O157" i="4"/>
  <c r="O165" i="4"/>
  <c r="O173" i="4"/>
  <c r="O181" i="4"/>
  <c r="O27" i="4"/>
  <c r="O31" i="4"/>
  <c r="O35" i="4"/>
  <c r="O39" i="4"/>
  <c r="O43" i="4"/>
  <c r="O47" i="4"/>
  <c r="O51" i="4"/>
  <c r="O55" i="4"/>
  <c r="O59" i="4"/>
  <c r="O63" i="4"/>
  <c r="O67" i="4"/>
  <c r="O71" i="4"/>
  <c r="O75" i="4"/>
  <c r="O79" i="4"/>
  <c r="O83" i="4"/>
  <c r="O87" i="4"/>
  <c r="O91" i="4"/>
  <c r="O95" i="4"/>
  <c r="O99" i="4"/>
  <c r="O103" i="4"/>
  <c r="O107" i="4"/>
  <c r="O111" i="4"/>
  <c r="O115" i="4"/>
  <c r="O119" i="4"/>
  <c r="O123" i="4"/>
  <c r="O127" i="4"/>
  <c r="O131" i="4"/>
  <c r="O135" i="4"/>
  <c r="O139" i="4"/>
  <c r="O143" i="4"/>
  <c r="O147" i="4"/>
  <c r="O154" i="4"/>
  <c r="O162" i="4"/>
  <c r="O170" i="4"/>
  <c r="O178" i="4"/>
  <c r="O186" i="4"/>
  <c r="O15" i="4"/>
  <c r="O6" i="4"/>
  <c r="O18" i="4"/>
  <c r="O26" i="4"/>
  <c r="O34" i="4"/>
  <c r="O46" i="4"/>
  <c r="O50" i="4"/>
  <c r="O54" i="4"/>
  <c r="O58" i="4"/>
  <c r="O62" i="4"/>
  <c r="O66" i="4"/>
  <c r="O70" i="4"/>
  <c r="O74" i="4"/>
  <c r="O78" i="4"/>
  <c r="O82" i="4"/>
  <c r="O86" i="4"/>
  <c r="O90" i="4"/>
  <c r="O94" i="4"/>
  <c r="O98" i="4"/>
  <c r="O102" i="4"/>
  <c r="O106" i="4"/>
  <c r="O110" i="4"/>
  <c r="O114" i="4"/>
  <c r="O118" i="4"/>
  <c r="O122" i="4"/>
  <c r="O126" i="4"/>
  <c r="O130" i="4"/>
  <c r="O134" i="4"/>
  <c r="O138" i="4"/>
  <c r="O142" i="4"/>
  <c r="O146" i="4"/>
  <c r="O153" i="4"/>
  <c r="O161" i="4"/>
  <c r="O169" i="4"/>
  <c r="O177" i="4"/>
  <c r="O185" i="4"/>
  <c r="O152" i="4"/>
  <c r="O156" i="4"/>
  <c r="O160" i="4"/>
  <c r="O164" i="4"/>
  <c r="O168" i="4"/>
  <c r="O172" i="4"/>
  <c r="O176" i="4"/>
  <c r="O180" i="4"/>
  <c r="O184" i="4"/>
  <c r="O188" i="4"/>
  <c r="O192" i="4"/>
  <c r="O196" i="4"/>
  <c r="O200" i="4"/>
  <c r="O204" i="4"/>
  <c r="O208" i="4"/>
  <c r="O212" i="4"/>
  <c r="O216" i="4"/>
  <c r="O220" i="4"/>
  <c r="O224" i="4"/>
  <c r="O228" i="4"/>
  <c r="O232" i="4"/>
  <c r="O236" i="4"/>
  <c r="O240" i="4"/>
  <c r="O244" i="4"/>
  <c r="O248" i="4"/>
  <c r="O252" i="4"/>
  <c r="O256" i="4"/>
  <c r="O260" i="4"/>
  <c r="O264" i="4"/>
  <c r="O268" i="4"/>
  <c r="O272" i="4"/>
  <c r="O274" i="4"/>
  <c r="O282" i="4"/>
  <c r="O290" i="4"/>
  <c r="O298" i="4"/>
  <c r="O306" i="4"/>
  <c r="O314" i="4"/>
  <c r="O151" i="4"/>
  <c r="O155" i="4"/>
  <c r="O159" i="4"/>
  <c r="O163" i="4"/>
  <c r="O167" i="4"/>
  <c r="O171" i="4"/>
  <c r="O175" i="4"/>
  <c r="O179" i="4"/>
  <c r="O183" i="4"/>
  <c r="O187" i="4"/>
  <c r="O191" i="4"/>
  <c r="O195" i="4"/>
  <c r="O199" i="4"/>
  <c r="O203" i="4"/>
  <c r="O207" i="4"/>
  <c r="O211" i="4"/>
  <c r="O215" i="4"/>
  <c r="O219" i="4"/>
  <c r="O223" i="4"/>
  <c r="O227" i="4"/>
  <c r="O231" i="4"/>
  <c r="O235" i="4"/>
  <c r="O239" i="4"/>
  <c r="O243" i="4"/>
  <c r="O247" i="4"/>
  <c r="O251" i="4"/>
  <c r="O255" i="4"/>
  <c r="O259" i="4"/>
  <c r="O263" i="4"/>
  <c r="O267" i="4"/>
  <c r="O271" i="4"/>
  <c r="O281" i="4"/>
  <c r="O289" i="4"/>
  <c r="O297" i="4"/>
  <c r="O305" i="4"/>
  <c r="O313" i="4"/>
  <c r="O190" i="4"/>
  <c r="O194" i="4"/>
  <c r="O198" i="4"/>
  <c r="O202" i="4"/>
  <c r="O206" i="4"/>
  <c r="O210" i="4"/>
  <c r="O214" i="4"/>
  <c r="O218" i="4"/>
  <c r="O222" i="4"/>
  <c r="O226" i="4"/>
  <c r="O230" i="4"/>
  <c r="O234" i="4"/>
  <c r="O238" i="4"/>
  <c r="O242" i="4"/>
  <c r="O246" i="4"/>
  <c r="O250" i="4"/>
  <c r="O254" i="4"/>
  <c r="O258" i="4"/>
  <c r="O262" i="4"/>
  <c r="O266" i="4"/>
  <c r="O270" i="4"/>
  <c r="O278" i="4"/>
  <c r="O286" i="4"/>
  <c r="O294" i="4"/>
  <c r="O302" i="4"/>
  <c r="O310" i="4"/>
  <c r="O189" i="4"/>
  <c r="O193" i="4"/>
  <c r="O197" i="4"/>
  <c r="O201" i="4"/>
  <c r="O205" i="4"/>
  <c r="O209" i="4"/>
  <c r="O213" i="4"/>
  <c r="O217" i="4"/>
  <c r="O221" i="4"/>
  <c r="O225" i="4"/>
  <c r="O229" i="4"/>
  <c r="O233" i="4"/>
  <c r="O237" i="4"/>
  <c r="O241" i="4"/>
  <c r="O245" i="4"/>
  <c r="O249" i="4"/>
  <c r="O253" i="4"/>
  <c r="O257" i="4"/>
  <c r="O261" i="4"/>
  <c r="O265" i="4"/>
  <c r="O269" i="4"/>
  <c r="O273" i="4"/>
  <c r="O277" i="4"/>
  <c r="O285" i="4"/>
  <c r="O293" i="4"/>
  <c r="O301" i="4"/>
  <c r="O309" i="4"/>
  <c r="O317" i="4"/>
  <c r="O276" i="4"/>
  <c r="O280" i="4"/>
  <c r="O284" i="4"/>
  <c r="O288" i="4"/>
  <c r="O292" i="4"/>
  <c r="O296" i="4"/>
  <c r="O300" i="4"/>
  <c r="O304" i="4"/>
  <c r="O308" i="4"/>
  <c r="O312" i="4"/>
  <c r="O316" i="4"/>
  <c r="O320" i="4"/>
  <c r="O324" i="4"/>
  <c r="O328" i="4"/>
  <c r="O332" i="4"/>
  <c r="O336" i="4"/>
  <c r="O340" i="4"/>
  <c r="O344" i="4"/>
  <c r="O348" i="4"/>
  <c r="O352" i="4"/>
  <c r="O356" i="4"/>
  <c r="O360" i="4"/>
  <c r="O364" i="4"/>
  <c r="O368" i="4"/>
  <c r="O372" i="4"/>
  <c r="O376" i="4"/>
  <c r="O380" i="4"/>
  <c r="O384" i="4"/>
  <c r="O388" i="4"/>
  <c r="O392" i="4"/>
  <c r="O396" i="4"/>
  <c r="O400" i="4"/>
  <c r="O408" i="4"/>
  <c r="O416" i="4"/>
  <c r="O424" i="4"/>
  <c r="O432" i="4"/>
  <c r="O440" i="4"/>
  <c r="O275" i="4"/>
  <c r="O279" i="4"/>
  <c r="O283" i="4"/>
  <c r="O287" i="4"/>
  <c r="O291" i="4"/>
  <c r="O295" i="4"/>
  <c r="O299" i="4"/>
  <c r="O303" i="4"/>
  <c r="O307" i="4"/>
  <c r="O311" i="4"/>
  <c r="O315" i="4"/>
  <c r="O319" i="4"/>
  <c r="O323" i="4"/>
  <c r="O327" i="4"/>
  <c r="O331" i="4"/>
  <c r="O335" i="4"/>
  <c r="O339" i="4"/>
  <c r="O343" i="4"/>
  <c r="O347" i="4"/>
  <c r="O351" i="4"/>
  <c r="O355" i="4"/>
  <c r="O359" i="4"/>
  <c r="O363" i="4"/>
  <c r="O367" i="4"/>
  <c r="O371" i="4"/>
  <c r="O375" i="4"/>
  <c r="O379" i="4"/>
  <c r="O383" i="4"/>
  <c r="O387" i="4"/>
  <c r="O391" i="4"/>
  <c r="O395" i="4"/>
  <c r="O399" i="4"/>
  <c r="O407" i="4"/>
  <c r="O415" i="4"/>
  <c r="O423" i="4"/>
  <c r="O431" i="4"/>
  <c r="O439" i="4"/>
  <c r="O318" i="4"/>
  <c r="O322" i="4"/>
  <c r="O326" i="4"/>
  <c r="O330" i="4"/>
  <c r="O334" i="4"/>
  <c r="O338" i="4"/>
  <c r="O342" i="4"/>
  <c r="O346" i="4"/>
  <c r="O350" i="4"/>
  <c r="O354" i="4"/>
  <c r="O358" i="4"/>
  <c r="O362" i="4"/>
  <c r="O366" i="4"/>
  <c r="O370" i="4"/>
  <c r="O374" i="4"/>
  <c r="O378" i="4"/>
  <c r="O382" i="4"/>
  <c r="O386" i="4"/>
  <c r="O390" i="4"/>
  <c r="O394" i="4"/>
  <c r="O404" i="4"/>
  <c r="O412" i="4"/>
  <c r="O420" i="4"/>
  <c r="O428" i="4"/>
  <c r="O436" i="4"/>
  <c r="O321" i="4"/>
  <c r="O325" i="4"/>
  <c r="O329" i="4"/>
  <c r="O333" i="4"/>
  <c r="O337" i="4"/>
  <c r="O341" i="4"/>
  <c r="O345" i="4"/>
  <c r="O349" i="4"/>
  <c r="O353" i="4"/>
  <c r="O357" i="4"/>
  <c r="O361" i="4"/>
  <c r="O365" i="4"/>
  <c r="O369" i="4"/>
  <c r="O373" i="4"/>
  <c r="O377" i="4"/>
  <c r="O381" i="4"/>
  <c r="O385" i="4"/>
  <c r="O389" i="4"/>
  <c r="O393" i="4"/>
  <c r="O397" i="4"/>
  <c r="O403" i="4"/>
  <c r="O411" i="4"/>
  <c r="O419" i="4"/>
  <c r="O427" i="4"/>
  <c r="O435" i="4"/>
  <c r="O398" i="4"/>
  <c r="O402" i="4"/>
  <c r="O406" i="4"/>
  <c r="O410" i="4"/>
  <c r="O414" i="4"/>
  <c r="O418" i="4"/>
  <c r="O422" i="4"/>
  <c r="O426" i="4"/>
  <c r="O430" i="4"/>
  <c r="O434" i="4"/>
  <c r="O438" i="4"/>
  <c r="O442" i="4"/>
  <c r="O445" i="4"/>
  <c r="O453" i="4"/>
  <c r="O461" i="4"/>
  <c r="O469" i="4"/>
  <c r="O477" i="4"/>
  <c r="O485" i="4"/>
  <c r="O493" i="4"/>
  <c r="O401" i="4"/>
  <c r="O405" i="4"/>
  <c r="O409" i="4"/>
  <c r="O413" i="4"/>
  <c r="O417" i="4"/>
  <c r="O421" i="4"/>
  <c r="O425" i="4"/>
  <c r="O429" i="4"/>
  <c r="O433" i="4"/>
  <c r="O437" i="4"/>
  <c r="O441" i="4"/>
  <c r="O443" i="4"/>
  <c r="O451" i="4"/>
  <c r="O459" i="4"/>
  <c r="O467" i="4"/>
  <c r="O475" i="4"/>
  <c r="O483" i="4"/>
  <c r="O491" i="4"/>
  <c r="O449" i="4"/>
  <c r="O457" i="4"/>
  <c r="O465" i="4"/>
  <c r="O473" i="4"/>
  <c r="O481" i="4"/>
  <c r="O489" i="4"/>
  <c r="O495" i="4"/>
  <c r="O499" i="4"/>
  <c r="O447" i="4"/>
  <c r="O455" i="4"/>
  <c r="O463" i="4"/>
  <c r="O471" i="4"/>
  <c r="O479" i="4"/>
  <c r="O487" i="4"/>
  <c r="O444" i="4"/>
  <c r="O448" i="4"/>
  <c r="O452" i="4"/>
  <c r="O456" i="4"/>
  <c r="O460" i="4"/>
  <c r="O464" i="4"/>
  <c r="O468" i="4"/>
  <c r="O472" i="4"/>
  <c r="O476" i="4"/>
  <c r="O480" i="4"/>
  <c r="O484" i="4"/>
  <c r="O488" i="4"/>
  <c r="O492" i="4"/>
  <c r="O496" i="4"/>
  <c r="O497" i="4"/>
  <c r="O505" i="4"/>
  <c r="O513" i="4"/>
  <c r="O521" i="4"/>
  <c r="O529" i="4"/>
  <c r="O537" i="4"/>
  <c r="O503" i="4"/>
  <c r="O511" i="4"/>
  <c r="O519" i="4"/>
  <c r="O527" i="4"/>
  <c r="O533" i="4"/>
  <c r="O446" i="4"/>
  <c r="O450" i="4"/>
  <c r="O454" i="4"/>
  <c r="O458" i="4"/>
  <c r="O462" i="4"/>
  <c r="O466" i="4"/>
  <c r="O470" i="4"/>
  <c r="O474" i="4"/>
  <c r="O478" i="4"/>
  <c r="O482" i="4"/>
  <c r="O486" i="4"/>
  <c r="O490" i="4"/>
  <c r="O501" i="4"/>
  <c r="O509" i="4"/>
  <c r="O517" i="4"/>
  <c r="O525" i="4"/>
  <c r="O507" i="4"/>
  <c r="O515" i="4"/>
  <c r="O523" i="4"/>
  <c r="O541" i="4"/>
  <c r="O500" i="4"/>
  <c r="O504" i="4"/>
  <c r="O508" i="4"/>
  <c r="O512" i="4"/>
  <c r="O516" i="4"/>
  <c r="O520" i="4"/>
  <c r="O524" i="4"/>
  <c r="O528" i="4"/>
  <c r="O534" i="4"/>
  <c r="O542" i="4"/>
  <c r="O550" i="4"/>
  <c r="O558" i="4"/>
  <c r="O566" i="4"/>
  <c r="O574" i="4"/>
  <c r="O582" i="4"/>
  <c r="O590" i="4"/>
  <c r="O598" i="4"/>
  <c r="O549" i="4"/>
  <c r="O557" i="4"/>
  <c r="O565" i="4"/>
  <c r="O573" i="4"/>
  <c r="O581" i="4"/>
  <c r="O589" i="4"/>
  <c r="O597" i="4"/>
  <c r="O494" i="4"/>
  <c r="O498" i="4"/>
  <c r="O502" i="4"/>
  <c r="O506" i="4"/>
  <c r="O510" i="4"/>
  <c r="O514" i="4"/>
  <c r="O518" i="4"/>
  <c r="O522" i="4"/>
  <c r="O526" i="4"/>
  <c r="O530" i="4"/>
  <c r="O538" i="4"/>
  <c r="O546" i="4"/>
  <c r="O554" i="4"/>
  <c r="O562" i="4"/>
  <c r="O570" i="4"/>
  <c r="O578" i="4"/>
  <c r="O586" i="4"/>
  <c r="O594" i="4"/>
  <c r="O545" i="4"/>
  <c r="O553" i="4"/>
  <c r="O561" i="4"/>
  <c r="O569" i="4"/>
  <c r="O577" i="4"/>
  <c r="O585" i="4"/>
  <c r="O593" i="4"/>
  <c r="O602" i="4"/>
  <c r="O532" i="4"/>
  <c r="O536" i="4"/>
  <c r="O540" i="4"/>
  <c r="O544" i="4"/>
  <c r="O548" i="4"/>
  <c r="O552" i="4"/>
  <c r="O556" i="4"/>
  <c r="O560" i="4"/>
  <c r="O564" i="4"/>
  <c r="O568" i="4"/>
  <c r="O572" i="4"/>
  <c r="O576" i="4"/>
  <c r="O580" i="4"/>
  <c r="O584" i="4"/>
  <c r="O588" i="4"/>
  <c r="O592" i="4"/>
  <c r="O596" i="4"/>
  <c r="O601" i="4"/>
  <c r="O531" i="4"/>
  <c r="O535" i="4"/>
  <c r="O539" i="4"/>
  <c r="O543" i="4"/>
  <c r="O547" i="4"/>
  <c r="O551" i="4"/>
  <c r="O555" i="4"/>
  <c r="O559" i="4"/>
  <c r="O563" i="4"/>
  <c r="O567" i="4"/>
  <c r="O571" i="4"/>
  <c r="O575" i="4"/>
  <c r="O579" i="4"/>
  <c r="O583" i="4"/>
  <c r="O587" i="4"/>
  <c r="O591" i="4"/>
  <c r="O595" i="4"/>
  <c r="O599" i="4"/>
  <c r="O600" i="4"/>
  <c r="X603" i="4" l="1"/>
  <c r="W603" i="4"/>
  <c r="P603" i="4"/>
  <c r="U603" i="4"/>
  <c r="T603" i="4"/>
  <c r="R603" i="4"/>
  <c r="P603" i="3"/>
  <c r="O603" i="3"/>
  <c r="U603" i="3"/>
  <c r="R603" i="3"/>
  <c r="S603" i="3"/>
  <c r="V603" i="3"/>
  <c r="Q603" i="4"/>
  <c r="O603" i="4"/>
  <c r="X604" i="4"/>
  <c r="P604" i="3"/>
  <c r="O604" i="3"/>
  <c r="W604" i="4"/>
  <c r="U604" i="4"/>
  <c r="T604" i="4"/>
  <c r="U604" i="3"/>
  <c r="R604" i="3"/>
  <c r="S604" i="3"/>
  <c r="V604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A82B592-8143-4161-8931-54615BE5FC45}" keepAlive="1" name="Query - VincentysDirect" description="Connection to the 'VincentysDirect' query in the workbook." type="5" refreshedVersion="6" background="1" saveData="1">
    <dbPr connection="Provider=Microsoft.Mashup.OleDb.1;Data Source=$Workbook$;Location=VincentysDirect;Extended Properties=&quot;&quot;" command="SELECT * FROM [VincentysDirect]"/>
  </connection>
  <connection id="2" xr16:uid="{A16CCBD9-5DAF-4F3B-ABD6-811D3D4C899A}" keepAlive="1" name="Query - VincentysInverse" description="Connection to the 'VincentysInverse' query in the workbook." type="5" refreshedVersion="6" background="1" saveData="1">
    <dbPr connection="Provider=Microsoft.Mashup.OleDb.1;Data Source=$Workbook$;Location=VincentysInverse;Extended Properties=&quot;&quot;" command="SELECT * FROM [VincentysInverse]"/>
  </connection>
</connections>
</file>

<file path=xl/sharedStrings.xml><?xml version="1.0" encoding="utf-8"?>
<sst xmlns="http://schemas.openxmlformats.org/spreadsheetml/2006/main" count="98" uniqueCount="69">
  <si>
    <t>Lat1</t>
  </si>
  <si>
    <t>Lon1</t>
  </si>
  <si>
    <t>Distance</t>
  </si>
  <si>
    <t>Latitude</t>
  </si>
  <si>
    <t>Longitude</t>
  </si>
  <si>
    <t>Lat2</t>
  </si>
  <si>
    <t>Lon2</t>
  </si>
  <si>
    <t>Azimuth</t>
  </si>
  <si>
    <t>revAzimuth</t>
  </si>
  <si>
    <t>Input data</t>
  </si>
  <si>
    <r>
      <t xml:space="preserve">Max </t>
    </r>
    <r>
      <rPr>
        <b/>
        <sz val="11"/>
        <color indexed="8"/>
        <rFont val="Calibri"/>
        <family val="2"/>
      </rPr>
      <t>Δ:</t>
    </r>
  </si>
  <si>
    <t>Validation results - maximum deviation</t>
  </si>
  <si>
    <t>point1</t>
  </si>
  <si>
    <t>lat1</t>
  </si>
  <si>
    <t>lon1</t>
  </si>
  <si>
    <t>point2</t>
  </si>
  <si>
    <t>lat2</t>
  </si>
  <si>
    <t>lon2</t>
  </si>
  <si>
    <t>ell_dist</t>
  </si>
  <si>
    <t>azimuth1to2</t>
  </si>
  <si>
    <t>azimuth2to1</t>
  </si>
  <si>
    <t>point 1 id</t>
  </si>
  <si>
    <t xml:space="preserve"> latitude 1</t>
  </si>
  <si>
    <t xml:space="preserve"> longitude 1</t>
  </si>
  <si>
    <t xml:space="preserve"> azimuth1to2</t>
  </si>
  <si>
    <t xml:space="preserve"> ellipsoidal distance</t>
  </si>
  <si>
    <t xml:space="preserve"> point id 2</t>
  </si>
  <si>
    <t xml:space="preserve"> point 2 id</t>
  </si>
  <si>
    <t xml:space="preserve"> latitude 2</t>
  </si>
  <si>
    <t xml:space="preserve"> longitude 2</t>
  </si>
  <si>
    <r>
      <t xml:space="preserve">Latitude GA </t>
    </r>
    <r>
      <rPr>
        <b/>
        <sz val="11"/>
        <color indexed="8"/>
        <rFont val="Calibri"/>
        <family val="2"/>
      </rPr>
      <t>Δ</t>
    </r>
  </si>
  <si>
    <t>Longitude GA Δ</t>
  </si>
  <si>
    <t>Longitude GL Δ</t>
  </si>
  <si>
    <r>
      <t xml:space="preserve">Latitude GL </t>
    </r>
    <r>
      <rPr>
        <b/>
        <sz val="11"/>
        <color indexed="8"/>
        <rFont val="Calibri"/>
        <family val="2"/>
      </rPr>
      <t>Δ</t>
    </r>
  </si>
  <si>
    <t>Geoscience Australia (GA) results</t>
  </si>
  <si>
    <t>GeodSolve Library (GL) results</t>
  </si>
  <si>
    <t>revAzimuth GA Δ</t>
  </si>
  <si>
    <t>Calculated Latitude</t>
  </si>
  <si>
    <t>Calculated Longitude</t>
  </si>
  <si>
    <t>Calculated Results And Comparison</t>
  </si>
  <si>
    <t>RevAzimuth</t>
  </si>
  <si>
    <t>Norm. RevAzimuth</t>
  </si>
  <si>
    <t>Norm. Longitude</t>
  </si>
  <si>
    <t>Geoscience Australia (GA) - normalized results</t>
  </si>
  <si>
    <t>FwdAzimuth</t>
  </si>
  <si>
    <t>Calculated Distance</t>
  </si>
  <si>
    <t>Calculated FwdAzimuth</t>
  </si>
  <si>
    <t>Distance GA Δ</t>
  </si>
  <si>
    <r>
      <t xml:space="preserve">Distance GL </t>
    </r>
    <r>
      <rPr>
        <b/>
        <sz val="11"/>
        <color indexed="8"/>
        <rFont val="Calibri"/>
        <family val="2"/>
      </rPr>
      <t>Δ</t>
    </r>
  </si>
  <si>
    <t>FwdAzimuth GA Δ</t>
  </si>
  <si>
    <t>FwdAzimuth GL Δ</t>
  </si>
  <si>
    <t>Calculated RevAzimuth</t>
  </si>
  <si>
    <t>RevAzimuth GA Δ</t>
  </si>
  <si>
    <t>RevAzimuth GL Δ</t>
  </si>
  <si>
    <t>Norm FwdAzimuth</t>
  </si>
  <si>
    <t>Norm RevAzimuth</t>
  </si>
  <si>
    <t>calculated RevAzimuth</t>
  </si>
  <si>
    <t>Distance [m]</t>
  </si>
  <si>
    <t>GeodSolve Library (GL)</t>
  </si>
  <si>
    <t>Geoscience Australia (GA)</t>
  </si>
  <si>
    <t>Comparison results are based on:</t>
  </si>
  <si>
    <t>2. Geoscience Australia website batch processing results obtained on 2020-09-05 (https://geodesyapps.ga.gov.au)</t>
  </si>
  <si>
    <t>VincentyInvDistance [mm]</t>
  </si>
  <si>
    <t>VincentyDirLat [degrees]</t>
  </si>
  <si>
    <t>VincentyDirLon [degees]</t>
  </si>
  <si>
    <t>VincentyDirRevAzimuth [degrees]</t>
  </si>
  <si>
    <t>VincentyInvFwdAzimuth [degrees]</t>
  </si>
  <si>
    <t>VincentyInvRevAzimuth [degrees]</t>
  </si>
  <si>
    <t>1. GeodSolve Library by Charls Karney ver. 1.49 (https://geographiclib.sourceforge.io/html)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</si>
</sst>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"/>
    <numFmt numFmtId="165" formatCode="0.00000%"/>
    <numFmt numFmtId="166" formatCode="0.00000"/>
    <numFmt numFmtId="167" formatCode="0.0000"/>
    <numFmt numFmtId="168" formatCode="0.00000000"/>
  </numFmts>
  <fonts count="4" x14ac:knownFonts="1">
    <font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2" tint="-9.9978637043366805E-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37">
    <xf numFmtId="0" fontId="0" fillId="0" borderId="0" xfId="0"/>
    <xf numFmtId="0" fontId="3" fillId="0" borderId="0" xfId="0" applyFont="1"/>
    <xf numFmtId="165" fontId="2" fillId="2" borderId="0" xfId="1" applyNumberFormat="1" applyFont="1" applyFill="1"/>
    <xf numFmtId="166" fontId="0" fillId="2" borderId="0" xfId="0" applyNumberFormat="1" applyFill="1"/>
    <xf numFmtId="0" fontId="0" fillId="4" borderId="0" xfId="0" applyFill="1"/>
    <xf numFmtId="165" fontId="3" fillId="0" borderId="0" xfId="0" applyNumberFormat="1" applyFont="1"/>
    <xf numFmtId="0" fontId="3" fillId="0" borderId="0" xfId="0" applyFont="1" applyAlignment="1">
      <alignment horizontal="right"/>
    </xf>
    <xf numFmtId="0" fontId="3" fillId="0" borderId="0" xfId="0" quotePrefix="1" applyFont="1"/>
    <xf numFmtId="0" fontId="3" fillId="4" borderId="0" xfId="0" applyFont="1" applyFill="1"/>
    <xf numFmtId="0" fontId="0" fillId="5" borderId="2" xfId="0" applyFont="1" applyFill="1" applyBorder="1"/>
    <xf numFmtId="0" fontId="0" fillId="5" borderId="3" xfId="0" applyFont="1" applyFill="1" applyBorder="1"/>
    <xf numFmtId="0" fontId="0" fillId="2" borderId="2" xfId="0" applyFont="1" applyFill="1" applyBorder="1"/>
    <xf numFmtId="0" fontId="0" fillId="2" borderId="3" xfId="0" applyFont="1" applyFill="1" applyBorder="1"/>
    <xf numFmtId="0" fontId="0" fillId="3" borderId="0" xfId="0" applyFill="1"/>
    <xf numFmtId="165" fontId="2" fillId="3" borderId="0" xfId="1" applyNumberFormat="1" applyFont="1" applyFill="1"/>
    <xf numFmtId="166" fontId="2" fillId="0" borderId="0" xfId="1" applyNumberFormat="1" applyFont="1" applyFill="1"/>
    <xf numFmtId="166" fontId="0" fillId="0" borderId="0" xfId="0" applyNumberFormat="1" applyFill="1"/>
    <xf numFmtId="164" fontId="0" fillId="0" borderId="0" xfId="0" applyNumberFormat="1" applyFill="1"/>
    <xf numFmtId="166" fontId="0" fillId="2" borderId="0" xfId="0" applyNumberFormat="1" applyFont="1" applyFill="1"/>
    <xf numFmtId="167" fontId="2" fillId="2" borderId="0" xfId="1" applyNumberFormat="1" applyFont="1" applyFill="1"/>
    <xf numFmtId="168" fontId="3" fillId="0" borderId="0" xfId="0" applyNumberFormat="1" applyFont="1"/>
    <xf numFmtId="166" fontId="3" fillId="0" borderId="0" xfId="1" applyNumberFormat="1" applyFont="1" applyFill="1"/>
    <xf numFmtId="168" fontId="2" fillId="2" borderId="0" xfId="1" applyNumberFormat="1" applyFont="1" applyFill="1"/>
    <xf numFmtId="168" fontId="2" fillId="3" borderId="0" xfId="1" applyNumberFormat="1" applyFont="1" applyFill="1"/>
    <xf numFmtId="167" fontId="2" fillId="3" borderId="0" xfId="1" applyNumberFormat="1" applyFont="1" applyFill="1"/>
    <xf numFmtId="167" fontId="3" fillId="0" borderId="0" xfId="0" applyNumberFormat="1" applyFont="1"/>
    <xf numFmtId="168" fontId="3" fillId="0" borderId="0" xfId="1" applyNumberFormat="1" applyFont="1" applyFill="1" applyAlignment="1">
      <alignment horizontal="right"/>
    </xf>
    <xf numFmtId="11" fontId="0" fillId="0" borderId="0" xfId="0" applyNumberFormat="1"/>
    <xf numFmtId="166" fontId="0" fillId="0" borderId="0" xfId="0" applyNumberFormat="1" applyAlignment="1">
      <alignment horizontal="right"/>
    </xf>
    <xf numFmtId="0" fontId="3" fillId="0" borderId="1" xfId="0" applyFont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3" fillId="6" borderId="7" xfId="0" applyFont="1" applyFill="1" applyBorder="1" applyAlignment="1">
      <alignment horizontal="center"/>
    </xf>
    <xf numFmtId="0" fontId="3" fillId="6" borderId="0" xfId="0" applyFont="1" applyFill="1" applyBorder="1" applyAlignment="1">
      <alignment horizontal="center"/>
    </xf>
    <xf numFmtId="0" fontId="3" fillId="6" borderId="8" xfId="0" applyFont="1" applyFill="1" applyBorder="1" applyAlignment="1">
      <alignment horizontal="center"/>
    </xf>
    <xf numFmtId="0" fontId="3" fillId="3" borderId="4" xfId="0" applyFont="1" applyFill="1" applyBorder="1" applyAlignment="1">
      <alignment horizontal="center"/>
    </xf>
    <xf numFmtId="0" fontId="3" fillId="3" borderId="5" xfId="0" applyFont="1" applyFill="1" applyBorder="1" applyAlignment="1">
      <alignment horizontal="center"/>
    </xf>
    <xf numFmtId="0" fontId="3" fillId="3" borderId="6" xfId="0" applyFont="1" applyFill="1" applyBorder="1" applyAlignment="1">
      <alignment horizontal="center"/>
    </xf>
  </cellXfs>
  <cellStyles count="2">
    <cellStyle name="Normal" xfId="0" builtinId="0"/>
    <cellStyle name="Percent" xfId="1" builtinId="5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Inverse Results Comparison - Distance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Inverse!$P$2</c:f>
              <c:strCache>
                <c:ptCount val="1"/>
                <c:pt idx="0">
                  <c:v>Distance GL Δ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Inverse!$N$3:$N$602</c:f>
              <c:numCache>
                <c:formatCode>0.000</c:formatCode>
                <c:ptCount val="600"/>
                <c:pt idx="0">
                  <c:v>7288125.6963858316</c:v>
                </c:pt>
                <c:pt idx="1">
                  <c:v>8926024.1224245112</c:v>
                </c:pt>
                <c:pt idx="2">
                  <c:v>17441757.002850156</c:v>
                </c:pt>
                <c:pt idx="3">
                  <c:v>1696868.6811977762</c:v>
                </c:pt>
                <c:pt idx="4">
                  <c:v>15866490.842496967</c:v>
                </c:pt>
                <c:pt idx="5">
                  <c:v>2329780.6717621377</c:v>
                </c:pt>
                <c:pt idx="6">
                  <c:v>8171429.8378450526</c:v>
                </c:pt>
                <c:pt idx="7">
                  <c:v>18591406.404547203</c:v>
                </c:pt>
                <c:pt idx="8">
                  <c:v>18352200.13564178</c:v>
                </c:pt>
                <c:pt idx="9">
                  <c:v>13013464.102549139</c:v>
                </c:pt>
                <c:pt idx="10">
                  <c:v>9843902.6371369381</c:v>
                </c:pt>
                <c:pt idx="11">
                  <c:v>14144633.179986298</c:v>
                </c:pt>
                <c:pt idx="12">
                  <c:v>11126939.108720006</c:v>
                </c:pt>
                <c:pt idx="13">
                  <c:v>8628113.1866227742</c:v>
                </c:pt>
                <c:pt idx="14">
                  <c:v>15078802.086415969</c:v>
                </c:pt>
                <c:pt idx="15">
                  <c:v>10848297.534494171</c:v>
                </c:pt>
                <c:pt idx="16">
                  <c:v>2068921.0111408576</c:v>
                </c:pt>
                <c:pt idx="17">
                  <c:v>13329277.575401368</c:v>
                </c:pt>
                <c:pt idx="18">
                  <c:v>10971195.910463449</c:v>
                </c:pt>
                <c:pt idx="19">
                  <c:v>6990777.0187217705</c:v>
                </c:pt>
                <c:pt idx="20">
                  <c:v>13278834.887680421</c:v>
                </c:pt>
                <c:pt idx="21">
                  <c:v>16293897.990389509</c:v>
                </c:pt>
                <c:pt idx="22">
                  <c:v>11321064.524744052</c:v>
                </c:pt>
                <c:pt idx="23">
                  <c:v>13912911.091220979</c:v>
                </c:pt>
                <c:pt idx="24">
                  <c:v>8079548.1933386493</c:v>
                </c:pt>
                <c:pt idx="25">
                  <c:v>13124386.15754142</c:v>
                </c:pt>
                <c:pt idx="26">
                  <c:v>7776083.7752931975</c:v>
                </c:pt>
                <c:pt idx="27">
                  <c:v>9368637.2487671636</c:v>
                </c:pt>
                <c:pt idx="28">
                  <c:v>6014625.4718837198</c:v>
                </c:pt>
                <c:pt idx="29">
                  <c:v>7044804.2746306788</c:v>
                </c:pt>
                <c:pt idx="30">
                  <c:v>2284594.0220601563</c:v>
                </c:pt>
                <c:pt idx="31">
                  <c:v>2954440.6790760066</c:v>
                </c:pt>
                <c:pt idx="32">
                  <c:v>9276811.5910762642</c:v>
                </c:pt>
                <c:pt idx="33">
                  <c:v>18654328.232049946</c:v>
                </c:pt>
                <c:pt idx="34">
                  <c:v>16831309.185747702</c:v>
                </c:pt>
                <c:pt idx="35">
                  <c:v>7278952.7179807257</c:v>
                </c:pt>
                <c:pt idx="36">
                  <c:v>12060516.677621422</c:v>
                </c:pt>
                <c:pt idx="37">
                  <c:v>2966149.701055496</c:v>
                </c:pt>
                <c:pt idx="38">
                  <c:v>12533853.74110496</c:v>
                </c:pt>
                <c:pt idx="39">
                  <c:v>2549123.5147279091</c:v>
                </c:pt>
                <c:pt idx="40">
                  <c:v>12271081.064307384</c:v>
                </c:pt>
                <c:pt idx="41">
                  <c:v>591727.50880290929</c:v>
                </c:pt>
                <c:pt idx="42">
                  <c:v>14851083.606159996</c:v>
                </c:pt>
                <c:pt idx="43">
                  <c:v>10074604.479454651</c:v>
                </c:pt>
                <c:pt idx="44">
                  <c:v>8754736.1896608267</c:v>
                </c:pt>
                <c:pt idx="45">
                  <c:v>8605721.7855929863</c:v>
                </c:pt>
                <c:pt idx="46">
                  <c:v>1295718.6771788264</c:v>
                </c:pt>
                <c:pt idx="47">
                  <c:v>17177097.930895045</c:v>
                </c:pt>
                <c:pt idx="48">
                  <c:v>9805356.254032582</c:v>
                </c:pt>
                <c:pt idx="49">
                  <c:v>3435870.1126214182</c:v>
                </c:pt>
                <c:pt idx="50">
                  <c:v>9964216.6492618695</c:v>
                </c:pt>
                <c:pt idx="51">
                  <c:v>5384030.2016799124</c:v>
                </c:pt>
                <c:pt idx="52">
                  <c:v>6179877.6031648442</c:v>
                </c:pt>
                <c:pt idx="53">
                  <c:v>6233671.1722633103</c:v>
                </c:pt>
                <c:pt idx="54">
                  <c:v>3527724.8938039802</c:v>
                </c:pt>
                <c:pt idx="55">
                  <c:v>8818419.3637236543</c:v>
                </c:pt>
                <c:pt idx="56">
                  <c:v>16552270.061897544</c:v>
                </c:pt>
                <c:pt idx="57">
                  <c:v>6949214.2646111874</c:v>
                </c:pt>
                <c:pt idx="58">
                  <c:v>16197045.795054168</c:v>
                </c:pt>
                <c:pt idx="59">
                  <c:v>16726146.300163798</c:v>
                </c:pt>
                <c:pt idx="60">
                  <c:v>11673348.671239186</c:v>
                </c:pt>
                <c:pt idx="61">
                  <c:v>12028828.323664518</c:v>
                </c:pt>
                <c:pt idx="62">
                  <c:v>14339963.471979573</c:v>
                </c:pt>
                <c:pt idx="63">
                  <c:v>4818719.410231459</c:v>
                </c:pt>
                <c:pt idx="64">
                  <c:v>7633895.7516718889</c:v>
                </c:pt>
                <c:pt idx="65">
                  <c:v>7097483.6343833497</c:v>
                </c:pt>
                <c:pt idx="66">
                  <c:v>13364872.899534322</c:v>
                </c:pt>
                <c:pt idx="67">
                  <c:v>7924499.6141683413</c:v>
                </c:pt>
                <c:pt idx="68">
                  <c:v>3610421.0933479168</c:v>
                </c:pt>
                <c:pt idx="69">
                  <c:v>6159231.566899064</c:v>
                </c:pt>
                <c:pt idx="70">
                  <c:v>10584894.541920075</c:v>
                </c:pt>
                <c:pt idx="71">
                  <c:v>655243.68049509695</c:v>
                </c:pt>
                <c:pt idx="72">
                  <c:v>2864739.0899375491</c:v>
                </c:pt>
                <c:pt idx="73">
                  <c:v>6924158.0894780327</c:v>
                </c:pt>
                <c:pt idx="74">
                  <c:v>4871626.5673506204</c:v>
                </c:pt>
                <c:pt idx="75">
                  <c:v>18288955.12691465</c:v>
                </c:pt>
                <c:pt idx="76">
                  <c:v>5243855.9642471438</c:v>
                </c:pt>
                <c:pt idx="77">
                  <c:v>8771186.4160845745</c:v>
                </c:pt>
                <c:pt idx="78">
                  <c:v>10161458.52608045</c:v>
                </c:pt>
                <c:pt idx="79">
                  <c:v>3183285.9839552343</c:v>
                </c:pt>
                <c:pt idx="80">
                  <c:v>18112446.323670369</c:v>
                </c:pt>
                <c:pt idx="81">
                  <c:v>7914420.6537720682</c:v>
                </c:pt>
                <c:pt idx="82">
                  <c:v>8958543.5518025123</c:v>
                </c:pt>
                <c:pt idx="83">
                  <c:v>4511895.8568540188</c:v>
                </c:pt>
                <c:pt idx="84">
                  <c:v>909274.86052974011</c:v>
                </c:pt>
                <c:pt idx="85">
                  <c:v>11607157.092400923</c:v>
                </c:pt>
                <c:pt idx="86">
                  <c:v>8931844.8564303853</c:v>
                </c:pt>
                <c:pt idx="87">
                  <c:v>7496752.5366281047</c:v>
                </c:pt>
                <c:pt idx="88">
                  <c:v>15762230.514531359</c:v>
                </c:pt>
                <c:pt idx="89">
                  <c:v>6754537.3039613804</c:v>
                </c:pt>
                <c:pt idx="90">
                  <c:v>6858651.0723340772</c:v>
                </c:pt>
                <c:pt idx="91">
                  <c:v>13273425.583867243</c:v>
                </c:pt>
                <c:pt idx="92">
                  <c:v>6324868.2450951673</c:v>
                </c:pt>
                <c:pt idx="93">
                  <c:v>13576996.580363095</c:v>
                </c:pt>
                <c:pt idx="94">
                  <c:v>12711428.208022941</c:v>
                </c:pt>
                <c:pt idx="95">
                  <c:v>9916507.9193239249</c:v>
                </c:pt>
                <c:pt idx="96">
                  <c:v>5999956.6226362148</c:v>
                </c:pt>
                <c:pt idx="97">
                  <c:v>10868721.91765256</c:v>
                </c:pt>
                <c:pt idx="98">
                  <c:v>6920914.5095388582</c:v>
                </c:pt>
                <c:pt idx="99">
                  <c:v>3762439.1458674502</c:v>
                </c:pt>
                <c:pt idx="100">
                  <c:v>157563.53948525776</c:v>
                </c:pt>
                <c:pt idx="101">
                  <c:v>901247.91020958486</c:v>
                </c:pt>
                <c:pt idx="102">
                  <c:v>917232.23890802509</c:v>
                </c:pt>
                <c:pt idx="103">
                  <c:v>1175722.2877854879</c:v>
                </c:pt>
                <c:pt idx="104">
                  <c:v>435337.99301161367</c:v>
                </c:pt>
                <c:pt idx="105">
                  <c:v>988119.73769252596</c:v>
                </c:pt>
                <c:pt idx="106">
                  <c:v>1062926.9684577854</c:v>
                </c:pt>
                <c:pt idx="107">
                  <c:v>761747.2244784768</c:v>
                </c:pt>
                <c:pt idx="108">
                  <c:v>1029662.3869015459</c:v>
                </c:pt>
                <c:pt idx="109">
                  <c:v>1029995.4866540617</c:v>
                </c:pt>
                <c:pt idx="110">
                  <c:v>651973.01978210057</c:v>
                </c:pt>
                <c:pt idx="111">
                  <c:v>855080.93446190725</c:v>
                </c:pt>
                <c:pt idx="112">
                  <c:v>1069049.1970008055</c:v>
                </c:pt>
                <c:pt idx="113">
                  <c:v>978958.29756391724</c:v>
                </c:pt>
                <c:pt idx="114">
                  <c:v>1381289.9699106738</c:v>
                </c:pt>
                <c:pt idx="115">
                  <c:v>883720.90994789801</c:v>
                </c:pt>
                <c:pt idx="116">
                  <c:v>829495.27785734879</c:v>
                </c:pt>
                <c:pt idx="117">
                  <c:v>306329.78676863643</c:v>
                </c:pt>
                <c:pt idx="118">
                  <c:v>804814.54727708641</c:v>
                </c:pt>
                <c:pt idx="119">
                  <c:v>1027495.9071938648</c:v>
                </c:pt>
                <c:pt idx="120">
                  <c:v>1128214.5367293104</c:v>
                </c:pt>
                <c:pt idx="121">
                  <c:v>853871.61089870625</c:v>
                </c:pt>
                <c:pt idx="122">
                  <c:v>867936.53154121363</c:v>
                </c:pt>
                <c:pt idx="123">
                  <c:v>142494.05520314962</c:v>
                </c:pt>
                <c:pt idx="124">
                  <c:v>570028.86260328069</c:v>
                </c:pt>
                <c:pt idx="125">
                  <c:v>1113827.0793367326</c:v>
                </c:pt>
                <c:pt idx="126">
                  <c:v>574111.4048195387</c:v>
                </c:pt>
                <c:pt idx="127">
                  <c:v>497614.05854740622</c:v>
                </c:pt>
                <c:pt idx="128">
                  <c:v>285845.2667031099</c:v>
                </c:pt>
                <c:pt idx="129">
                  <c:v>391097.70754434861</c:v>
                </c:pt>
                <c:pt idx="130">
                  <c:v>238768.05651624582</c:v>
                </c:pt>
                <c:pt idx="131">
                  <c:v>493633.80518860836</c:v>
                </c:pt>
                <c:pt idx="132">
                  <c:v>685458.12361168186</c:v>
                </c:pt>
                <c:pt idx="133">
                  <c:v>287149.49519980338</c:v>
                </c:pt>
                <c:pt idx="134">
                  <c:v>835019.12039802666</c:v>
                </c:pt>
                <c:pt idx="135">
                  <c:v>677065.11909637437</c:v>
                </c:pt>
                <c:pt idx="136">
                  <c:v>341268.40704323794</c:v>
                </c:pt>
                <c:pt idx="137">
                  <c:v>371335.85204723536</c:v>
                </c:pt>
                <c:pt idx="138">
                  <c:v>886618.26167655329</c:v>
                </c:pt>
                <c:pt idx="139">
                  <c:v>449504.43119129329</c:v>
                </c:pt>
                <c:pt idx="140">
                  <c:v>461332.0546698785</c:v>
                </c:pt>
                <c:pt idx="141">
                  <c:v>1025130.2287561676</c:v>
                </c:pt>
                <c:pt idx="142">
                  <c:v>134515.37037482395</c:v>
                </c:pt>
                <c:pt idx="143">
                  <c:v>718764.12713467178</c:v>
                </c:pt>
                <c:pt idx="144">
                  <c:v>1460060.2163203303</c:v>
                </c:pt>
                <c:pt idx="145">
                  <c:v>1032952.8158964519</c:v>
                </c:pt>
                <c:pt idx="146">
                  <c:v>850898.26533546846</c:v>
                </c:pt>
                <c:pt idx="147">
                  <c:v>266878.65594502137</c:v>
                </c:pt>
                <c:pt idx="148">
                  <c:v>572419.94640994794</c:v>
                </c:pt>
                <c:pt idx="149">
                  <c:v>1006778.5685472348</c:v>
                </c:pt>
                <c:pt idx="150">
                  <c:v>494006.02837731462</c:v>
                </c:pt>
                <c:pt idx="151">
                  <c:v>1152949.1242537459</c:v>
                </c:pt>
                <c:pt idx="152">
                  <c:v>587572.569922984</c:v>
                </c:pt>
                <c:pt idx="153">
                  <c:v>888916.22724440985</c:v>
                </c:pt>
                <c:pt idx="154">
                  <c:v>284354.54355420027</c:v>
                </c:pt>
                <c:pt idx="155">
                  <c:v>365437.73038692976</c:v>
                </c:pt>
                <c:pt idx="156">
                  <c:v>842173.91611387499</c:v>
                </c:pt>
                <c:pt idx="157">
                  <c:v>776125.68007035484</c:v>
                </c:pt>
                <c:pt idx="158">
                  <c:v>583597.70348065742</c:v>
                </c:pt>
                <c:pt idx="159">
                  <c:v>937689.10064370104</c:v>
                </c:pt>
                <c:pt idx="160">
                  <c:v>316225.25420602574</c:v>
                </c:pt>
                <c:pt idx="161">
                  <c:v>949375.952169689</c:v>
                </c:pt>
                <c:pt idx="162">
                  <c:v>800748.69720413804</c:v>
                </c:pt>
                <c:pt idx="163">
                  <c:v>726364.393405815</c:v>
                </c:pt>
                <c:pt idx="164">
                  <c:v>1006904.0903341232</c:v>
                </c:pt>
                <c:pt idx="165">
                  <c:v>593510.87353314599</c:v>
                </c:pt>
                <c:pt idx="166">
                  <c:v>1012836.4110308342</c:v>
                </c:pt>
                <c:pt idx="167">
                  <c:v>797599.85035357892</c:v>
                </c:pt>
                <c:pt idx="168">
                  <c:v>1491183.7853596543</c:v>
                </c:pt>
                <c:pt idx="169">
                  <c:v>1048756.3107671267</c:v>
                </c:pt>
                <c:pt idx="170">
                  <c:v>1265036.8791265045</c:v>
                </c:pt>
                <c:pt idx="171">
                  <c:v>124217.11630279524</c:v>
                </c:pt>
                <c:pt idx="172">
                  <c:v>654197.86435641756</c:v>
                </c:pt>
                <c:pt idx="173">
                  <c:v>518482.88902360667</c:v>
                </c:pt>
                <c:pt idx="174">
                  <c:v>56931.9641740402</c:v>
                </c:pt>
                <c:pt idx="175">
                  <c:v>185725.16845517204</c:v>
                </c:pt>
                <c:pt idx="176">
                  <c:v>1450056.569033603</c:v>
                </c:pt>
                <c:pt idx="177">
                  <c:v>529160.87919418991</c:v>
                </c:pt>
                <c:pt idx="178">
                  <c:v>711943.01043914806</c:v>
                </c:pt>
                <c:pt idx="179">
                  <c:v>1223926.8209512529</c:v>
                </c:pt>
                <c:pt idx="180">
                  <c:v>760688.05545350467</c:v>
                </c:pt>
                <c:pt idx="181">
                  <c:v>1183858.3610807068</c:v>
                </c:pt>
                <c:pt idx="182">
                  <c:v>930584.10286563192</c:v>
                </c:pt>
                <c:pt idx="183">
                  <c:v>863834.62731454044</c:v>
                </c:pt>
                <c:pt idx="184">
                  <c:v>702689.67756402621</c:v>
                </c:pt>
                <c:pt idx="185">
                  <c:v>932048.79505756358</c:v>
                </c:pt>
                <c:pt idx="186">
                  <c:v>814807.42281005683</c:v>
                </c:pt>
                <c:pt idx="187">
                  <c:v>819800.46231578221</c:v>
                </c:pt>
                <c:pt idx="188">
                  <c:v>808065.87717811915</c:v>
                </c:pt>
                <c:pt idx="189">
                  <c:v>267061.474829969</c:v>
                </c:pt>
                <c:pt idx="190">
                  <c:v>1097226.7739563882</c:v>
                </c:pt>
                <c:pt idx="191">
                  <c:v>446199.73015723855</c:v>
                </c:pt>
                <c:pt idx="192">
                  <c:v>469804.15710829484</c:v>
                </c:pt>
                <c:pt idx="193">
                  <c:v>525080.6500825875</c:v>
                </c:pt>
                <c:pt idx="194">
                  <c:v>393228.4152736757</c:v>
                </c:pt>
                <c:pt idx="195">
                  <c:v>615023.21762602672</c:v>
                </c:pt>
                <c:pt idx="196">
                  <c:v>810345.09178652451</c:v>
                </c:pt>
                <c:pt idx="197">
                  <c:v>560753.58530124195</c:v>
                </c:pt>
                <c:pt idx="198">
                  <c:v>381017.52154380037</c:v>
                </c:pt>
                <c:pt idx="199">
                  <c:v>702689.67756402621</c:v>
                </c:pt>
                <c:pt idx="200">
                  <c:v>49585.567217159798</c:v>
                </c:pt>
                <c:pt idx="201">
                  <c:v>89474.727405850615</c:v>
                </c:pt>
                <c:pt idx="202">
                  <c:v>38406.738005995532</c:v>
                </c:pt>
                <c:pt idx="203">
                  <c:v>129340.44800058422</c:v>
                </c:pt>
                <c:pt idx="204">
                  <c:v>54697.767200533286</c:v>
                </c:pt>
                <c:pt idx="205">
                  <c:v>92948.011054105838</c:v>
                </c:pt>
                <c:pt idx="206">
                  <c:v>79591.296756380383</c:v>
                </c:pt>
                <c:pt idx="207">
                  <c:v>57204.743578672351</c:v>
                </c:pt>
                <c:pt idx="208">
                  <c:v>109291.92307159577</c:v>
                </c:pt>
                <c:pt idx="209">
                  <c:v>55726.554171453899</c:v>
                </c:pt>
                <c:pt idx="210">
                  <c:v>62228.119847420145</c:v>
                </c:pt>
                <c:pt idx="211">
                  <c:v>80833.111806437228</c:v>
                </c:pt>
                <c:pt idx="212">
                  <c:v>110852.05970269667</c:v>
                </c:pt>
                <c:pt idx="213">
                  <c:v>14593.314265052142</c:v>
                </c:pt>
                <c:pt idx="214">
                  <c:v>85852.15811412425</c:v>
                </c:pt>
                <c:pt idx="215">
                  <c:v>6465.1270998007376</c:v>
                </c:pt>
                <c:pt idx="216">
                  <c:v>91059.330934206373</c:v>
                </c:pt>
                <c:pt idx="217">
                  <c:v>38664.370839985015</c:v>
                </c:pt>
                <c:pt idx="218">
                  <c:v>90821.361211636569</c:v>
                </c:pt>
                <c:pt idx="219">
                  <c:v>93645.360945609296</c:v>
                </c:pt>
                <c:pt idx="220">
                  <c:v>24371.563599189245</c:v>
                </c:pt>
                <c:pt idx="221">
                  <c:v>100251.49142439043</c:v>
                </c:pt>
                <c:pt idx="222">
                  <c:v>69538.138403545992</c:v>
                </c:pt>
                <c:pt idx="223">
                  <c:v>118432.82216317505</c:v>
                </c:pt>
                <c:pt idx="224">
                  <c:v>94462.076222016723</c:v>
                </c:pt>
                <c:pt idx="225">
                  <c:v>78242.604898139209</c:v>
                </c:pt>
                <c:pt idx="226">
                  <c:v>124812.69354847354</c:v>
                </c:pt>
                <c:pt idx="227">
                  <c:v>22552.238115331522</c:v>
                </c:pt>
                <c:pt idx="228">
                  <c:v>84306.782227317308</c:v>
                </c:pt>
                <c:pt idx="229">
                  <c:v>76721.704175268955</c:v>
                </c:pt>
                <c:pt idx="230">
                  <c:v>111505.93188867858</c:v>
                </c:pt>
                <c:pt idx="231">
                  <c:v>103595.88455849062</c:v>
                </c:pt>
                <c:pt idx="232">
                  <c:v>55320.98629319451</c:v>
                </c:pt>
                <c:pt idx="233">
                  <c:v>50511.680928931441</c:v>
                </c:pt>
                <c:pt idx="234">
                  <c:v>67679.627979910991</c:v>
                </c:pt>
                <c:pt idx="235">
                  <c:v>70453.369151743842</c:v>
                </c:pt>
                <c:pt idx="236">
                  <c:v>17259.880973716728</c:v>
                </c:pt>
                <c:pt idx="237">
                  <c:v>95725.531558329269</c:v>
                </c:pt>
                <c:pt idx="238">
                  <c:v>48040.112753488051</c:v>
                </c:pt>
                <c:pt idx="239">
                  <c:v>74751.687998788722</c:v>
                </c:pt>
                <c:pt idx="240">
                  <c:v>60094.145297682269</c:v>
                </c:pt>
                <c:pt idx="241">
                  <c:v>112938.85613694205</c:v>
                </c:pt>
                <c:pt idx="242">
                  <c:v>67526.303361587823</c:v>
                </c:pt>
                <c:pt idx="243">
                  <c:v>81331.076373407312</c:v>
                </c:pt>
                <c:pt idx="244">
                  <c:v>91357.675959408865</c:v>
                </c:pt>
                <c:pt idx="245">
                  <c:v>73426.260164785199</c:v>
                </c:pt>
                <c:pt idx="246">
                  <c:v>13521.854061892238</c:v>
                </c:pt>
                <c:pt idx="247">
                  <c:v>64425.722337112114</c:v>
                </c:pt>
                <c:pt idx="248">
                  <c:v>27632.760988422822</c:v>
                </c:pt>
                <c:pt idx="249">
                  <c:v>95145.683709211065</c:v>
                </c:pt>
                <c:pt idx="250">
                  <c:v>76415.833261073203</c:v>
                </c:pt>
                <c:pt idx="251">
                  <c:v>95042.450325975922</c:v>
                </c:pt>
                <c:pt idx="252">
                  <c:v>38543.968896436971</c:v>
                </c:pt>
                <c:pt idx="253">
                  <c:v>131676.75509929107</c:v>
                </c:pt>
                <c:pt idx="254">
                  <c:v>95422.78895216783</c:v>
                </c:pt>
                <c:pt idx="255">
                  <c:v>72603.060568790039</c:v>
                </c:pt>
                <c:pt idx="256">
                  <c:v>85979.777238102048</c:v>
                </c:pt>
                <c:pt idx="257">
                  <c:v>33769.953266738579</c:v>
                </c:pt>
                <c:pt idx="258">
                  <c:v>45929.728469039612</c:v>
                </c:pt>
                <c:pt idx="259">
                  <c:v>69585.074376684715</c:v>
                </c:pt>
                <c:pt idx="260">
                  <c:v>87108.477580809122</c:v>
                </c:pt>
                <c:pt idx="261">
                  <c:v>91116.13863073611</c:v>
                </c:pt>
                <c:pt idx="262">
                  <c:v>72932.057748012026</c:v>
                </c:pt>
                <c:pt idx="263">
                  <c:v>74558.341889352974</c:v>
                </c:pt>
                <c:pt idx="264">
                  <c:v>65356.107164141431</c:v>
                </c:pt>
                <c:pt idx="265">
                  <c:v>49858.871946846928</c:v>
                </c:pt>
                <c:pt idx="266">
                  <c:v>38480.511182640628</c:v>
                </c:pt>
                <c:pt idx="267">
                  <c:v>110006.9902705047</c:v>
                </c:pt>
                <c:pt idx="268">
                  <c:v>12854.441177776918</c:v>
                </c:pt>
                <c:pt idx="269">
                  <c:v>103867.36172692994</c:v>
                </c:pt>
                <c:pt idx="270">
                  <c:v>26727.112439431377</c:v>
                </c:pt>
                <c:pt idx="271">
                  <c:v>56422.040912334945</c:v>
                </c:pt>
                <c:pt idx="272">
                  <c:v>63232.082979176928</c:v>
                </c:pt>
                <c:pt idx="273">
                  <c:v>93913.720975334174</c:v>
                </c:pt>
                <c:pt idx="274">
                  <c:v>83317.121596607045</c:v>
                </c:pt>
                <c:pt idx="275">
                  <c:v>36863.609967916629</c:v>
                </c:pt>
                <c:pt idx="276">
                  <c:v>94654.224474943068</c:v>
                </c:pt>
                <c:pt idx="277">
                  <c:v>103709.27464970971</c:v>
                </c:pt>
                <c:pt idx="278">
                  <c:v>72499.957777249045</c:v>
                </c:pt>
                <c:pt idx="279">
                  <c:v>105852.08396273818</c:v>
                </c:pt>
                <c:pt idx="280">
                  <c:v>60987.586229681801</c:v>
                </c:pt>
                <c:pt idx="281">
                  <c:v>118595.41220244681</c:v>
                </c:pt>
                <c:pt idx="282">
                  <c:v>91681.667154660201</c:v>
                </c:pt>
                <c:pt idx="283">
                  <c:v>60615.120586331825</c:v>
                </c:pt>
                <c:pt idx="284">
                  <c:v>87550.186408437614</c:v>
                </c:pt>
                <c:pt idx="285">
                  <c:v>50625.874170485928</c:v>
                </c:pt>
                <c:pt idx="286">
                  <c:v>66662.044791718959</c:v>
                </c:pt>
                <c:pt idx="287">
                  <c:v>98327.422116002752</c:v>
                </c:pt>
                <c:pt idx="288">
                  <c:v>104364.72052565365</c:v>
                </c:pt>
                <c:pt idx="289">
                  <c:v>95289.048671426586</c:v>
                </c:pt>
                <c:pt idx="290">
                  <c:v>62154.805845581111</c:v>
                </c:pt>
                <c:pt idx="291">
                  <c:v>26516.797792536116</c:v>
                </c:pt>
                <c:pt idx="292">
                  <c:v>89586.99777515234</c:v>
                </c:pt>
                <c:pt idx="293">
                  <c:v>90859.499602455937</c:v>
                </c:pt>
                <c:pt idx="294">
                  <c:v>75337.536234137209</c:v>
                </c:pt>
                <c:pt idx="295">
                  <c:v>84629.773088732938</c:v>
                </c:pt>
                <c:pt idx="296">
                  <c:v>87648.480587707323</c:v>
                </c:pt>
                <c:pt idx="297">
                  <c:v>81682.396554250256</c:v>
                </c:pt>
                <c:pt idx="298">
                  <c:v>25524.930575862592</c:v>
                </c:pt>
                <c:pt idx="299">
                  <c:v>58962.375157485025</c:v>
                </c:pt>
                <c:pt idx="300">
                  <c:v>17010.584032509574</c:v>
                </c:pt>
                <c:pt idx="301">
                  <c:v>17331.639765151282</c:v>
                </c:pt>
                <c:pt idx="302">
                  <c:v>14409.820230102912</c:v>
                </c:pt>
                <c:pt idx="303">
                  <c:v>15905.687488281317</c:v>
                </c:pt>
                <c:pt idx="304">
                  <c:v>16872.870970632688</c:v>
                </c:pt>
                <c:pt idx="305">
                  <c:v>7297.6871908483481</c:v>
                </c:pt>
                <c:pt idx="306">
                  <c:v>12729.160127606165</c:v>
                </c:pt>
                <c:pt idx="307">
                  <c:v>13203.952390535638</c:v>
                </c:pt>
                <c:pt idx="308">
                  <c:v>17776.249194215619</c:v>
                </c:pt>
                <c:pt idx="309">
                  <c:v>10239.33469179094</c:v>
                </c:pt>
                <c:pt idx="310">
                  <c:v>9729.7411513772095</c:v>
                </c:pt>
                <c:pt idx="311">
                  <c:v>18230.853156675192</c:v>
                </c:pt>
                <c:pt idx="312">
                  <c:v>10058.488451134353</c:v>
                </c:pt>
                <c:pt idx="313">
                  <c:v>9207.4873051915674</c:v>
                </c:pt>
                <c:pt idx="314">
                  <c:v>9132.6472675806217</c:v>
                </c:pt>
                <c:pt idx="315">
                  <c:v>10426.439158915542</c:v>
                </c:pt>
                <c:pt idx="316">
                  <c:v>2493.540213809641</c:v>
                </c:pt>
                <c:pt idx="317">
                  <c:v>11742.289879682554</c:v>
                </c:pt>
                <c:pt idx="318">
                  <c:v>8872.1793091042782</c:v>
                </c:pt>
                <c:pt idx="319">
                  <c:v>22600.22293928697</c:v>
                </c:pt>
                <c:pt idx="320">
                  <c:v>10599.141535311506</c:v>
                </c:pt>
                <c:pt idx="321">
                  <c:v>11276.077537644014</c:v>
                </c:pt>
                <c:pt idx="322">
                  <c:v>8346.0289963862233</c:v>
                </c:pt>
                <c:pt idx="323">
                  <c:v>17921.377657114394</c:v>
                </c:pt>
                <c:pt idx="324">
                  <c:v>14430.696843659309</c:v>
                </c:pt>
                <c:pt idx="325">
                  <c:v>11379.204313226235</c:v>
                </c:pt>
                <c:pt idx="326">
                  <c:v>7797.3549591994743</c:v>
                </c:pt>
                <c:pt idx="327">
                  <c:v>8760.0011356000923</c:v>
                </c:pt>
                <c:pt idx="328">
                  <c:v>4735.2509714383987</c:v>
                </c:pt>
                <c:pt idx="329">
                  <c:v>17427.392569847227</c:v>
                </c:pt>
                <c:pt idx="330">
                  <c:v>13210.514529036051</c:v>
                </c:pt>
                <c:pt idx="331">
                  <c:v>6711.7722669922769</c:v>
                </c:pt>
                <c:pt idx="332">
                  <c:v>15911.812131064187</c:v>
                </c:pt>
                <c:pt idx="333">
                  <c:v>22280.925778636469</c:v>
                </c:pt>
                <c:pt idx="334">
                  <c:v>16504.877663412437</c:v>
                </c:pt>
                <c:pt idx="335">
                  <c:v>11350.162805946875</c:v>
                </c:pt>
                <c:pt idx="336">
                  <c:v>15626.823520107117</c:v>
                </c:pt>
                <c:pt idx="337">
                  <c:v>8187.4380761736766</c:v>
                </c:pt>
                <c:pt idx="338">
                  <c:v>1189.2121903019845</c:v>
                </c:pt>
                <c:pt idx="339">
                  <c:v>18565.664996101692</c:v>
                </c:pt>
                <c:pt idx="340">
                  <c:v>5668.7615663811803</c:v>
                </c:pt>
                <c:pt idx="341">
                  <c:v>8266.1263129366034</c:v>
                </c:pt>
                <c:pt idx="342">
                  <c:v>17452.52053279824</c:v>
                </c:pt>
                <c:pt idx="343">
                  <c:v>3039.0559378454714</c:v>
                </c:pt>
                <c:pt idx="344">
                  <c:v>9045.9744276098882</c:v>
                </c:pt>
                <c:pt idx="345">
                  <c:v>12916.893983628517</c:v>
                </c:pt>
                <c:pt idx="346">
                  <c:v>6273.1787789042937</c:v>
                </c:pt>
                <c:pt idx="347">
                  <c:v>608.12622879592652</c:v>
                </c:pt>
                <c:pt idx="348">
                  <c:v>4711.4128073829452</c:v>
                </c:pt>
                <c:pt idx="349">
                  <c:v>7030.3342890818167</c:v>
                </c:pt>
                <c:pt idx="350">
                  <c:v>13423.407947576217</c:v>
                </c:pt>
                <c:pt idx="351">
                  <c:v>2806.5933741277308</c:v>
                </c:pt>
                <c:pt idx="352">
                  <c:v>13677.594483264145</c:v>
                </c:pt>
                <c:pt idx="353">
                  <c:v>9416.7867874048916</c:v>
                </c:pt>
                <c:pt idx="354">
                  <c:v>12679.628015607273</c:v>
                </c:pt>
                <c:pt idx="355">
                  <c:v>16096.001967885808</c:v>
                </c:pt>
                <c:pt idx="356">
                  <c:v>19171.261568330174</c:v>
                </c:pt>
                <c:pt idx="357">
                  <c:v>18585.341004393078</c:v>
                </c:pt>
                <c:pt idx="358">
                  <c:v>14722.294693728865</c:v>
                </c:pt>
                <c:pt idx="359">
                  <c:v>5218.9524886808895</c:v>
                </c:pt>
                <c:pt idx="360">
                  <c:v>12647.138813385211</c:v>
                </c:pt>
                <c:pt idx="361">
                  <c:v>8023.7296119112425</c:v>
                </c:pt>
                <c:pt idx="362">
                  <c:v>16241.06793636773</c:v>
                </c:pt>
                <c:pt idx="363">
                  <c:v>14312.679599904674</c:v>
                </c:pt>
                <c:pt idx="364">
                  <c:v>11423.775586218999</c:v>
                </c:pt>
                <c:pt idx="365">
                  <c:v>19121.549663934155</c:v>
                </c:pt>
                <c:pt idx="366">
                  <c:v>16966.386282277603</c:v>
                </c:pt>
                <c:pt idx="367">
                  <c:v>16993.748128235999</c:v>
                </c:pt>
                <c:pt idx="368">
                  <c:v>1216.3516009289403</c:v>
                </c:pt>
                <c:pt idx="369">
                  <c:v>9132.1901744284387</c:v>
                </c:pt>
                <c:pt idx="370">
                  <c:v>10188.924272315642</c:v>
                </c:pt>
                <c:pt idx="371">
                  <c:v>19500.92276250061</c:v>
                </c:pt>
                <c:pt idx="372">
                  <c:v>9611.7851508146105</c:v>
                </c:pt>
                <c:pt idx="373">
                  <c:v>5110.1885702572235</c:v>
                </c:pt>
                <c:pt idx="374">
                  <c:v>5373.7332077411447</c:v>
                </c:pt>
                <c:pt idx="375">
                  <c:v>20022.604360549412</c:v>
                </c:pt>
                <c:pt idx="376">
                  <c:v>14335.521141328518</c:v>
                </c:pt>
                <c:pt idx="377">
                  <c:v>4270.0700505916766</c:v>
                </c:pt>
                <c:pt idx="378">
                  <c:v>19471.910452634394</c:v>
                </c:pt>
                <c:pt idx="379">
                  <c:v>8319.5897276456981</c:v>
                </c:pt>
                <c:pt idx="380">
                  <c:v>16364.372292298565</c:v>
                </c:pt>
                <c:pt idx="381">
                  <c:v>18418.541664633049</c:v>
                </c:pt>
                <c:pt idx="382">
                  <c:v>13441.573914766874</c:v>
                </c:pt>
                <c:pt idx="383">
                  <c:v>7615.6451806113828</c:v>
                </c:pt>
                <c:pt idx="384">
                  <c:v>5111.7233140687858</c:v>
                </c:pt>
                <c:pt idx="385">
                  <c:v>16645.358181561987</c:v>
                </c:pt>
                <c:pt idx="386">
                  <c:v>6369.9765586049034</c:v>
                </c:pt>
                <c:pt idx="387">
                  <c:v>18358.764961292916</c:v>
                </c:pt>
                <c:pt idx="388">
                  <c:v>15746.016057149465</c:v>
                </c:pt>
                <c:pt idx="389">
                  <c:v>8134.38421012862</c:v>
                </c:pt>
                <c:pt idx="390">
                  <c:v>5304.8156502293286</c:v>
                </c:pt>
                <c:pt idx="391">
                  <c:v>3753.5537320391932</c:v>
                </c:pt>
                <c:pt idx="392">
                  <c:v>17381.965354801316</c:v>
                </c:pt>
                <c:pt idx="393">
                  <c:v>7410.8241118489677</c:v>
                </c:pt>
                <c:pt idx="394">
                  <c:v>17359.226581519521</c:v>
                </c:pt>
                <c:pt idx="395">
                  <c:v>21624.30220745863</c:v>
                </c:pt>
                <c:pt idx="396">
                  <c:v>16791.56870600862</c:v>
                </c:pt>
                <c:pt idx="397">
                  <c:v>13525.478179161111</c:v>
                </c:pt>
                <c:pt idx="398">
                  <c:v>15537.743404690182</c:v>
                </c:pt>
                <c:pt idx="399">
                  <c:v>13367.572612393287</c:v>
                </c:pt>
                <c:pt idx="400">
                  <c:v>773.76243950946252</c:v>
                </c:pt>
                <c:pt idx="401">
                  <c:v>1282.8590733585308</c:v>
                </c:pt>
                <c:pt idx="402">
                  <c:v>889.93056879589039</c:v>
                </c:pt>
                <c:pt idx="403">
                  <c:v>1682.2966839245557</c:v>
                </c:pt>
                <c:pt idx="404">
                  <c:v>703.69103214447557</c:v>
                </c:pt>
                <c:pt idx="405">
                  <c:v>1046.2658827564085</c:v>
                </c:pt>
                <c:pt idx="406">
                  <c:v>897.79918591358103</c:v>
                </c:pt>
                <c:pt idx="407">
                  <c:v>622.92869741844481</c:v>
                </c:pt>
                <c:pt idx="408">
                  <c:v>1416.5661404875525</c:v>
                </c:pt>
                <c:pt idx="409">
                  <c:v>2202.5966509223781</c:v>
                </c:pt>
                <c:pt idx="410">
                  <c:v>284.74299027087125</c:v>
                </c:pt>
                <c:pt idx="411">
                  <c:v>1489.0884742444073</c:v>
                </c:pt>
                <c:pt idx="412">
                  <c:v>1375.0655408814928</c:v>
                </c:pt>
                <c:pt idx="413">
                  <c:v>1194.986112078677</c:v>
                </c:pt>
                <c:pt idx="414">
                  <c:v>414.61903108092849</c:v>
                </c:pt>
                <c:pt idx="415">
                  <c:v>1636.910936623452</c:v>
                </c:pt>
                <c:pt idx="416">
                  <c:v>285.51825579657816</c:v>
                </c:pt>
                <c:pt idx="417">
                  <c:v>2194.964077187688</c:v>
                </c:pt>
                <c:pt idx="418">
                  <c:v>2192.5590771687816</c:v>
                </c:pt>
                <c:pt idx="419">
                  <c:v>1873.5486123458313</c:v>
                </c:pt>
                <c:pt idx="420">
                  <c:v>1320.0921835107874</c:v>
                </c:pt>
                <c:pt idx="421">
                  <c:v>1826.924121623674</c:v>
                </c:pt>
                <c:pt idx="422">
                  <c:v>1729.9818977534453</c:v>
                </c:pt>
                <c:pt idx="423">
                  <c:v>1401.3513497014189</c:v>
                </c:pt>
                <c:pt idx="424">
                  <c:v>1564.7206625081872</c:v>
                </c:pt>
                <c:pt idx="425">
                  <c:v>1046.3437247757508</c:v>
                </c:pt>
                <c:pt idx="426">
                  <c:v>1700.0996566675619</c:v>
                </c:pt>
                <c:pt idx="427">
                  <c:v>1679.6260554904886</c:v>
                </c:pt>
                <c:pt idx="428">
                  <c:v>2099.3567787241191</c:v>
                </c:pt>
                <c:pt idx="429">
                  <c:v>1223.8940905964896</c:v>
                </c:pt>
                <c:pt idx="430">
                  <c:v>1663.2604008937828</c:v>
                </c:pt>
                <c:pt idx="431">
                  <c:v>1545.7427769674052</c:v>
                </c:pt>
                <c:pt idx="432">
                  <c:v>678.00785546913835</c:v>
                </c:pt>
                <c:pt idx="433">
                  <c:v>627.45069884408872</c:v>
                </c:pt>
                <c:pt idx="434">
                  <c:v>1617.617367296863</c:v>
                </c:pt>
                <c:pt idx="435">
                  <c:v>986.15003575423862</c:v>
                </c:pt>
                <c:pt idx="436">
                  <c:v>1730.156763548981</c:v>
                </c:pt>
                <c:pt idx="437">
                  <c:v>1542.8445928081583</c:v>
                </c:pt>
                <c:pt idx="438">
                  <c:v>1977.2023915254706</c:v>
                </c:pt>
                <c:pt idx="439">
                  <c:v>322.73560226345552</c:v>
                </c:pt>
                <c:pt idx="440">
                  <c:v>1275.4025039341022</c:v>
                </c:pt>
                <c:pt idx="441">
                  <c:v>691.85120459072812</c:v>
                </c:pt>
                <c:pt idx="442">
                  <c:v>1782.0986076342108</c:v>
                </c:pt>
                <c:pt idx="443">
                  <c:v>852.22369310285796</c:v>
                </c:pt>
                <c:pt idx="444">
                  <c:v>330.45781918839549</c:v>
                </c:pt>
                <c:pt idx="445">
                  <c:v>1422.9121221945563</c:v>
                </c:pt>
                <c:pt idx="446">
                  <c:v>1021.6566763765353</c:v>
                </c:pt>
                <c:pt idx="447">
                  <c:v>1277.8832118512678</c:v>
                </c:pt>
                <c:pt idx="448">
                  <c:v>1598.4409779325279</c:v>
                </c:pt>
                <c:pt idx="449">
                  <c:v>1527.5471658872866</c:v>
                </c:pt>
                <c:pt idx="450">
                  <c:v>101.33792754813719</c:v>
                </c:pt>
                <c:pt idx="451">
                  <c:v>1110.7086140046815</c:v>
                </c:pt>
                <c:pt idx="452">
                  <c:v>1723.1645398701785</c:v>
                </c:pt>
                <c:pt idx="453">
                  <c:v>524.23572800660338</c:v>
                </c:pt>
                <c:pt idx="454">
                  <c:v>1047.4275436786281</c:v>
                </c:pt>
                <c:pt idx="455">
                  <c:v>2338.1601293463773</c:v>
                </c:pt>
                <c:pt idx="456">
                  <c:v>305.55685174822042</c:v>
                </c:pt>
                <c:pt idx="457">
                  <c:v>651.16316285616847</c:v>
                </c:pt>
                <c:pt idx="458">
                  <c:v>1252.2038663446008</c:v>
                </c:pt>
                <c:pt idx="459">
                  <c:v>964.66340261952621</c:v>
                </c:pt>
                <c:pt idx="460">
                  <c:v>1822.3479191639349</c:v>
                </c:pt>
                <c:pt idx="461">
                  <c:v>1180.5165197936471</c:v>
                </c:pt>
                <c:pt idx="462">
                  <c:v>1481.7147052559023</c:v>
                </c:pt>
                <c:pt idx="463">
                  <c:v>1728.1659417101348</c:v>
                </c:pt>
                <c:pt idx="464">
                  <c:v>1743.7785213090879</c:v>
                </c:pt>
                <c:pt idx="465">
                  <c:v>1575.55178653197</c:v>
                </c:pt>
                <c:pt idx="466">
                  <c:v>870.30879423374176</c:v>
                </c:pt>
                <c:pt idx="467">
                  <c:v>1828.6776334392318</c:v>
                </c:pt>
                <c:pt idx="468">
                  <c:v>526.87047831147629</c:v>
                </c:pt>
                <c:pt idx="469">
                  <c:v>1058.38853532128</c:v>
                </c:pt>
                <c:pt idx="470">
                  <c:v>1388.3738990203485</c:v>
                </c:pt>
                <c:pt idx="471">
                  <c:v>555.78369360164152</c:v>
                </c:pt>
                <c:pt idx="472">
                  <c:v>1707.8287095081844</c:v>
                </c:pt>
                <c:pt idx="473">
                  <c:v>403.61098177567845</c:v>
                </c:pt>
                <c:pt idx="474">
                  <c:v>744.07987396848182</c:v>
                </c:pt>
                <c:pt idx="475">
                  <c:v>1602.3036094691488</c:v>
                </c:pt>
                <c:pt idx="476">
                  <c:v>514.3958247389503</c:v>
                </c:pt>
                <c:pt idx="477">
                  <c:v>223.66003667914177</c:v>
                </c:pt>
                <c:pt idx="478">
                  <c:v>1151.8165795103241</c:v>
                </c:pt>
                <c:pt idx="479">
                  <c:v>1547.306609313292</c:v>
                </c:pt>
                <c:pt idx="480">
                  <c:v>1376.5530011345966</c:v>
                </c:pt>
                <c:pt idx="481">
                  <c:v>1117.8525951574925</c:v>
                </c:pt>
                <c:pt idx="482">
                  <c:v>30.550827958870414</c:v>
                </c:pt>
                <c:pt idx="483">
                  <c:v>846.01321450494504</c:v>
                </c:pt>
                <c:pt idx="484">
                  <c:v>1774.1352398470931</c:v>
                </c:pt>
                <c:pt idx="485">
                  <c:v>1118.8372185283674</c:v>
                </c:pt>
                <c:pt idx="486">
                  <c:v>953.13649792518038</c:v>
                </c:pt>
                <c:pt idx="487">
                  <c:v>1634.9834791365904</c:v>
                </c:pt>
                <c:pt idx="488">
                  <c:v>1100.9882910084752</c:v>
                </c:pt>
                <c:pt idx="489">
                  <c:v>1513.205688662239</c:v>
                </c:pt>
                <c:pt idx="490">
                  <c:v>169.72266104841913</c:v>
                </c:pt>
                <c:pt idx="491">
                  <c:v>1976.1823918988071</c:v>
                </c:pt>
                <c:pt idx="492">
                  <c:v>521.40135860035559</c:v>
                </c:pt>
                <c:pt idx="493">
                  <c:v>1443.7030729977662</c:v>
                </c:pt>
                <c:pt idx="494">
                  <c:v>1907.0400851854045</c:v>
                </c:pt>
                <c:pt idx="495">
                  <c:v>632.98991543404759</c:v>
                </c:pt>
                <c:pt idx="496">
                  <c:v>1321.7709160319341</c:v>
                </c:pt>
                <c:pt idx="497">
                  <c:v>1604.2781018127905</c:v>
                </c:pt>
                <c:pt idx="498">
                  <c:v>568.4785467566478</c:v>
                </c:pt>
                <c:pt idx="499">
                  <c:v>1110.3506525773789</c:v>
                </c:pt>
                <c:pt idx="500">
                  <c:v>128.25594655189292</c:v>
                </c:pt>
                <c:pt idx="501">
                  <c:v>56.445203403080214</c:v>
                </c:pt>
                <c:pt idx="502">
                  <c:v>208.23185374299331</c:v>
                </c:pt>
                <c:pt idx="503">
                  <c:v>137.68963072389778</c:v>
                </c:pt>
                <c:pt idx="504">
                  <c:v>102.75426927187726</c:v>
                </c:pt>
                <c:pt idx="505">
                  <c:v>135.12010920634197</c:v>
                </c:pt>
                <c:pt idx="506">
                  <c:v>138.217683776748</c:v>
                </c:pt>
                <c:pt idx="507">
                  <c:v>173.28412246759157</c:v>
                </c:pt>
                <c:pt idx="508">
                  <c:v>159.47807210043376</c:v>
                </c:pt>
                <c:pt idx="509">
                  <c:v>38.650444010383652</c:v>
                </c:pt>
                <c:pt idx="510">
                  <c:v>81.804376045487473</c:v>
                </c:pt>
                <c:pt idx="511">
                  <c:v>68.463378375360278</c:v>
                </c:pt>
                <c:pt idx="512">
                  <c:v>100.39078699400766</c:v>
                </c:pt>
                <c:pt idx="513">
                  <c:v>134.75266081842256</c:v>
                </c:pt>
                <c:pt idx="514">
                  <c:v>184.39873125004331</c:v>
                </c:pt>
                <c:pt idx="515">
                  <c:v>126.47559905326834</c:v>
                </c:pt>
                <c:pt idx="516">
                  <c:v>120.60303946283211</c:v>
                </c:pt>
                <c:pt idx="517">
                  <c:v>184.64984362951495</c:v>
                </c:pt>
                <c:pt idx="518">
                  <c:v>143.60510107138953</c:v>
                </c:pt>
                <c:pt idx="519">
                  <c:v>190.47134075402033</c:v>
                </c:pt>
                <c:pt idx="520">
                  <c:v>139.57512820071713</c:v>
                </c:pt>
                <c:pt idx="521">
                  <c:v>73.100761595006517</c:v>
                </c:pt>
                <c:pt idx="522">
                  <c:v>59.967693802533695</c:v>
                </c:pt>
                <c:pt idx="523">
                  <c:v>196.26480702375881</c:v>
                </c:pt>
                <c:pt idx="524">
                  <c:v>113.16595827180572</c:v>
                </c:pt>
                <c:pt idx="525">
                  <c:v>25.694169192773785</c:v>
                </c:pt>
                <c:pt idx="526">
                  <c:v>34.408548250924255</c:v>
                </c:pt>
                <c:pt idx="527">
                  <c:v>157.66752088197973</c:v>
                </c:pt>
                <c:pt idx="528">
                  <c:v>106.74447548968408</c:v>
                </c:pt>
                <c:pt idx="529">
                  <c:v>196.75462940148694</c:v>
                </c:pt>
                <c:pt idx="530">
                  <c:v>167.52107704563099</c:v>
                </c:pt>
                <c:pt idx="531">
                  <c:v>70.062401634028944</c:v>
                </c:pt>
                <c:pt idx="532">
                  <c:v>77.558266900219024</c:v>
                </c:pt>
                <c:pt idx="533">
                  <c:v>73.722182870661555</c:v>
                </c:pt>
                <c:pt idx="534">
                  <c:v>165.81532545260799</c:v>
                </c:pt>
                <c:pt idx="535">
                  <c:v>252.98217913313314</c:v>
                </c:pt>
                <c:pt idx="536">
                  <c:v>82.638110836408856</c:v>
                </c:pt>
                <c:pt idx="537">
                  <c:v>26.537332232718139</c:v>
                </c:pt>
                <c:pt idx="538">
                  <c:v>187.28903029419109</c:v>
                </c:pt>
                <c:pt idx="539">
                  <c:v>206.36354689335883</c:v>
                </c:pt>
                <c:pt idx="540">
                  <c:v>208.88065649655363</c:v>
                </c:pt>
                <c:pt idx="541">
                  <c:v>159.93204219708349</c:v>
                </c:pt>
                <c:pt idx="542">
                  <c:v>165.51477200555357</c:v>
                </c:pt>
                <c:pt idx="543">
                  <c:v>19.990109794983621</c:v>
                </c:pt>
                <c:pt idx="544">
                  <c:v>115.4195504179952</c:v>
                </c:pt>
                <c:pt idx="545">
                  <c:v>46.035839242573068</c:v>
                </c:pt>
                <c:pt idx="546">
                  <c:v>172.08215695842966</c:v>
                </c:pt>
                <c:pt idx="547">
                  <c:v>139.00373811107798</c:v>
                </c:pt>
                <c:pt idx="548">
                  <c:v>182.30283366513373</c:v>
                </c:pt>
                <c:pt idx="549">
                  <c:v>58.570633741418384</c:v>
                </c:pt>
                <c:pt idx="550">
                  <c:v>161.74106371125316</c:v>
                </c:pt>
                <c:pt idx="551">
                  <c:v>132.12990703359623</c:v>
                </c:pt>
                <c:pt idx="552">
                  <c:v>91.931713414637457</c:v>
                </c:pt>
                <c:pt idx="553">
                  <c:v>124.88485388161463</c:v>
                </c:pt>
                <c:pt idx="554">
                  <c:v>84.135672707294503</c:v>
                </c:pt>
                <c:pt idx="555">
                  <c:v>75.547929214841901</c:v>
                </c:pt>
                <c:pt idx="556">
                  <c:v>120.34492456169227</c:v>
                </c:pt>
                <c:pt idx="557">
                  <c:v>167.63816688060908</c:v>
                </c:pt>
                <c:pt idx="558">
                  <c:v>166.39954424068105</c:v>
                </c:pt>
                <c:pt idx="559">
                  <c:v>165.61123901208748</c:v>
                </c:pt>
                <c:pt idx="560">
                  <c:v>97.155290869190623</c:v>
                </c:pt>
                <c:pt idx="561">
                  <c:v>73.626350988676307</c:v>
                </c:pt>
                <c:pt idx="562">
                  <c:v>169.80240877546649</c:v>
                </c:pt>
                <c:pt idx="563">
                  <c:v>176.58380303743425</c:v>
                </c:pt>
                <c:pt idx="564">
                  <c:v>14.683644895504811</c:v>
                </c:pt>
                <c:pt idx="565">
                  <c:v>107.22667329992846</c:v>
                </c:pt>
                <c:pt idx="566">
                  <c:v>69.349802458496697</c:v>
                </c:pt>
                <c:pt idx="567">
                  <c:v>170.33683732597243</c:v>
                </c:pt>
                <c:pt idx="568">
                  <c:v>176.43302911577695</c:v>
                </c:pt>
                <c:pt idx="569">
                  <c:v>188.32960999638323</c:v>
                </c:pt>
                <c:pt idx="570">
                  <c:v>156.45400630144141</c:v>
                </c:pt>
                <c:pt idx="571">
                  <c:v>30.117025018583089</c:v>
                </c:pt>
                <c:pt idx="572">
                  <c:v>18.320888150148178</c:v>
                </c:pt>
                <c:pt idx="573">
                  <c:v>103.27112550698125</c:v>
                </c:pt>
                <c:pt idx="574">
                  <c:v>121.69186981889999</c:v>
                </c:pt>
                <c:pt idx="575">
                  <c:v>149.51739437906389</c:v>
                </c:pt>
                <c:pt idx="576">
                  <c:v>139.51793737524022</c:v>
                </c:pt>
                <c:pt idx="577">
                  <c:v>61.272036702976337</c:v>
                </c:pt>
                <c:pt idx="578">
                  <c:v>199.1089054685655</c:v>
                </c:pt>
                <c:pt idx="579">
                  <c:v>44.5652603052187</c:v>
                </c:pt>
                <c:pt idx="580">
                  <c:v>104.18029509837301</c:v>
                </c:pt>
                <c:pt idx="581">
                  <c:v>171.30354317168602</c:v>
                </c:pt>
                <c:pt idx="582">
                  <c:v>104.76073571270263</c:v>
                </c:pt>
                <c:pt idx="583">
                  <c:v>104.86770920542324</c:v>
                </c:pt>
                <c:pt idx="584">
                  <c:v>114.43493859394981</c:v>
                </c:pt>
                <c:pt idx="585">
                  <c:v>151.93178204365532</c:v>
                </c:pt>
                <c:pt idx="586">
                  <c:v>189.52997083389965</c:v>
                </c:pt>
                <c:pt idx="587">
                  <c:v>64.937933374724224</c:v>
                </c:pt>
                <c:pt idx="588">
                  <c:v>83.126880667105482</c:v>
                </c:pt>
                <c:pt idx="589">
                  <c:v>69.30472601103088</c:v>
                </c:pt>
                <c:pt idx="590">
                  <c:v>54.736562173851482</c:v>
                </c:pt>
                <c:pt idx="591">
                  <c:v>105.5633608772051</c:v>
                </c:pt>
                <c:pt idx="592">
                  <c:v>102.74428044163758</c:v>
                </c:pt>
                <c:pt idx="593">
                  <c:v>172.65115033582131</c:v>
                </c:pt>
                <c:pt idx="594">
                  <c:v>127.52767422827702</c:v>
                </c:pt>
                <c:pt idx="595">
                  <c:v>23.987302050740908</c:v>
                </c:pt>
                <c:pt idx="596">
                  <c:v>228.92156304120161</c:v>
                </c:pt>
                <c:pt idx="597">
                  <c:v>119.53929249529321</c:v>
                </c:pt>
                <c:pt idx="598">
                  <c:v>24.30250794273762</c:v>
                </c:pt>
                <c:pt idx="599">
                  <c:v>87.073914006705095</c:v>
                </c:pt>
              </c:numCache>
            </c:numRef>
          </c:xVal>
          <c:yVal>
            <c:numRef>
              <c:f>Inverse!$P$3:$P$602</c:f>
              <c:numCache>
                <c:formatCode>0.0000</c:formatCode>
                <c:ptCount val="600"/>
                <c:pt idx="0">
                  <c:v>3.1348317861557007E-5</c:v>
                </c:pt>
                <c:pt idx="1">
                  <c:v>9.1120600700378418E-6</c:v>
                </c:pt>
                <c:pt idx="2">
                  <c:v>7.0743262767791748E-5</c:v>
                </c:pt>
                <c:pt idx="3">
                  <c:v>1.0713702067732811E-5</c:v>
                </c:pt>
                <c:pt idx="4">
                  <c:v>4.7232955694198608E-5</c:v>
                </c:pt>
                <c:pt idx="5">
                  <c:v>7.2824768722057343E-6</c:v>
                </c:pt>
                <c:pt idx="6">
                  <c:v>4.9217604100704193E-5</c:v>
                </c:pt>
                <c:pt idx="7">
                  <c:v>6.9595873355865479E-5</c:v>
                </c:pt>
                <c:pt idx="8">
                  <c:v>5.511939525604248E-5</c:v>
                </c:pt>
                <c:pt idx="9">
                  <c:v>3.1260773539543152E-5</c:v>
                </c:pt>
                <c:pt idx="10">
                  <c:v>7.281079888343811E-6</c:v>
                </c:pt>
                <c:pt idx="11">
                  <c:v>4.4202432036399841E-5</c:v>
                </c:pt>
                <c:pt idx="12">
                  <c:v>5.1792711019515991E-5</c:v>
                </c:pt>
                <c:pt idx="13">
                  <c:v>4.0635466575622559E-5</c:v>
                </c:pt>
                <c:pt idx="14">
                  <c:v>7.0130452513694763E-5</c:v>
                </c:pt>
                <c:pt idx="15">
                  <c:v>5.0729140639305115E-5</c:v>
                </c:pt>
                <c:pt idx="16">
                  <c:v>2.9676593840122223E-6</c:v>
                </c:pt>
                <c:pt idx="17">
                  <c:v>6.2232837080955505E-5</c:v>
                </c:pt>
                <c:pt idx="18">
                  <c:v>5.0051137804985046E-5</c:v>
                </c:pt>
                <c:pt idx="19">
                  <c:v>2.6329420506954193E-5</c:v>
                </c:pt>
                <c:pt idx="20">
                  <c:v>4.6679750084877014E-5</c:v>
                </c:pt>
                <c:pt idx="21">
                  <c:v>6.8390741944313049E-5</c:v>
                </c:pt>
                <c:pt idx="22">
                  <c:v>3.7947669625282288E-5</c:v>
                </c:pt>
                <c:pt idx="23">
                  <c:v>4.9021095037460327E-5</c:v>
                </c:pt>
                <c:pt idx="24">
                  <c:v>1.7770566046237946E-5</c:v>
                </c:pt>
                <c:pt idx="25">
                  <c:v>3.917887806892395E-5</c:v>
                </c:pt>
                <c:pt idx="26">
                  <c:v>3.3432617783546448E-5</c:v>
                </c:pt>
                <c:pt idx="27">
                  <c:v>1.7967075109481812E-5</c:v>
                </c:pt>
                <c:pt idx="28">
                  <c:v>5.1902607083320618E-6</c:v>
                </c:pt>
                <c:pt idx="29">
                  <c:v>2.0161271095275879E-5</c:v>
                </c:pt>
                <c:pt idx="30">
                  <c:v>1.0343734174966812E-5</c:v>
                </c:pt>
                <c:pt idx="31">
                  <c:v>1.0283198207616806E-5</c:v>
                </c:pt>
                <c:pt idx="32">
                  <c:v>4.4655054807662964E-5</c:v>
                </c:pt>
                <c:pt idx="33">
                  <c:v>7.2054564952850342E-5</c:v>
                </c:pt>
                <c:pt idx="34">
                  <c:v>7.2397291660308838E-5</c:v>
                </c:pt>
                <c:pt idx="35">
                  <c:v>8.9546665549278259E-6</c:v>
                </c:pt>
                <c:pt idx="36">
                  <c:v>2.4277716875076294E-5</c:v>
                </c:pt>
                <c:pt idx="37">
                  <c:v>1.2083910405635834E-5</c:v>
                </c:pt>
                <c:pt idx="38">
                  <c:v>7.3947012424468994E-7</c:v>
                </c:pt>
                <c:pt idx="39">
                  <c:v>3.8091093301773071E-7</c:v>
                </c:pt>
                <c:pt idx="40">
                  <c:v>3.3115968108177185E-5</c:v>
                </c:pt>
                <c:pt idx="41">
                  <c:v>2.8929207473993301E-7</c:v>
                </c:pt>
                <c:pt idx="42">
                  <c:v>6.8603083491325378E-5</c:v>
                </c:pt>
                <c:pt idx="43">
                  <c:v>1.6948208212852478E-5</c:v>
                </c:pt>
                <c:pt idx="44">
                  <c:v>7.1637332439422607E-6</c:v>
                </c:pt>
                <c:pt idx="45">
                  <c:v>2.7703121304512024E-5</c:v>
                </c:pt>
                <c:pt idx="46">
                  <c:v>4.0652230381965637E-7</c:v>
                </c:pt>
                <c:pt idx="47">
                  <c:v>6.7953020334243774E-5</c:v>
                </c:pt>
                <c:pt idx="48">
                  <c:v>3.7774443626403809E-6</c:v>
                </c:pt>
                <c:pt idx="49">
                  <c:v>1.0361894965171814E-5</c:v>
                </c:pt>
                <c:pt idx="50">
                  <c:v>6.9607049226760864E-6</c:v>
                </c:pt>
                <c:pt idx="51">
                  <c:v>1.4457851648330688E-5</c:v>
                </c:pt>
                <c:pt idx="52">
                  <c:v>5.2740797400474548E-6</c:v>
                </c:pt>
                <c:pt idx="53">
                  <c:v>1.9889324903488159E-5</c:v>
                </c:pt>
                <c:pt idx="54">
                  <c:v>2.8195790946483612E-6</c:v>
                </c:pt>
                <c:pt idx="55">
                  <c:v>2.4816021323204041E-5</c:v>
                </c:pt>
                <c:pt idx="56">
                  <c:v>2.7054920792579651E-5</c:v>
                </c:pt>
                <c:pt idx="57">
                  <c:v>3.9525330066680908E-6</c:v>
                </c:pt>
                <c:pt idx="58">
                  <c:v>6.4931809902191162E-5</c:v>
                </c:pt>
                <c:pt idx="59">
                  <c:v>6.7701563239097595E-5</c:v>
                </c:pt>
                <c:pt idx="60">
                  <c:v>2.8114765882492065E-5</c:v>
                </c:pt>
                <c:pt idx="61">
                  <c:v>4.8382207751274109E-5</c:v>
                </c:pt>
                <c:pt idx="62">
                  <c:v>5.2027404308319092E-5</c:v>
                </c:pt>
                <c:pt idx="63">
                  <c:v>2.6500783860683441E-5</c:v>
                </c:pt>
                <c:pt idx="64">
                  <c:v>2.278108149766922E-5</c:v>
                </c:pt>
                <c:pt idx="65">
                  <c:v>1.7249956727027893E-5</c:v>
                </c:pt>
                <c:pt idx="66">
                  <c:v>5.7777389883995056E-5</c:v>
                </c:pt>
                <c:pt idx="67">
                  <c:v>4.3648295104503632E-5</c:v>
                </c:pt>
                <c:pt idx="68">
                  <c:v>3.2130628824234009E-6</c:v>
                </c:pt>
                <c:pt idx="69">
                  <c:v>9.0338289737701416E-6</c:v>
                </c:pt>
                <c:pt idx="70">
                  <c:v>5.8125704526901245E-5</c:v>
                </c:pt>
                <c:pt idx="71">
                  <c:v>3.0198134481906891E-7</c:v>
                </c:pt>
                <c:pt idx="72">
                  <c:v>1.6689300537109375E-6</c:v>
                </c:pt>
                <c:pt idx="73">
                  <c:v>2.4537555873394012E-5</c:v>
                </c:pt>
                <c:pt idx="74">
                  <c:v>8.0699101090431213E-6</c:v>
                </c:pt>
                <c:pt idx="75">
                  <c:v>6.8850815296173096E-5</c:v>
                </c:pt>
                <c:pt idx="76">
                  <c:v>6.8461522459983826E-6</c:v>
                </c:pt>
                <c:pt idx="77">
                  <c:v>1.8086284399032593E-5</c:v>
                </c:pt>
                <c:pt idx="78">
                  <c:v>3.6250799894332886E-5</c:v>
                </c:pt>
                <c:pt idx="79">
                  <c:v>7.7355653047561646E-6</c:v>
                </c:pt>
                <c:pt idx="80">
                  <c:v>4.3831765651702881E-5</c:v>
                </c:pt>
                <c:pt idx="81">
                  <c:v>4.3371692299842834E-5</c:v>
                </c:pt>
                <c:pt idx="82">
                  <c:v>2.2267922759056091E-5</c:v>
                </c:pt>
                <c:pt idx="83">
                  <c:v>2.711080014705658E-6</c:v>
                </c:pt>
                <c:pt idx="84">
                  <c:v>3.6507844924926758E-7</c:v>
                </c:pt>
                <c:pt idx="85">
                  <c:v>3.7375837564468384E-5</c:v>
                </c:pt>
                <c:pt idx="86">
                  <c:v>9.4249844551086426E-6</c:v>
                </c:pt>
                <c:pt idx="87">
                  <c:v>2.8315000236034393E-5</c:v>
                </c:pt>
                <c:pt idx="88">
                  <c:v>6.9640576839447021E-5</c:v>
                </c:pt>
                <c:pt idx="89">
                  <c:v>2.0549632608890533E-5</c:v>
                </c:pt>
                <c:pt idx="90">
                  <c:v>1.6982667148113251E-5</c:v>
                </c:pt>
                <c:pt idx="91">
                  <c:v>4.3157488107681274E-5</c:v>
                </c:pt>
                <c:pt idx="92">
                  <c:v>8.082948625087738E-6</c:v>
                </c:pt>
                <c:pt idx="93">
                  <c:v>3.8504600524902344E-5</c:v>
                </c:pt>
                <c:pt idx="94">
                  <c:v>3.625825047492981E-5</c:v>
                </c:pt>
                <c:pt idx="95">
                  <c:v>5.1664188504219055E-5</c:v>
                </c:pt>
                <c:pt idx="96">
                  <c:v>2.084486186504364E-5</c:v>
                </c:pt>
                <c:pt idx="97">
                  <c:v>3.0539929866790771E-5</c:v>
                </c:pt>
                <c:pt idx="98">
                  <c:v>3.1742267310619354E-5</c:v>
                </c:pt>
                <c:pt idx="99">
                  <c:v>1.8309801816940308E-5</c:v>
                </c:pt>
                <c:pt idx="100">
                  <c:v>5.7124998420476913E-7</c:v>
                </c:pt>
                <c:pt idx="101">
                  <c:v>3.5461271181702614E-6</c:v>
                </c:pt>
                <c:pt idx="102">
                  <c:v>2.2739404812455177E-6</c:v>
                </c:pt>
                <c:pt idx="103">
                  <c:v>6.6820066422224045E-6</c:v>
                </c:pt>
                <c:pt idx="104">
                  <c:v>1.7333077266812325E-6</c:v>
                </c:pt>
                <c:pt idx="105">
                  <c:v>6.3400948420166969E-6</c:v>
                </c:pt>
                <c:pt idx="106">
                  <c:v>1.0645017027854919E-6</c:v>
                </c:pt>
                <c:pt idx="107">
                  <c:v>4.6582426875829697E-6</c:v>
                </c:pt>
                <c:pt idx="108">
                  <c:v>6.3640763983130455E-6</c:v>
                </c:pt>
                <c:pt idx="109">
                  <c:v>4.9083027988672256E-6</c:v>
                </c:pt>
                <c:pt idx="110">
                  <c:v>4.2153988033533096E-6</c:v>
                </c:pt>
                <c:pt idx="111">
                  <c:v>3.5817502066493034E-6</c:v>
                </c:pt>
                <c:pt idx="112">
                  <c:v>3.3543910831212997E-6</c:v>
                </c:pt>
                <c:pt idx="113">
                  <c:v>2.9148068279027939E-6</c:v>
                </c:pt>
                <c:pt idx="114">
                  <c:v>8.056173101067543E-6</c:v>
                </c:pt>
                <c:pt idx="115">
                  <c:v>5.5070267990231514E-6</c:v>
                </c:pt>
                <c:pt idx="116">
                  <c:v>1.2982636690139771E-6</c:v>
                </c:pt>
                <c:pt idx="117">
                  <c:v>1.8985592760145664E-6</c:v>
                </c:pt>
                <c:pt idx="118">
                  <c:v>4.7045759856700897E-6</c:v>
                </c:pt>
                <c:pt idx="119">
                  <c:v>1.5351688489317894E-6</c:v>
                </c:pt>
                <c:pt idx="120">
                  <c:v>2.2295862436294556E-6</c:v>
                </c:pt>
                <c:pt idx="121">
                  <c:v>3.4319236874580383E-7</c:v>
                </c:pt>
                <c:pt idx="122">
                  <c:v>2.3923348635435104E-6</c:v>
                </c:pt>
                <c:pt idx="123">
                  <c:v>3.30386683344841E-7</c:v>
                </c:pt>
                <c:pt idx="124">
                  <c:v>2.046581357717514E-7</c:v>
                </c:pt>
                <c:pt idx="125">
                  <c:v>8.2273036241531372E-6</c:v>
                </c:pt>
                <c:pt idx="126">
                  <c:v>4.0063168853521347E-6</c:v>
                </c:pt>
                <c:pt idx="127">
                  <c:v>2.6318011805415154E-6</c:v>
                </c:pt>
                <c:pt idx="128">
                  <c:v>2.2607855498790741E-7</c:v>
                </c:pt>
                <c:pt idx="129">
                  <c:v>2.6193447411060333E-9</c:v>
                </c:pt>
                <c:pt idx="130">
                  <c:v>1.3282988220453262E-7</c:v>
                </c:pt>
                <c:pt idx="131">
                  <c:v>1.5756231732666492E-6</c:v>
                </c:pt>
                <c:pt idx="132">
                  <c:v>1.0186340659856796E-7</c:v>
                </c:pt>
                <c:pt idx="133">
                  <c:v>4.6624336391687393E-8</c:v>
                </c:pt>
                <c:pt idx="134">
                  <c:v>3.1873350962996483E-6</c:v>
                </c:pt>
                <c:pt idx="135">
                  <c:v>2.7125934138894081E-6</c:v>
                </c:pt>
                <c:pt idx="136">
                  <c:v>7.6607102528214455E-7</c:v>
                </c:pt>
                <c:pt idx="137">
                  <c:v>4.686298780143261E-7</c:v>
                </c:pt>
                <c:pt idx="138">
                  <c:v>5.8696605265140533E-6</c:v>
                </c:pt>
                <c:pt idx="139">
                  <c:v>5.7229772210121155E-7</c:v>
                </c:pt>
                <c:pt idx="140">
                  <c:v>7.0151872932910919E-7</c:v>
                </c:pt>
                <c:pt idx="141">
                  <c:v>6.0123857110738754E-6</c:v>
                </c:pt>
                <c:pt idx="142">
                  <c:v>1.4004763215780258E-7</c:v>
                </c:pt>
                <c:pt idx="143">
                  <c:v>1.6791746020317078E-6</c:v>
                </c:pt>
                <c:pt idx="144">
                  <c:v>9.6496660262346268E-6</c:v>
                </c:pt>
                <c:pt idx="145">
                  <c:v>6.7980727180838585E-6</c:v>
                </c:pt>
                <c:pt idx="146">
                  <c:v>2.3795291781425476E-6</c:v>
                </c:pt>
                <c:pt idx="147">
                  <c:v>1.161650288850069E-6</c:v>
                </c:pt>
                <c:pt idx="148">
                  <c:v>7.3108822107315063E-8</c:v>
                </c:pt>
                <c:pt idx="149">
                  <c:v>3.3481046557426453E-7</c:v>
                </c:pt>
                <c:pt idx="150">
                  <c:v>8.2736369222402573E-7</c:v>
                </c:pt>
                <c:pt idx="151">
                  <c:v>3.65404412150383E-6</c:v>
                </c:pt>
                <c:pt idx="152">
                  <c:v>4.0220329537987709E-6</c:v>
                </c:pt>
                <c:pt idx="153">
                  <c:v>2.4822074919939041E-6</c:v>
                </c:pt>
                <c:pt idx="154">
                  <c:v>1.2473901733756065E-7</c:v>
                </c:pt>
                <c:pt idx="155">
                  <c:v>3.2724346965551376E-7</c:v>
                </c:pt>
                <c:pt idx="156">
                  <c:v>6.8801455199718475E-7</c:v>
                </c:pt>
                <c:pt idx="157">
                  <c:v>2.1451851353049278E-6</c:v>
                </c:pt>
                <c:pt idx="158">
                  <c:v>5.6962016969919205E-7</c:v>
                </c:pt>
                <c:pt idx="159">
                  <c:v>1.4493707567453384E-7</c:v>
                </c:pt>
                <c:pt idx="160">
                  <c:v>9.4523420557379723E-7</c:v>
                </c:pt>
                <c:pt idx="161">
                  <c:v>1.1230586096644402E-6</c:v>
                </c:pt>
                <c:pt idx="162">
                  <c:v>1.1792872101068497E-7</c:v>
                </c:pt>
                <c:pt idx="163">
                  <c:v>3.7089921534061432E-6</c:v>
                </c:pt>
                <c:pt idx="164">
                  <c:v>3.0067749321460724E-6</c:v>
                </c:pt>
                <c:pt idx="165">
                  <c:v>3.1094532459974289E-7</c:v>
                </c:pt>
                <c:pt idx="166">
                  <c:v>3.7658028304576874E-6</c:v>
                </c:pt>
                <c:pt idx="167">
                  <c:v>2.5650952011346817E-6</c:v>
                </c:pt>
                <c:pt idx="168">
                  <c:v>7.7956356108188629E-6</c:v>
                </c:pt>
                <c:pt idx="169">
                  <c:v>6.2533654272556305E-6</c:v>
                </c:pt>
                <c:pt idx="170">
                  <c:v>6.9055240601301193E-6</c:v>
                </c:pt>
                <c:pt idx="171">
                  <c:v>4.2375177145004272E-7</c:v>
                </c:pt>
                <c:pt idx="172">
                  <c:v>2.7344794943928719E-6</c:v>
                </c:pt>
                <c:pt idx="173">
                  <c:v>1.4183460734784603E-6</c:v>
                </c:pt>
                <c:pt idx="174">
                  <c:v>1.7396814655512571E-8</c:v>
                </c:pt>
                <c:pt idx="175">
                  <c:v>6.8795634433627129E-7</c:v>
                </c:pt>
                <c:pt idx="176">
                  <c:v>7.2470866143703461E-6</c:v>
                </c:pt>
                <c:pt idx="177">
                  <c:v>1.4321412891149521E-6</c:v>
                </c:pt>
                <c:pt idx="178">
                  <c:v>1.2809177860617638E-6</c:v>
                </c:pt>
                <c:pt idx="179">
                  <c:v>6.3469633460044861E-6</c:v>
                </c:pt>
                <c:pt idx="180">
                  <c:v>3.0768569558858871E-7</c:v>
                </c:pt>
                <c:pt idx="181">
                  <c:v>4.5031774789094925E-6</c:v>
                </c:pt>
                <c:pt idx="182">
                  <c:v>5.2440445870161057E-6</c:v>
                </c:pt>
                <c:pt idx="183">
                  <c:v>1.9335420802235603E-6</c:v>
                </c:pt>
                <c:pt idx="184">
                  <c:v>1.6328413039445877E-6</c:v>
                </c:pt>
                <c:pt idx="185">
                  <c:v>2.6704510673880577E-6</c:v>
                </c:pt>
                <c:pt idx="186">
                  <c:v>4.4341431930661201E-6</c:v>
                </c:pt>
                <c:pt idx="187">
                  <c:v>6.841728463768959E-7</c:v>
                </c:pt>
                <c:pt idx="188">
                  <c:v>4.7988723963499069E-6</c:v>
                </c:pt>
                <c:pt idx="189">
                  <c:v>1.8900027498602867E-7</c:v>
                </c:pt>
                <c:pt idx="190">
                  <c:v>3.3017713576555252E-6</c:v>
                </c:pt>
                <c:pt idx="191">
                  <c:v>1.6344711184501648E-7</c:v>
                </c:pt>
                <c:pt idx="192">
                  <c:v>4.5815249904990196E-7</c:v>
                </c:pt>
                <c:pt idx="193">
                  <c:v>7.2445254772901535E-7</c:v>
                </c:pt>
                <c:pt idx="194">
                  <c:v>2.6333145797252655E-7</c:v>
                </c:pt>
                <c:pt idx="195">
                  <c:v>2.1982705220580101E-6</c:v>
                </c:pt>
                <c:pt idx="196">
                  <c:v>1.6065314412117004E-6</c:v>
                </c:pt>
                <c:pt idx="197">
                  <c:v>2.1310988813638687E-6</c:v>
                </c:pt>
                <c:pt idx="198">
                  <c:v>3.356661181896925E-6</c:v>
                </c:pt>
                <c:pt idx="199">
                  <c:v>1.6328413039445877E-6</c:v>
                </c:pt>
                <c:pt idx="200">
                  <c:v>5.5413038353435695E-6</c:v>
                </c:pt>
                <c:pt idx="201">
                  <c:v>3.3948163036257029E-7</c:v>
                </c:pt>
                <c:pt idx="202">
                  <c:v>9.6396979643031955E-7</c:v>
                </c:pt>
                <c:pt idx="203">
                  <c:v>8.9778041001409292E-7</c:v>
                </c:pt>
                <c:pt idx="204">
                  <c:v>3.198510967195034E-8</c:v>
                </c:pt>
                <c:pt idx="205">
                  <c:v>1.8204591469839215E-6</c:v>
                </c:pt>
                <c:pt idx="206">
                  <c:v>2.1151208784431219E-6</c:v>
                </c:pt>
                <c:pt idx="207">
                  <c:v>4.7335197450593114E-7</c:v>
                </c:pt>
                <c:pt idx="208">
                  <c:v>8.7622902356088161E-7</c:v>
                </c:pt>
                <c:pt idx="209">
                  <c:v>2.5902409106492996E-8</c:v>
                </c:pt>
                <c:pt idx="210">
                  <c:v>8.3815393736585975E-7</c:v>
                </c:pt>
                <c:pt idx="211">
                  <c:v>6.9997622631490231E-7</c:v>
                </c:pt>
                <c:pt idx="212">
                  <c:v>4.923349479213357E-7</c:v>
                </c:pt>
                <c:pt idx="213">
                  <c:v>5.5842974688857794E-10</c:v>
                </c:pt>
                <c:pt idx="214">
                  <c:v>1.7235288396477699E-7</c:v>
                </c:pt>
                <c:pt idx="215">
                  <c:v>2.2673702915199101E-9</c:v>
                </c:pt>
                <c:pt idx="216">
                  <c:v>1.0410294635221362E-6</c:v>
                </c:pt>
                <c:pt idx="217">
                  <c:v>5.9118610806763172E-7</c:v>
                </c:pt>
                <c:pt idx="218">
                  <c:v>4.2637111619114876E-8</c:v>
                </c:pt>
                <c:pt idx="219">
                  <c:v>6.7451037466526031E-7</c:v>
                </c:pt>
                <c:pt idx="220">
                  <c:v>7.9253368312492967E-8</c:v>
                </c:pt>
                <c:pt idx="221">
                  <c:v>2.6857014745473862E-7</c:v>
                </c:pt>
                <c:pt idx="222">
                  <c:v>5.0451490096747875E-7</c:v>
                </c:pt>
                <c:pt idx="223">
                  <c:v>8.3695340435951948E-7</c:v>
                </c:pt>
                <c:pt idx="224">
                  <c:v>5.7068245951086283E-7</c:v>
                </c:pt>
                <c:pt idx="225">
                  <c:v>5.9138983488082886E-7</c:v>
                </c:pt>
                <c:pt idx="226">
                  <c:v>5.5946293286979198E-7</c:v>
                </c:pt>
                <c:pt idx="227">
                  <c:v>1.2420059647411108E-8</c:v>
                </c:pt>
                <c:pt idx="228">
                  <c:v>3.9965962059795856E-6</c:v>
                </c:pt>
                <c:pt idx="229">
                  <c:v>1.3945100363343954E-7</c:v>
                </c:pt>
                <c:pt idx="230">
                  <c:v>1.3841781765222549E-7</c:v>
                </c:pt>
                <c:pt idx="231">
                  <c:v>3.3238029573112726E-7</c:v>
                </c:pt>
                <c:pt idx="232">
                  <c:v>6.3890183810144663E-8</c:v>
                </c:pt>
                <c:pt idx="233">
                  <c:v>5.6745921028777957E-7</c:v>
                </c:pt>
                <c:pt idx="234">
                  <c:v>3.0953087843954563E-6</c:v>
                </c:pt>
                <c:pt idx="235">
                  <c:v>1.3035605661571026E-7</c:v>
                </c:pt>
                <c:pt idx="236">
                  <c:v>3.1370291253551841E-8</c:v>
                </c:pt>
                <c:pt idx="237">
                  <c:v>1.6172998584806919E-7</c:v>
                </c:pt>
                <c:pt idx="238">
                  <c:v>2.1525193005800247E-7</c:v>
                </c:pt>
                <c:pt idx="239">
                  <c:v>1.7687852960079908E-7</c:v>
                </c:pt>
                <c:pt idx="240">
                  <c:v>1.3733369996771216E-7</c:v>
                </c:pt>
                <c:pt idx="241">
                  <c:v>7.1094837039709091E-7</c:v>
                </c:pt>
                <c:pt idx="242">
                  <c:v>3.7223799154162407E-8</c:v>
                </c:pt>
                <c:pt idx="243">
                  <c:v>3.7478457670658827E-7</c:v>
                </c:pt>
                <c:pt idx="244">
                  <c:v>1.282314769923687E-7</c:v>
                </c:pt>
                <c:pt idx="245">
                  <c:v>2.2395397536456585E-8</c:v>
                </c:pt>
                <c:pt idx="246">
                  <c:v>8.7462467490695417E-8</c:v>
                </c:pt>
                <c:pt idx="247">
                  <c:v>4.3998443288728595E-7</c:v>
                </c:pt>
                <c:pt idx="248">
                  <c:v>8.1377947935834527E-8</c:v>
                </c:pt>
                <c:pt idx="249">
                  <c:v>2.6472844183444977E-7</c:v>
                </c:pt>
                <c:pt idx="250">
                  <c:v>5.0989910960197449E-8</c:v>
                </c:pt>
                <c:pt idx="251">
                  <c:v>8.669740054756403E-7</c:v>
                </c:pt>
                <c:pt idx="252">
                  <c:v>2.3107277229428291E-6</c:v>
                </c:pt>
                <c:pt idx="253">
                  <c:v>6.8094232119619846E-7</c:v>
                </c:pt>
                <c:pt idx="254">
                  <c:v>1.3067619875073433E-8</c:v>
                </c:pt>
                <c:pt idx="255">
                  <c:v>1.57160684466362E-7</c:v>
                </c:pt>
                <c:pt idx="256">
                  <c:v>4.1444582166150212E-6</c:v>
                </c:pt>
                <c:pt idx="257">
                  <c:v>8.2218321040272713E-9</c:v>
                </c:pt>
                <c:pt idx="258">
                  <c:v>6.5188942244276404E-7</c:v>
                </c:pt>
                <c:pt idx="259">
                  <c:v>4.1318708099424839E-7</c:v>
                </c:pt>
                <c:pt idx="260">
                  <c:v>7.6438300311565399E-7</c:v>
                </c:pt>
                <c:pt idx="261">
                  <c:v>2.3758911993354559E-7</c:v>
                </c:pt>
                <c:pt idx="262">
                  <c:v>5.2779796533286572E-8</c:v>
                </c:pt>
                <c:pt idx="263">
                  <c:v>4.0619197534397244E-6</c:v>
                </c:pt>
                <c:pt idx="264">
                  <c:v>2.0956722437404096E-6</c:v>
                </c:pt>
                <c:pt idx="265">
                  <c:v>4.1947350837290287E-7</c:v>
                </c:pt>
                <c:pt idx="266">
                  <c:v>2.0377046894282103E-7</c:v>
                </c:pt>
                <c:pt idx="267">
                  <c:v>7.5729622039943933E-7</c:v>
                </c:pt>
                <c:pt idx="268">
                  <c:v>4.5782144297845662E-8</c:v>
                </c:pt>
                <c:pt idx="269">
                  <c:v>3.4805270843207836E-7</c:v>
                </c:pt>
                <c:pt idx="270">
                  <c:v>5.5224518291652203E-9</c:v>
                </c:pt>
                <c:pt idx="271">
                  <c:v>3.1148374546319246E-8</c:v>
                </c:pt>
                <c:pt idx="272">
                  <c:v>1.8644714145921171E-6</c:v>
                </c:pt>
                <c:pt idx="273">
                  <c:v>2.9533111955970526E-7</c:v>
                </c:pt>
                <c:pt idx="274">
                  <c:v>1.6485864762216806E-7</c:v>
                </c:pt>
                <c:pt idx="275">
                  <c:v>1.0987423593178391E-7</c:v>
                </c:pt>
                <c:pt idx="276">
                  <c:v>4.1333260014653206E-7</c:v>
                </c:pt>
                <c:pt idx="277">
                  <c:v>3.9729638956487179E-7</c:v>
                </c:pt>
                <c:pt idx="278">
                  <c:v>2.0775769371539354E-7</c:v>
                </c:pt>
                <c:pt idx="279">
                  <c:v>2.956818207167089E-6</c:v>
                </c:pt>
                <c:pt idx="280">
                  <c:v>6.6679785959422588E-7</c:v>
                </c:pt>
                <c:pt idx="281">
                  <c:v>7.8219454735517502E-7</c:v>
                </c:pt>
                <c:pt idx="282">
                  <c:v>5.5320560932159424E-7</c:v>
                </c:pt>
                <c:pt idx="283">
                  <c:v>8.2975020632147789E-8</c:v>
                </c:pt>
                <c:pt idx="284">
                  <c:v>2.5916961021721363E-8</c:v>
                </c:pt>
                <c:pt idx="285">
                  <c:v>4.59867442259565E-6</c:v>
                </c:pt>
                <c:pt idx="286">
                  <c:v>2.4631444830447435E-6</c:v>
                </c:pt>
                <c:pt idx="287">
                  <c:v>2.176646376028657E-6</c:v>
                </c:pt>
                <c:pt idx="288">
                  <c:v>8.6583895608782768E-9</c:v>
                </c:pt>
                <c:pt idx="289">
                  <c:v>6.9361703936010599E-7</c:v>
                </c:pt>
                <c:pt idx="290">
                  <c:v>2.6969064492732286E-7</c:v>
                </c:pt>
                <c:pt idx="291">
                  <c:v>3.3585820347070694E-8</c:v>
                </c:pt>
                <c:pt idx="292">
                  <c:v>6.7085784394294024E-7</c:v>
                </c:pt>
                <c:pt idx="293">
                  <c:v>6.5176573116332293E-7</c:v>
                </c:pt>
                <c:pt idx="294">
                  <c:v>2.0868901629000902E-7</c:v>
                </c:pt>
                <c:pt idx="295">
                  <c:v>6.0275488067418337E-7</c:v>
                </c:pt>
                <c:pt idx="296">
                  <c:v>2.2264430299401283E-9</c:v>
                </c:pt>
                <c:pt idx="297">
                  <c:v>4.4150510802865028E-8</c:v>
                </c:pt>
                <c:pt idx="298">
                  <c:v>5.2932591643184423E-9</c:v>
                </c:pt>
                <c:pt idx="299">
                  <c:v>1.5177647583186626E-7</c:v>
                </c:pt>
                <c:pt idx="300">
                  <c:v>1.027256075758487E-7</c:v>
                </c:pt>
                <c:pt idx="301">
                  <c:v>9.5817085821181536E-8</c:v>
                </c:pt>
                <c:pt idx="302">
                  <c:v>6.1487298808060586E-8</c:v>
                </c:pt>
                <c:pt idx="303">
                  <c:v>2.7668284019455314E-7</c:v>
                </c:pt>
                <c:pt idx="304">
                  <c:v>2.3361280909739435E-7</c:v>
                </c:pt>
                <c:pt idx="305">
                  <c:v>1.04919308796525E-8</c:v>
                </c:pt>
                <c:pt idx="306">
                  <c:v>2.4934706743806601E-8</c:v>
                </c:pt>
                <c:pt idx="307">
                  <c:v>4.4786247599404305E-7</c:v>
                </c:pt>
                <c:pt idx="308">
                  <c:v>5.3127951105125248E-7</c:v>
                </c:pt>
                <c:pt idx="309">
                  <c:v>5.1686038204934448E-7</c:v>
                </c:pt>
                <c:pt idx="310">
                  <c:v>1.496118784416467E-8</c:v>
                </c:pt>
                <c:pt idx="311">
                  <c:v>9.2771006166003644E-7</c:v>
                </c:pt>
                <c:pt idx="312">
                  <c:v>3.4542608773335814E-9</c:v>
                </c:pt>
                <c:pt idx="313">
                  <c:v>4.2173269321210682E-8</c:v>
                </c:pt>
                <c:pt idx="314">
                  <c:v>9.3127891886979342E-7</c:v>
                </c:pt>
                <c:pt idx="315">
                  <c:v>3.8158759707584977E-8</c:v>
                </c:pt>
                <c:pt idx="316">
                  <c:v>2.1733690118708182E-6</c:v>
                </c:pt>
                <c:pt idx="317">
                  <c:v>1.5044461179058999E-6</c:v>
                </c:pt>
                <c:pt idx="318">
                  <c:v>2.2570202418137342E-7</c:v>
                </c:pt>
                <c:pt idx="319">
                  <c:v>1.2921300367452204E-6</c:v>
                </c:pt>
                <c:pt idx="320">
                  <c:v>7.6694050221703947E-8</c:v>
                </c:pt>
                <c:pt idx="321">
                  <c:v>2.938850229838863E-7</c:v>
                </c:pt>
                <c:pt idx="322">
                  <c:v>6.0827005654573441E-8</c:v>
                </c:pt>
                <c:pt idx="323">
                  <c:v>5.3870826377533376E-7</c:v>
                </c:pt>
                <c:pt idx="324">
                  <c:v>5.6590579333715141E-8</c:v>
                </c:pt>
                <c:pt idx="325">
                  <c:v>7.6096512202639133E-7</c:v>
                </c:pt>
                <c:pt idx="326">
                  <c:v>3.9764563553035259E-7</c:v>
                </c:pt>
                <c:pt idx="327">
                  <c:v>1.8728314898908138E-8</c:v>
                </c:pt>
                <c:pt idx="328">
                  <c:v>3.5223092709202319E-7</c:v>
                </c:pt>
                <c:pt idx="329">
                  <c:v>4.5167325879447162E-7</c:v>
                </c:pt>
                <c:pt idx="330">
                  <c:v>8.8450178736820817E-8</c:v>
                </c:pt>
                <c:pt idx="331">
                  <c:v>3.3267315302509815E-7</c:v>
                </c:pt>
                <c:pt idx="332">
                  <c:v>3.3271317079197615E-7</c:v>
                </c:pt>
                <c:pt idx="333">
                  <c:v>1.2863310985267162E-6</c:v>
                </c:pt>
                <c:pt idx="334">
                  <c:v>1.0286385077051818E-7</c:v>
                </c:pt>
                <c:pt idx="335">
                  <c:v>4.2564352042973042E-10</c:v>
                </c:pt>
                <c:pt idx="336">
                  <c:v>7.4328272603452206E-7</c:v>
                </c:pt>
                <c:pt idx="337">
                  <c:v>5.766196409240365E-10</c:v>
                </c:pt>
                <c:pt idx="338">
                  <c:v>2.9901548259658739E-7</c:v>
                </c:pt>
                <c:pt idx="339">
                  <c:v>3.3905962482094765E-9</c:v>
                </c:pt>
                <c:pt idx="340">
                  <c:v>4.4579792302101851E-8</c:v>
                </c:pt>
                <c:pt idx="341">
                  <c:v>1.1441443348303437E-9</c:v>
                </c:pt>
                <c:pt idx="342">
                  <c:v>1.8925602489616722E-6</c:v>
                </c:pt>
                <c:pt idx="343">
                  <c:v>9.7858446679310873E-8</c:v>
                </c:pt>
                <c:pt idx="344">
                  <c:v>1.189255272038281E-8</c:v>
                </c:pt>
                <c:pt idx="345">
                  <c:v>2.9048351279925555E-7</c:v>
                </c:pt>
                <c:pt idx="346">
                  <c:v>8.1806319940369576E-8</c:v>
                </c:pt>
                <c:pt idx="347">
                  <c:v>2.0329480321379378E-8</c:v>
                </c:pt>
                <c:pt idx="348">
                  <c:v>1.8744685803540051E-9</c:v>
                </c:pt>
                <c:pt idx="349">
                  <c:v>2.0947300072293729E-7</c:v>
                </c:pt>
                <c:pt idx="350">
                  <c:v>7.20829120837152E-8</c:v>
                </c:pt>
                <c:pt idx="351">
                  <c:v>2.4920154828578234E-10</c:v>
                </c:pt>
                <c:pt idx="352">
                  <c:v>3.3054675441235304E-8</c:v>
                </c:pt>
                <c:pt idx="353">
                  <c:v>1.4624674804508686E-9</c:v>
                </c:pt>
                <c:pt idx="354">
                  <c:v>2.1225787349976599E-8</c:v>
                </c:pt>
                <c:pt idx="355">
                  <c:v>3.9692167774774134E-8</c:v>
                </c:pt>
                <c:pt idx="356">
                  <c:v>8.7982698460109532E-7</c:v>
                </c:pt>
                <c:pt idx="357">
                  <c:v>1.2922100722789764E-8</c:v>
                </c:pt>
                <c:pt idx="358">
                  <c:v>6.596346793230623E-7</c:v>
                </c:pt>
                <c:pt idx="359">
                  <c:v>1.6473040886921808E-7</c:v>
                </c:pt>
                <c:pt idx="360">
                  <c:v>7.8708944784011692E-7</c:v>
                </c:pt>
                <c:pt idx="361">
                  <c:v>4.5801789383403957E-7</c:v>
                </c:pt>
                <c:pt idx="362">
                  <c:v>1.4667057257611305E-7</c:v>
                </c:pt>
                <c:pt idx="363">
                  <c:v>5.1042661652900279E-7</c:v>
                </c:pt>
                <c:pt idx="364">
                  <c:v>5.130095814820379E-8</c:v>
                </c:pt>
                <c:pt idx="365">
                  <c:v>7.1246176958084106E-8</c:v>
                </c:pt>
                <c:pt idx="366">
                  <c:v>1.5826990420464426E-6</c:v>
                </c:pt>
                <c:pt idx="367">
                  <c:v>1.0030271369032562E-7</c:v>
                </c:pt>
                <c:pt idx="368">
                  <c:v>8.1297457654727623E-9</c:v>
                </c:pt>
                <c:pt idx="369">
                  <c:v>5.9480953495949507E-9</c:v>
                </c:pt>
                <c:pt idx="370">
                  <c:v>4.6420609578490257E-9</c:v>
                </c:pt>
                <c:pt idx="371">
                  <c:v>7.3809133027680218E-7</c:v>
                </c:pt>
                <c:pt idx="372">
                  <c:v>8.1188773037865758E-8</c:v>
                </c:pt>
                <c:pt idx="373">
                  <c:v>2.3096617951523513E-8</c:v>
                </c:pt>
                <c:pt idx="374">
                  <c:v>5.6543285609222949E-9</c:v>
                </c:pt>
                <c:pt idx="375">
                  <c:v>7.3086994234472513E-8</c:v>
                </c:pt>
                <c:pt idx="376">
                  <c:v>5.3348230721894652E-7</c:v>
                </c:pt>
                <c:pt idx="377">
                  <c:v>1.7334969015792012E-9</c:v>
                </c:pt>
                <c:pt idx="378">
                  <c:v>1.0907060641329736E-6</c:v>
                </c:pt>
                <c:pt idx="379">
                  <c:v>1.1201336747035384E-8</c:v>
                </c:pt>
                <c:pt idx="380">
                  <c:v>1.6403464542236179E-7</c:v>
                </c:pt>
                <c:pt idx="381">
                  <c:v>1.8945138435810804E-7</c:v>
                </c:pt>
                <c:pt idx="382">
                  <c:v>4.7726643970236182E-8</c:v>
                </c:pt>
                <c:pt idx="383">
                  <c:v>4.5529304770752788E-9</c:v>
                </c:pt>
                <c:pt idx="384">
                  <c:v>4.5411434257403016E-7</c:v>
                </c:pt>
                <c:pt idx="385">
                  <c:v>3.5201446735300124E-7</c:v>
                </c:pt>
                <c:pt idx="386">
                  <c:v>7.2994680522242561E-7</c:v>
                </c:pt>
                <c:pt idx="387">
                  <c:v>1.9216822693124413E-6</c:v>
                </c:pt>
                <c:pt idx="388">
                  <c:v>1.534834154881537E-6</c:v>
                </c:pt>
                <c:pt idx="389">
                  <c:v>7.5109710451215506E-8</c:v>
                </c:pt>
                <c:pt idx="390">
                  <c:v>2.5111148715950549E-9</c:v>
                </c:pt>
                <c:pt idx="391">
                  <c:v>1.664566298131831E-7</c:v>
                </c:pt>
                <c:pt idx="392">
                  <c:v>1.7786078387871385E-8</c:v>
                </c:pt>
                <c:pt idx="393">
                  <c:v>1.7358252080157399E-7</c:v>
                </c:pt>
                <c:pt idx="394">
                  <c:v>4.516805347520858E-7</c:v>
                </c:pt>
                <c:pt idx="395">
                  <c:v>3.0337105272337794E-7</c:v>
                </c:pt>
                <c:pt idx="396">
                  <c:v>1.0804797057062387E-9</c:v>
                </c:pt>
                <c:pt idx="397">
                  <c:v>4.3388354242779315E-8</c:v>
                </c:pt>
                <c:pt idx="398">
                  <c:v>3.6441815609578043E-7</c:v>
                </c:pt>
                <c:pt idx="399">
                  <c:v>3.3321339287795126E-7</c:v>
                </c:pt>
                <c:pt idx="400">
                  <c:v>1.5060494433782878E-6</c:v>
                </c:pt>
                <c:pt idx="401">
                  <c:v>1.5409113984787837E-8</c:v>
                </c:pt>
                <c:pt idx="402">
                  <c:v>5.6313365348614752E-7</c:v>
                </c:pt>
                <c:pt idx="403">
                  <c:v>2.0183415472274646E-7</c:v>
                </c:pt>
                <c:pt idx="404">
                  <c:v>1.1264091881457716E-9</c:v>
                </c:pt>
                <c:pt idx="405">
                  <c:v>1.8371015357843135E-6</c:v>
                </c:pt>
                <c:pt idx="406">
                  <c:v>3.2209698019869393E-7</c:v>
                </c:pt>
                <c:pt idx="407">
                  <c:v>2.5837152861640789E-8</c:v>
                </c:pt>
                <c:pt idx="408">
                  <c:v>1.3624230632558465E-9</c:v>
                </c:pt>
                <c:pt idx="409">
                  <c:v>1.6106196198961698E-7</c:v>
                </c:pt>
                <c:pt idx="410">
                  <c:v>5.679174819306354E-8</c:v>
                </c:pt>
                <c:pt idx="411">
                  <c:v>9.7762722361949272E-8</c:v>
                </c:pt>
                <c:pt idx="412">
                  <c:v>1.6137164493557066E-8</c:v>
                </c:pt>
                <c:pt idx="413">
                  <c:v>3.1819308787817135E-7</c:v>
                </c:pt>
                <c:pt idx="414">
                  <c:v>8.0649442679714411E-10</c:v>
                </c:pt>
                <c:pt idx="415">
                  <c:v>1.1548081602086313E-8</c:v>
                </c:pt>
                <c:pt idx="416">
                  <c:v>6.0884985941811465E-10</c:v>
                </c:pt>
                <c:pt idx="417">
                  <c:v>1.1462225302238949E-7</c:v>
                </c:pt>
                <c:pt idx="418">
                  <c:v>1.1567817637114786E-7</c:v>
                </c:pt>
                <c:pt idx="419">
                  <c:v>8.5088686319068074E-8</c:v>
                </c:pt>
                <c:pt idx="420">
                  <c:v>1.8752643882180564E-8</c:v>
                </c:pt>
                <c:pt idx="421">
                  <c:v>4.9886011765920557E-8</c:v>
                </c:pt>
                <c:pt idx="422">
                  <c:v>1.7335469237877987E-7</c:v>
                </c:pt>
                <c:pt idx="423">
                  <c:v>1.7760112314135768E-7</c:v>
                </c:pt>
                <c:pt idx="424">
                  <c:v>7.5283423939254135E-10</c:v>
                </c:pt>
                <c:pt idx="425">
                  <c:v>1.46929096445092E-7</c:v>
                </c:pt>
                <c:pt idx="426">
                  <c:v>4.0298118619830348E-8</c:v>
                </c:pt>
                <c:pt idx="427">
                  <c:v>9.8151303973281756E-8</c:v>
                </c:pt>
                <c:pt idx="428">
                  <c:v>2.0988090909668244E-7</c:v>
                </c:pt>
                <c:pt idx="429">
                  <c:v>9.3602920969715342E-9</c:v>
                </c:pt>
                <c:pt idx="430">
                  <c:v>5.1570623327279463E-9</c:v>
                </c:pt>
                <c:pt idx="431">
                  <c:v>4.3534782889764756E-8</c:v>
                </c:pt>
                <c:pt idx="432">
                  <c:v>3.6416167858988047E-9</c:v>
                </c:pt>
                <c:pt idx="433">
                  <c:v>1.3832277545589022E-9</c:v>
                </c:pt>
                <c:pt idx="434">
                  <c:v>8.3806980910594575E-8</c:v>
                </c:pt>
                <c:pt idx="435">
                  <c:v>7.4734316513058729E-9</c:v>
                </c:pt>
                <c:pt idx="436">
                  <c:v>1.748790054989513E-7</c:v>
                </c:pt>
                <c:pt idx="437">
                  <c:v>1.9922163119190373E-7</c:v>
                </c:pt>
                <c:pt idx="438">
                  <c:v>5.6879343901528046E-8</c:v>
                </c:pt>
                <c:pt idx="439">
                  <c:v>1.2154828255006578E-9</c:v>
                </c:pt>
                <c:pt idx="440">
                  <c:v>4.4071771299059037E-7</c:v>
                </c:pt>
                <c:pt idx="441">
                  <c:v>2.23739107241272E-8</c:v>
                </c:pt>
                <c:pt idx="442">
                  <c:v>1.1291376722510904E-9</c:v>
                </c:pt>
                <c:pt idx="443">
                  <c:v>4.0893155528465286E-10</c:v>
                </c:pt>
                <c:pt idx="444">
                  <c:v>1.6149215298355557E-10</c:v>
                </c:pt>
                <c:pt idx="445">
                  <c:v>1.8153741621063091E-8</c:v>
                </c:pt>
                <c:pt idx="446">
                  <c:v>8.3064719547110144E-8</c:v>
                </c:pt>
                <c:pt idx="447">
                  <c:v>1.210219124914147E-8</c:v>
                </c:pt>
                <c:pt idx="448">
                  <c:v>2.0420429791556671E-9</c:v>
                </c:pt>
                <c:pt idx="449">
                  <c:v>2.0028346625622362E-7</c:v>
                </c:pt>
                <c:pt idx="450">
                  <c:v>1.1956880996422115E-7</c:v>
                </c:pt>
                <c:pt idx="451">
                  <c:v>6.5228505263803527E-8</c:v>
                </c:pt>
                <c:pt idx="452">
                  <c:v>5.3731582738691941E-8</c:v>
                </c:pt>
                <c:pt idx="453">
                  <c:v>1.3182864222471835E-7</c:v>
                </c:pt>
                <c:pt idx="454">
                  <c:v>4.4891976358485408E-8</c:v>
                </c:pt>
                <c:pt idx="455">
                  <c:v>9.9132648756494746E-8</c:v>
                </c:pt>
                <c:pt idx="456">
                  <c:v>8.7356966105289757E-10</c:v>
                </c:pt>
                <c:pt idx="457">
                  <c:v>6.2102571973809972E-8</c:v>
                </c:pt>
                <c:pt idx="458">
                  <c:v>1.6485091691720299E-6</c:v>
                </c:pt>
                <c:pt idx="459">
                  <c:v>5.0056769396178424E-8</c:v>
                </c:pt>
                <c:pt idx="460">
                  <c:v>1.818550572352251E-7</c:v>
                </c:pt>
                <c:pt idx="461">
                  <c:v>4.1152816265821457E-8</c:v>
                </c:pt>
                <c:pt idx="462">
                  <c:v>7.325775186473038E-8</c:v>
                </c:pt>
                <c:pt idx="463">
                  <c:v>4.5515207602875307E-8</c:v>
                </c:pt>
                <c:pt idx="464">
                  <c:v>3.7262225305312313E-8</c:v>
                </c:pt>
                <c:pt idx="465">
                  <c:v>6.1099854065105319E-9</c:v>
                </c:pt>
                <c:pt idx="466">
                  <c:v>1.1692691259668209E-9</c:v>
                </c:pt>
                <c:pt idx="467">
                  <c:v>4.119806362723466E-8</c:v>
                </c:pt>
                <c:pt idx="468">
                  <c:v>3.7852714740438387E-8</c:v>
                </c:pt>
                <c:pt idx="469">
                  <c:v>7.7630147643503733E-8</c:v>
                </c:pt>
                <c:pt idx="470">
                  <c:v>4.4014996092300862E-9</c:v>
                </c:pt>
                <c:pt idx="471">
                  <c:v>1.1221948170714313E-7</c:v>
                </c:pt>
                <c:pt idx="472">
                  <c:v>1.3979570212541148E-7</c:v>
                </c:pt>
                <c:pt idx="473">
                  <c:v>1.0927254834314226E-7</c:v>
                </c:pt>
                <c:pt idx="474">
                  <c:v>1.1455631465651095E-6</c:v>
                </c:pt>
                <c:pt idx="475">
                  <c:v>1.4791112334933132E-8</c:v>
                </c:pt>
                <c:pt idx="476">
                  <c:v>2.3226220946526155E-10</c:v>
                </c:pt>
                <c:pt idx="477">
                  <c:v>1.1846352379052405E-6</c:v>
                </c:pt>
                <c:pt idx="478">
                  <c:v>2.6590259949443862E-6</c:v>
                </c:pt>
                <c:pt idx="479">
                  <c:v>2.7807800506707281E-7</c:v>
                </c:pt>
                <c:pt idx="480">
                  <c:v>2.5333974917884916E-9</c:v>
                </c:pt>
                <c:pt idx="481">
                  <c:v>1.4147417459753342E-8</c:v>
                </c:pt>
                <c:pt idx="482">
                  <c:v>9.9684198673344326E-7</c:v>
                </c:pt>
                <c:pt idx="483">
                  <c:v>1.4134911907603964E-8</c:v>
                </c:pt>
                <c:pt idx="484">
                  <c:v>1.7585693967703264E-7</c:v>
                </c:pt>
                <c:pt idx="485">
                  <c:v>2.3672555471421219E-8</c:v>
                </c:pt>
                <c:pt idx="486">
                  <c:v>2.5626150090829469E-9</c:v>
                </c:pt>
                <c:pt idx="487">
                  <c:v>4.0395207179244608E-9</c:v>
                </c:pt>
                <c:pt idx="488">
                  <c:v>4.174466994300019E-8</c:v>
                </c:pt>
                <c:pt idx="489">
                  <c:v>3.4591039366205223E-8</c:v>
                </c:pt>
                <c:pt idx="490">
                  <c:v>4.687876753450837E-9</c:v>
                </c:pt>
                <c:pt idx="491">
                  <c:v>1.7393290363543201E-7</c:v>
                </c:pt>
                <c:pt idx="492">
                  <c:v>2.0049355953233317E-8</c:v>
                </c:pt>
                <c:pt idx="493">
                  <c:v>1.586438429512782E-7</c:v>
                </c:pt>
                <c:pt idx="494">
                  <c:v>1.2755663192365319E-8</c:v>
                </c:pt>
                <c:pt idx="495">
                  <c:v>5.0390542583045317E-7</c:v>
                </c:pt>
                <c:pt idx="496">
                  <c:v>6.0955926528549753E-8</c:v>
                </c:pt>
                <c:pt idx="497">
                  <c:v>1.1879956218763255E-7</c:v>
                </c:pt>
                <c:pt idx="498">
                  <c:v>1.2514192349044606E-8</c:v>
                </c:pt>
                <c:pt idx="499">
                  <c:v>7.87011003922089E-7</c:v>
                </c:pt>
                <c:pt idx="500">
                  <c:v>4.4462680932610965E-6</c:v>
                </c:pt>
                <c:pt idx="501">
                  <c:v>2.1986387821470998E-8</c:v>
                </c:pt>
                <c:pt idx="502">
                  <c:v>3.4508686894696439E-6</c:v>
                </c:pt>
                <c:pt idx="503">
                  <c:v>3.8889226061655791E-8</c:v>
                </c:pt>
                <c:pt idx="504">
                  <c:v>2.4287345468110288E-9</c:v>
                </c:pt>
                <c:pt idx="505">
                  <c:v>6.590890393454174E-7</c:v>
                </c:pt>
                <c:pt idx="506">
                  <c:v>1.6111300737975398E-7</c:v>
                </c:pt>
                <c:pt idx="507">
                  <c:v>8.2542328527779318E-10</c:v>
                </c:pt>
                <c:pt idx="508">
                  <c:v>1.5068224001879571E-8</c:v>
                </c:pt>
                <c:pt idx="509">
                  <c:v>2.2176465108714183E-9</c:v>
                </c:pt>
                <c:pt idx="510">
                  <c:v>2.7069669243928729E-6</c:v>
                </c:pt>
                <c:pt idx="511">
                  <c:v>1.0854620313693886E-8</c:v>
                </c:pt>
                <c:pt idx="512">
                  <c:v>1.3472663482616554E-6</c:v>
                </c:pt>
                <c:pt idx="513">
                  <c:v>1.1524434739840217E-9</c:v>
                </c:pt>
                <c:pt idx="514">
                  <c:v>8.1396933637734037E-9</c:v>
                </c:pt>
                <c:pt idx="515">
                  <c:v>3.8053966022744135E-7</c:v>
                </c:pt>
                <c:pt idx="516">
                  <c:v>1.7148892084151157E-8</c:v>
                </c:pt>
                <c:pt idx="517">
                  <c:v>1.4011100404331955E-6</c:v>
                </c:pt>
                <c:pt idx="518">
                  <c:v>9.4325486088564503E-8</c:v>
                </c:pt>
                <c:pt idx="519">
                  <c:v>1.4694006722493214E-6</c:v>
                </c:pt>
                <c:pt idx="520">
                  <c:v>6.8034864852961618E-8</c:v>
                </c:pt>
                <c:pt idx="521">
                  <c:v>4.3431782614788972E-9</c:v>
                </c:pt>
                <c:pt idx="522">
                  <c:v>1.0498293079308496E-6</c:v>
                </c:pt>
                <c:pt idx="523">
                  <c:v>4.9955872043483396E-6</c:v>
                </c:pt>
                <c:pt idx="524">
                  <c:v>2.5324027319584275E-7</c:v>
                </c:pt>
                <c:pt idx="525">
                  <c:v>4.8268589125655126E-10</c:v>
                </c:pt>
                <c:pt idx="526">
                  <c:v>2.9112641186657129E-8</c:v>
                </c:pt>
                <c:pt idx="527">
                  <c:v>9.195552763685555E-7</c:v>
                </c:pt>
                <c:pt idx="528">
                  <c:v>1.5101592509836337E-7</c:v>
                </c:pt>
                <c:pt idx="529">
                  <c:v>1.1634406860139279E-7</c:v>
                </c:pt>
                <c:pt idx="530">
                  <c:v>1.474100486120733E-8</c:v>
                </c:pt>
                <c:pt idx="531">
                  <c:v>3.5572952583606821E-8</c:v>
                </c:pt>
                <c:pt idx="532">
                  <c:v>1.4168222151056398E-10</c:v>
                </c:pt>
                <c:pt idx="533">
                  <c:v>5.9145577324670739E-10</c:v>
                </c:pt>
                <c:pt idx="534">
                  <c:v>2.5736400743880949E-7</c:v>
                </c:pt>
                <c:pt idx="535">
                  <c:v>1.5343857739935629E-8</c:v>
                </c:pt>
                <c:pt idx="536">
                  <c:v>1.2504185065154161E-7</c:v>
                </c:pt>
                <c:pt idx="537">
                  <c:v>9.2927759709482416E-8</c:v>
                </c:pt>
                <c:pt idx="538">
                  <c:v>4.9653359042167722E-6</c:v>
                </c:pt>
                <c:pt idx="539">
                  <c:v>3.707254165874474E-6</c:v>
                </c:pt>
                <c:pt idx="540">
                  <c:v>3.0481513704216923E-6</c:v>
                </c:pt>
                <c:pt idx="541">
                  <c:v>1.0764294984255685E-6</c:v>
                </c:pt>
                <c:pt idx="542">
                  <c:v>1.2442604315765493E-6</c:v>
                </c:pt>
                <c:pt idx="543">
                  <c:v>5.5112177932414852E-8</c:v>
                </c:pt>
                <c:pt idx="544">
                  <c:v>1.3470280180172267E-7</c:v>
                </c:pt>
                <c:pt idx="545">
                  <c:v>4.2737013927762746E-10</c:v>
                </c:pt>
                <c:pt idx="546">
                  <c:v>4.276614617992891E-10</c:v>
                </c:pt>
                <c:pt idx="547">
                  <c:v>7.6501302714859776E-7</c:v>
                </c:pt>
                <c:pt idx="548">
                  <c:v>8.3862127553402388E-7</c:v>
                </c:pt>
                <c:pt idx="549">
                  <c:v>1.3455313307986216E-8</c:v>
                </c:pt>
                <c:pt idx="550">
                  <c:v>1.1917282449758204E-7</c:v>
                </c:pt>
                <c:pt idx="551">
                  <c:v>2.2899769192008534E-8</c:v>
                </c:pt>
                <c:pt idx="552">
                  <c:v>4.2276340650460043E-8</c:v>
                </c:pt>
                <c:pt idx="553">
                  <c:v>9.7901936157995806E-7</c:v>
                </c:pt>
                <c:pt idx="554">
                  <c:v>9.7349349914566119E-7</c:v>
                </c:pt>
                <c:pt idx="555">
                  <c:v>1.3426209477529483E-7</c:v>
                </c:pt>
                <c:pt idx="556">
                  <c:v>4.6570873735163332E-7</c:v>
                </c:pt>
                <c:pt idx="557">
                  <c:v>6.5158928919117898E-8</c:v>
                </c:pt>
                <c:pt idx="558">
                  <c:v>2.6809539406258409E-6</c:v>
                </c:pt>
                <c:pt idx="559">
                  <c:v>3.8949110603425652E-10</c:v>
                </c:pt>
                <c:pt idx="560">
                  <c:v>1.9735679757104663E-8</c:v>
                </c:pt>
                <c:pt idx="561">
                  <c:v>1.3584866564997355E-9</c:v>
                </c:pt>
                <c:pt idx="562">
                  <c:v>7.9495521276840009E-11</c:v>
                </c:pt>
                <c:pt idx="563">
                  <c:v>1.1797567367466399E-9</c:v>
                </c:pt>
                <c:pt idx="564">
                  <c:v>2.7267688551546598E-8</c:v>
                </c:pt>
                <c:pt idx="565">
                  <c:v>6.0293453429949295E-7</c:v>
                </c:pt>
                <c:pt idx="566">
                  <c:v>3.3919889119715663E-10</c:v>
                </c:pt>
                <c:pt idx="567">
                  <c:v>2.7575879357755184E-9</c:v>
                </c:pt>
                <c:pt idx="568">
                  <c:v>1.2268080524791003E-6</c:v>
                </c:pt>
                <c:pt idx="569">
                  <c:v>3.8887719711055979E-9</c:v>
                </c:pt>
                <c:pt idx="570">
                  <c:v>5.4254075791959622E-6</c:v>
                </c:pt>
                <c:pt idx="571">
                  <c:v>1.5362410010766325E-8</c:v>
                </c:pt>
                <c:pt idx="572">
                  <c:v>1.1046622105936876E-7</c:v>
                </c:pt>
                <c:pt idx="573">
                  <c:v>3.8317438111334923E-9</c:v>
                </c:pt>
                <c:pt idx="574">
                  <c:v>9.0833012222901743E-8</c:v>
                </c:pt>
                <c:pt idx="575">
                  <c:v>1.1993701036772109E-6</c:v>
                </c:pt>
                <c:pt idx="576">
                  <c:v>2.0656827643961151E-6</c:v>
                </c:pt>
                <c:pt idx="577">
                  <c:v>2.2583364511774562E-8</c:v>
                </c:pt>
                <c:pt idx="578">
                  <c:v>1.3502815079391439E-6</c:v>
                </c:pt>
                <c:pt idx="579">
                  <c:v>5.5358000849992095E-8</c:v>
                </c:pt>
                <c:pt idx="580">
                  <c:v>1.9990099531241867E-7</c:v>
                </c:pt>
                <c:pt idx="581">
                  <c:v>4.1029863950825529E-9</c:v>
                </c:pt>
                <c:pt idx="582">
                  <c:v>5.9903726423726766E-9</c:v>
                </c:pt>
                <c:pt idx="583">
                  <c:v>1.1637553143373225E-9</c:v>
                </c:pt>
                <c:pt idx="584">
                  <c:v>1.1870101843669545E-6</c:v>
                </c:pt>
                <c:pt idx="585">
                  <c:v>3.5308968904246285E-7</c:v>
                </c:pt>
                <c:pt idx="586">
                  <c:v>3.292187358283627E-6</c:v>
                </c:pt>
                <c:pt idx="587">
                  <c:v>3.7039740163891111E-9</c:v>
                </c:pt>
                <c:pt idx="588">
                  <c:v>4.9726011752682098E-8</c:v>
                </c:pt>
                <c:pt idx="589">
                  <c:v>2.5931967684300616E-10</c:v>
                </c:pt>
                <c:pt idx="590">
                  <c:v>2.2536418953222892E-8</c:v>
                </c:pt>
                <c:pt idx="591">
                  <c:v>8.196906264856807E-9</c:v>
                </c:pt>
                <c:pt idx="592">
                  <c:v>1.1584120329644065E-9</c:v>
                </c:pt>
                <c:pt idx="593">
                  <c:v>2.5368467504449654E-7</c:v>
                </c:pt>
                <c:pt idx="594">
                  <c:v>1.4609939853471587E-6</c:v>
                </c:pt>
                <c:pt idx="595">
                  <c:v>6.8580909839965898E-9</c:v>
                </c:pt>
                <c:pt idx="596">
                  <c:v>3.1947263892107003E-6</c:v>
                </c:pt>
                <c:pt idx="597">
                  <c:v>5.8387854551256169E-9</c:v>
                </c:pt>
                <c:pt idx="598">
                  <c:v>9.3018819313783752E-9</c:v>
                </c:pt>
                <c:pt idx="599">
                  <c:v>2.8914101335431042E-8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DCC-4BA2-8425-9C28A1DBC22D}"/>
            </c:ext>
          </c:extLst>
        </c:ser>
        <c:ser>
          <c:idx val="1"/>
          <c:order val="1"/>
          <c:tx>
            <c:strRef>
              <c:f>Inverse!$R$2</c:f>
              <c:strCache>
                <c:ptCount val="1"/>
                <c:pt idx="0">
                  <c:v>Distance GA Δ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Inverse!$N$3:$N$602</c:f>
              <c:numCache>
                <c:formatCode>0.000</c:formatCode>
                <c:ptCount val="600"/>
                <c:pt idx="0">
                  <c:v>7288125.6963858316</c:v>
                </c:pt>
                <c:pt idx="1">
                  <c:v>8926024.1224245112</c:v>
                </c:pt>
                <c:pt idx="2">
                  <c:v>17441757.002850156</c:v>
                </c:pt>
                <c:pt idx="3">
                  <c:v>1696868.6811977762</c:v>
                </c:pt>
                <c:pt idx="4">
                  <c:v>15866490.842496967</c:v>
                </c:pt>
                <c:pt idx="5">
                  <c:v>2329780.6717621377</c:v>
                </c:pt>
                <c:pt idx="6">
                  <c:v>8171429.8378450526</c:v>
                </c:pt>
                <c:pt idx="7">
                  <c:v>18591406.404547203</c:v>
                </c:pt>
                <c:pt idx="8">
                  <c:v>18352200.13564178</c:v>
                </c:pt>
                <c:pt idx="9">
                  <c:v>13013464.102549139</c:v>
                </c:pt>
                <c:pt idx="10">
                  <c:v>9843902.6371369381</c:v>
                </c:pt>
                <c:pt idx="11">
                  <c:v>14144633.179986298</c:v>
                </c:pt>
                <c:pt idx="12">
                  <c:v>11126939.108720006</c:v>
                </c:pt>
                <c:pt idx="13">
                  <c:v>8628113.1866227742</c:v>
                </c:pt>
                <c:pt idx="14">
                  <c:v>15078802.086415969</c:v>
                </c:pt>
                <c:pt idx="15">
                  <c:v>10848297.534494171</c:v>
                </c:pt>
                <c:pt idx="16">
                  <c:v>2068921.0111408576</c:v>
                </c:pt>
                <c:pt idx="17">
                  <c:v>13329277.575401368</c:v>
                </c:pt>
                <c:pt idx="18">
                  <c:v>10971195.910463449</c:v>
                </c:pt>
                <c:pt idx="19">
                  <c:v>6990777.0187217705</c:v>
                </c:pt>
                <c:pt idx="20">
                  <c:v>13278834.887680421</c:v>
                </c:pt>
                <c:pt idx="21">
                  <c:v>16293897.990389509</c:v>
                </c:pt>
                <c:pt idx="22">
                  <c:v>11321064.524744052</c:v>
                </c:pt>
                <c:pt idx="23">
                  <c:v>13912911.091220979</c:v>
                </c:pt>
                <c:pt idx="24">
                  <c:v>8079548.1933386493</c:v>
                </c:pt>
                <c:pt idx="25">
                  <c:v>13124386.15754142</c:v>
                </c:pt>
                <c:pt idx="26">
                  <c:v>7776083.7752931975</c:v>
                </c:pt>
                <c:pt idx="27">
                  <c:v>9368637.2487671636</c:v>
                </c:pt>
                <c:pt idx="28">
                  <c:v>6014625.4718837198</c:v>
                </c:pt>
                <c:pt idx="29">
                  <c:v>7044804.2746306788</c:v>
                </c:pt>
                <c:pt idx="30">
                  <c:v>2284594.0220601563</c:v>
                </c:pt>
                <c:pt idx="31">
                  <c:v>2954440.6790760066</c:v>
                </c:pt>
                <c:pt idx="32">
                  <c:v>9276811.5910762642</c:v>
                </c:pt>
                <c:pt idx="33">
                  <c:v>18654328.232049946</c:v>
                </c:pt>
                <c:pt idx="34">
                  <c:v>16831309.185747702</c:v>
                </c:pt>
                <c:pt idx="35">
                  <c:v>7278952.7179807257</c:v>
                </c:pt>
                <c:pt idx="36">
                  <c:v>12060516.677621422</c:v>
                </c:pt>
                <c:pt idx="37">
                  <c:v>2966149.701055496</c:v>
                </c:pt>
                <c:pt idx="38">
                  <c:v>12533853.74110496</c:v>
                </c:pt>
                <c:pt idx="39">
                  <c:v>2549123.5147279091</c:v>
                </c:pt>
                <c:pt idx="40">
                  <c:v>12271081.064307384</c:v>
                </c:pt>
                <c:pt idx="41">
                  <c:v>591727.50880290929</c:v>
                </c:pt>
                <c:pt idx="42">
                  <c:v>14851083.606159996</c:v>
                </c:pt>
                <c:pt idx="43">
                  <c:v>10074604.479454651</c:v>
                </c:pt>
                <c:pt idx="44">
                  <c:v>8754736.1896608267</c:v>
                </c:pt>
                <c:pt idx="45">
                  <c:v>8605721.7855929863</c:v>
                </c:pt>
                <c:pt idx="46">
                  <c:v>1295718.6771788264</c:v>
                </c:pt>
                <c:pt idx="47">
                  <c:v>17177097.930895045</c:v>
                </c:pt>
                <c:pt idx="48">
                  <c:v>9805356.254032582</c:v>
                </c:pt>
                <c:pt idx="49">
                  <c:v>3435870.1126214182</c:v>
                </c:pt>
                <c:pt idx="50">
                  <c:v>9964216.6492618695</c:v>
                </c:pt>
                <c:pt idx="51">
                  <c:v>5384030.2016799124</c:v>
                </c:pt>
                <c:pt idx="52">
                  <c:v>6179877.6031648442</c:v>
                </c:pt>
                <c:pt idx="53">
                  <c:v>6233671.1722633103</c:v>
                </c:pt>
                <c:pt idx="54">
                  <c:v>3527724.8938039802</c:v>
                </c:pt>
                <c:pt idx="55">
                  <c:v>8818419.3637236543</c:v>
                </c:pt>
                <c:pt idx="56">
                  <c:v>16552270.061897544</c:v>
                </c:pt>
                <c:pt idx="57">
                  <c:v>6949214.2646111874</c:v>
                </c:pt>
                <c:pt idx="58">
                  <c:v>16197045.795054168</c:v>
                </c:pt>
                <c:pt idx="59">
                  <c:v>16726146.300163798</c:v>
                </c:pt>
                <c:pt idx="60">
                  <c:v>11673348.671239186</c:v>
                </c:pt>
                <c:pt idx="61">
                  <c:v>12028828.323664518</c:v>
                </c:pt>
                <c:pt idx="62">
                  <c:v>14339963.471979573</c:v>
                </c:pt>
                <c:pt idx="63">
                  <c:v>4818719.410231459</c:v>
                </c:pt>
                <c:pt idx="64">
                  <c:v>7633895.7516718889</c:v>
                </c:pt>
                <c:pt idx="65">
                  <c:v>7097483.6343833497</c:v>
                </c:pt>
                <c:pt idx="66">
                  <c:v>13364872.899534322</c:v>
                </c:pt>
                <c:pt idx="67">
                  <c:v>7924499.6141683413</c:v>
                </c:pt>
                <c:pt idx="68">
                  <c:v>3610421.0933479168</c:v>
                </c:pt>
                <c:pt idx="69">
                  <c:v>6159231.566899064</c:v>
                </c:pt>
                <c:pt idx="70">
                  <c:v>10584894.541920075</c:v>
                </c:pt>
                <c:pt idx="71">
                  <c:v>655243.68049509695</c:v>
                </c:pt>
                <c:pt idx="72">
                  <c:v>2864739.0899375491</c:v>
                </c:pt>
                <c:pt idx="73">
                  <c:v>6924158.0894780327</c:v>
                </c:pt>
                <c:pt idx="74">
                  <c:v>4871626.5673506204</c:v>
                </c:pt>
                <c:pt idx="75">
                  <c:v>18288955.12691465</c:v>
                </c:pt>
                <c:pt idx="76">
                  <c:v>5243855.9642471438</c:v>
                </c:pt>
                <c:pt idx="77">
                  <c:v>8771186.4160845745</c:v>
                </c:pt>
                <c:pt idx="78">
                  <c:v>10161458.52608045</c:v>
                </c:pt>
                <c:pt idx="79">
                  <c:v>3183285.9839552343</c:v>
                </c:pt>
                <c:pt idx="80">
                  <c:v>18112446.323670369</c:v>
                </c:pt>
                <c:pt idx="81">
                  <c:v>7914420.6537720682</c:v>
                </c:pt>
                <c:pt idx="82">
                  <c:v>8958543.5518025123</c:v>
                </c:pt>
                <c:pt idx="83">
                  <c:v>4511895.8568540188</c:v>
                </c:pt>
                <c:pt idx="84">
                  <c:v>909274.86052974011</c:v>
                </c:pt>
                <c:pt idx="85">
                  <c:v>11607157.092400923</c:v>
                </c:pt>
                <c:pt idx="86">
                  <c:v>8931844.8564303853</c:v>
                </c:pt>
                <c:pt idx="87">
                  <c:v>7496752.5366281047</c:v>
                </c:pt>
                <c:pt idx="88">
                  <c:v>15762230.514531359</c:v>
                </c:pt>
                <c:pt idx="89">
                  <c:v>6754537.3039613804</c:v>
                </c:pt>
                <c:pt idx="90">
                  <c:v>6858651.0723340772</c:v>
                </c:pt>
                <c:pt idx="91">
                  <c:v>13273425.583867243</c:v>
                </c:pt>
                <c:pt idx="92">
                  <c:v>6324868.2450951673</c:v>
                </c:pt>
                <c:pt idx="93">
                  <c:v>13576996.580363095</c:v>
                </c:pt>
                <c:pt idx="94">
                  <c:v>12711428.208022941</c:v>
                </c:pt>
                <c:pt idx="95">
                  <c:v>9916507.9193239249</c:v>
                </c:pt>
                <c:pt idx="96">
                  <c:v>5999956.6226362148</c:v>
                </c:pt>
                <c:pt idx="97">
                  <c:v>10868721.91765256</c:v>
                </c:pt>
                <c:pt idx="98">
                  <c:v>6920914.5095388582</c:v>
                </c:pt>
                <c:pt idx="99">
                  <c:v>3762439.1458674502</c:v>
                </c:pt>
                <c:pt idx="100">
                  <c:v>157563.53948525776</c:v>
                </c:pt>
                <c:pt idx="101">
                  <c:v>901247.91020958486</c:v>
                </c:pt>
                <c:pt idx="102">
                  <c:v>917232.23890802509</c:v>
                </c:pt>
                <c:pt idx="103">
                  <c:v>1175722.2877854879</c:v>
                </c:pt>
                <c:pt idx="104">
                  <c:v>435337.99301161367</c:v>
                </c:pt>
                <c:pt idx="105">
                  <c:v>988119.73769252596</c:v>
                </c:pt>
                <c:pt idx="106">
                  <c:v>1062926.9684577854</c:v>
                </c:pt>
                <c:pt idx="107">
                  <c:v>761747.2244784768</c:v>
                </c:pt>
                <c:pt idx="108">
                  <c:v>1029662.3869015459</c:v>
                </c:pt>
                <c:pt idx="109">
                  <c:v>1029995.4866540617</c:v>
                </c:pt>
                <c:pt idx="110">
                  <c:v>651973.01978210057</c:v>
                </c:pt>
                <c:pt idx="111">
                  <c:v>855080.93446190725</c:v>
                </c:pt>
                <c:pt idx="112">
                  <c:v>1069049.1970008055</c:v>
                </c:pt>
                <c:pt idx="113">
                  <c:v>978958.29756391724</c:v>
                </c:pt>
                <c:pt idx="114">
                  <c:v>1381289.9699106738</c:v>
                </c:pt>
                <c:pt idx="115">
                  <c:v>883720.90994789801</c:v>
                </c:pt>
                <c:pt idx="116">
                  <c:v>829495.27785734879</c:v>
                </c:pt>
                <c:pt idx="117">
                  <c:v>306329.78676863643</c:v>
                </c:pt>
                <c:pt idx="118">
                  <c:v>804814.54727708641</c:v>
                </c:pt>
                <c:pt idx="119">
                  <c:v>1027495.9071938648</c:v>
                </c:pt>
                <c:pt idx="120">
                  <c:v>1128214.5367293104</c:v>
                </c:pt>
                <c:pt idx="121">
                  <c:v>853871.61089870625</c:v>
                </c:pt>
                <c:pt idx="122">
                  <c:v>867936.53154121363</c:v>
                </c:pt>
                <c:pt idx="123">
                  <c:v>142494.05520314962</c:v>
                </c:pt>
                <c:pt idx="124">
                  <c:v>570028.86260328069</c:v>
                </c:pt>
                <c:pt idx="125">
                  <c:v>1113827.0793367326</c:v>
                </c:pt>
                <c:pt idx="126">
                  <c:v>574111.4048195387</c:v>
                </c:pt>
                <c:pt idx="127">
                  <c:v>497614.05854740622</c:v>
                </c:pt>
                <c:pt idx="128">
                  <c:v>285845.2667031099</c:v>
                </c:pt>
                <c:pt idx="129">
                  <c:v>391097.70754434861</c:v>
                </c:pt>
                <c:pt idx="130">
                  <c:v>238768.05651624582</c:v>
                </c:pt>
                <c:pt idx="131">
                  <c:v>493633.80518860836</c:v>
                </c:pt>
                <c:pt idx="132">
                  <c:v>685458.12361168186</c:v>
                </c:pt>
                <c:pt idx="133">
                  <c:v>287149.49519980338</c:v>
                </c:pt>
                <c:pt idx="134">
                  <c:v>835019.12039802666</c:v>
                </c:pt>
                <c:pt idx="135">
                  <c:v>677065.11909637437</c:v>
                </c:pt>
                <c:pt idx="136">
                  <c:v>341268.40704323794</c:v>
                </c:pt>
                <c:pt idx="137">
                  <c:v>371335.85204723536</c:v>
                </c:pt>
                <c:pt idx="138">
                  <c:v>886618.26167655329</c:v>
                </c:pt>
                <c:pt idx="139">
                  <c:v>449504.43119129329</c:v>
                </c:pt>
                <c:pt idx="140">
                  <c:v>461332.0546698785</c:v>
                </c:pt>
                <c:pt idx="141">
                  <c:v>1025130.2287561676</c:v>
                </c:pt>
                <c:pt idx="142">
                  <c:v>134515.37037482395</c:v>
                </c:pt>
                <c:pt idx="143">
                  <c:v>718764.12713467178</c:v>
                </c:pt>
                <c:pt idx="144">
                  <c:v>1460060.2163203303</c:v>
                </c:pt>
                <c:pt idx="145">
                  <c:v>1032952.8158964519</c:v>
                </c:pt>
                <c:pt idx="146">
                  <c:v>850898.26533546846</c:v>
                </c:pt>
                <c:pt idx="147">
                  <c:v>266878.65594502137</c:v>
                </c:pt>
                <c:pt idx="148">
                  <c:v>572419.94640994794</c:v>
                </c:pt>
                <c:pt idx="149">
                  <c:v>1006778.5685472348</c:v>
                </c:pt>
                <c:pt idx="150">
                  <c:v>494006.02837731462</c:v>
                </c:pt>
                <c:pt idx="151">
                  <c:v>1152949.1242537459</c:v>
                </c:pt>
                <c:pt idx="152">
                  <c:v>587572.569922984</c:v>
                </c:pt>
                <c:pt idx="153">
                  <c:v>888916.22724440985</c:v>
                </c:pt>
                <c:pt idx="154">
                  <c:v>284354.54355420027</c:v>
                </c:pt>
                <c:pt idx="155">
                  <c:v>365437.73038692976</c:v>
                </c:pt>
                <c:pt idx="156">
                  <c:v>842173.91611387499</c:v>
                </c:pt>
                <c:pt idx="157">
                  <c:v>776125.68007035484</c:v>
                </c:pt>
                <c:pt idx="158">
                  <c:v>583597.70348065742</c:v>
                </c:pt>
                <c:pt idx="159">
                  <c:v>937689.10064370104</c:v>
                </c:pt>
                <c:pt idx="160">
                  <c:v>316225.25420602574</c:v>
                </c:pt>
                <c:pt idx="161">
                  <c:v>949375.952169689</c:v>
                </c:pt>
                <c:pt idx="162">
                  <c:v>800748.69720413804</c:v>
                </c:pt>
                <c:pt idx="163">
                  <c:v>726364.393405815</c:v>
                </c:pt>
                <c:pt idx="164">
                  <c:v>1006904.0903341232</c:v>
                </c:pt>
                <c:pt idx="165">
                  <c:v>593510.87353314599</c:v>
                </c:pt>
                <c:pt idx="166">
                  <c:v>1012836.4110308342</c:v>
                </c:pt>
                <c:pt idx="167">
                  <c:v>797599.85035357892</c:v>
                </c:pt>
                <c:pt idx="168">
                  <c:v>1491183.7853596543</c:v>
                </c:pt>
                <c:pt idx="169">
                  <c:v>1048756.3107671267</c:v>
                </c:pt>
                <c:pt idx="170">
                  <c:v>1265036.8791265045</c:v>
                </c:pt>
                <c:pt idx="171">
                  <c:v>124217.11630279524</c:v>
                </c:pt>
                <c:pt idx="172">
                  <c:v>654197.86435641756</c:v>
                </c:pt>
                <c:pt idx="173">
                  <c:v>518482.88902360667</c:v>
                </c:pt>
                <c:pt idx="174">
                  <c:v>56931.9641740402</c:v>
                </c:pt>
                <c:pt idx="175">
                  <c:v>185725.16845517204</c:v>
                </c:pt>
                <c:pt idx="176">
                  <c:v>1450056.569033603</c:v>
                </c:pt>
                <c:pt idx="177">
                  <c:v>529160.87919418991</c:v>
                </c:pt>
                <c:pt idx="178">
                  <c:v>711943.01043914806</c:v>
                </c:pt>
                <c:pt idx="179">
                  <c:v>1223926.8209512529</c:v>
                </c:pt>
                <c:pt idx="180">
                  <c:v>760688.05545350467</c:v>
                </c:pt>
                <c:pt idx="181">
                  <c:v>1183858.3610807068</c:v>
                </c:pt>
                <c:pt idx="182">
                  <c:v>930584.10286563192</c:v>
                </c:pt>
                <c:pt idx="183">
                  <c:v>863834.62731454044</c:v>
                </c:pt>
                <c:pt idx="184">
                  <c:v>702689.67756402621</c:v>
                </c:pt>
                <c:pt idx="185">
                  <c:v>932048.79505756358</c:v>
                </c:pt>
                <c:pt idx="186">
                  <c:v>814807.42281005683</c:v>
                </c:pt>
                <c:pt idx="187">
                  <c:v>819800.46231578221</c:v>
                </c:pt>
                <c:pt idx="188">
                  <c:v>808065.87717811915</c:v>
                </c:pt>
                <c:pt idx="189">
                  <c:v>267061.474829969</c:v>
                </c:pt>
                <c:pt idx="190">
                  <c:v>1097226.7739563882</c:v>
                </c:pt>
                <c:pt idx="191">
                  <c:v>446199.73015723855</c:v>
                </c:pt>
                <c:pt idx="192">
                  <c:v>469804.15710829484</c:v>
                </c:pt>
                <c:pt idx="193">
                  <c:v>525080.6500825875</c:v>
                </c:pt>
                <c:pt idx="194">
                  <c:v>393228.4152736757</c:v>
                </c:pt>
                <c:pt idx="195">
                  <c:v>615023.21762602672</c:v>
                </c:pt>
                <c:pt idx="196">
                  <c:v>810345.09178652451</c:v>
                </c:pt>
                <c:pt idx="197">
                  <c:v>560753.58530124195</c:v>
                </c:pt>
                <c:pt idx="198">
                  <c:v>381017.52154380037</c:v>
                </c:pt>
                <c:pt idx="199">
                  <c:v>702689.67756402621</c:v>
                </c:pt>
                <c:pt idx="200">
                  <c:v>49585.567217159798</c:v>
                </c:pt>
                <c:pt idx="201">
                  <c:v>89474.727405850615</c:v>
                </c:pt>
                <c:pt idx="202">
                  <c:v>38406.738005995532</c:v>
                </c:pt>
                <c:pt idx="203">
                  <c:v>129340.44800058422</c:v>
                </c:pt>
                <c:pt idx="204">
                  <c:v>54697.767200533286</c:v>
                </c:pt>
                <c:pt idx="205">
                  <c:v>92948.011054105838</c:v>
                </c:pt>
                <c:pt idx="206">
                  <c:v>79591.296756380383</c:v>
                </c:pt>
                <c:pt idx="207">
                  <c:v>57204.743578672351</c:v>
                </c:pt>
                <c:pt idx="208">
                  <c:v>109291.92307159577</c:v>
                </c:pt>
                <c:pt idx="209">
                  <c:v>55726.554171453899</c:v>
                </c:pt>
                <c:pt idx="210">
                  <c:v>62228.119847420145</c:v>
                </c:pt>
                <c:pt idx="211">
                  <c:v>80833.111806437228</c:v>
                </c:pt>
                <c:pt idx="212">
                  <c:v>110852.05970269667</c:v>
                </c:pt>
                <c:pt idx="213">
                  <c:v>14593.314265052142</c:v>
                </c:pt>
                <c:pt idx="214">
                  <c:v>85852.15811412425</c:v>
                </c:pt>
                <c:pt idx="215">
                  <c:v>6465.1270998007376</c:v>
                </c:pt>
                <c:pt idx="216">
                  <c:v>91059.330934206373</c:v>
                </c:pt>
                <c:pt idx="217">
                  <c:v>38664.370839985015</c:v>
                </c:pt>
                <c:pt idx="218">
                  <c:v>90821.361211636569</c:v>
                </c:pt>
                <c:pt idx="219">
                  <c:v>93645.360945609296</c:v>
                </c:pt>
                <c:pt idx="220">
                  <c:v>24371.563599189245</c:v>
                </c:pt>
                <c:pt idx="221">
                  <c:v>100251.49142439043</c:v>
                </c:pt>
                <c:pt idx="222">
                  <c:v>69538.138403545992</c:v>
                </c:pt>
                <c:pt idx="223">
                  <c:v>118432.82216317505</c:v>
                </c:pt>
                <c:pt idx="224">
                  <c:v>94462.076222016723</c:v>
                </c:pt>
                <c:pt idx="225">
                  <c:v>78242.604898139209</c:v>
                </c:pt>
                <c:pt idx="226">
                  <c:v>124812.69354847354</c:v>
                </c:pt>
                <c:pt idx="227">
                  <c:v>22552.238115331522</c:v>
                </c:pt>
                <c:pt idx="228">
                  <c:v>84306.782227317308</c:v>
                </c:pt>
                <c:pt idx="229">
                  <c:v>76721.704175268955</c:v>
                </c:pt>
                <c:pt idx="230">
                  <c:v>111505.93188867858</c:v>
                </c:pt>
                <c:pt idx="231">
                  <c:v>103595.88455849062</c:v>
                </c:pt>
                <c:pt idx="232">
                  <c:v>55320.98629319451</c:v>
                </c:pt>
                <c:pt idx="233">
                  <c:v>50511.680928931441</c:v>
                </c:pt>
                <c:pt idx="234">
                  <c:v>67679.627979910991</c:v>
                </c:pt>
                <c:pt idx="235">
                  <c:v>70453.369151743842</c:v>
                </c:pt>
                <c:pt idx="236">
                  <c:v>17259.880973716728</c:v>
                </c:pt>
                <c:pt idx="237">
                  <c:v>95725.531558329269</c:v>
                </c:pt>
                <c:pt idx="238">
                  <c:v>48040.112753488051</c:v>
                </c:pt>
                <c:pt idx="239">
                  <c:v>74751.687998788722</c:v>
                </c:pt>
                <c:pt idx="240">
                  <c:v>60094.145297682269</c:v>
                </c:pt>
                <c:pt idx="241">
                  <c:v>112938.85613694205</c:v>
                </c:pt>
                <c:pt idx="242">
                  <c:v>67526.303361587823</c:v>
                </c:pt>
                <c:pt idx="243">
                  <c:v>81331.076373407312</c:v>
                </c:pt>
                <c:pt idx="244">
                  <c:v>91357.675959408865</c:v>
                </c:pt>
                <c:pt idx="245">
                  <c:v>73426.260164785199</c:v>
                </c:pt>
                <c:pt idx="246">
                  <c:v>13521.854061892238</c:v>
                </c:pt>
                <c:pt idx="247">
                  <c:v>64425.722337112114</c:v>
                </c:pt>
                <c:pt idx="248">
                  <c:v>27632.760988422822</c:v>
                </c:pt>
                <c:pt idx="249">
                  <c:v>95145.683709211065</c:v>
                </c:pt>
                <c:pt idx="250">
                  <c:v>76415.833261073203</c:v>
                </c:pt>
                <c:pt idx="251">
                  <c:v>95042.450325975922</c:v>
                </c:pt>
                <c:pt idx="252">
                  <c:v>38543.968896436971</c:v>
                </c:pt>
                <c:pt idx="253">
                  <c:v>131676.75509929107</c:v>
                </c:pt>
                <c:pt idx="254">
                  <c:v>95422.78895216783</c:v>
                </c:pt>
                <c:pt idx="255">
                  <c:v>72603.060568790039</c:v>
                </c:pt>
                <c:pt idx="256">
                  <c:v>85979.777238102048</c:v>
                </c:pt>
                <c:pt idx="257">
                  <c:v>33769.953266738579</c:v>
                </c:pt>
                <c:pt idx="258">
                  <c:v>45929.728469039612</c:v>
                </c:pt>
                <c:pt idx="259">
                  <c:v>69585.074376684715</c:v>
                </c:pt>
                <c:pt idx="260">
                  <c:v>87108.477580809122</c:v>
                </c:pt>
                <c:pt idx="261">
                  <c:v>91116.13863073611</c:v>
                </c:pt>
                <c:pt idx="262">
                  <c:v>72932.057748012026</c:v>
                </c:pt>
                <c:pt idx="263">
                  <c:v>74558.341889352974</c:v>
                </c:pt>
                <c:pt idx="264">
                  <c:v>65356.107164141431</c:v>
                </c:pt>
                <c:pt idx="265">
                  <c:v>49858.871946846928</c:v>
                </c:pt>
                <c:pt idx="266">
                  <c:v>38480.511182640628</c:v>
                </c:pt>
                <c:pt idx="267">
                  <c:v>110006.9902705047</c:v>
                </c:pt>
                <c:pt idx="268">
                  <c:v>12854.441177776918</c:v>
                </c:pt>
                <c:pt idx="269">
                  <c:v>103867.36172692994</c:v>
                </c:pt>
                <c:pt idx="270">
                  <c:v>26727.112439431377</c:v>
                </c:pt>
                <c:pt idx="271">
                  <c:v>56422.040912334945</c:v>
                </c:pt>
                <c:pt idx="272">
                  <c:v>63232.082979176928</c:v>
                </c:pt>
                <c:pt idx="273">
                  <c:v>93913.720975334174</c:v>
                </c:pt>
                <c:pt idx="274">
                  <c:v>83317.121596607045</c:v>
                </c:pt>
                <c:pt idx="275">
                  <c:v>36863.609967916629</c:v>
                </c:pt>
                <c:pt idx="276">
                  <c:v>94654.224474943068</c:v>
                </c:pt>
                <c:pt idx="277">
                  <c:v>103709.27464970971</c:v>
                </c:pt>
                <c:pt idx="278">
                  <c:v>72499.957777249045</c:v>
                </c:pt>
                <c:pt idx="279">
                  <c:v>105852.08396273818</c:v>
                </c:pt>
                <c:pt idx="280">
                  <c:v>60987.586229681801</c:v>
                </c:pt>
                <c:pt idx="281">
                  <c:v>118595.41220244681</c:v>
                </c:pt>
                <c:pt idx="282">
                  <c:v>91681.667154660201</c:v>
                </c:pt>
                <c:pt idx="283">
                  <c:v>60615.120586331825</c:v>
                </c:pt>
                <c:pt idx="284">
                  <c:v>87550.186408437614</c:v>
                </c:pt>
                <c:pt idx="285">
                  <c:v>50625.874170485928</c:v>
                </c:pt>
                <c:pt idx="286">
                  <c:v>66662.044791718959</c:v>
                </c:pt>
                <c:pt idx="287">
                  <c:v>98327.422116002752</c:v>
                </c:pt>
                <c:pt idx="288">
                  <c:v>104364.72052565365</c:v>
                </c:pt>
                <c:pt idx="289">
                  <c:v>95289.048671426586</c:v>
                </c:pt>
                <c:pt idx="290">
                  <c:v>62154.805845581111</c:v>
                </c:pt>
                <c:pt idx="291">
                  <c:v>26516.797792536116</c:v>
                </c:pt>
                <c:pt idx="292">
                  <c:v>89586.99777515234</c:v>
                </c:pt>
                <c:pt idx="293">
                  <c:v>90859.499602455937</c:v>
                </c:pt>
                <c:pt idx="294">
                  <c:v>75337.536234137209</c:v>
                </c:pt>
                <c:pt idx="295">
                  <c:v>84629.773088732938</c:v>
                </c:pt>
                <c:pt idx="296">
                  <c:v>87648.480587707323</c:v>
                </c:pt>
                <c:pt idx="297">
                  <c:v>81682.396554250256</c:v>
                </c:pt>
                <c:pt idx="298">
                  <c:v>25524.930575862592</c:v>
                </c:pt>
                <c:pt idx="299">
                  <c:v>58962.375157485025</c:v>
                </c:pt>
                <c:pt idx="300">
                  <c:v>17010.584032509574</c:v>
                </c:pt>
                <c:pt idx="301">
                  <c:v>17331.639765151282</c:v>
                </c:pt>
                <c:pt idx="302">
                  <c:v>14409.820230102912</c:v>
                </c:pt>
                <c:pt idx="303">
                  <c:v>15905.687488281317</c:v>
                </c:pt>
                <c:pt idx="304">
                  <c:v>16872.870970632688</c:v>
                </c:pt>
                <c:pt idx="305">
                  <c:v>7297.6871908483481</c:v>
                </c:pt>
                <c:pt idx="306">
                  <c:v>12729.160127606165</c:v>
                </c:pt>
                <c:pt idx="307">
                  <c:v>13203.952390535638</c:v>
                </c:pt>
                <c:pt idx="308">
                  <c:v>17776.249194215619</c:v>
                </c:pt>
                <c:pt idx="309">
                  <c:v>10239.33469179094</c:v>
                </c:pt>
                <c:pt idx="310">
                  <c:v>9729.7411513772095</c:v>
                </c:pt>
                <c:pt idx="311">
                  <c:v>18230.853156675192</c:v>
                </c:pt>
                <c:pt idx="312">
                  <c:v>10058.488451134353</c:v>
                </c:pt>
                <c:pt idx="313">
                  <c:v>9207.4873051915674</c:v>
                </c:pt>
                <c:pt idx="314">
                  <c:v>9132.6472675806217</c:v>
                </c:pt>
                <c:pt idx="315">
                  <c:v>10426.439158915542</c:v>
                </c:pt>
                <c:pt idx="316">
                  <c:v>2493.540213809641</c:v>
                </c:pt>
                <c:pt idx="317">
                  <c:v>11742.289879682554</c:v>
                </c:pt>
                <c:pt idx="318">
                  <c:v>8872.1793091042782</c:v>
                </c:pt>
                <c:pt idx="319">
                  <c:v>22600.22293928697</c:v>
                </c:pt>
                <c:pt idx="320">
                  <c:v>10599.141535311506</c:v>
                </c:pt>
                <c:pt idx="321">
                  <c:v>11276.077537644014</c:v>
                </c:pt>
                <c:pt idx="322">
                  <c:v>8346.0289963862233</c:v>
                </c:pt>
                <c:pt idx="323">
                  <c:v>17921.377657114394</c:v>
                </c:pt>
                <c:pt idx="324">
                  <c:v>14430.696843659309</c:v>
                </c:pt>
                <c:pt idx="325">
                  <c:v>11379.204313226235</c:v>
                </c:pt>
                <c:pt idx="326">
                  <c:v>7797.3549591994743</c:v>
                </c:pt>
                <c:pt idx="327">
                  <c:v>8760.0011356000923</c:v>
                </c:pt>
                <c:pt idx="328">
                  <c:v>4735.2509714383987</c:v>
                </c:pt>
                <c:pt idx="329">
                  <c:v>17427.392569847227</c:v>
                </c:pt>
                <c:pt idx="330">
                  <c:v>13210.514529036051</c:v>
                </c:pt>
                <c:pt idx="331">
                  <c:v>6711.7722669922769</c:v>
                </c:pt>
                <c:pt idx="332">
                  <c:v>15911.812131064187</c:v>
                </c:pt>
                <c:pt idx="333">
                  <c:v>22280.925778636469</c:v>
                </c:pt>
                <c:pt idx="334">
                  <c:v>16504.877663412437</c:v>
                </c:pt>
                <c:pt idx="335">
                  <c:v>11350.162805946875</c:v>
                </c:pt>
                <c:pt idx="336">
                  <c:v>15626.823520107117</c:v>
                </c:pt>
                <c:pt idx="337">
                  <c:v>8187.4380761736766</c:v>
                </c:pt>
                <c:pt idx="338">
                  <c:v>1189.2121903019845</c:v>
                </c:pt>
                <c:pt idx="339">
                  <c:v>18565.664996101692</c:v>
                </c:pt>
                <c:pt idx="340">
                  <c:v>5668.7615663811803</c:v>
                </c:pt>
                <c:pt idx="341">
                  <c:v>8266.1263129366034</c:v>
                </c:pt>
                <c:pt idx="342">
                  <c:v>17452.52053279824</c:v>
                </c:pt>
                <c:pt idx="343">
                  <c:v>3039.0559378454714</c:v>
                </c:pt>
                <c:pt idx="344">
                  <c:v>9045.9744276098882</c:v>
                </c:pt>
                <c:pt idx="345">
                  <c:v>12916.893983628517</c:v>
                </c:pt>
                <c:pt idx="346">
                  <c:v>6273.1787789042937</c:v>
                </c:pt>
                <c:pt idx="347">
                  <c:v>608.12622879592652</c:v>
                </c:pt>
                <c:pt idx="348">
                  <c:v>4711.4128073829452</c:v>
                </c:pt>
                <c:pt idx="349">
                  <c:v>7030.3342890818167</c:v>
                </c:pt>
                <c:pt idx="350">
                  <c:v>13423.407947576217</c:v>
                </c:pt>
                <c:pt idx="351">
                  <c:v>2806.5933741277308</c:v>
                </c:pt>
                <c:pt idx="352">
                  <c:v>13677.594483264145</c:v>
                </c:pt>
                <c:pt idx="353">
                  <c:v>9416.7867874048916</c:v>
                </c:pt>
                <c:pt idx="354">
                  <c:v>12679.628015607273</c:v>
                </c:pt>
                <c:pt idx="355">
                  <c:v>16096.001967885808</c:v>
                </c:pt>
                <c:pt idx="356">
                  <c:v>19171.261568330174</c:v>
                </c:pt>
                <c:pt idx="357">
                  <c:v>18585.341004393078</c:v>
                </c:pt>
                <c:pt idx="358">
                  <c:v>14722.294693728865</c:v>
                </c:pt>
                <c:pt idx="359">
                  <c:v>5218.9524886808895</c:v>
                </c:pt>
                <c:pt idx="360">
                  <c:v>12647.138813385211</c:v>
                </c:pt>
                <c:pt idx="361">
                  <c:v>8023.7296119112425</c:v>
                </c:pt>
                <c:pt idx="362">
                  <c:v>16241.06793636773</c:v>
                </c:pt>
                <c:pt idx="363">
                  <c:v>14312.679599904674</c:v>
                </c:pt>
                <c:pt idx="364">
                  <c:v>11423.775586218999</c:v>
                </c:pt>
                <c:pt idx="365">
                  <c:v>19121.549663934155</c:v>
                </c:pt>
                <c:pt idx="366">
                  <c:v>16966.386282277603</c:v>
                </c:pt>
                <c:pt idx="367">
                  <c:v>16993.748128235999</c:v>
                </c:pt>
                <c:pt idx="368">
                  <c:v>1216.3516009289403</c:v>
                </c:pt>
                <c:pt idx="369">
                  <c:v>9132.1901744284387</c:v>
                </c:pt>
                <c:pt idx="370">
                  <c:v>10188.924272315642</c:v>
                </c:pt>
                <c:pt idx="371">
                  <c:v>19500.92276250061</c:v>
                </c:pt>
                <c:pt idx="372">
                  <c:v>9611.7851508146105</c:v>
                </c:pt>
                <c:pt idx="373">
                  <c:v>5110.1885702572235</c:v>
                </c:pt>
                <c:pt idx="374">
                  <c:v>5373.7332077411447</c:v>
                </c:pt>
                <c:pt idx="375">
                  <c:v>20022.604360549412</c:v>
                </c:pt>
                <c:pt idx="376">
                  <c:v>14335.521141328518</c:v>
                </c:pt>
                <c:pt idx="377">
                  <c:v>4270.0700505916766</c:v>
                </c:pt>
                <c:pt idx="378">
                  <c:v>19471.910452634394</c:v>
                </c:pt>
                <c:pt idx="379">
                  <c:v>8319.5897276456981</c:v>
                </c:pt>
                <c:pt idx="380">
                  <c:v>16364.372292298565</c:v>
                </c:pt>
                <c:pt idx="381">
                  <c:v>18418.541664633049</c:v>
                </c:pt>
                <c:pt idx="382">
                  <c:v>13441.573914766874</c:v>
                </c:pt>
                <c:pt idx="383">
                  <c:v>7615.6451806113828</c:v>
                </c:pt>
                <c:pt idx="384">
                  <c:v>5111.7233140687858</c:v>
                </c:pt>
                <c:pt idx="385">
                  <c:v>16645.358181561987</c:v>
                </c:pt>
                <c:pt idx="386">
                  <c:v>6369.9765586049034</c:v>
                </c:pt>
                <c:pt idx="387">
                  <c:v>18358.764961292916</c:v>
                </c:pt>
                <c:pt idx="388">
                  <c:v>15746.016057149465</c:v>
                </c:pt>
                <c:pt idx="389">
                  <c:v>8134.38421012862</c:v>
                </c:pt>
                <c:pt idx="390">
                  <c:v>5304.8156502293286</c:v>
                </c:pt>
                <c:pt idx="391">
                  <c:v>3753.5537320391932</c:v>
                </c:pt>
                <c:pt idx="392">
                  <c:v>17381.965354801316</c:v>
                </c:pt>
                <c:pt idx="393">
                  <c:v>7410.8241118489677</c:v>
                </c:pt>
                <c:pt idx="394">
                  <c:v>17359.226581519521</c:v>
                </c:pt>
                <c:pt idx="395">
                  <c:v>21624.30220745863</c:v>
                </c:pt>
                <c:pt idx="396">
                  <c:v>16791.56870600862</c:v>
                </c:pt>
                <c:pt idx="397">
                  <c:v>13525.478179161111</c:v>
                </c:pt>
                <c:pt idx="398">
                  <c:v>15537.743404690182</c:v>
                </c:pt>
                <c:pt idx="399">
                  <c:v>13367.572612393287</c:v>
                </c:pt>
                <c:pt idx="400">
                  <c:v>773.76243950946252</c:v>
                </c:pt>
                <c:pt idx="401">
                  <c:v>1282.8590733585308</c:v>
                </c:pt>
                <c:pt idx="402">
                  <c:v>889.93056879589039</c:v>
                </c:pt>
                <c:pt idx="403">
                  <c:v>1682.2966839245557</c:v>
                </c:pt>
                <c:pt idx="404">
                  <c:v>703.69103214447557</c:v>
                </c:pt>
                <c:pt idx="405">
                  <c:v>1046.2658827564085</c:v>
                </c:pt>
                <c:pt idx="406">
                  <c:v>897.79918591358103</c:v>
                </c:pt>
                <c:pt idx="407">
                  <c:v>622.92869741844481</c:v>
                </c:pt>
                <c:pt idx="408">
                  <c:v>1416.5661404875525</c:v>
                </c:pt>
                <c:pt idx="409">
                  <c:v>2202.5966509223781</c:v>
                </c:pt>
                <c:pt idx="410">
                  <c:v>284.74299027087125</c:v>
                </c:pt>
                <c:pt idx="411">
                  <c:v>1489.0884742444073</c:v>
                </c:pt>
                <c:pt idx="412">
                  <c:v>1375.0655408814928</c:v>
                </c:pt>
                <c:pt idx="413">
                  <c:v>1194.986112078677</c:v>
                </c:pt>
                <c:pt idx="414">
                  <c:v>414.61903108092849</c:v>
                </c:pt>
                <c:pt idx="415">
                  <c:v>1636.910936623452</c:v>
                </c:pt>
                <c:pt idx="416">
                  <c:v>285.51825579657816</c:v>
                </c:pt>
                <c:pt idx="417">
                  <c:v>2194.964077187688</c:v>
                </c:pt>
                <c:pt idx="418">
                  <c:v>2192.5590771687816</c:v>
                </c:pt>
                <c:pt idx="419">
                  <c:v>1873.5486123458313</c:v>
                </c:pt>
                <c:pt idx="420">
                  <c:v>1320.0921835107874</c:v>
                </c:pt>
                <c:pt idx="421">
                  <c:v>1826.924121623674</c:v>
                </c:pt>
                <c:pt idx="422">
                  <c:v>1729.9818977534453</c:v>
                </c:pt>
                <c:pt idx="423">
                  <c:v>1401.3513497014189</c:v>
                </c:pt>
                <c:pt idx="424">
                  <c:v>1564.7206625081872</c:v>
                </c:pt>
                <c:pt idx="425">
                  <c:v>1046.3437247757508</c:v>
                </c:pt>
                <c:pt idx="426">
                  <c:v>1700.0996566675619</c:v>
                </c:pt>
                <c:pt idx="427">
                  <c:v>1679.6260554904886</c:v>
                </c:pt>
                <c:pt idx="428">
                  <c:v>2099.3567787241191</c:v>
                </c:pt>
                <c:pt idx="429">
                  <c:v>1223.8940905964896</c:v>
                </c:pt>
                <c:pt idx="430">
                  <c:v>1663.2604008937828</c:v>
                </c:pt>
                <c:pt idx="431">
                  <c:v>1545.7427769674052</c:v>
                </c:pt>
                <c:pt idx="432">
                  <c:v>678.00785546913835</c:v>
                </c:pt>
                <c:pt idx="433">
                  <c:v>627.45069884408872</c:v>
                </c:pt>
                <c:pt idx="434">
                  <c:v>1617.617367296863</c:v>
                </c:pt>
                <c:pt idx="435">
                  <c:v>986.15003575423862</c:v>
                </c:pt>
                <c:pt idx="436">
                  <c:v>1730.156763548981</c:v>
                </c:pt>
                <c:pt idx="437">
                  <c:v>1542.8445928081583</c:v>
                </c:pt>
                <c:pt idx="438">
                  <c:v>1977.2023915254706</c:v>
                </c:pt>
                <c:pt idx="439">
                  <c:v>322.73560226345552</c:v>
                </c:pt>
                <c:pt idx="440">
                  <c:v>1275.4025039341022</c:v>
                </c:pt>
                <c:pt idx="441">
                  <c:v>691.85120459072812</c:v>
                </c:pt>
                <c:pt idx="442">
                  <c:v>1782.0986076342108</c:v>
                </c:pt>
                <c:pt idx="443">
                  <c:v>852.22369310285796</c:v>
                </c:pt>
                <c:pt idx="444">
                  <c:v>330.45781918839549</c:v>
                </c:pt>
                <c:pt idx="445">
                  <c:v>1422.9121221945563</c:v>
                </c:pt>
                <c:pt idx="446">
                  <c:v>1021.6566763765353</c:v>
                </c:pt>
                <c:pt idx="447">
                  <c:v>1277.8832118512678</c:v>
                </c:pt>
                <c:pt idx="448">
                  <c:v>1598.4409779325279</c:v>
                </c:pt>
                <c:pt idx="449">
                  <c:v>1527.5471658872866</c:v>
                </c:pt>
                <c:pt idx="450">
                  <c:v>101.33792754813719</c:v>
                </c:pt>
                <c:pt idx="451">
                  <c:v>1110.7086140046815</c:v>
                </c:pt>
                <c:pt idx="452">
                  <c:v>1723.1645398701785</c:v>
                </c:pt>
                <c:pt idx="453">
                  <c:v>524.23572800660338</c:v>
                </c:pt>
                <c:pt idx="454">
                  <c:v>1047.4275436786281</c:v>
                </c:pt>
                <c:pt idx="455">
                  <c:v>2338.1601293463773</c:v>
                </c:pt>
                <c:pt idx="456">
                  <c:v>305.55685174822042</c:v>
                </c:pt>
                <c:pt idx="457">
                  <c:v>651.16316285616847</c:v>
                </c:pt>
                <c:pt idx="458">
                  <c:v>1252.2038663446008</c:v>
                </c:pt>
                <c:pt idx="459">
                  <c:v>964.66340261952621</c:v>
                </c:pt>
                <c:pt idx="460">
                  <c:v>1822.3479191639349</c:v>
                </c:pt>
                <c:pt idx="461">
                  <c:v>1180.5165197936471</c:v>
                </c:pt>
                <c:pt idx="462">
                  <c:v>1481.7147052559023</c:v>
                </c:pt>
                <c:pt idx="463">
                  <c:v>1728.1659417101348</c:v>
                </c:pt>
                <c:pt idx="464">
                  <c:v>1743.7785213090879</c:v>
                </c:pt>
                <c:pt idx="465">
                  <c:v>1575.55178653197</c:v>
                </c:pt>
                <c:pt idx="466">
                  <c:v>870.30879423374176</c:v>
                </c:pt>
                <c:pt idx="467">
                  <c:v>1828.6776334392318</c:v>
                </c:pt>
                <c:pt idx="468">
                  <c:v>526.87047831147629</c:v>
                </c:pt>
                <c:pt idx="469">
                  <c:v>1058.38853532128</c:v>
                </c:pt>
                <c:pt idx="470">
                  <c:v>1388.3738990203485</c:v>
                </c:pt>
                <c:pt idx="471">
                  <c:v>555.78369360164152</c:v>
                </c:pt>
                <c:pt idx="472">
                  <c:v>1707.8287095081844</c:v>
                </c:pt>
                <c:pt idx="473">
                  <c:v>403.61098177567845</c:v>
                </c:pt>
                <c:pt idx="474">
                  <c:v>744.07987396848182</c:v>
                </c:pt>
                <c:pt idx="475">
                  <c:v>1602.3036094691488</c:v>
                </c:pt>
                <c:pt idx="476">
                  <c:v>514.3958247389503</c:v>
                </c:pt>
                <c:pt idx="477">
                  <c:v>223.66003667914177</c:v>
                </c:pt>
                <c:pt idx="478">
                  <c:v>1151.8165795103241</c:v>
                </c:pt>
                <c:pt idx="479">
                  <c:v>1547.306609313292</c:v>
                </c:pt>
                <c:pt idx="480">
                  <c:v>1376.5530011345966</c:v>
                </c:pt>
                <c:pt idx="481">
                  <c:v>1117.8525951574925</c:v>
                </c:pt>
                <c:pt idx="482">
                  <c:v>30.550827958870414</c:v>
                </c:pt>
                <c:pt idx="483">
                  <c:v>846.01321450494504</c:v>
                </c:pt>
                <c:pt idx="484">
                  <c:v>1774.1352398470931</c:v>
                </c:pt>
                <c:pt idx="485">
                  <c:v>1118.8372185283674</c:v>
                </c:pt>
                <c:pt idx="486">
                  <c:v>953.13649792518038</c:v>
                </c:pt>
                <c:pt idx="487">
                  <c:v>1634.9834791365904</c:v>
                </c:pt>
                <c:pt idx="488">
                  <c:v>1100.9882910084752</c:v>
                </c:pt>
                <c:pt idx="489">
                  <c:v>1513.205688662239</c:v>
                </c:pt>
                <c:pt idx="490">
                  <c:v>169.72266104841913</c:v>
                </c:pt>
                <c:pt idx="491">
                  <c:v>1976.1823918988071</c:v>
                </c:pt>
                <c:pt idx="492">
                  <c:v>521.40135860035559</c:v>
                </c:pt>
                <c:pt idx="493">
                  <c:v>1443.7030729977662</c:v>
                </c:pt>
                <c:pt idx="494">
                  <c:v>1907.0400851854045</c:v>
                </c:pt>
                <c:pt idx="495">
                  <c:v>632.98991543404759</c:v>
                </c:pt>
                <c:pt idx="496">
                  <c:v>1321.7709160319341</c:v>
                </c:pt>
                <c:pt idx="497">
                  <c:v>1604.2781018127905</c:v>
                </c:pt>
                <c:pt idx="498">
                  <c:v>568.4785467566478</c:v>
                </c:pt>
                <c:pt idx="499">
                  <c:v>1110.3506525773789</c:v>
                </c:pt>
                <c:pt idx="500">
                  <c:v>128.25594655189292</c:v>
                </c:pt>
                <c:pt idx="501">
                  <c:v>56.445203403080214</c:v>
                </c:pt>
                <c:pt idx="502">
                  <c:v>208.23185374299331</c:v>
                </c:pt>
                <c:pt idx="503">
                  <c:v>137.68963072389778</c:v>
                </c:pt>
                <c:pt idx="504">
                  <c:v>102.75426927187726</c:v>
                </c:pt>
                <c:pt idx="505">
                  <c:v>135.12010920634197</c:v>
                </c:pt>
                <c:pt idx="506">
                  <c:v>138.217683776748</c:v>
                </c:pt>
                <c:pt idx="507">
                  <c:v>173.28412246759157</c:v>
                </c:pt>
                <c:pt idx="508">
                  <c:v>159.47807210043376</c:v>
                </c:pt>
                <c:pt idx="509">
                  <c:v>38.650444010383652</c:v>
                </c:pt>
                <c:pt idx="510">
                  <c:v>81.804376045487473</c:v>
                </c:pt>
                <c:pt idx="511">
                  <c:v>68.463378375360278</c:v>
                </c:pt>
                <c:pt idx="512">
                  <c:v>100.39078699400766</c:v>
                </c:pt>
                <c:pt idx="513">
                  <c:v>134.75266081842256</c:v>
                </c:pt>
                <c:pt idx="514">
                  <c:v>184.39873125004331</c:v>
                </c:pt>
                <c:pt idx="515">
                  <c:v>126.47559905326834</c:v>
                </c:pt>
                <c:pt idx="516">
                  <c:v>120.60303946283211</c:v>
                </c:pt>
                <c:pt idx="517">
                  <c:v>184.64984362951495</c:v>
                </c:pt>
                <c:pt idx="518">
                  <c:v>143.60510107138953</c:v>
                </c:pt>
                <c:pt idx="519">
                  <c:v>190.47134075402033</c:v>
                </c:pt>
                <c:pt idx="520">
                  <c:v>139.57512820071713</c:v>
                </c:pt>
                <c:pt idx="521">
                  <c:v>73.100761595006517</c:v>
                </c:pt>
                <c:pt idx="522">
                  <c:v>59.967693802533695</c:v>
                </c:pt>
                <c:pt idx="523">
                  <c:v>196.26480702375881</c:v>
                </c:pt>
                <c:pt idx="524">
                  <c:v>113.16595827180572</c:v>
                </c:pt>
                <c:pt idx="525">
                  <c:v>25.694169192773785</c:v>
                </c:pt>
                <c:pt idx="526">
                  <c:v>34.408548250924255</c:v>
                </c:pt>
                <c:pt idx="527">
                  <c:v>157.66752088197973</c:v>
                </c:pt>
                <c:pt idx="528">
                  <c:v>106.74447548968408</c:v>
                </c:pt>
                <c:pt idx="529">
                  <c:v>196.75462940148694</c:v>
                </c:pt>
                <c:pt idx="530">
                  <c:v>167.52107704563099</c:v>
                </c:pt>
                <c:pt idx="531">
                  <c:v>70.062401634028944</c:v>
                </c:pt>
                <c:pt idx="532">
                  <c:v>77.558266900219024</c:v>
                </c:pt>
                <c:pt idx="533">
                  <c:v>73.722182870661555</c:v>
                </c:pt>
                <c:pt idx="534">
                  <c:v>165.81532545260799</c:v>
                </c:pt>
                <c:pt idx="535">
                  <c:v>252.98217913313314</c:v>
                </c:pt>
                <c:pt idx="536">
                  <c:v>82.638110836408856</c:v>
                </c:pt>
                <c:pt idx="537">
                  <c:v>26.537332232718139</c:v>
                </c:pt>
                <c:pt idx="538">
                  <c:v>187.28903029419109</c:v>
                </c:pt>
                <c:pt idx="539">
                  <c:v>206.36354689335883</c:v>
                </c:pt>
                <c:pt idx="540">
                  <c:v>208.88065649655363</c:v>
                </c:pt>
                <c:pt idx="541">
                  <c:v>159.93204219708349</c:v>
                </c:pt>
                <c:pt idx="542">
                  <c:v>165.51477200555357</c:v>
                </c:pt>
                <c:pt idx="543">
                  <c:v>19.990109794983621</c:v>
                </c:pt>
                <c:pt idx="544">
                  <c:v>115.4195504179952</c:v>
                </c:pt>
                <c:pt idx="545">
                  <c:v>46.035839242573068</c:v>
                </c:pt>
                <c:pt idx="546">
                  <c:v>172.08215695842966</c:v>
                </c:pt>
                <c:pt idx="547">
                  <c:v>139.00373811107798</c:v>
                </c:pt>
                <c:pt idx="548">
                  <c:v>182.30283366513373</c:v>
                </c:pt>
                <c:pt idx="549">
                  <c:v>58.570633741418384</c:v>
                </c:pt>
                <c:pt idx="550">
                  <c:v>161.74106371125316</c:v>
                </c:pt>
                <c:pt idx="551">
                  <c:v>132.12990703359623</c:v>
                </c:pt>
                <c:pt idx="552">
                  <c:v>91.931713414637457</c:v>
                </c:pt>
                <c:pt idx="553">
                  <c:v>124.88485388161463</c:v>
                </c:pt>
                <c:pt idx="554">
                  <c:v>84.135672707294503</c:v>
                </c:pt>
                <c:pt idx="555">
                  <c:v>75.547929214841901</c:v>
                </c:pt>
                <c:pt idx="556">
                  <c:v>120.34492456169227</c:v>
                </c:pt>
                <c:pt idx="557">
                  <c:v>167.63816688060908</c:v>
                </c:pt>
                <c:pt idx="558">
                  <c:v>166.39954424068105</c:v>
                </c:pt>
                <c:pt idx="559">
                  <c:v>165.61123901208748</c:v>
                </c:pt>
                <c:pt idx="560">
                  <c:v>97.155290869190623</c:v>
                </c:pt>
                <c:pt idx="561">
                  <c:v>73.626350988676307</c:v>
                </c:pt>
                <c:pt idx="562">
                  <c:v>169.80240877546649</c:v>
                </c:pt>
                <c:pt idx="563">
                  <c:v>176.58380303743425</c:v>
                </c:pt>
                <c:pt idx="564">
                  <c:v>14.683644895504811</c:v>
                </c:pt>
                <c:pt idx="565">
                  <c:v>107.22667329992846</c:v>
                </c:pt>
                <c:pt idx="566">
                  <c:v>69.349802458496697</c:v>
                </c:pt>
                <c:pt idx="567">
                  <c:v>170.33683732597243</c:v>
                </c:pt>
                <c:pt idx="568">
                  <c:v>176.43302911577695</c:v>
                </c:pt>
                <c:pt idx="569">
                  <c:v>188.32960999638323</c:v>
                </c:pt>
                <c:pt idx="570">
                  <c:v>156.45400630144141</c:v>
                </c:pt>
                <c:pt idx="571">
                  <c:v>30.117025018583089</c:v>
                </c:pt>
                <c:pt idx="572">
                  <c:v>18.320888150148178</c:v>
                </c:pt>
                <c:pt idx="573">
                  <c:v>103.27112550698125</c:v>
                </c:pt>
                <c:pt idx="574">
                  <c:v>121.69186981889999</c:v>
                </c:pt>
                <c:pt idx="575">
                  <c:v>149.51739437906389</c:v>
                </c:pt>
                <c:pt idx="576">
                  <c:v>139.51793737524022</c:v>
                </c:pt>
                <c:pt idx="577">
                  <c:v>61.272036702976337</c:v>
                </c:pt>
                <c:pt idx="578">
                  <c:v>199.1089054685655</c:v>
                </c:pt>
                <c:pt idx="579">
                  <c:v>44.5652603052187</c:v>
                </c:pt>
                <c:pt idx="580">
                  <c:v>104.18029509837301</c:v>
                </c:pt>
                <c:pt idx="581">
                  <c:v>171.30354317168602</c:v>
                </c:pt>
                <c:pt idx="582">
                  <c:v>104.76073571270263</c:v>
                </c:pt>
                <c:pt idx="583">
                  <c:v>104.86770920542324</c:v>
                </c:pt>
                <c:pt idx="584">
                  <c:v>114.43493859394981</c:v>
                </c:pt>
                <c:pt idx="585">
                  <c:v>151.93178204365532</c:v>
                </c:pt>
                <c:pt idx="586">
                  <c:v>189.52997083389965</c:v>
                </c:pt>
                <c:pt idx="587">
                  <c:v>64.937933374724224</c:v>
                </c:pt>
                <c:pt idx="588">
                  <c:v>83.126880667105482</c:v>
                </c:pt>
                <c:pt idx="589">
                  <c:v>69.30472601103088</c:v>
                </c:pt>
                <c:pt idx="590">
                  <c:v>54.736562173851482</c:v>
                </c:pt>
                <c:pt idx="591">
                  <c:v>105.5633608772051</c:v>
                </c:pt>
                <c:pt idx="592">
                  <c:v>102.74428044163758</c:v>
                </c:pt>
                <c:pt idx="593">
                  <c:v>172.65115033582131</c:v>
                </c:pt>
                <c:pt idx="594">
                  <c:v>127.52767422827702</c:v>
                </c:pt>
                <c:pt idx="595">
                  <c:v>23.987302050740908</c:v>
                </c:pt>
                <c:pt idx="596">
                  <c:v>228.92156304120161</c:v>
                </c:pt>
                <c:pt idx="597">
                  <c:v>119.53929249529321</c:v>
                </c:pt>
                <c:pt idx="598">
                  <c:v>24.30250794273762</c:v>
                </c:pt>
                <c:pt idx="599">
                  <c:v>87.073914006705095</c:v>
                </c:pt>
              </c:numCache>
            </c:numRef>
          </c:xVal>
          <c:yVal>
            <c:numRef>
              <c:f>Inverse!$R$3:$R$602</c:f>
              <c:numCache>
                <c:formatCode>0.0000</c:formatCode>
                <c:ptCount val="600"/>
                <c:pt idx="0">
                  <c:v>3.8583111017942429E-4</c:v>
                </c:pt>
                <c:pt idx="1">
                  <c:v>4.2451173067092896E-4</c:v>
                </c:pt>
                <c:pt idx="2">
                  <c:v>1.4984235167503357E-4</c:v>
                </c:pt>
                <c:pt idx="3">
                  <c:v>1.9777612760663033E-4</c:v>
                </c:pt>
                <c:pt idx="4">
                  <c:v>5.0303339958190918E-4</c:v>
                </c:pt>
                <c:pt idx="5">
                  <c:v>2.3786211386322975E-4</c:v>
                </c:pt>
                <c:pt idx="6">
                  <c:v>1.5494786202907562E-4</c:v>
                </c:pt>
                <c:pt idx="7">
                  <c:v>4.5279785990715027E-4</c:v>
                </c:pt>
                <c:pt idx="8">
                  <c:v>3.5822018980979919E-4</c:v>
                </c:pt>
                <c:pt idx="9">
                  <c:v>4.5086070895195007E-4</c:v>
                </c:pt>
                <c:pt idx="10">
                  <c:v>1.369379460811615E-4</c:v>
                </c:pt>
                <c:pt idx="11">
                  <c:v>1.370161771774292E-5</c:v>
                </c:pt>
                <c:pt idx="12">
                  <c:v>2.7999281883239746E-4</c:v>
                </c:pt>
                <c:pt idx="13">
                  <c:v>3.7722662091255188E-4</c:v>
                </c:pt>
                <c:pt idx="14">
                  <c:v>4.1596964001655579E-4</c:v>
                </c:pt>
                <c:pt idx="15">
                  <c:v>5.0582922995090485E-4</c:v>
                </c:pt>
                <c:pt idx="16">
                  <c:v>1.4085764996707439E-4</c:v>
                </c:pt>
                <c:pt idx="17">
                  <c:v>4.0136836469173431E-4</c:v>
                </c:pt>
                <c:pt idx="18">
                  <c:v>5.3655169904232025E-4</c:v>
                </c:pt>
                <c:pt idx="19">
                  <c:v>2.7822982519865036E-4</c:v>
                </c:pt>
                <c:pt idx="20">
                  <c:v>3.1957961618900299E-4</c:v>
                </c:pt>
                <c:pt idx="21">
                  <c:v>3.8950890302658081E-4</c:v>
                </c:pt>
                <c:pt idx="22">
                  <c:v>2.5594793260097504E-4</c:v>
                </c:pt>
                <c:pt idx="23">
                  <c:v>2.2097863256931305E-4</c:v>
                </c:pt>
                <c:pt idx="24">
                  <c:v>3.3864937722682953E-4</c:v>
                </c:pt>
                <c:pt idx="25">
                  <c:v>4.5857951045036316E-4</c:v>
                </c:pt>
                <c:pt idx="26">
                  <c:v>2.9319711029529572E-4</c:v>
                </c:pt>
                <c:pt idx="27">
                  <c:v>2.3283623158931732E-4</c:v>
                </c:pt>
                <c:pt idx="28">
                  <c:v>1.1628028005361557E-4</c:v>
                </c:pt>
                <c:pt idx="29">
                  <c:v>3.693215548992157E-4</c:v>
                </c:pt>
                <c:pt idx="30">
                  <c:v>6.0156453400850296E-5</c:v>
                </c:pt>
                <c:pt idx="31">
                  <c:v>7.6006632298231125E-5</c:v>
                </c:pt>
                <c:pt idx="32">
                  <c:v>7.6264142990112305E-5</c:v>
                </c:pt>
                <c:pt idx="33">
                  <c:v>4.9944967031478882E-5</c:v>
                </c:pt>
                <c:pt idx="34">
                  <c:v>2.5229901075363159E-4</c:v>
                </c:pt>
                <c:pt idx="35">
                  <c:v>1.9274652004241943E-5</c:v>
                </c:pt>
                <c:pt idx="36">
                  <c:v>3.7857703864574432E-4</c:v>
                </c:pt>
                <c:pt idx="37">
                  <c:v>5.5496115237474442E-5</c:v>
                </c:pt>
                <c:pt idx="38">
                  <c:v>1.0496005415916443E-4</c:v>
                </c:pt>
                <c:pt idx="39">
                  <c:v>2.7209101244807243E-4</c:v>
                </c:pt>
                <c:pt idx="40">
                  <c:v>3.0738487839698792E-4</c:v>
                </c:pt>
                <c:pt idx="41">
                  <c:v>1.9709067419171333E-4</c:v>
                </c:pt>
                <c:pt idx="42">
                  <c:v>1.5999563038349152E-4</c:v>
                </c:pt>
                <c:pt idx="43">
                  <c:v>4.5465119183063507E-4</c:v>
                </c:pt>
                <c:pt idx="44">
                  <c:v>3.3917278051376343E-4</c:v>
                </c:pt>
                <c:pt idx="45">
                  <c:v>4.0701404213905334E-4</c:v>
                </c:pt>
                <c:pt idx="46">
                  <c:v>1.7882650718092918E-4</c:v>
                </c:pt>
                <c:pt idx="47">
                  <c:v>1.0495632886886597E-4</c:v>
                </c:pt>
                <c:pt idx="48">
                  <c:v>3.25813889503479E-5</c:v>
                </c:pt>
                <c:pt idx="49">
                  <c:v>3.785816952586174E-4</c:v>
                </c:pt>
                <c:pt idx="50">
                  <c:v>2.6186928153038025E-4</c:v>
                </c:pt>
                <c:pt idx="51">
                  <c:v>3.2008718699216843E-4</c:v>
                </c:pt>
                <c:pt idx="52">
                  <c:v>1.648440957069397E-4</c:v>
                </c:pt>
                <c:pt idx="53">
                  <c:v>2.6331003755331039E-4</c:v>
                </c:pt>
                <c:pt idx="54">
                  <c:v>1.9601965323090553E-4</c:v>
                </c:pt>
                <c:pt idx="55">
                  <c:v>2.7634575963020325E-4</c:v>
                </c:pt>
                <c:pt idx="56">
                  <c:v>1.0245665907859802E-4</c:v>
                </c:pt>
                <c:pt idx="57">
                  <c:v>3.8881227374076843E-4</c:v>
                </c:pt>
                <c:pt idx="58">
                  <c:v>5.4167583584785461E-5</c:v>
                </c:pt>
                <c:pt idx="59">
                  <c:v>1.637972891330719E-4</c:v>
                </c:pt>
                <c:pt idx="60">
                  <c:v>2.3918598890304565E-4</c:v>
                </c:pt>
                <c:pt idx="61">
                  <c:v>3.3548101782798767E-4</c:v>
                </c:pt>
                <c:pt idx="62">
                  <c:v>2.0425766706466675E-5</c:v>
                </c:pt>
                <c:pt idx="63">
                  <c:v>2.3145880550146103E-4</c:v>
                </c:pt>
                <c:pt idx="64">
                  <c:v>3.2811146229505539E-4</c:v>
                </c:pt>
                <c:pt idx="65">
                  <c:v>3.8335006684064865E-4</c:v>
                </c:pt>
                <c:pt idx="66">
                  <c:v>4.6567805111408234E-4</c:v>
                </c:pt>
                <c:pt idx="67">
                  <c:v>1.6834121197462082E-4</c:v>
                </c:pt>
                <c:pt idx="68">
                  <c:v>3.4791696816682816E-4</c:v>
                </c:pt>
                <c:pt idx="69">
                  <c:v>1.0093580931425095E-4</c:v>
                </c:pt>
                <c:pt idx="70">
                  <c:v>7.9924240708351135E-5</c:v>
                </c:pt>
                <c:pt idx="71">
                  <c:v>4.9509690143167973E-4</c:v>
                </c:pt>
                <c:pt idx="72">
                  <c:v>6.2450766563415527E-5</c:v>
                </c:pt>
                <c:pt idx="73">
                  <c:v>4.7803297638893127E-4</c:v>
                </c:pt>
                <c:pt idx="74">
                  <c:v>3.5062059760093689E-4</c:v>
                </c:pt>
                <c:pt idx="75">
                  <c:v>8.5350126028060913E-5</c:v>
                </c:pt>
                <c:pt idx="76">
                  <c:v>2.4714414030313492E-4</c:v>
                </c:pt>
                <c:pt idx="77">
                  <c:v>8.4575265645980835E-5</c:v>
                </c:pt>
                <c:pt idx="78">
                  <c:v>8.0449506640434265E-5</c:v>
                </c:pt>
                <c:pt idx="79">
                  <c:v>4.4765882194042206E-5</c:v>
                </c:pt>
                <c:pt idx="80">
                  <c:v>3.2963231205940247E-4</c:v>
                </c:pt>
                <c:pt idx="81">
                  <c:v>2.2793188691139221E-4</c:v>
                </c:pt>
                <c:pt idx="82">
                  <c:v>1.9748695194721222E-4</c:v>
                </c:pt>
                <c:pt idx="83">
                  <c:v>1.459810882806778E-4</c:v>
                </c:pt>
                <c:pt idx="84">
                  <c:v>4.7025992535054684E-4</c:v>
                </c:pt>
                <c:pt idx="85">
                  <c:v>4.0092319250106812E-4</c:v>
                </c:pt>
                <c:pt idx="86">
                  <c:v>4.3038465082645416E-4</c:v>
                </c:pt>
                <c:pt idx="87">
                  <c:v>3.7189479917287827E-4</c:v>
                </c:pt>
                <c:pt idx="88">
                  <c:v>4.6864151954650879E-4</c:v>
                </c:pt>
                <c:pt idx="89">
                  <c:v>3.8619153201580048E-5</c:v>
                </c:pt>
                <c:pt idx="90">
                  <c:v>3.3407751470804214E-4</c:v>
                </c:pt>
                <c:pt idx="91">
                  <c:v>1.3275817036628723E-4</c:v>
                </c:pt>
                <c:pt idx="92">
                  <c:v>9.5167197287082672E-5</c:v>
                </c:pt>
                <c:pt idx="93">
                  <c:v>3.6309473216533661E-4</c:v>
                </c:pt>
                <c:pt idx="94">
                  <c:v>2.2940337657928467E-5</c:v>
                </c:pt>
                <c:pt idx="95">
                  <c:v>3.2392516732215881E-4</c:v>
                </c:pt>
                <c:pt idx="96">
                  <c:v>3.6378484219312668E-4</c:v>
                </c:pt>
                <c:pt idx="97">
                  <c:v>3.4743919968605042E-4</c:v>
                </c:pt>
                <c:pt idx="98">
                  <c:v>4.6114157885313034E-4</c:v>
                </c:pt>
                <c:pt idx="99">
                  <c:v>1.3255001977086067E-4</c:v>
                </c:pt>
                <c:pt idx="100">
                  <c:v>4.8525776946917176E-4</c:v>
                </c:pt>
                <c:pt idx="101">
                  <c:v>2.0958483219146729E-4</c:v>
                </c:pt>
                <c:pt idx="102">
                  <c:v>9.1974856331944466E-5</c:v>
                </c:pt>
                <c:pt idx="103">
                  <c:v>2.1451199427247047E-4</c:v>
                </c:pt>
                <c:pt idx="104">
                  <c:v>1.1613650713115931E-5</c:v>
                </c:pt>
                <c:pt idx="105">
                  <c:v>3.0747405253350735E-4</c:v>
                </c:pt>
                <c:pt idx="106">
                  <c:v>4.5778532512485981E-4</c:v>
                </c:pt>
                <c:pt idx="107">
                  <c:v>4.7847675159573555E-4</c:v>
                </c:pt>
                <c:pt idx="108">
                  <c:v>9.845406748354435E-5</c:v>
                </c:pt>
                <c:pt idx="109">
                  <c:v>3.4593825694173574E-4</c:v>
                </c:pt>
                <c:pt idx="110">
                  <c:v>2.1789944730699062E-4</c:v>
                </c:pt>
                <c:pt idx="111">
                  <c:v>4.6190724242478609E-4</c:v>
                </c:pt>
                <c:pt idx="112">
                  <c:v>8.0559402704238892E-7</c:v>
                </c:pt>
                <c:pt idx="113">
                  <c:v>4.3608271516859531E-4</c:v>
                </c:pt>
                <c:pt idx="114">
                  <c:v>8.9326174929738045E-5</c:v>
                </c:pt>
                <c:pt idx="115">
                  <c:v>5.2102026529610157E-5</c:v>
                </c:pt>
                <c:pt idx="116">
                  <c:v>1.4265126083046198E-4</c:v>
                </c:pt>
                <c:pt idx="117">
                  <c:v>2.313635777682066E-4</c:v>
                </c:pt>
                <c:pt idx="118">
                  <c:v>2.7708639390766621E-4</c:v>
                </c:pt>
                <c:pt idx="119">
                  <c:v>1.9386480562388897E-4</c:v>
                </c:pt>
                <c:pt idx="120">
                  <c:v>2.7068960480391979E-4</c:v>
                </c:pt>
                <c:pt idx="121">
                  <c:v>1.0129378642886877E-4</c:v>
                </c:pt>
                <c:pt idx="122">
                  <c:v>4.5878638047724962E-4</c:v>
                </c:pt>
                <c:pt idx="123">
                  <c:v>2.0314962603151798E-4</c:v>
                </c:pt>
                <c:pt idx="124">
                  <c:v>3.9671931881457567E-4</c:v>
                </c:pt>
                <c:pt idx="125">
                  <c:v>3.3673271536827087E-4</c:v>
                </c:pt>
                <c:pt idx="126">
                  <c:v>1.8046132754534483E-4</c:v>
                </c:pt>
                <c:pt idx="127">
                  <c:v>4.5259378384798765E-4</c:v>
                </c:pt>
                <c:pt idx="128">
                  <c:v>2.9689009534195065E-4</c:v>
                </c:pt>
                <c:pt idx="129">
                  <c:v>4.5565137406811118E-4</c:v>
                </c:pt>
                <c:pt idx="130">
                  <c:v>4.8375417827628553E-4</c:v>
                </c:pt>
                <c:pt idx="131">
                  <c:v>1.886083628050983E-4</c:v>
                </c:pt>
                <c:pt idx="132">
                  <c:v>3.8831809069961309E-4</c:v>
                </c:pt>
                <c:pt idx="133">
                  <c:v>1.9980338402092457E-4</c:v>
                </c:pt>
                <c:pt idx="134">
                  <c:v>3.9802666287869215E-4</c:v>
                </c:pt>
                <c:pt idx="135">
                  <c:v>9.6374424174427986E-5</c:v>
                </c:pt>
                <c:pt idx="136">
                  <c:v>4.3237931095063686E-5</c:v>
                </c:pt>
                <c:pt idx="137">
                  <c:v>4.7235342208296061E-5</c:v>
                </c:pt>
                <c:pt idx="138">
                  <c:v>3.2344670034945011E-4</c:v>
                </c:pt>
                <c:pt idx="139">
                  <c:v>1.9129330758005381E-4</c:v>
                </c:pt>
                <c:pt idx="140">
                  <c:v>3.3012148924171925E-4</c:v>
                </c:pt>
                <c:pt idx="141">
                  <c:v>2.438324736431241E-4</c:v>
                </c:pt>
                <c:pt idx="142">
                  <c:v>3.7482395418919623E-4</c:v>
                </c:pt>
                <c:pt idx="143">
                  <c:v>1.3467180542647839E-4</c:v>
                </c:pt>
                <c:pt idx="144">
                  <c:v>3.2033026218414307E-4</c:v>
                </c:pt>
                <c:pt idx="145">
                  <c:v>1.0354805272072554E-4</c:v>
                </c:pt>
                <c:pt idx="146">
                  <c:v>3.3546844497323036E-4</c:v>
                </c:pt>
                <c:pt idx="147">
                  <c:v>5.4978649131953716E-5</c:v>
                </c:pt>
                <c:pt idx="148">
                  <c:v>4.0994794107973576E-4</c:v>
                </c:pt>
                <c:pt idx="149">
                  <c:v>4.5276526361703873E-4</c:v>
                </c:pt>
                <c:pt idx="150">
                  <c:v>3.7731463089585304E-4</c:v>
                </c:pt>
                <c:pt idx="151">
                  <c:v>2.5374582037329674E-4</c:v>
                </c:pt>
                <c:pt idx="152">
                  <c:v>7.701595313847065E-5</c:v>
                </c:pt>
                <c:pt idx="153">
                  <c:v>2.444098936393857E-4</c:v>
                </c:pt>
                <c:pt idx="154">
                  <c:v>4.4579972745850682E-4</c:v>
                </c:pt>
                <c:pt idx="155">
                  <c:v>3.8692977977916598E-4</c:v>
                </c:pt>
                <c:pt idx="156">
                  <c:v>1.1387502308934927E-4</c:v>
                </c:pt>
                <c:pt idx="157">
                  <c:v>7.0354784838855267E-5</c:v>
                </c:pt>
                <c:pt idx="158">
                  <c:v>4.8065744340419769E-4</c:v>
                </c:pt>
                <c:pt idx="159">
                  <c:v>3.5629898775368929E-4</c:v>
                </c:pt>
                <c:pt idx="160">
                  <c:v>2.0602572476491332E-4</c:v>
                </c:pt>
                <c:pt idx="161">
                  <c:v>1.6968895215541124E-4</c:v>
                </c:pt>
                <c:pt idx="162">
                  <c:v>2.0413799211382866E-4</c:v>
                </c:pt>
                <c:pt idx="163">
                  <c:v>4.0581496432423592E-4</c:v>
                </c:pt>
                <c:pt idx="164">
                  <c:v>3.3412326592952013E-4</c:v>
                </c:pt>
                <c:pt idx="165">
                  <c:v>4.668539622798562E-4</c:v>
                </c:pt>
                <c:pt idx="166">
                  <c:v>3.0834227800369263E-5</c:v>
                </c:pt>
                <c:pt idx="167">
                  <c:v>3.5357894375920296E-4</c:v>
                </c:pt>
                <c:pt idx="168">
                  <c:v>3.5965442657470703E-4</c:v>
                </c:pt>
                <c:pt idx="169">
                  <c:v>2.3287325166165829E-4</c:v>
                </c:pt>
                <c:pt idx="170">
                  <c:v>1.2650457210838795E-4</c:v>
                </c:pt>
                <c:pt idx="171">
                  <c:v>3.027952479897067E-4</c:v>
                </c:pt>
                <c:pt idx="172">
                  <c:v>3.5641761496663094E-4</c:v>
                </c:pt>
                <c:pt idx="173">
                  <c:v>2.3606640752404928E-5</c:v>
                </c:pt>
                <c:pt idx="174">
                  <c:v>1.7404020036337897E-4</c:v>
                </c:pt>
                <c:pt idx="175">
                  <c:v>4.5517203398048878E-4</c:v>
                </c:pt>
                <c:pt idx="176">
                  <c:v>3.360304981470108E-5</c:v>
                </c:pt>
                <c:pt idx="177">
                  <c:v>1.941899536177516E-4</c:v>
                </c:pt>
                <c:pt idx="178">
                  <c:v>4.3914804700762033E-4</c:v>
                </c:pt>
                <c:pt idx="179">
                  <c:v>4.8747053369879723E-5</c:v>
                </c:pt>
                <c:pt idx="180">
                  <c:v>4.5350461732596159E-4</c:v>
                </c:pt>
                <c:pt idx="181">
                  <c:v>8.0706784501671791E-5</c:v>
                </c:pt>
                <c:pt idx="182">
                  <c:v>1.3436807785183191E-4</c:v>
                </c:pt>
                <c:pt idx="183">
                  <c:v>3.1454046256840229E-4</c:v>
                </c:pt>
                <c:pt idx="184">
                  <c:v>4.359737504273653E-4</c:v>
                </c:pt>
                <c:pt idx="185">
                  <c:v>5.7563534937798977E-5</c:v>
                </c:pt>
                <c:pt idx="186">
                  <c:v>1.8994312267750502E-4</c:v>
                </c:pt>
                <c:pt idx="187">
                  <c:v>3.1578214839100838E-4</c:v>
                </c:pt>
                <c:pt idx="188">
                  <c:v>1.7811916768550873E-4</c:v>
                </c:pt>
                <c:pt idx="189">
                  <c:v>1.7003098037093878E-4</c:v>
                </c:pt>
                <c:pt idx="190">
                  <c:v>4.3611740693449974E-5</c:v>
                </c:pt>
                <c:pt idx="191">
                  <c:v>1.5723856631666422E-4</c:v>
                </c:pt>
                <c:pt idx="192">
                  <c:v>1.0829482926055789E-4</c:v>
                </c:pt>
                <c:pt idx="193">
                  <c:v>8.2587474025785923E-5</c:v>
                </c:pt>
                <c:pt idx="194">
                  <c:v>2.7367571601644158E-4</c:v>
                </c:pt>
                <c:pt idx="195">
                  <c:v>3.7397327832877636E-4</c:v>
                </c:pt>
                <c:pt idx="196">
                  <c:v>2.1347543224692345E-4</c:v>
                </c:pt>
                <c:pt idx="197">
                  <c:v>3.0124199111014605E-4</c:v>
                </c:pt>
                <c:pt idx="198">
                  <c:v>4.5619963202625513E-4</c:v>
                </c:pt>
                <c:pt idx="199">
                  <c:v>4.359737504273653E-4</c:v>
                </c:pt>
                <c:pt idx="200">
                  <c:v>2.1715979528380558E-4</c:v>
                </c:pt>
                <c:pt idx="201">
                  <c:v>4.0585061651654541E-4</c:v>
                </c:pt>
                <c:pt idx="202">
                  <c:v>5.9955345932394266E-6</c:v>
                </c:pt>
                <c:pt idx="203">
                  <c:v>5.84215740673244E-7</c:v>
                </c:pt>
                <c:pt idx="204">
                  <c:v>2.0053328626090661E-4</c:v>
                </c:pt>
                <c:pt idx="205">
                  <c:v>5.4105839808471501E-5</c:v>
                </c:pt>
                <c:pt idx="206">
                  <c:v>2.4361962277907878E-4</c:v>
                </c:pt>
                <c:pt idx="207">
                  <c:v>4.2132764792768285E-4</c:v>
                </c:pt>
                <c:pt idx="208">
                  <c:v>7.1595772169530392E-5</c:v>
                </c:pt>
                <c:pt idx="209">
                  <c:v>1.7145390302175656E-4</c:v>
                </c:pt>
                <c:pt idx="210">
                  <c:v>1.5257985796779394E-4</c:v>
                </c:pt>
                <c:pt idx="211">
                  <c:v>1.9356276607140899E-4</c:v>
                </c:pt>
                <c:pt idx="212">
                  <c:v>2.9730332607869059E-4</c:v>
                </c:pt>
                <c:pt idx="213">
                  <c:v>2.6505214191274717E-4</c:v>
                </c:pt>
                <c:pt idx="214">
                  <c:v>1.1412425374146551E-4</c:v>
                </c:pt>
                <c:pt idx="215">
                  <c:v>9.9800737189070787E-5</c:v>
                </c:pt>
                <c:pt idx="216">
                  <c:v>6.5793632529675961E-5</c:v>
                </c:pt>
                <c:pt idx="217">
                  <c:v>1.6001498443074524E-4</c:v>
                </c:pt>
                <c:pt idx="218">
                  <c:v>2.1163656492717564E-4</c:v>
                </c:pt>
                <c:pt idx="219">
                  <c:v>5.439070810098201E-5</c:v>
                </c:pt>
                <c:pt idx="220">
                  <c:v>4.0081075349007733E-4</c:v>
                </c:pt>
                <c:pt idx="221">
                  <c:v>4.2439044045750052E-4</c:v>
                </c:pt>
                <c:pt idx="222">
                  <c:v>4.0354598604608327E-4</c:v>
                </c:pt>
                <c:pt idx="223">
                  <c:v>1.6317504923790693E-4</c:v>
                </c:pt>
                <c:pt idx="224">
                  <c:v>2.2201672254595906E-4</c:v>
                </c:pt>
                <c:pt idx="225">
                  <c:v>1.0186078725382686E-4</c:v>
                </c:pt>
                <c:pt idx="226">
                  <c:v>4.5152645907364786E-4</c:v>
                </c:pt>
                <c:pt idx="227">
                  <c:v>1.153315206465777E-4</c:v>
                </c:pt>
                <c:pt idx="228">
                  <c:v>2.2731730132363737E-4</c:v>
                </c:pt>
                <c:pt idx="229">
                  <c:v>1.7526895680930465E-4</c:v>
                </c:pt>
                <c:pt idx="230">
                  <c:v>1.11321423901245E-4</c:v>
                </c:pt>
                <c:pt idx="231">
                  <c:v>4.415093717398122E-4</c:v>
                </c:pt>
                <c:pt idx="232">
                  <c:v>2.9319451277842745E-4</c:v>
                </c:pt>
                <c:pt idx="233">
                  <c:v>7.1068556280806661E-5</c:v>
                </c:pt>
                <c:pt idx="234">
                  <c:v>2.0089006284251809E-5</c:v>
                </c:pt>
                <c:pt idx="235">
                  <c:v>1.5174383588600904E-4</c:v>
                </c:pt>
                <c:pt idx="236">
                  <c:v>2.6283272745786235E-5</c:v>
                </c:pt>
                <c:pt idx="237">
                  <c:v>4.4167073792777956E-4</c:v>
                </c:pt>
                <c:pt idx="238">
                  <c:v>2.4651194689795375E-4</c:v>
                </c:pt>
                <c:pt idx="239">
                  <c:v>1.2112723197788E-6</c:v>
                </c:pt>
                <c:pt idx="240">
                  <c:v>2.9768227250315249E-4</c:v>
                </c:pt>
                <c:pt idx="241">
                  <c:v>1.369420497212559E-4</c:v>
                </c:pt>
                <c:pt idx="242">
                  <c:v>3.6158782313577831E-4</c:v>
                </c:pt>
                <c:pt idx="243">
                  <c:v>3.7340731068979949E-4</c:v>
                </c:pt>
                <c:pt idx="244">
                  <c:v>4.0591141441836953E-5</c:v>
                </c:pt>
                <c:pt idx="245">
                  <c:v>1.647852041060105E-4</c:v>
                </c:pt>
                <c:pt idx="246">
                  <c:v>6.1892238591099158E-5</c:v>
                </c:pt>
                <c:pt idx="247">
                  <c:v>3.3711211290210485E-4</c:v>
                </c:pt>
                <c:pt idx="248">
                  <c:v>1.1577176337596029E-5</c:v>
                </c:pt>
                <c:pt idx="249">
                  <c:v>2.9078892839606851E-4</c:v>
                </c:pt>
                <c:pt idx="250">
                  <c:v>2.6107320445589721E-4</c:v>
                </c:pt>
                <c:pt idx="251">
                  <c:v>3.2597592507954687E-4</c:v>
                </c:pt>
                <c:pt idx="252">
                  <c:v>1.0356302664149553E-4</c:v>
                </c:pt>
                <c:pt idx="253">
                  <c:v>9.9291064543649554E-5</c:v>
                </c:pt>
                <c:pt idx="254">
                  <c:v>4.7832174459472299E-5</c:v>
                </c:pt>
                <c:pt idx="255">
                  <c:v>4.3120996269863099E-4</c:v>
                </c:pt>
                <c:pt idx="256">
                  <c:v>2.3810204584151506E-4</c:v>
                </c:pt>
                <c:pt idx="257">
                  <c:v>2.6673857792047784E-4</c:v>
                </c:pt>
                <c:pt idx="258">
                  <c:v>4.6903960901545361E-4</c:v>
                </c:pt>
                <c:pt idx="259">
                  <c:v>3.7668472214136273E-4</c:v>
                </c:pt>
                <c:pt idx="260">
                  <c:v>4.1919088107533753E-4</c:v>
                </c:pt>
                <c:pt idx="261">
                  <c:v>3.6926388565916568E-4</c:v>
                </c:pt>
                <c:pt idx="262">
                  <c:v>2.5198797811754048E-4</c:v>
                </c:pt>
                <c:pt idx="263">
                  <c:v>1.1064702994190156E-4</c:v>
                </c:pt>
                <c:pt idx="264">
                  <c:v>1.6414142737630755E-4</c:v>
                </c:pt>
                <c:pt idx="265">
                  <c:v>5.3153074986767024E-5</c:v>
                </c:pt>
                <c:pt idx="266">
                  <c:v>1.8264062964590266E-4</c:v>
                </c:pt>
                <c:pt idx="267">
                  <c:v>2.7050469361711293E-4</c:v>
                </c:pt>
                <c:pt idx="268">
                  <c:v>1.7777691755327396E-4</c:v>
                </c:pt>
                <c:pt idx="269">
                  <c:v>2.7307005075272173E-4</c:v>
                </c:pt>
                <c:pt idx="270">
                  <c:v>4.3943137643509544E-4</c:v>
                </c:pt>
                <c:pt idx="271">
                  <c:v>8.7665051978547126E-5</c:v>
                </c:pt>
                <c:pt idx="272">
                  <c:v>2.0823070371989161E-5</c:v>
                </c:pt>
                <c:pt idx="273">
                  <c:v>2.4665831006132066E-5</c:v>
                </c:pt>
                <c:pt idx="274">
                  <c:v>4.0339295810554177E-4</c:v>
                </c:pt>
                <c:pt idx="275">
                  <c:v>3.2083371479529887E-5</c:v>
                </c:pt>
                <c:pt idx="276">
                  <c:v>4.7494306636508554E-4</c:v>
                </c:pt>
                <c:pt idx="277">
                  <c:v>3.5029028367716819E-4</c:v>
                </c:pt>
                <c:pt idx="278">
                  <c:v>2.2275095398072153E-4</c:v>
                </c:pt>
                <c:pt idx="279">
                  <c:v>3.726182330865413E-5</c:v>
                </c:pt>
                <c:pt idx="280">
                  <c:v>2.2968179837334901E-4</c:v>
                </c:pt>
                <c:pt idx="281">
                  <c:v>2.0244681218173355E-4</c:v>
                </c:pt>
                <c:pt idx="282">
                  <c:v>1.5466019976884127E-4</c:v>
                </c:pt>
                <c:pt idx="283">
                  <c:v>4.1366817458765581E-4</c:v>
                </c:pt>
                <c:pt idx="284">
                  <c:v>4.0843761235009879E-4</c:v>
                </c:pt>
                <c:pt idx="285">
                  <c:v>1.7048592417268082E-4</c:v>
                </c:pt>
                <c:pt idx="286">
                  <c:v>2.0828103879466653E-4</c:v>
                </c:pt>
                <c:pt idx="287">
                  <c:v>1.1600274592638016E-4</c:v>
                </c:pt>
                <c:pt idx="288">
                  <c:v>4.7434635052923113E-4</c:v>
                </c:pt>
                <c:pt idx="289">
                  <c:v>3.285734128439799E-4</c:v>
                </c:pt>
                <c:pt idx="290">
                  <c:v>1.5441888535860926E-4</c:v>
                </c:pt>
                <c:pt idx="291">
                  <c:v>2.074638832709752E-4</c:v>
                </c:pt>
                <c:pt idx="292">
                  <c:v>2.2484766668640077E-4</c:v>
                </c:pt>
                <c:pt idx="293">
                  <c:v>3.9754406316205859E-4</c:v>
                </c:pt>
                <c:pt idx="294">
                  <c:v>2.34137216466479E-4</c:v>
                </c:pt>
                <c:pt idx="295">
                  <c:v>8.8732937001623213E-5</c:v>
                </c:pt>
                <c:pt idx="296">
                  <c:v>4.1229267662856728E-4</c:v>
                </c:pt>
                <c:pt idx="297">
                  <c:v>4.4574974162969738E-4</c:v>
                </c:pt>
                <c:pt idx="298">
                  <c:v>4.2413740811753087E-4</c:v>
                </c:pt>
                <c:pt idx="299">
                  <c:v>1.5748502482892945E-4</c:v>
                </c:pt>
                <c:pt idx="300">
                  <c:v>3.250957524869591E-5</c:v>
                </c:pt>
                <c:pt idx="301">
                  <c:v>2.3484871780965477E-4</c:v>
                </c:pt>
                <c:pt idx="302">
                  <c:v>2.3010291261016391E-4</c:v>
                </c:pt>
                <c:pt idx="303">
                  <c:v>4.8828131730260793E-4</c:v>
                </c:pt>
                <c:pt idx="304">
                  <c:v>2.9367311071837321E-5</c:v>
                </c:pt>
                <c:pt idx="305">
                  <c:v>1.9084834821114782E-4</c:v>
                </c:pt>
                <c:pt idx="306">
                  <c:v>1.2760616482410114E-4</c:v>
                </c:pt>
                <c:pt idx="307">
                  <c:v>3.9053563887136988E-4</c:v>
                </c:pt>
                <c:pt idx="308">
                  <c:v>1.9421561955823563E-4</c:v>
                </c:pt>
                <c:pt idx="309">
                  <c:v>3.0820905885775574E-4</c:v>
                </c:pt>
                <c:pt idx="310">
                  <c:v>1.5137720947677735E-4</c:v>
                </c:pt>
                <c:pt idx="311">
                  <c:v>1.566751925565768E-4</c:v>
                </c:pt>
                <c:pt idx="312">
                  <c:v>4.511343540798407E-4</c:v>
                </c:pt>
                <c:pt idx="313">
                  <c:v>3.0519156825903337E-4</c:v>
                </c:pt>
                <c:pt idx="314">
                  <c:v>2.6758062085718848E-4</c:v>
                </c:pt>
                <c:pt idx="315">
                  <c:v>1.5891554176050704E-4</c:v>
                </c:pt>
                <c:pt idx="316">
                  <c:v>2.1380964108175249E-4</c:v>
                </c:pt>
                <c:pt idx="317">
                  <c:v>1.2031744699925184E-4</c:v>
                </c:pt>
                <c:pt idx="318">
                  <c:v>3.0910427813068964E-4</c:v>
                </c:pt>
                <c:pt idx="319">
                  <c:v>6.0713031416526064E-5</c:v>
                </c:pt>
                <c:pt idx="320">
                  <c:v>4.6468849359371234E-4</c:v>
                </c:pt>
                <c:pt idx="321">
                  <c:v>4.6235598529165145E-4</c:v>
                </c:pt>
                <c:pt idx="322">
                  <c:v>3.6137771530775353E-6</c:v>
                </c:pt>
                <c:pt idx="323">
                  <c:v>3.4288560709683225E-4</c:v>
                </c:pt>
                <c:pt idx="324">
                  <c:v>1.5634069131920114E-4</c:v>
                </c:pt>
                <c:pt idx="325">
                  <c:v>3.1322623544838279E-4</c:v>
                </c:pt>
                <c:pt idx="326">
                  <c:v>4.0800525312079117E-5</c:v>
                </c:pt>
                <c:pt idx="327">
                  <c:v>1.3560009210777935E-4</c:v>
                </c:pt>
                <c:pt idx="328">
                  <c:v>2.8561601538967807E-5</c:v>
                </c:pt>
                <c:pt idx="329">
                  <c:v>4.3015277333324775E-4</c:v>
                </c:pt>
                <c:pt idx="330">
                  <c:v>4.7096394882828463E-4</c:v>
                </c:pt>
                <c:pt idx="331">
                  <c:v>2.6699227692006389E-4</c:v>
                </c:pt>
                <c:pt idx="332">
                  <c:v>1.3106418737152126E-4</c:v>
                </c:pt>
                <c:pt idx="333">
                  <c:v>2.2136353072710335E-4</c:v>
                </c:pt>
                <c:pt idx="334">
                  <c:v>3.3658756365184672E-4</c:v>
                </c:pt>
                <c:pt idx="335">
                  <c:v>1.9405312559683807E-4</c:v>
                </c:pt>
                <c:pt idx="336">
                  <c:v>4.7989288395910989E-4</c:v>
                </c:pt>
                <c:pt idx="337">
                  <c:v>7.6173676461621653E-5</c:v>
                </c:pt>
                <c:pt idx="338">
                  <c:v>1.9030198450309399E-4</c:v>
                </c:pt>
                <c:pt idx="339">
                  <c:v>3.8983089325483888E-6</c:v>
                </c:pt>
                <c:pt idx="340">
                  <c:v>4.3361881944292691E-4</c:v>
                </c:pt>
                <c:pt idx="341">
                  <c:v>3.129366032226244E-4</c:v>
                </c:pt>
                <c:pt idx="342">
                  <c:v>4.6720176032977179E-4</c:v>
                </c:pt>
                <c:pt idx="343">
                  <c:v>6.2154528677638154E-5</c:v>
                </c:pt>
                <c:pt idx="344">
                  <c:v>4.2760988799273036E-4</c:v>
                </c:pt>
                <c:pt idx="345">
                  <c:v>1.6371483070543036E-5</c:v>
                </c:pt>
                <c:pt idx="346">
                  <c:v>2.2109570636530407E-4</c:v>
                </c:pt>
                <c:pt idx="347">
                  <c:v>2.2879592654589942E-4</c:v>
                </c:pt>
                <c:pt idx="348">
                  <c:v>1.9261705438111676E-4</c:v>
                </c:pt>
                <c:pt idx="349">
                  <c:v>2.8908181684528245E-4</c:v>
                </c:pt>
                <c:pt idx="350">
                  <c:v>5.2423782108235173E-5</c:v>
                </c:pt>
                <c:pt idx="351">
                  <c:v>3.7412773099276819E-4</c:v>
                </c:pt>
                <c:pt idx="352">
                  <c:v>4.8326414616894908E-4</c:v>
                </c:pt>
                <c:pt idx="353">
                  <c:v>2.1259510867821518E-4</c:v>
                </c:pt>
                <c:pt idx="354">
                  <c:v>1.5607272871420719E-5</c:v>
                </c:pt>
                <c:pt idx="355">
                  <c:v>3.2114192435983568E-5</c:v>
                </c:pt>
                <c:pt idx="356">
                  <c:v>4.3166982504772022E-4</c:v>
                </c:pt>
                <c:pt idx="357">
                  <c:v>4.3930776882916689E-6</c:v>
                </c:pt>
                <c:pt idx="358">
                  <c:v>3.0627113483205903E-4</c:v>
                </c:pt>
                <c:pt idx="359">
                  <c:v>4.8868088924791664E-4</c:v>
                </c:pt>
                <c:pt idx="360">
                  <c:v>1.8661478861758951E-4</c:v>
                </c:pt>
                <c:pt idx="361">
                  <c:v>3.8808875706308754E-4</c:v>
                </c:pt>
                <c:pt idx="362">
                  <c:v>6.3632269302615896E-5</c:v>
                </c:pt>
                <c:pt idx="363">
                  <c:v>4.0009532676776871E-4</c:v>
                </c:pt>
                <c:pt idx="364">
                  <c:v>4.1378100104338955E-4</c:v>
                </c:pt>
                <c:pt idx="365">
                  <c:v>3.3606584474910051E-4</c:v>
                </c:pt>
                <c:pt idx="366">
                  <c:v>2.8227760412846692E-4</c:v>
                </c:pt>
                <c:pt idx="367">
                  <c:v>1.2823599900002591E-4</c:v>
                </c:pt>
                <c:pt idx="368">
                  <c:v>3.990710597463476E-4</c:v>
                </c:pt>
                <c:pt idx="369">
                  <c:v>1.7442843818571419E-4</c:v>
                </c:pt>
                <c:pt idx="370">
                  <c:v>2.7231564126850571E-4</c:v>
                </c:pt>
                <c:pt idx="371">
                  <c:v>2.3749938918626867E-4</c:v>
                </c:pt>
                <c:pt idx="372">
                  <c:v>1.5081461060617585E-4</c:v>
                </c:pt>
                <c:pt idx="373">
                  <c:v>4.2974277675966732E-4</c:v>
                </c:pt>
                <c:pt idx="374">
                  <c:v>2.0774114454980008E-4</c:v>
                </c:pt>
                <c:pt idx="375">
                  <c:v>3.6054941301699728E-4</c:v>
                </c:pt>
                <c:pt idx="376">
                  <c:v>1.4132851720205508E-4</c:v>
                </c:pt>
                <c:pt idx="377">
                  <c:v>5.0591676881595049E-5</c:v>
                </c:pt>
                <c:pt idx="378">
                  <c:v>4.5263439460541122E-4</c:v>
                </c:pt>
                <c:pt idx="379">
                  <c:v>2.7235430206928868E-4</c:v>
                </c:pt>
                <c:pt idx="380">
                  <c:v>2.9229856590973213E-4</c:v>
                </c:pt>
                <c:pt idx="381">
                  <c:v>3.3536695264047012E-4</c:v>
                </c:pt>
                <c:pt idx="382">
                  <c:v>8.523312681063544E-5</c:v>
                </c:pt>
                <c:pt idx="383">
                  <c:v>1.8061138234770624E-4</c:v>
                </c:pt>
                <c:pt idx="384">
                  <c:v>3.1406878588313702E-4</c:v>
                </c:pt>
                <c:pt idx="385">
                  <c:v>1.8156198711949401E-4</c:v>
                </c:pt>
                <c:pt idx="386">
                  <c:v>4.4139509645901853E-4</c:v>
                </c:pt>
                <c:pt idx="387">
                  <c:v>3.8707083149347454E-5</c:v>
                </c:pt>
                <c:pt idx="388">
                  <c:v>5.7149465646944009E-5</c:v>
                </c:pt>
                <c:pt idx="389">
                  <c:v>2.1012861998315202E-4</c:v>
                </c:pt>
                <c:pt idx="390">
                  <c:v>3.4977067116415128E-4</c:v>
                </c:pt>
                <c:pt idx="391">
                  <c:v>2.679608069229289E-4</c:v>
                </c:pt>
                <c:pt idx="392">
                  <c:v>3.5480131555232219E-4</c:v>
                </c:pt>
                <c:pt idx="393">
                  <c:v>1.1184896811755607E-4</c:v>
                </c:pt>
                <c:pt idx="394">
                  <c:v>4.184804784017615E-4</c:v>
                </c:pt>
                <c:pt idx="395">
                  <c:v>2.0745863002957776E-4</c:v>
                </c:pt>
                <c:pt idx="396">
                  <c:v>2.9399137929431163E-4</c:v>
                </c:pt>
                <c:pt idx="397">
                  <c:v>1.7916111210070085E-4</c:v>
                </c:pt>
                <c:pt idx="398">
                  <c:v>4.0469018131261691E-4</c:v>
                </c:pt>
                <c:pt idx="399">
                  <c:v>3.8760671304771677E-4</c:v>
                </c:pt>
                <c:pt idx="400">
                  <c:v>4.3950946258064505E-4</c:v>
                </c:pt>
                <c:pt idx="401">
                  <c:v>7.335853092627076E-5</c:v>
                </c:pt>
                <c:pt idx="402">
                  <c:v>4.3120410964547773E-4</c:v>
                </c:pt>
                <c:pt idx="403">
                  <c:v>3.1607544428879919E-4</c:v>
                </c:pt>
                <c:pt idx="404">
                  <c:v>3.2144475540007988E-5</c:v>
                </c:pt>
                <c:pt idx="405">
                  <c:v>1.1724359160325548E-4</c:v>
                </c:pt>
                <c:pt idx="406">
                  <c:v>1.8591358104913525E-4</c:v>
                </c:pt>
                <c:pt idx="407">
                  <c:v>3.0258155516094121E-4</c:v>
                </c:pt>
                <c:pt idx="408">
                  <c:v>1.4048755247131339E-4</c:v>
                </c:pt>
                <c:pt idx="409">
                  <c:v>3.4907762210423243E-4</c:v>
                </c:pt>
                <c:pt idx="410">
                  <c:v>9.7291287488587841E-6</c:v>
                </c:pt>
                <c:pt idx="411">
                  <c:v>4.7424440731447248E-4</c:v>
                </c:pt>
                <c:pt idx="412">
                  <c:v>4.5911850725133263E-4</c:v>
                </c:pt>
                <c:pt idx="413">
                  <c:v>1.120786769206461E-4</c:v>
                </c:pt>
                <c:pt idx="414">
                  <c:v>3.1080928465598845E-5</c:v>
                </c:pt>
                <c:pt idx="415">
                  <c:v>6.3376548041560454E-5</c:v>
                </c:pt>
                <c:pt idx="416">
                  <c:v>2.5579657818752821E-4</c:v>
                </c:pt>
                <c:pt idx="417">
                  <c:v>7.7187688020785572E-5</c:v>
                </c:pt>
                <c:pt idx="418">
                  <c:v>7.7168781444925116E-5</c:v>
                </c:pt>
                <c:pt idx="419">
                  <c:v>3.8765416866226587E-4</c:v>
                </c:pt>
                <c:pt idx="420">
                  <c:v>1.8351078733758186E-4</c:v>
                </c:pt>
                <c:pt idx="421">
                  <c:v>1.2162367397650087E-4</c:v>
                </c:pt>
                <c:pt idx="422">
                  <c:v>1.0224655466117838E-4</c:v>
                </c:pt>
                <c:pt idx="423">
                  <c:v>3.4970141882695316E-4</c:v>
                </c:pt>
                <c:pt idx="424">
                  <c:v>3.3749181284292717E-4</c:v>
                </c:pt>
                <c:pt idx="425">
                  <c:v>2.752242492078949E-4</c:v>
                </c:pt>
                <c:pt idx="426">
                  <c:v>3.433324379784608E-4</c:v>
                </c:pt>
                <c:pt idx="427">
                  <c:v>5.5490488648501923E-5</c:v>
                </c:pt>
                <c:pt idx="428">
                  <c:v>2.2127588090370409E-4</c:v>
                </c:pt>
                <c:pt idx="429">
                  <c:v>9.0596489599192864E-5</c:v>
                </c:pt>
                <c:pt idx="430">
                  <c:v>4.0089378285301791E-4</c:v>
                </c:pt>
                <c:pt idx="431">
                  <c:v>2.2303259470390913E-4</c:v>
                </c:pt>
                <c:pt idx="432">
                  <c:v>1.4453086168941809E-4</c:v>
                </c:pt>
                <c:pt idx="433">
                  <c:v>3.0115591130197572E-4</c:v>
                </c:pt>
                <c:pt idx="434">
                  <c:v>3.6729686303260678E-4</c:v>
                </c:pt>
                <c:pt idx="435">
                  <c:v>3.5754238638219249E-5</c:v>
                </c:pt>
                <c:pt idx="436">
                  <c:v>2.3645101896363485E-4</c:v>
                </c:pt>
                <c:pt idx="437">
                  <c:v>4.0719184175941336E-4</c:v>
                </c:pt>
                <c:pt idx="438">
                  <c:v>3.9152547060439247E-4</c:v>
                </c:pt>
                <c:pt idx="439">
                  <c:v>3.9773654447117224E-4</c:v>
                </c:pt>
                <c:pt idx="440">
                  <c:v>4.9606589777795307E-4</c:v>
                </c:pt>
                <c:pt idx="441">
                  <c:v>2.0459072811718215E-4</c:v>
                </c:pt>
                <c:pt idx="442">
                  <c:v>3.9236578913914855E-4</c:v>
                </c:pt>
                <c:pt idx="443">
                  <c:v>3.0689714208165242E-4</c:v>
                </c:pt>
                <c:pt idx="444">
                  <c:v>1.8081160453675693E-4</c:v>
                </c:pt>
                <c:pt idx="445">
                  <c:v>1.2219455629747245E-4</c:v>
                </c:pt>
                <c:pt idx="446">
                  <c:v>3.2362346473746584E-4</c:v>
                </c:pt>
                <c:pt idx="447">
                  <c:v>2.1185126774980745E-4</c:v>
                </c:pt>
                <c:pt idx="448">
                  <c:v>2.2067472173148417E-5</c:v>
                </c:pt>
                <c:pt idx="449">
                  <c:v>1.658872865846206E-4</c:v>
                </c:pt>
                <c:pt idx="450">
                  <c:v>7.2451862806133249E-5</c:v>
                </c:pt>
                <c:pt idx="451">
                  <c:v>3.8599531853833469E-4</c:v>
                </c:pt>
                <c:pt idx="452">
                  <c:v>4.6012982147658477E-4</c:v>
                </c:pt>
                <c:pt idx="453">
                  <c:v>2.7199339660910482E-4</c:v>
                </c:pt>
                <c:pt idx="454">
                  <c:v>4.563213719848136E-4</c:v>
                </c:pt>
                <c:pt idx="455">
                  <c:v>1.2934637743455824E-4</c:v>
                </c:pt>
                <c:pt idx="456">
                  <c:v>1.4825177959210123E-4</c:v>
                </c:pt>
                <c:pt idx="457">
                  <c:v>1.6285616845834738E-4</c:v>
                </c:pt>
                <c:pt idx="458">
                  <c:v>1.336553991677647E-4</c:v>
                </c:pt>
                <c:pt idx="459">
                  <c:v>4.0261952619857766E-4</c:v>
                </c:pt>
                <c:pt idx="460">
                  <c:v>8.0836065080802655E-5</c:v>
                </c:pt>
                <c:pt idx="461">
                  <c:v>4.8020635290413338E-4</c:v>
                </c:pt>
                <c:pt idx="462">
                  <c:v>2.9474409757312969E-4</c:v>
                </c:pt>
                <c:pt idx="463">
                  <c:v>5.8289865137339802E-5</c:v>
                </c:pt>
                <c:pt idx="464">
                  <c:v>4.7869091213215142E-4</c:v>
                </c:pt>
                <c:pt idx="465">
                  <c:v>2.1346802986954572E-4</c:v>
                </c:pt>
                <c:pt idx="466">
                  <c:v>2.0576625820467598E-4</c:v>
                </c:pt>
                <c:pt idx="467">
                  <c:v>3.6656076827057404E-4</c:v>
                </c:pt>
                <c:pt idx="468">
                  <c:v>4.7831147628585313E-4</c:v>
                </c:pt>
                <c:pt idx="469">
                  <c:v>4.6467871993627341E-4</c:v>
                </c:pt>
                <c:pt idx="470">
                  <c:v>1.0097965150634991E-4</c:v>
                </c:pt>
                <c:pt idx="471">
                  <c:v>3.06398358475235E-4</c:v>
                </c:pt>
                <c:pt idx="472">
                  <c:v>2.9049181557638803E-4</c:v>
                </c:pt>
                <c:pt idx="473">
                  <c:v>1.8224321536308707E-5</c:v>
                </c:pt>
                <c:pt idx="474">
                  <c:v>1.2603151822077052E-4</c:v>
                </c:pt>
                <c:pt idx="475">
                  <c:v>3.9053085129125975E-4</c:v>
                </c:pt>
                <c:pt idx="476">
                  <c:v>1.7526104966236744E-4</c:v>
                </c:pt>
                <c:pt idx="477">
                  <c:v>3.6679141771855939E-5</c:v>
                </c:pt>
                <c:pt idx="478">
                  <c:v>4.2048967588925734E-4</c:v>
                </c:pt>
                <c:pt idx="479">
                  <c:v>3.9068670798769745E-4</c:v>
                </c:pt>
                <c:pt idx="480">
                  <c:v>1.1345964594511315E-6</c:v>
                </c:pt>
                <c:pt idx="481">
                  <c:v>4.04842507577996E-4</c:v>
                </c:pt>
                <c:pt idx="482">
                  <c:v>1.7204112958424389E-4</c:v>
                </c:pt>
                <c:pt idx="483">
                  <c:v>2.1450494500641071E-4</c:v>
                </c:pt>
                <c:pt idx="484">
                  <c:v>2.3984709309843311E-4</c:v>
                </c:pt>
                <c:pt idx="485">
                  <c:v>2.1852836744074011E-4</c:v>
                </c:pt>
                <c:pt idx="486">
                  <c:v>4.9792518041158473E-4</c:v>
                </c:pt>
                <c:pt idx="487">
                  <c:v>4.7913659045661916E-4</c:v>
                </c:pt>
                <c:pt idx="488">
                  <c:v>2.9100847518748196E-4</c:v>
                </c:pt>
                <c:pt idx="489">
                  <c:v>3.1133776087699516E-4</c:v>
                </c:pt>
                <c:pt idx="490">
                  <c:v>3.3895158088625976E-4</c:v>
                </c:pt>
                <c:pt idx="491">
                  <c:v>3.9189880703816016E-4</c:v>
                </c:pt>
                <c:pt idx="492">
                  <c:v>3.586003556392825E-4</c:v>
                </c:pt>
                <c:pt idx="493">
                  <c:v>7.2997766210392001E-5</c:v>
                </c:pt>
                <c:pt idx="494">
                  <c:v>8.5185404486765037E-5</c:v>
                </c:pt>
                <c:pt idx="495">
                  <c:v>8.456595242023468E-5</c:v>
                </c:pt>
                <c:pt idx="496">
                  <c:v>8.3968065837325412E-5</c:v>
                </c:pt>
                <c:pt idx="497">
                  <c:v>1.0181279048993019E-4</c:v>
                </c:pt>
                <c:pt idx="498">
                  <c:v>4.5324335223995149E-4</c:v>
                </c:pt>
                <c:pt idx="499">
                  <c:v>3.4742262118925282E-4</c:v>
                </c:pt>
                <c:pt idx="500">
                  <c:v>5.3448107081521812E-5</c:v>
                </c:pt>
                <c:pt idx="501">
                  <c:v>2.0340308021360443E-4</c:v>
                </c:pt>
                <c:pt idx="502">
                  <c:v>1.4625700669057551E-4</c:v>
                </c:pt>
                <c:pt idx="503">
                  <c:v>3.6927610221937357E-4</c:v>
                </c:pt>
                <c:pt idx="504">
                  <c:v>2.6927187725789281E-4</c:v>
                </c:pt>
                <c:pt idx="505">
                  <c:v>1.092063419605438E-4</c:v>
                </c:pt>
                <c:pt idx="506">
                  <c:v>3.162232519855479E-4</c:v>
                </c:pt>
                <c:pt idx="507">
                  <c:v>1.2246759158074383E-4</c:v>
                </c:pt>
                <c:pt idx="508">
                  <c:v>7.2100433754940241E-5</c:v>
                </c:pt>
                <c:pt idx="509">
                  <c:v>4.4401038365293743E-4</c:v>
                </c:pt>
                <c:pt idx="510">
                  <c:v>3.76045487470833E-4</c:v>
                </c:pt>
                <c:pt idx="511">
                  <c:v>3.7837536028462182E-4</c:v>
                </c:pt>
                <c:pt idx="512">
                  <c:v>2.1300599235019035E-4</c:v>
                </c:pt>
                <c:pt idx="513">
                  <c:v>3.3918157743073607E-4</c:v>
                </c:pt>
                <c:pt idx="514">
                  <c:v>2.6874995668890733E-4</c:v>
                </c:pt>
                <c:pt idx="515">
                  <c:v>4.0094673165924632E-4</c:v>
                </c:pt>
                <c:pt idx="516">
                  <c:v>3.9462832120307212E-5</c:v>
                </c:pt>
                <c:pt idx="517">
                  <c:v>1.5637048505823259E-4</c:v>
                </c:pt>
                <c:pt idx="518">
                  <c:v>1.0107138953685535E-4</c:v>
                </c:pt>
                <c:pt idx="519">
                  <c:v>3.4075402032840429E-4</c:v>
                </c:pt>
                <c:pt idx="520">
                  <c:v>1.2820071714259029E-4</c:v>
                </c:pt>
                <c:pt idx="521">
                  <c:v>2.384049934818222E-4</c:v>
                </c:pt>
                <c:pt idx="522">
                  <c:v>3.0619746630833333E-4</c:v>
                </c:pt>
                <c:pt idx="523">
                  <c:v>1.9297624118053136E-4</c:v>
                </c:pt>
                <c:pt idx="524">
                  <c:v>4.1728194275947317E-5</c:v>
                </c:pt>
                <c:pt idx="525">
                  <c:v>1.6919277378590891E-4</c:v>
                </c:pt>
                <c:pt idx="526">
                  <c:v>4.5174907574363488E-4</c:v>
                </c:pt>
                <c:pt idx="527">
                  <c:v>4.7911802028011152E-4</c:v>
                </c:pt>
                <c:pt idx="528">
                  <c:v>4.7548968407795655E-4</c:v>
                </c:pt>
                <c:pt idx="529">
                  <c:v>3.7059851305798475E-4</c:v>
                </c:pt>
                <c:pt idx="530">
                  <c:v>7.7045631002192749E-5</c:v>
                </c:pt>
                <c:pt idx="531">
                  <c:v>4.0163402894677347E-4</c:v>
                </c:pt>
                <c:pt idx="532">
                  <c:v>2.6690021901742966E-4</c:v>
                </c:pt>
                <c:pt idx="533">
                  <c:v>1.8287066156119636E-4</c:v>
                </c:pt>
                <c:pt idx="534">
                  <c:v>3.2545260799565767E-4</c:v>
                </c:pt>
                <c:pt idx="535">
                  <c:v>1.7913313314465995E-4</c:v>
                </c:pt>
                <c:pt idx="536">
                  <c:v>1.1083640885090063E-4</c:v>
                </c:pt>
                <c:pt idx="537">
                  <c:v>3.3223271814009081E-4</c:v>
                </c:pt>
                <c:pt idx="538">
                  <c:v>3.0294191105895152E-5</c:v>
                </c:pt>
                <c:pt idx="539">
                  <c:v>4.5310664117437227E-4</c:v>
                </c:pt>
                <c:pt idx="540">
                  <c:v>3.4350344637346097E-4</c:v>
                </c:pt>
                <c:pt idx="541">
                  <c:v>4.2197083502060195E-5</c:v>
                </c:pt>
                <c:pt idx="542">
                  <c:v>2.2799444641918853E-4</c:v>
                </c:pt>
                <c:pt idx="543">
                  <c:v>1.097949836221801E-4</c:v>
                </c:pt>
                <c:pt idx="544">
                  <c:v>4.4958200480493815E-4</c:v>
                </c:pt>
                <c:pt idx="545">
                  <c:v>1.607574269328893E-4</c:v>
                </c:pt>
                <c:pt idx="546">
                  <c:v>1.5695842967033968E-4</c:v>
                </c:pt>
                <c:pt idx="547">
                  <c:v>2.6188892201162162E-4</c:v>
                </c:pt>
                <c:pt idx="548">
                  <c:v>1.6633486626460581E-4</c:v>
                </c:pt>
                <c:pt idx="549">
                  <c:v>3.6625858161443148E-4</c:v>
                </c:pt>
                <c:pt idx="550">
                  <c:v>6.371125314785786E-5</c:v>
                </c:pt>
                <c:pt idx="551">
                  <c:v>9.2966403769878525E-5</c:v>
                </c:pt>
                <c:pt idx="552">
                  <c:v>2.8658536254511091E-4</c:v>
                </c:pt>
                <c:pt idx="553">
                  <c:v>1.4611838537348376E-4</c:v>
                </c:pt>
                <c:pt idx="554">
                  <c:v>3.2729270549225475E-4</c:v>
                </c:pt>
                <c:pt idx="555">
                  <c:v>7.0785158101216439E-5</c:v>
                </c:pt>
                <c:pt idx="556">
                  <c:v>7.5438307732156318E-5</c:v>
                </c:pt>
                <c:pt idx="557">
                  <c:v>1.6688060907199542E-4</c:v>
                </c:pt>
                <c:pt idx="558">
                  <c:v>4.557593189531417E-4</c:v>
                </c:pt>
                <c:pt idx="559">
                  <c:v>2.3901208749066427E-4</c:v>
                </c:pt>
                <c:pt idx="560">
                  <c:v>2.9086919062137895E-4</c:v>
                </c:pt>
                <c:pt idx="561">
                  <c:v>3.5098867630267705E-4</c:v>
                </c:pt>
                <c:pt idx="562">
                  <c:v>4.0877546649653596E-4</c:v>
                </c:pt>
                <c:pt idx="563">
                  <c:v>1.9696256575230109E-4</c:v>
                </c:pt>
                <c:pt idx="564">
                  <c:v>3.5510449518838527E-4</c:v>
                </c:pt>
                <c:pt idx="565">
                  <c:v>3.2670007153967617E-4</c:v>
                </c:pt>
                <c:pt idx="566">
                  <c:v>1.9754150329731601E-4</c:v>
                </c:pt>
                <c:pt idx="567">
                  <c:v>1.6267402756398042E-4</c:v>
                </c:pt>
                <c:pt idx="568">
                  <c:v>2.9115776953858585E-5</c:v>
                </c:pt>
                <c:pt idx="569">
                  <c:v>3.9000361678631634E-4</c:v>
                </c:pt>
                <c:pt idx="570">
                  <c:v>6.3014414024564758E-6</c:v>
                </c:pt>
                <c:pt idx="571">
                  <c:v>2.501858308789906E-5</c:v>
                </c:pt>
                <c:pt idx="572">
                  <c:v>1.1184985182310925E-4</c:v>
                </c:pt>
                <c:pt idx="573">
                  <c:v>1.2550698124869086E-4</c:v>
                </c:pt>
                <c:pt idx="574">
                  <c:v>1.3018110000473371E-4</c:v>
                </c:pt>
                <c:pt idx="575">
                  <c:v>3.9437906389139243E-4</c:v>
                </c:pt>
                <c:pt idx="576">
                  <c:v>6.2624759777918371E-5</c:v>
                </c:pt>
                <c:pt idx="577">
                  <c:v>3.6702976338176541E-5</c:v>
                </c:pt>
                <c:pt idx="578">
                  <c:v>9.4531434513100976E-5</c:v>
                </c:pt>
                <c:pt idx="579">
                  <c:v>2.6030521870268331E-4</c:v>
                </c:pt>
                <c:pt idx="580">
                  <c:v>2.9509837300167874E-4</c:v>
                </c:pt>
                <c:pt idx="581">
                  <c:v>4.5682831398607959E-4</c:v>
                </c:pt>
                <c:pt idx="582">
                  <c:v>2.6428729736949208E-4</c:v>
                </c:pt>
                <c:pt idx="583">
                  <c:v>2.9079457675607046E-4</c:v>
                </c:pt>
                <c:pt idx="584">
                  <c:v>6.1406050193113515E-5</c:v>
                </c:pt>
                <c:pt idx="585">
                  <c:v>2.1795634467025593E-4</c:v>
                </c:pt>
                <c:pt idx="586">
                  <c:v>2.916610034731093E-5</c:v>
                </c:pt>
                <c:pt idx="587">
                  <c:v>6.6625275778164905E-5</c:v>
                </c:pt>
                <c:pt idx="588">
                  <c:v>1.1933289451349083E-4</c:v>
                </c:pt>
                <c:pt idx="589">
                  <c:v>2.7398896912700366E-4</c:v>
                </c:pt>
                <c:pt idx="590">
                  <c:v>4.3782614852005963E-4</c:v>
                </c:pt>
                <c:pt idx="591">
                  <c:v>3.6087720509669907E-4</c:v>
                </c:pt>
                <c:pt idx="592">
                  <c:v>2.80441637585227E-4</c:v>
                </c:pt>
                <c:pt idx="593">
                  <c:v>1.503358213028605E-4</c:v>
                </c:pt>
                <c:pt idx="594">
                  <c:v>3.2577172298431378E-4</c:v>
                </c:pt>
                <c:pt idx="595">
                  <c:v>3.0205074090972062E-4</c:v>
                </c:pt>
                <c:pt idx="596">
                  <c:v>4.3695879838878682E-4</c:v>
                </c:pt>
                <c:pt idx="597">
                  <c:v>2.9249529320907186E-4</c:v>
                </c:pt>
                <c:pt idx="598">
                  <c:v>4.9205726238099601E-4</c:v>
                </c:pt>
                <c:pt idx="599">
                  <c:v>8.5993294902664275E-5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DCC-4BA2-8425-9C28A1DBC2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7638912"/>
        <c:axId val="437631696"/>
      </c:scatterChart>
      <c:valAx>
        <c:axId val="437638912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baseline="0">
                    <a:effectLst/>
                  </a:rPr>
                  <a:t>distance [m]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631696"/>
        <c:crosses val="autoZero"/>
        <c:crossBetween val="midCat"/>
      </c:valAx>
      <c:valAx>
        <c:axId val="437631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/>
                  <a:t>Δ</a:t>
                </a:r>
                <a:r>
                  <a:rPr lang="en-US"/>
                  <a:t> distance [m]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6389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Inverse</a:t>
            </a:r>
            <a:r>
              <a:rPr lang="en-US" baseline="0"/>
              <a:t> </a:t>
            </a:r>
            <a:r>
              <a:rPr lang="en-US" sz="1400" b="0" i="0" u="none" strike="noStrike" baseline="0">
                <a:effectLst/>
              </a:rPr>
              <a:t>Results Comparison - </a:t>
            </a:r>
            <a:r>
              <a:rPr lang="en-US" baseline="0"/>
              <a:t>Azimuth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Inverse!$T$2</c:f>
              <c:strCache>
                <c:ptCount val="1"/>
                <c:pt idx="0">
                  <c:v>FwdAzimuth GL Δ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Inverse!$N$3:$N$602</c:f>
              <c:numCache>
                <c:formatCode>0.000</c:formatCode>
                <c:ptCount val="600"/>
                <c:pt idx="0">
                  <c:v>7288125.6963858316</c:v>
                </c:pt>
                <c:pt idx="1">
                  <c:v>8926024.1224245112</c:v>
                </c:pt>
                <c:pt idx="2">
                  <c:v>17441757.002850156</c:v>
                </c:pt>
                <c:pt idx="3">
                  <c:v>1696868.6811977762</c:v>
                </c:pt>
                <c:pt idx="4">
                  <c:v>15866490.842496967</c:v>
                </c:pt>
                <c:pt idx="5">
                  <c:v>2329780.6717621377</c:v>
                </c:pt>
                <c:pt idx="6">
                  <c:v>8171429.8378450526</c:v>
                </c:pt>
                <c:pt idx="7">
                  <c:v>18591406.404547203</c:v>
                </c:pt>
                <c:pt idx="8">
                  <c:v>18352200.13564178</c:v>
                </c:pt>
                <c:pt idx="9">
                  <c:v>13013464.102549139</c:v>
                </c:pt>
                <c:pt idx="10">
                  <c:v>9843902.6371369381</c:v>
                </c:pt>
                <c:pt idx="11">
                  <c:v>14144633.179986298</c:v>
                </c:pt>
                <c:pt idx="12">
                  <c:v>11126939.108720006</c:v>
                </c:pt>
                <c:pt idx="13">
                  <c:v>8628113.1866227742</c:v>
                </c:pt>
                <c:pt idx="14">
                  <c:v>15078802.086415969</c:v>
                </c:pt>
                <c:pt idx="15">
                  <c:v>10848297.534494171</c:v>
                </c:pt>
                <c:pt idx="16">
                  <c:v>2068921.0111408576</c:v>
                </c:pt>
                <c:pt idx="17">
                  <c:v>13329277.575401368</c:v>
                </c:pt>
                <c:pt idx="18">
                  <c:v>10971195.910463449</c:v>
                </c:pt>
                <c:pt idx="19">
                  <c:v>6990777.0187217705</c:v>
                </c:pt>
                <c:pt idx="20">
                  <c:v>13278834.887680421</c:v>
                </c:pt>
                <c:pt idx="21">
                  <c:v>16293897.990389509</c:v>
                </c:pt>
                <c:pt idx="22">
                  <c:v>11321064.524744052</c:v>
                </c:pt>
                <c:pt idx="23">
                  <c:v>13912911.091220979</c:v>
                </c:pt>
                <c:pt idx="24">
                  <c:v>8079548.1933386493</c:v>
                </c:pt>
                <c:pt idx="25">
                  <c:v>13124386.15754142</c:v>
                </c:pt>
                <c:pt idx="26">
                  <c:v>7776083.7752931975</c:v>
                </c:pt>
                <c:pt idx="27">
                  <c:v>9368637.2487671636</c:v>
                </c:pt>
                <c:pt idx="28">
                  <c:v>6014625.4718837198</c:v>
                </c:pt>
                <c:pt idx="29">
                  <c:v>7044804.2746306788</c:v>
                </c:pt>
                <c:pt idx="30">
                  <c:v>2284594.0220601563</c:v>
                </c:pt>
                <c:pt idx="31">
                  <c:v>2954440.6790760066</c:v>
                </c:pt>
                <c:pt idx="32">
                  <c:v>9276811.5910762642</c:v>
                </c:pt>
                <c:pt idx="33">
                  <c:v>18654328.232049946</c:v>
                </c:pt>
                <c:pt idx="34">
                  <c:v>16831309.185747702</c:v>
                </c:pt>
                <c:pt idx="35">
                  <c:v>7278952.7179807257</c:v>
                </c:pt>
                <c:pt idx="36">
                  <c:v>12060516.677621422</c:v>
                </c:pt>
                <c:pt idx="37">
                  <c:v>2966149.701055496</c:v>
                </c:pt>
                <c:pt idx="38">
                  <c:v>12533853.74110496</c:v>
                </c:pt>
                <c:pt idx="39">
                  <c:v>2549123.5147279091</c:v>
                </c:pt>
                <c:pt idx="40">
                  <c:v>12271081.064307384</c:v>
                </c:pt>
                <c:pt idx="41">
                  <c:v>591727.50880290929</c:v>
                </c:pt>
                <c:pt idx="42">
                  <c:v>14851083.606159996</c:v>
                </c:pt>
                <c:pt idx="43">
                  <c:v>10074604.479454651</c:v>
                </c:pt>
                <c:pt idx="44">
                  <c:v>8754736.1896608267</c:v>
                </c:pt>
                <c:pt idx="45">
                  <c:v>8605721.7855929863</c:v>
                </c:pt>
                <c:pt idx="46">
                  <c:v>1295718.6771788264</c:v>
                </c:pt>
                <c:pt idx="47">
                  <c:v>17177097.930895045</c:v>
                </c:pt>
                <c:pt idx="48">
                  <c:v>9805356.254032582</c:v>
                </c:pt>
                <c:pt idx="49">
                  <c:v>3435870.1126214182</c:v>
                </c:pt>
                <c:pt idx="50">
                  <c:v>9964216.6492618695</c:v>
                </c:pt>
                <c:pt idx="51">
                  <c:v>5384030.2016799124</c:v>
                </c:pt>
                <c:pt idx="52">
                  <c:v>6179877.6031648442</c:v>
                </c:pt>
                <c:pt idx="53">
                  <c:v>6233671.1722633103</c:v>
                </c:pt>
                <c:pt idx="54">
                  <c:v>3527724.8938039802</c:v>
                </c:pt>
                <c:pt idx="55">
                  <c:v>8818419.3637236543</c:v>
                </c:pt>
                <c:pt idx="56">
                  <c:v>16552270.061897544</c:v>
                </c:pt>
                <c:pt idx="57">
                  <c:v>6949214.2646111874</c:v>
                </c:pt>
                <c:pt idx="58">
                  <c:v>16197045.795054168</c:v>
                </c:pt>
                <c:pt idx="59">
                  <c:v>16726146.300163798</c:v>
                </c:pt>
                <c:pt idx="60">
                  <c:v>11673348.671239186</c:v>
                </c:pt>
                <c:pt idx="61">
                  <c:v>12028828.323664518</c:v>
                </c:pt>
                <c:pt idx="62">
                  <c:v>14339963.471979573</c:v>
                </c:pt>
                <c:pt idx="63">
                  <c:v>4818719.410231459</c:v>
                </c:pt>
                <c:pt idx="64">
                  <c:v>7633895.7516718889</c:v>
                </c:pt>
                <c:pt idx="65">
                  <c:v>7097483.6343833497</c:v>
                </c:pt>
                <c:pt idx="66">
                  <c:v>13364872.899534322</c:v>
                </c:pt>
                <c:pt idx="67">
                  <c:v>7924499.6141683413</c:v>
                </c:pt>
                <c:pt idx="68">
                  <c:v>3610421.0933479168</c:v>
                </c:pt>
                <c:pt idx="69">
                  <c:v>6159231.566899064</c:v>
                </c:pt>
                <c:pt idx="70">
                  <c:v>10584894.541920075</c:v>
                </c:pt>
                <c:pt idx="71">
                  <c:v>655243.68049509695</c:v>
                </c:pt>
                <c:pt idx="72">
                  <c:v>2864739.0899375491</c:v>
                </c:pt>
                <c:pt idx="73">
                  <c:v>6924158.0894780327</c:v>
                </c:pt>
                <c:pt idx="74">
                  <c:v>4871626.5673506204</c:v>
                </c:pt>
                <c:pt idx="75">
                  <c:v>18288955.12691465</c:v>
                </c:pt>
                <c:pt idx="76">
                  <c:v>5243855.9642471438</c:v>
                </c:pt>
                <c:pt idx="77">
                  <c:v>8771186.4160845745</c:v>
                </c:pt>
                <c:pt idx="78">
                  <c:v>10161458.52608045</c:v>
                </c:pt>
                <c:pt idx="79">
                  <c:v>3183285.9839552343</c:v>
                </c:pt>
                <c:pt idx="80">
                  <c:v>18112446.323670369</c:v>
                </c:pt>
                <c:pt idx="81">
                  <c:v>7914420.6537720682</c:v>
                </c:pt>
                <c:pt idx="82">
                  <c:v>8958543.5518025123</c:v>
                </c:pt>
                <c:pt idx="83">
                  <c:v>4511895.8568540188</c:v>
                </c:pt>
                <c:pt idx="84">
                  <c:v>909274.86052974011</c:v>
                </c:pt>
                <c:pt idx="85">
                  <c:v>11607157.092400923</c:v>
                </c:pt>
                <c:pt idx="86">
                  <c:v>8931844.8564303853</c:v>
                </c:pt>
                <c:pt idx="87">
                  <c:v>7496752.5366281047</c:v>
                </c:pt>
                <c:pt idx="88">
                  <c:v>15762230.514531359</c:v>
                </c:pt>
                <c:pt idx="89">
                  <c:v>6754537.3039613804</c:v>
                </c:pt>
                <c:pt idx="90">
                  <c:v>6858651.0723340772</c:v>
                </c:pt>
                <c:pt idx="91">
                  <c:v>13273425.583867243</c:v>
                </c:pt>
                <c:pt idx="92">
                  <c:v>6324868.2450951673</c:v>
                </c:pt>
                <c:pt idx="93">
                  <c:v>13576996.580363095</c:v>
                </c:pt>
                <c:pt idx="94">
                  <c:v>12711428.208022941</c:v>
                </c:pt>
                <c:pt idx="95">
                  <c:v>9916507.9193239249</c:v>
                </c:pt>
                <c:pt idx="96">
                  <c:v>5999956.6226362148</c:v>
                </c:pt>
                <c:pt idx="97">
                  <c:v>10868721.91765256</c:v>
                </c:pt>
                <c:pt idx="98">
                  <c:v>6920914.5095388582</c:v>
                </c:pt>
                <c:pt idx="99">
                  <c:v>3762439.1458674502</c:v>
                </c:pt>
                <c:pt idx="100">
                  <c:v>157563.53948525776</c:v>
                </c:pt>
                <c:pt idx="101">
                  <c:v>901247.91020958486</c:v>
                </c:pt>
                <c:pt idx="102">
                  <c:v>917232.23890802509</c:v>
                </c:pt>
                <c:pt idx="103">
                  <c:v>1175722.2877854879</c:v>
                </c:pt>
                <c:pt idx="104">
                  <c:v>435337.99301161367</c:v>
                </c:pt>
                <c:pt idx="105">
                  <c:v>988119.73769252596</c:v>
                </c:pt>
                <c:pt idx="106">
                  <c:v>1062926.9684577854</c:v>
                </c:pt>
                <c:pt idx="107">
                  <c:v>761747.2244784768</c:v>
                </c:pt>
                <c:pt idx="108">
                  <c:v>1029662.3869015459</c:v>
                </c:pt>
                <c:pt idx="109">
                  <c:v>1029995.4866540617</c:v>
                </c:pt>
                <c:pt idx="110">
                  <c:v>651973.01978210057</c:v>
                </c:pt>
                <c:pt idx="111">
                  <c:v>855080.93446190725</c:v>
                </c:pt>
                <c:pt idx="112">
                  <c:v>1069049.1970008055</c:v>
                </c:pt>
                <c:pt idx="113">
                  <c:v>978958.29756391724</c:v>
                </c:pt>
                <c:pt idx="114">
                  <c:v>1381289.9699106738</c:v>
                </c:pt>
                <c:pt idx="115">
                  <c:v>883720.90994789801</c:v>
                </c:pt>
                <c:pt idx="116">
                  <c:v>829495.27785734879</c:v>
                </c:pt>
                <c:pt idx="117">
                  <c:v>306329.78676863643</c:v>
                </c:pt>
                <c:pt idx="118">
                  <c:v>804814.54727708641</c:v>
                </c:pt>
                <c:pt idx="119">
                  <c:v>1027495.9071938648</c:v>
                </c:pt>
                <c:pt idx="120">
                  <c:v>1128214.5367293104</c:v>
                </c:pt>
                <c:pt idx="121">
                  <c:v>853871.61089870625</c:v>
                </c:pt>
                <c:pt idx="122">
                  <c:v>867936.53154121363</c:v>
                </c:pt>
                <c:pt idx="123">
                  <c:v>142494.05520314962</c:v>
                </c:pt>
                <c:pt idx="124">
                  <c:v>570028.86260328069</c:v>
                </c:pt>
                <c:pt idx="125">
                  <c:v>1113827.0793367326</c:v>
                </c:pt>
                <c:pt idx="126">
                  <c:v>574111.4048195387</c:v>
                </c:pt>
                <c:pt idx="127">
                  <c:v>497614.05854740622</c:v>
                </c:pt>
                <c:pt idx="128">
                  <c:v>285845.2667031099</c:v>
                </c:pt>
                <c:pt idx="129">
                  <c:v>391097.70754434861</c:v>
                </c:pt>
                <c:pt idx="130">
                  <c:v>238768.05651624582</c:v>
                </c:pt>
                <c:pt idx="131">
                  <c:v>493633.80518860836</c:v>
                </c:pt>
                <c:pt idx="132">
                  <c:v>685458.12361168186</c:v>
                </c:pt>
                <c:pt idx="133">
                  <c:v>287149.49519980338</c:v>
                </c:pt>
                <c:pt idx="134">
                  <c:v>835019.12039802666</c:v>
                </c:pt>
                <c:pt idx="135">
                  <c:v>677065.11909637437</c:v>
                </c:pt>
                <c:pt idx="136">
                  <c:v>341268.40704323794</c:v>
                </c:pt>
                <c:pt idx="137">
                  <c:v>371335.85204723536</c:v>
                </c:pt>
                <c:pt idx="138">
                  <c:v>886618.26167655329</c:v>
                </c:pt>
                <c:pt idx="139">
                  <c:v>449504.43119129329</c:v>
                </c:pt>
                <c:pt idx="140">
                  <c:v>461332.0546698785</c:v>
                </c:pt>
                <c:pt idx="141">
                  <c:v>1025130.2287561676</c:v>
                </c:pt>
                <c:pt idx="142">
                  <c:v>134515.37037482395</c:v>
                </c:pt>
                <c:pt idx="143">
                  <c:v>718764.12713467178</c:v>
                </c:pt>
                <c:pt idx="144">
                  <c:v>1460060.2163203303</c:v>
                </c:pt>
                <c:pt idx="145">
                  <c:v>1032952.8158964519</c:v>
                </c:pt>
                <c:pt idx="146">
                  <c:v>850898.26533546846</c:v>
                </c:pt>
                <c:pt idx="147">
                  <c:v>266878.65594502137</c:v>
                </c:pt>
                <c:pt idx="148">
                  <c:v>572419.94640994794</c:v>
                </c:pt>
                <c:pt idx="149">
                  <c:v>1006778.5685472348</c:v>
                </c:pt>
                <c:pt idx="150">
                  <c:v>494006.02837731462</c:v>
                </c:pt>
                <c:pt idx="151">
                  <c:v>1152949.1242537459</c:v>
                </c:pt>
                <c:pt idx="152">
                  <c:v>587572.569922984</c:v>
                </c:pt>
                <c:pt idx="153">
                  <c:v>888916.22724440985</c:v>
                </c:pt>
                <c:pt idx="154">
                  <c:v>284354.54355420027</c:v>
                </c:pt>
                <c:pt idx="155">
                  <c:v>365437.73038692976</c:v>
                </c:pt>
                <c:pt idx="156">
                  <c:v>842173.91611387499</c:v>
                </c:pt>
                <c:pt idx="157">
                  <c:v>776125.68007035484</c:v>
                </c:pt>
                <c:pt idx="158">
                  <c:v>583597.70348065742</c:v>
                </c:pt>
                <c:pt idx="159">
                  <c:v>937689.10064370104</c:v>
                </c:pt>
                <c:pt idx="160">
                  <c:v>316225.25420602574</c:v>
                </c:pt>
                <c:pt idx="161">
                  <c:v>949375.952169689</c:v>
                </c:pt>
                <c:pt idx="162">
                  <c:v>800748.69720413804</c:v>
                </c:pt>
                <c:pt idx="163">
                  <c:v>726364.393405815</c:v>
                </c:pt>
                <c:pt idx="164">
                  <c:v>1006904.0903341232</c:v>
                </c:pt>
                <c:pt idx="165">
                  <c:v>593510.87353314599</c:v>
                </c:pt>
                <c:pt idx="166">
                  <c:v>1012836.4110308342</c:v>
                </c:pt>
                <c:pt idx="167">
                  <c:v>797599.85035357892</c:v>
                </c:pt>
                <c:pt idx="168">
                  <c:v>1491183.7853596543</c:v>
                </c:pt>
                <c:pt idx="169">
                  <c:v>1048756.3107671267</c:v>
                </c:pt>
                <c:pt idx="170">
                  <c:v>1265036.8791265045</c:v>
                </c:pt>
                <c:pt idx="171">
                  <c:v>124217.11630279524</c:v>
                </c:pt>
                <c:pt idx="172">
                  <c:v>654197.86435641756</c:v>
                </c:pt>
                <c:pt idx="173">
                  <c:v>518482.88902360667</c:v>
                </c:pt>
                <c:pt idx="174">
                  <c:v>56931.9641740402</c:v>
                </c:pt>
                <c:pt idx="175">
                  <c:v>185725.16845517204</c:v>
                </c:pt>
                <c:pt idx="176">
                  <c:v>1450056.569033603</c:v>
                </c:pt>
                <c:pt idx="177">
                  <c:v>529160.87919418991</c:v>
                </c:pt>
                <c:pt idx="178">
                  <c:v>711943.01043914806</c:v>
                </c:pt>
                <c:pt idx="179">
                  <c:v>1223926.8209512529</c:v>
                </c:pt>
                <c:pt idx="180">
                  <c:v>760688.05545350467</c:v>
                </c:pt>
                <c:pt idx="181">
                  <c:v>1183858.3610807068</c:v>
                </c:pt>
                <c:pt idx="182">
                  <c:v>930584.10286563192</c:v>
                </c:pt>
                <c:pt idx="183">
                  <c:v>863834.62731454044</c:v>
                </c:pt>
                <c:pt idx="184">
                  <c:v>702689.67756402621</c:v>
                </c:pt>
                <c:pt idx="185">
                  <c:v>932048.79505756358</c:v>
                </c:pt>
                <c:pt idx="186">
                  <c:v>814807.42281005683</c:v>
                </c:pt>
                <c:pt idx="187">
                  <c:v>819800.46231578221</c:v>
                </c:pt>
                <c:pt idx="188">
                  <c:v>808065.87717811915</c:v>
                </c:pt>
                <c:pt idx="189">
                  <c:v>267061.474829969</c:v>
                </c:pt>
                <c:pt idx="190">
                  <c:v>1097226.7739563882</c:v>
                </c:pt>
                <c:pt idx="191">
                  <c:v>446199.73015723855</c:v>
                </c:pt>
                <c:pt idx="192">
                  <c:v>469804.15710829484</c:v>
                </c:pt>
                <c:pt idx="193">
                  <c:v>525080.6500825875</c:v>
                </c:pt>
                <c:pt idx="194">
                  <c:v>393228.4152736757</c:v>
                </c:pt>
                <c:pt idx="195">
                  <c:v>615023.21762602672</c:v>
                </c:pt>
                <c:pt idx="196">
                  <c:v>810345.09178652451</c:v>
                </c:pt>
                <c:pt idx="197">
                  <c:v>560753.58530124195</c:v>
                </c:pt>
                <c:pt idx="198">
                  <c:v>381017.52154380037</c:v>
                </c:pt>
                <c:pt idx="199">
                  <c:v>702689.67756402621</c:v>
                </c:pt>
                <c:pt idx="200">
                  <c:v>49585.567217159798</c:v>
                </c:pt>
                <c:pt idx="201">
                  <c:v>89474.727405850615</c:v>
                </c:pt>
                <c:pt idx="202">
                  <c:v>38406.738005995532</c:v>
                </c:pt>
                <c:pt idx="203">
                  <c:v>129340.44800058422</c:v>
                </c:pt>
                <c:pt idx="204">
                  <c:v>54697.767200533286</c:v>
                </c:pt>
                <c:pt idx="205">
                  <c:v>92948.011054105838</c:v>
                </c:pt>
                <c:pt idx="206">
                  <c:v>79591.296756380383</c:v>
                </c:pt>
                <c:pt idx="207">
                  <c:v>57204.743578672351</c:v>
                </c:pt>
                <c:pt idx="208">
                  <c:v>109291.92307159577</c:v>
                </c:pt>
                <c:pt idx="209">
                  <c:v>55726.554171453899</c:v>
                </c:pt>
                <c:pt idx="210">
                  <c:v>62228.119847420145</c:v>
                </c:pt>
                <c:pt idx="211">
                  <c:v>80833.111806437228</c:v>
                </c:pt>
                <c:pt idx="212">
                  <c:v>110852.05970269667</c:v>
                </c:pt>
                <c:pt idx="213">
                  <c:v>14593.314265052142</c:v>
                </c:pt>
                <c:pt idx="214">
                  <c:v>85852.15811412425</c:v>
                </c:pt>
                <c:pt idx="215">
                  <c:v>6465.1270998007376</c:v>
                </c:pt>
                <c:pt idx="216">
                  <c:v>91059.330934206373</c:v>
                </c:pt>
                <c:pt idx="217">
                  <c:v>38664.370839985015</c:v>
                </c:pt>
                <c:pt idx="218">
                  <c:v>90821.361211636569</c:v>
                </c:pt>
                <c:pt idx="219">
                  <c:v>93645.360945609296</c:v>
                </c:pt>
                <c:pt idx="220">
                  <c:v>24371.563599189245</c:v>
                </c:pt>
                <c:pt idx="221">
                  <c:v>100251.49142439043</c:v>
                </c:pt>
                <c:pt idx="222">
                  <c:v>69538.138403545992</c:v>
                </c:pt>
                <c:pt idx="223">
                  <c:v>118432.82216317505</c:v>
                </c:pt>
                <c:pt idx="224">
                  <c:v>94462.076222016723</c:v>
                </c:pt>
                <c:pt idx="225">
                  <c:v>78242.604898139209</c:v>
                </c:pt>
                <c:pt idx="226">
                  <c:v>124812.69354847354</c:v>
                </c:pt>
                <c:pt idx="227">
                  <c:v>22552.238115331522</c:v>
                </c:pt>
                <c:pt idx="228">
                  <c:v>84306.782227317308</c:v>
                </c:pt>
                <c:pt idx="229">
                  <c:v>76721.704175268955</c:v>
                </c:pt>
                <c:pt idx="230">
                  <c:v>111505.93188867858</c:v>
                </c:pt>
                <c:pt idx="231">
                  <c:v>103595.88455849062</c:v>
                </c:pt>
                <c:pt idx="232">
                  <c:v>55320.98629319451</c:v>
                </c:pt>
                <c:pt idx="233">
                  <c:v>50511.680928931441</c:v>
                </c:pt>
                <c:pt idx="234">
                  <c:v>67679.627979910991</c:v>
                </c:pt>
                <c:pt idx="235">
                  <c:v>70453.369151743842</c:v>
                </c:pt>
                <c:pt idx="236">
                  <c:v>17259.880973716728</c:v>
                </c:pt>
                <c:pt idx="237">
                  <c:v>95725.531558329269</c:v>
                </c:pt>
                <c:pt idx="238">
                  <c:v>48040.112753488051</c:v>
                </c:pt>
                <c:pt idx="239">
                  <c:v>74751.687998788722</c:v>
                </c:pt>
                <c:pt idx="240">
                  <c:v>60094.145297682269</c:v>
                </c:pt>
                <c:pt idx="241">
                  <c:v>112938.85613694205</c:v>
                </c:pt>
                <c:pt idx="242">
                  <c:v>67526.303361587823</c:v>
                </c:pt>
                <c:pt idx="243">
                  <c:v>81331.076373407312</c:v>
                </c:pt>
                <c:pt idx="244">
                  <c:v>91357.675959408865</c:v>
                </c:pt>
                <c:pt idx="245">
                  <c:v>73426.260164785199</c:v>
                </c:pt>
                <c:pt idx="246">
                  <c:v>13521.854061892238</c:v>
                </c:pt>
                <c:pt idx="247">
                  <c:v>64425.722337112114</c:v>
                </c:pt>
                <c:pt idx="248">
                  <c:v>27632.760988422822</c:v>
                </c:pt>
                <c:pt idx="249">
                  <c:v>95145.683709211065</c:v>
                </c:pt>
                <c:pt idx="250">
                  <c:v>76415.833261073203</c:v>
                </c:pt>
                <c:pt idx="251">
                  <c:v>95042.450325975922</c:v>
                </c:pt>
                <c:pt idx="252">
                  <c:v>38543.968896436971</c:v>
                </c:pt>
                <c:pt idx="253">
                  <c:v>131676.75509929107</c:v>
                </c:pt>
                <c:pt idx="254">
                  <c:v>95422.78895216783</c:v>
                </c:pt>
                <c:pt idx="255">
                  <c:v>72603.060568790039</c:v>
                </c:pt>
                <c:pt idx="256">
                  <c:v>85979.777238102048</c:v>
                </c:pt>
                <c:pt idx="257">
                  <c:v>33769.953266738579</c:v>
                </c:pt>
                <c:pt idx="258">
                  <c:v>45929.728469039612</c:v>
                </c:pt>
                <c:pt idx="259">
                  <c:v>69585.074376684715</c:v>
                </c:pt>
                <c:pt idx="260">
                  <c:v>87108.477580809122</c:v>
                </c:pt>
                <c:pt idx="261">
                  <c:v>91116.13863073611</c:v>
                </c:pt>
                <c:pt idx="262">
                  <c:v>72932.057748012026</c:v>
                </c:pt>
                <c:pt idx="263">
                  <c:v>74558.341889352974</c:v>
                </c:pt>
                <c:pt idx="264">
                  <c:v>65356.107164141431</c:v>
                </c:pt>
                <c:pt idx="265">
                  <c:v>49858.871946846928</c:v>
                </c:pt>
                <c:pt idx="266">
                  <c:v>38480.511182640628</c:v>
                </c:pt>
                <c:pt idx="267">
                  <c:v>110006.9902705047</c:v>
                </c:pt>
                <c:pt idx="268">
                  <c:v>12854.441177776918</c:v>
                </c:pt>
                <c:pt idx="269">
                  <c:v>103867.36172692994</c:v>
                </c:pt>
                <c:pt idx="270">
                  <c:v>26727.112439431377</c:v>
                </c:pt>
                <c:pt idx="271">
                  <c:v>56422.040912334945</c:v>
                </c:pt>
                <c:pt idx="272">
                  <c:v>63232.082979176928</c:v>
                </c:pt>
                <c:pt idx="273">
                  <c:v>93913.720975334174</c:v>
                </c:pt>
                <c:pt idx="274">
                  <c:v>83317.121596607045</c:v>
                </c:pt>
                <c:pt idx="275">
                  <c:v>36863.609967916629</c:v>
                </c:pt>
                <c:pt idx="276">
                  <c:v>94654.224474943068</c:v>
                </c:pt>
                <c:pt idx="277">
                  <c:v>103709.27464970971</c:v>
                </c:pt>
                <c:pt idx="278">
                  <c:v>72499.957777249045</c:v>
                </c:pt>
                <c:pt idx="279">
                  <c:v>105852.08396273818</c:v>
                </c:pt>
                <c:pt idx="280">
                  <c:v>60987.586229681801</c:v>
                </c:pt>
                <c:pt idx="281">
                  <c:v>118595.41220244681</c:v>
                </c:pt>
                <c:pt idx="282">
                  <c:v>91681.667154660201</c:v>
                </c:pt>
                <c:pt idx="283">
                  <c:v>60615.120586331825</c:v>
                </c:pt>
                <c:pt idx="284">
                  <c:v>87550.186408437614</c:v>
                </c:pt>
                <c:pt idx="285">
                  <c:v>50625.874170485928</c:v>
                </c:pt>
                <c:pt idx="286">
                  <c:v>66662.044791718959</c:v>
                </c:pt>
                <c:pt idx="287">
                  <c:v>98327.422116002752</c:v>
                </c:pt>
                <c:pt idx="288">
                  <c:v>104364.72052565365</c:v>
                </c:pt>
                <c:pt idx="289">
                  <c:v>95289.048671426586</c:v>
                </c:pt>
                <c:pt idx="290">
                  <c:v>62154.805845581111</c:v>
                </c:pt>
                <c:pt idx="291">
                  <c:v>26516.797792536116</c:v>
                </c:pt>
                <c:pt idx="292">
                  <c:v>89586.99777515234</c:v>
                </c:pt>
                <c:pt idx="293">
                  <c:v>90859.499602455937</c:v>
                </c:pt>
                <c:pt idx="294">
                  <c:v>75337.536234137209</c:v>
                </c:pt>
                <c:pt idx="295">
                  <c:v>84629.773088732938</c:v>
                </c:pt>
                <c:pt idx="296">
                  <c:v>87648.480587707323</c:v>
                </c:pt>
                <c:pt idx="297">
                  <c:v>81682.396554250256</c:v>
                </c:pt>
                <c:pt idx="298">
                  <c:v>25524.930575862592</c:v>
                </c:pt>
                <c:pt idx="299">
                  <c:v>58962.375157485025</c:v>
                </c:pt>
                <c:pt idx="300">
                  <c:v>17010.584032509574</c:v>
                </c:pt>
                <c:pt idx="301">
                  <c:v>17331.639765151282</c:v>
                </c:pt>
                <c:pt idx="302">
                  <c:v>14409.820230102912</c:v>
                </c:pt>
                <c:pt idx="303">
                  <c:v>15905.687488281317</c:v>
                </c:pt>
                <c:pt idx="304">
                  <c:v>16872.870970632688</c:v>
                </c:pt>
                <c:pt idx="305">
                  <c:v>7297.6871908483481</c:v>
                </c:pt>
                <c:pt idx="306">
                  <c:v>12729.160127606165</c:v>
                </c:pt>
                <c:pt idx="307">
                  <c:v>13203.952390535638</c:v>
                </c:pt>
                <c:pt idx="308">
                  <c:v>17776.249194215619</c:v>
                </c:pt>
                <c:pt idx="309">
                  <c:v>10239.33469179094</c:v>
                </c:pt>
                <c:pt idx="310">
                  <c:v>9729.7411513772095</c:v>
                </c:pt>
                <c:pt idx="311">
                  <c:v>18230.853156675192</c:v>
                </c:pt>
                <c:pt idx="312">
                  <c:v>10058.488451134353</c:v>
                </c:pt>
                <c:pt idx="313">
                  <c:v>9207.4873051915674</c:v>
                </c:pt>
                <c:pt idx="314">
                  <c:v>9132.6472675806217</c:v>
                </c:pt>
                <c:pt idx="315">
                  <c:v>10426.439158915542</c:v>
                </c:pt>
                <c:pt idx="316">
                  <c:v>2493.540213809641</c:v>
                </c:pt>
                <c:pt idx="317">
                  <c:v>11742.289879682554</c:v>
                </c:pt>
                <c:pt idx="318">
                  <c:v>8872.1793091042782</c:v>
                </c:pt>
                <c:pt idx="319">
                  <c:v>22600.22293928697</c:v>
                </c:pt>
                <c:pt idx="320">
                  <c:v>10599.141535311506</c:v>
                </c:pt>
                <c:pt idx="321">
                  <c:v>11276.077537644014</c:v>
                </c:pt>
                <c:pt idx="322">
                  <c:v>8346.0289963862233</c:v>
                </c:pt>
                <c:pt idx="323">
                  <c:v>17921.377657114394</c:v>
                </c:pt>
                <c:pt idx="324">
                  <c:v>14430.696843659309</c:v>
                </c:pt>
                <c:pt idx="325">
                  <c:v>11379.204313226235</c:v>
                </c:pt>
                <c:pt idx="326">
                  <c:v>7797.3549591994743</c:v>
                </c:pt>
                <c:pt idx="327">
                  <c:v>8760.0011356000923</c:v>
                </c:pt>
                <c:pt idx="328">
                  <c:v>4735.2509714383987</c:v>
                </c:pt>
                <c:pt idx="329">
                  <c:v>17427.392569847227</c:v>
                </c:pt>
                <c:pt idx="330">
                  <c:v>13210.514529036051</c:v>
                </c:pt>
                <c:pt idx="331">
                  <c:v>6711.7722669922769</c:v>
                </c:pt>
                <c:pt idx="332">
                  <c:v>15911.812131064187</c:v>
                </c:pt>
                <c:pt idx="333">
                  <c:v>22280.925778636469</c:v>
                </c:pt>
                <c:pt idx="334">
                  <c:v>16504.877663412437</c:v>
                </c:pt>
                <c:pt idx="335">
                  <c:v>11350.162805946875</c:v>
                </c:pt>
                <c:pt idx="336">
                  <c:v>15626.823520107117</c:v>
                </c:pt>
                <c:pt idx="337">
                  <c:v>8187.4380761736766</c:v>
                </c:pt>
                <c:pt idx="338">
                  <c:v>1189.2121903019845</c:v>
                </c:pt>
                <c:pt idx="339">
                  <c:v>18565.664996101692</c:v>
                </c:pt>
                <c:pt idx="340">
                  <c:v>5668.7615663811803</c:v>
                </c:pt>
                <c:pt idx="341">
                  <c:v>8266.1263129366034</c:v>
                </c:pt>
                <c:pt idx="342">
                  <c:v>17452.52053279824</c:v>
                </c:pt>
                <c:pt idx="343">
                  <c:v>3039.0559378454714</c:v>
                </c:pt>
                <c:pt idx="344">
                  <c:v>9045.9744276098882</c:v>
                </c:pt>
                <c:pt idx="345">
                  <c:v>12916.893983628517</c:v>
                </c:pt>
                <c:pt idx="346">
                  <c:v>6273.1787789042937</c:v>
                </c:pt>
                <c:pt idx="347">
                  <c:v>608.12622879592652</c:v>
                </c:pt>
                <c:pt idx="348">
                  <c:v>4711.4128073829452</c:v>
                </c:pt>
                <c:pt idx="349">
                  <c:v>7030.3342890818167</c:v>
                </c:pt>
                <c:pt idx="350">
                  <c:v>13423.407947576217</c:v>
                </c:pt>
                <c:pt idx="351">
                  <c:v>2806.5933741277308</c:v>
                </c:pt>
                <c:pt idx="352">
                  <c:v>13677.594483264145</c:v>
                </c:pt>
                <c:pt idx="353">
                  <c:v>9416.7867874048916</c:v>
                </c:pt>
                <c:pt idx="354">
                  <c:v>12679.628015607273</c:v>
                </c:pt>
                <c:pt idx="355">
                  <c:v>16096.001967885808</c:v>
                </c:pt>
                <c:pt idx="356">
                  <c:v>19171.261568330174</c:v>
                </c:pt>
                <c:pt idx="357">
                  <c:v>18585.341004393078</c:v>
                </c:pt>
                <c:pt idx="358">
                  <c:v>14722.294693728865</c:v>
                </c:pt>
                <c:pt idx="359">
                  <c:v>5218.9524886808895</c:v>
                </c:pt>
                <c:pt idx="360">
                  <c:v>12647.138813385211</c:v>
                </c:pt>
                <c:pt idx="361">
                  <c:v>8023.7296119112425</c:v>
                </c:pt>
                <c:pt idx="362">
                  <c:v>16241.06793636773</c:v>
                </c:pt>
                <c:pt idx="363">
                  <c:v>14312.679599904674</c:v>
                </c:pt>
                <c:pt idx="364">
                  <c:v>11423.775586218999</c:v>
                </c:pt>
                <c:pt idx="365">
                  <c:v>19121.549663934155</c:v>
                </c:pt>
                <c:pt idx="366">
                  <c:v>16966.386282277603</c:v>
                </c:pt>
                <c:pt idx="367">
                  <c:v>16993.748128235999</c:v>
                </c:pt>
                <c:pt idx="368">
                  <c:v>1216.3516009289403</c:v>
                </c:pt>
                <c:pt idx="369">
                  <c:v>9132.1901744284387</c:v>
                </c:pt>
                <c:pt idx="370">
                  <c:v>10188.924272315642</c:v>
                </c:pt>
                <c:pt idx="371">
                  <c:v>19500.92276250061</c:v>
                </c:pt>
                <c:pt idx="372">
                  <c:v>9611.7851508146105</c:v>
                </c:pt>
                <c:pt idx="373">
                  <c:v>5110.1885702572235</c:v>
                </c:pt>
                <c:pt idx="374">
                  <c:v>5373.7332077411447</c:v>
                </c:pt>
                <c:pt idx="375">
                  <c:v>20022.604360549412</c:v>
                </c:pt>
                <c:pt idx="376">
                  <c:v>14335.521141328518</c:v>
                </c:pt>
                <c:pt idx="377">
                  <c:v>4270.0700505916766</c:v>
                </c:pt>
                <c:pt idx="378">
                  <c:v>19471.910452634394</c:v>
                </c:pt>
                <c:pt idx="379">
                  <c:v>8319.5897276456981</c:v>
                </c:pt>
                <c:pt idx="380">
                  <c:v>16364.372292298565</c:v>
                </c:pt>
                <c:pt idx="381">
                  <c:v>18418.541664633049</c:v>
                </c:pt>
                <c:pt idx="382">
                  <c:v>13441.573914766874</c:v>
                </c:pt>
                <c:pt idx="383">
                  <c:v>7615.6451806113828</c:v>
                </c:pt>
                <c:pt idx="384">
                  <c:v>5111.7233140687858</c:v>
                </c:pt>
                <c:pt idx="385">
                  <c:v>16645.358181561987</c:v>
                </c:pt>
                <c:pt idx="386">
                  <c:v>6369.9765586049034</c:v>
                </c:pt>
                <c:pt idx="387">
                  <c:v>18358.764961292916</c:v>
                </c:pt>
                <c:pt idx="388">
                  <c:v>15746.016057149465</c:v>
                </c:pt>
                <c:pt idx="389">
                  <c:v>8134.38421012862</c:v>
                </c:pt>
                <c:pt idx="390">
                  <c:v>5304.8156502293286</c:v>
                </c:pt>
                <c:pt idx="391">
                  <c:v>3753.5537320391932</c:v>
                </c:pt>
                <c:pt idx="392">
                  <c:v>17381.965354801316</c:v>
                </c:pt>
                <c:pt idx="393">
                  <c:v>7410.8241118489677</c:v>
                </c:pt>
                <c:pt idx="394">
                  <c:v>17359.226581519521</c:v>
                </c:pt>
                <c:pt idx="395">
                  <c:v>21624.30220745863</c:v>
                </c:pt>
                <c:pt idx="396">
                  <c:v>16791.56870600862</c:v>
                </c:pt>
                <c:pt idx="397">
                  <c:v>13525.478179161111</c:v>
                </c:pt>
                <c:pt idx="398">
                  <c:v>15537.743404690182</c:v>
                </c:pt>
                <c:pt idx="399">
                  <c:v>13367.572612393287</c:v>
                </c:pt>
                <c:pt idx="400">
                  <c:v>773.76243950946252</c:v>
                </c:pt>
                <c:pt idx="401">
                  <c:v>1282.8590733585308</c:v>
                </c:pt>
                <c:pt idx="402">
                  <c:v>889.93056879589039</c:v>
                </c:pt>
                <c:pt idx="403">
                  <c:v>1682.2966839245557</c:v>
                </c:pt>
                <c:pt idx="404">
                  <c:v>703.69103214447557</c:v>
                </c:pt>
                <c:pt idx="405">
                  <c:v>1046.2658827564085</c:v>
                </c:pt>
                <c:pt idx="406">
                  <c:v>897.79918591358103</c:v>
                </c:pt>
                <c:pt idx="407">
                  <c:v>622.92869741844481</c:v>
                </c:pt>
                <c:pt idx="408">
                  <c:v>1416.5661404875525</c:v>
                </c:pt>
                <c:pt idx="409">
                  <c:v>2202.5966509223781</c:v>
                </c:pt>
                <c:pt idx="410">
                  <c:v>284.74299027087125</c:v>
                </c:pt>
                <c:pt idx="411">
                  <c:v>1489.0884742444073</c:v>
                </c:pt>
                <c:pt idx="412">
                  <c:v>1375.0655408814928</c:v>
                </c:pt>
                <c:pt idx="413">
                  <c:v>1194.986112078677</c:v>
                </c:pt>
                <c:pt idx="414">
                  <c:v>414.61903108092849</c:v>
                </c:pt>
                <c:pt idx="415">
                  <c:v>1636.910936623452</c:v>
                </c:pt>
                <c:pt idx="416">
                  <c:v>285.51825579657816</c:v>
                </c:pt>
                <c:pt idx="417">
                  <c:v>2194.964077187688</c:v>
                </c:pt>
                <c:pt idx="418">
                  <c:v>2192.5590771687816</c:v>
                </c:pt>
                <c:pt idx="419">
                  <c:v>1873.5486123458313</c:v>
                </c:pt>
                <c:pt idx="420">
                  <c:v>1320.0921835107874</c:v>
                </c:pt>
                <c:pt idx="421">
                  <c:v>1826.924121623674</c:v>
                </c:pt>
                <c:pt idx="422">
                  <c:v>1729.9818977534453</c:v>
                </c:pt>
                <c:pt idx="423">
                  <c:v>1401.3513497014189</c:v>
                </c:pt>
                <c:pt idx="424">
                  <c:v>1564.7206625081872</c:v>
                </c:pt>
                <c:pt idx="425">
                  <c:v>1046.3437247757508</c:v>
                </c:pt>
                <c:pt idx="426">
                  <c:v>1700.0996566675619</c:v>
                </c:pt>
                <c:pt idx="427">
                  <c:v>1679.6260554904886</c:v>
                </c:pt>
                <c:pt idx="428">
                  <c:v>2099.3567787241191</c:v>
                </c:pt>
                <c:pt idx="429">
                  <c:v>1223.8940905964896</c:v>
                </c:pt>
                <c:pt idx="430">
                  <c:v>1663.2604008937828</c:v>
                </c:pt>
                <c:pt idx="431">
                  <c:v>1545.7427769674052</c:v>
                </c:pt>
                <c:pt idx="432">
                  <c:v>678.00785546913835</c:v>
                </c:pt>
                <c:pt idx="433">
                  <c:v>627.45069884408872</c:v>
                </c:pt>
                <c:pt idx="434">
                  <c:v>1617.617367296863</c:v>
                </c:pt>
                <c:pt idx="435">
                  <c:v>986.15003575423862</c:v>
                </c:pt>
                <c:pt idx="436">
                  <c:v>1730.156763548981</c:v>
                </c:pt>
                <c:pt idx="437">
                  <c:v>1542.8445928081583</c:v>
                </c:pt>
                <c:pt idx="438">
                  <c:v>1977.2023915254706</c:v>
                </c:pt>
                <c:pt idx="439">
                  <c:v>322.73560226345552</c:v>
                </c:pt>
                <c:pt idx="440">
                  <c:v>1275.4025039341022</c:v>
                </c:pt>
                <c:pt idx="441">
                  <c:v>691.85120459072812</c:v>
                </c:pt>
                <c:pt idx="442">
                  <c:v>1782.0986076342108</c:v>
                </c:pt>
                <c:pt idx="443">
                  <c:v>852.22369310285796</c:v>
                </c:pt>
                <c:pt idx="444">
                  <c:v>330.45781918839549</c:v>
                </c:pt>
                <c:pt idx="445">
                  <c:v>1422.9121221945563</c:v>
                </c:pt>
                <c:pt idx="446">
                  <c:v>1021.6566763765353</c:v>
                </c:pt>
                <c:pt idx="447">
                  <c:v>1277.8832118512678</c:v>
                </c:pt>
                <c:pt idx="448">
                  <c:v>1598.4409779325279</c:v>
                </c:pt>
                <c:pt idx="449">
                  <c:v>1527.5471658872866</c:v>
                </c:pt>
                <c:pt idx="450">
                  <c:v>101.33792754813719</c:v>
                </c:pt>
                <c:pt idx="451">
                  <c:v>1110.7086140046815</c:v>
                </c:pt>
                <c:pt idx="452">
                  <c:v>1723.1645398701785</c:v>
                </c:pt>
                <c:pt idx="453">
                  <c:v>524.23572800660338</c:v>
                </c:pt>
                <c:pt idx="454">
                  <c:v>1047.4275436786281</c:v>
                </c:pt>
                <c:pt idx="455">
                  <c:v>2338.1601293463773</c:v>
                </c:pt>
                <c:pt idx="456">
                  <c:v>305.55685174822042</c:v>
                </c:pt>
                <c:pt idx="457">
                  <c:v>651.16316285616847</c:v>
                </c:pt>
                <c:pt idx="458">
                  <c:v>1252.2038663446008</c:v>
                </c:pt>
                <c:pt idx="459">
                  <c:v>964.66340261952621</c:v>
                </c:pt>
                <c:pt idx="460">
                  <c:v>1822.3479191639349</c:v>
                </c:pt>
                <c:pt idx="461">
                  <c:v>1180.5165197936471</c:v>
                </c:pt>
                <c:pt idx="462">
                  <c:v>1481.7147052559023</c:v>
                </c:pt>
                <c:pt idx="463">
                  <c:v>1728.1659417101348</c:v>
                </c:pt>
                <c:pt idx="464">
                  <c:v>1743.7785213090879</c:v>
                </c:pt>
                <c:pt idx="465">
                  <c:v>1575.55178653197</c:v>
                </c:pt>
                <c:pt idx="466">
                  <c:v>870.30879423374176</c:v>
                </c:pt>
                <c:pt idx="467">
                  <c:v>1828.6776334392318</c:v>
                </c:pt>
                <c:pt idx="468">
                  <c:v>526.87047831147629</c:v>
                </c:pt>
                <c:pt idx="469">
                  <c:v>1058.38853532128</c:v>
                </c:pt>
                <c:pt idx="470">
                  <c:v>1388.3738990203485</c:v>
                </c:pt>
                <c:pt idx="471">
                  <c:v>555.78369360164152</c:v>
                </c:pt>
                <c:pt idx="472">
                  <c:v>1707.8287095081844</c:v>
                </c:pt>
                <c:pt idx="473">
                  <c:v>403.61098177567845</c:v>
                </c:pt>
                <c:pt idx="474">
                  <c:v>744.07987396848182</c:v>
                </c:pt>
                <c:pt idx="475">
                  <c:v>1602.3036094691488</c:v>
                </c:pt>
                <c:pt idx="476">
                  <c:v>514.3958247389503</c:v>
                </c:pt>
                <c:pt idx="477">
                  <c:v>223.66003667914177</c:v>
                </c:pt>
                <c:pt idx="478">
                  <c:v>1151.8165795103241</c:v>
                </c:pt>
                <c:pt idx="479">
                  <c:v>1547.306609313292</c:v>
                </c:pt>
                <c:pt idx="480">
                  <c:v>1376.5530011345966</c:v>
                </c:pt>
                <c:pt idx="481">
                  <c:v>1117.8525951574925</c:v>
                </c:pt>
                <c:pt idx="482">
                  <c:v>30.550827958870414</c:v>
                </c:pt>
                <c:pt idx="483">
                  <c:v>846.01321450494504</c:v>
                </c:pt>
                <c:pt idx="484">
                  <c:v>1774.1352398470931</c:v>
                </c:pt>
                <c:pt idx="485">
                  <c:v>1118.8372185283674</c:v>
                </c:pt>
                <c:pt idx="486">
                  <c:v>953.13649792518038</c:v>
                </c:pt>
                <c:pt idx="487">
                  <c:v>1634.9834791365904</c:v>
                </c:pt>
                <c:pt idx="488">
                  <c:v>1100.9882910084752</c:v>
                </c:pt>
                <c:pt idx="489">
                  <c:v>1513.205688662239</c:v>
                </c:pt>
                <c:pt idx="490">
                  <c:v>169.72266104841913</c:v>
                </c:pt>
                <c:pt idx="491">
                  <c:v>1976.1823918988071</c:v>
                </c:pt>
                <c:pt idx="492">
                  <c:v>521.40135860035559</c:v>
                </c:pt>
                <c:pt idx="493">
                  <c:v>1443.7030729977662</c:v>
                </c:pt>
                <c:pt idx="494">
                  <c:v>1907.0400851854045</c:v>
                </c:pt>
                <c:pt idx="495">
                  <c:v>632.98991543404759</c:v>
                </c:pt>
                <c:pt idx="496">
                  <c:v>1321.7709160319341</c:v>
                </c:pt>
                <c:pt idx="497">
                  <c:v>1604.2781018127905</c:v>
                </c:pt>
                <c:pt idx="498">
                  <c:v>568.4785467566478</c:v>
                </c:pt>
                <c:pt idx="499">
                  <c:v>1110.3506525773789</c:v>
                </c:pt>
                <c:pt idx="500">
                  <c:v>128.25594655189292</c:v>
                </c:pt>
                <c:pt idx="501">
                  <c:v>56.445203403080214</c:v>
                </c:pt>
                <c:pt idx="502">
                  <c:v>208.23185374299331</c:v>
                </c:pt>
                <c:pt idx="503">
                  <c:v>137.68963072389778</c:v>
                </c:pt>
                <c:pt idx="504">
                  <c:v>102.75426927187726</c:v>
                </c:pt>
                <c:pt idx="505">
                  <c:v>135.12010920634197</c:v>
                </c:pt>
                <c:pt idx="506">
                  <c:v>138.217683776748</c:v>
                </c:pt>
                <c:pt idx="507">
                  <c:v>173.28412246759157</c:v>
                </c:pt>
                <c:pt idx="508">
                  <c:v>159.47807210043376</c:v>
                </c:pt>
                <c:pt idx="509">
                  <c:v>38.650444010383652</c:v>
                </c:pt>
                <c:pt idx="510">
                  <c:v>81.804376045487473</c:v>
                </c:pt>
                <c:pt idx="511">
                  <c:v>68.463378375360278</c:v>
                </c:pt>
                <c:pt idx="512">
                  <c:v>100.39078699400766</c:v>
                </c:pt>
                <c:pt idx="513">
                  <c:v>134.75266081842256</c:v>
                </c:pt>
                <c:pt idx="514">
                  <c:v>184.39873125004331</c:v>
                </c:pt>
                <c:pt idx="515">
                  <c:v>126.47559905326834</c:v>
                </c:pt>
                <c:pt idx="516">
                  <c:v>120.60303946283211</c:v>
                </c:pt>
                <c:pt idx="517">
                  <c:v>184.64984362951495</c:v>
                </c:pt>
                <c:pt idx="518">
                  <c:v>143.60510107138953</c:v>
                </c:pt>
                <c:pt idx="519">
                  <c:v>190.47134075402033</c:v>
                </c:pt>
                <c:pt idx="520">
                  <c:v>139.57512820071713</c:v>
                </c:pt>
                <c:pt idx="521">
                  <c:v>73.100761595006517</c:v>
                </c:pt>
                <c:pt idx="522">
                  <c:v>59.967693802533695</c:v>
                </c:pt>
                <c:pt idx="523">
                  <c:v>196.26480702375881</c:v>
                </c:pt>
                <c:pt idx="524">
                  <c:v>113.16595827180572</c:v>
                </c:pt>
                <c:pt idx="525">
                  <c:v>25.694169192773785</c:v>
                </c:pt>
                <c:pt idx="526">
                  <c:v>34.408548250924255</c:v>
                </c:pt>
                <c:pt idx="527">
                  <c:v>157.66752088197973</c:v>
                </c:pt>
                <c:pt idx="528">
                  <c:v>106.74447548968408</c:v>
                </c:pt>
                <c:pt idx="529">
                  <c:v>196.75462940148694</c:v>
                </c:pt>
                <c:pt idx="530">
                  <c:v>167.52107704563099</c:v>
                </c:pt>
                <c:pt idx="531">
                  <c:v>70.062401634028944</c:v>
                </c:pt>
                <c:pt idx="532">
                  <c:v>77.558266900219024</c:v>
                </c:pt>
                <c:pt idx="533">
                  <c:v>73.722182870661555</c:v>
                </c:pt>
                <c:pt idx="534">
                  <c:v>165.81532545260799</c:v>
                </c:pt>
                <c:pt idx="535">
                  <c:v>252.98217913313314</c:v>
                </c:pt>
                <c:pt idx="536">
                  <c:v>82.638110836408856</c:v>
                </c:pt>
                <c:pt idx="537">
                  <c:v>26.537332232718139</c:v>
                </c:pt>
                <c:pt idx="538">
                  <c:v>187.28903029419109</c:v>
                </c:pt>
                <c:pt idx="539">
                  <c:v>206.36354689335883</c:v>
                </c:pt>
                <c:pt idx="540">
                  <c:v>208.88065649655363</c:v>
                </c:pt>
                <c:pt idx="541">
                  <c:v>159.93204219708349</c:v>
                </c:pt>
                <c:pt idx="542">
                  <c:v>165.51477200555357</c:v>
                </c:pt>
                <c:pt idx="543">
                  <c:v>19.990109794983621</c:v>
                </c:pt>
                <c:pt idx="544">
                  <c:v>115.4195504179952</c:v>
                </c:pt>
                <c:pt idx="545">
                  <c:v>46.035839242573068</c:v>
                </c:pt>
                <c:pt idx="546">
                  <c:v>172.08215695842966</c:v>
                </c:pt>
                <c:pt idx="547">
                  <c:v>139.00373811107798</c:v>
                </c:pt>
                <c:pt idx="548">
                  <c:v>182.30283366513373</c:v>
                </c:pt>
                <c:pt idx="549">
                  <c:v>58.570633741418384</c:v>
                </c:pt>
                <c:pt idx="550">
                  <c:v>161.74106371125316</c:v>
                </c:pt>
                <c:pt idx="551">
                  <c:v>132.12990703359623</c:v>
                </c:pt>
                <c:pt idx="552">
                  <c:v>91.931713414637457</c:v>
                </c:pt>
                <c:pt idx="553">
                  <c:v>124.88485388161463</c:v>
                </c:pt>
                <c:pt idx="554">
                  <c:v>84.135672707294503</c:v>
                </c:pt>
                <c:pt idx="555">
                  <c:v>75.547929214841901</c:v>
                </c:pt>
                <c:pt idx="556">
                  <c:v>120.34492456169227</c:v>
                </c:pt>
                <c:pt idx="557">
                  <c:v>167.63816688060908</c:v>
                </c:pt>
                <c:pt idx="558">
                  <c:v>166.39954424068105</c:v>
                </c:pt>
                <c:pt idx="559">
                  <c:v>165.61123901208748</c:v>
                </c:pt>
                <c:pt idx="560">
                  <c:v>97.155290869190623</c:v>
                </c:pt>
                <c:pt idx="561">
                  <c:v>73.626350988676307</c:v>
                </c:pt>
                <c:pt idx="562">
                  <c:v>169.80240877546649</c:v>
                </c:pt>
                <c:pt idx="563">
                  <c:v>176.58380303743425</c:v>
                </c:pt>
                <c:pt idx="564">
                  <c:v>14.683644895504811</c:v>
                </c:pt>
                <c:pt idx="565">
                  <c:v>107.22667329992846</c:v>
                </c:pt>
                <c:pt idx="566">
                  <c:v>69.349802458496697</c:v>
                </c:pt>
                <c:pt idx="567">
                  <c:v>170.33683732597243</c:v>
                </c:pt>
                <c:pt idx="568">
                  <c:v>176.43302911577695</c:v>
                </c:pt>
                <c:pt idx="569">
                  <c:v>188.32960999638323</c:v>
                </c:pt>
                <c:pt idx="570">
                  <c:v>156.45400630144141</c:v>
                </c:pt>
                <c:pt idx="571">
                  <c:v>30.117025018583089</c:v>
                </c:pt>
                <c:pt idx="572">
                  <c:v>18.320888150148178</c:v>
                </c:pt>
                <c:pt idx="573">
                  <c:v>103.27112550698125</c:v>
                </c:pt>
                <c:pt idx="574">
                  <c:v>121.69186981889999</c:v>
                </c:pt>
                <c:pt idx="575">
                  <c:v>149.51739437906389</c:v>
                </c:pt>
                <c:pt idx="576">
                  <c:v>139.51793737524022</c:v>
                </c:pt>
                <c:pt idx="577">
                  <c:v>61.272036702976337</c:v>
                </c:pt>
                <c:pt idx="578">
                  <c:v>199.1089054685655</c:v>
                </c:pt>
                <c:pt idx="579">
                  <c:v>44.5652603052187</c:v>
                </c:pt>
                <c:pt idx="580">
                  <c:v>104.18029509837301</c:v>
                </c:pt>
                <c:pt idx="581">
                  <c:v>171.30354317168602</c:v>
                </c:pt>
                <c:pt idx="582">
                  <c:v>104.76073571270263</c:v>
                </c:pt>
                <c:pt idx="583">
                  <c:v>104.86770920542324</c:v>
                </c:pt>
                <c:pt idx="584">
                  <c:v>114.43493859394981</c:v>
                </c:pt>
                <c:pt idx="585">
                  <c:v>151.93178204365532</c:v>
                </c:pt>
                <c:pt idx="586">
                  <c:v>189.52997083389965</c:v>
                </c:pt>
                <c:pt idx="587">
                  <c:v>64.937933374724224</c:v>
                </c:pt>
                <c:pt idx="588">
                  <c:v>83.126880667105482</c:v>
                </c:pt>
                <c:pt idx="589">
                  <c:v>69.30472601103088</c:v>
                </c:pt>
                <c:pt idx="590">
                  <c:v>54.736562173851482</c:v>
                </c:pt>
                <c:pt idx="591">
                  <c:v>105.5633608772051</c:v>
                </c:pt>
                <c:pt idx="592">
                  <c:v>102.74428044163758</c:v>
                </c:pt>
                <c:pt idx="593">
                  <c:v>172.65115033582131</c:v>
                </c:pt>
                <c:pt idx="594">
                  <c:v>127.52767422827702</c:v>
                </c:pt>
                <c:pt idx="595">
                  <c:v>23.987302050740908</c:v>
                </c:pt>
                <c:pt idx="596">
                  <c:v>228.92156304120161</c:v>
                </c:pt>
                <c:pt idx="597">
                  <c:v>119.53929249529321</c:v>
                </c:pt>
                <c:pt idx="598">
                  <c:v>24.30250794273762</c:v>
                </c:pt>
                <c:pt idx="599">
                  <c:v>87.073914006705095</c:v>
                </c:pt>
              </c:numCache>
            </c:numRef>
          </c:xVal>
          <c:yVal>
            <c:numRef>
              <c:f>Inverse!$T$3:$T$602</c:f>
              <c:numCache>
                <c:formatCode>0.00000000</c:formatCode>
                <c:ptCount val="600"/>
                <c:pt idx="0">
                  <c:v>7.673861546209082E-12</c:v>
                </c:pt>
                <c:pt idx="1">
                  <c:v>2.432898327242583E-10</c:v>
                </c:pt>
                <c:pt idx="2">
                  <c:v>5.5763393902452663E-11</c:v>
                </c:pt>
                <c:pt idx="3">
                  <c:v>1.8331824946926645E-10</c:v>
                </c:pt>
                <c:pt idx="4">
                  <c:v>1.5561418820198014E-10</c:v>
                </c:pt>
                <c:pt idx="5">
                  <c:v>9.5425889412581455E-12</c:v>
                </c:pt>
                <c:pt idx="6">
                  <c:v>2.7057467377744615E-11</c:v>
                </c:pt>
                <c:pt idx="7">
                  <c:v>1.021192019834416E-10</c:v>
                </c:pt>
                <c:pt idx="8">
                  <c:v>1.3170051715860609E-9</c:v>
                </c:pt>
                <c:pt idx="9">
                  <c:v>3.1872104955255054E-10</c:v>
                </c:pt>
                <c:pt idx="10">
                  <c:v>2.4229507289419416E-10</c:v>
                </c:pt>
                <c:pt idx="11">
                  <c:v>1.2003731342247193E-11</c:v>
                </c:pt>
                <c:pt idx="12">
                  <c:v>8.8107299234252423E-13</c:v>
                </c:pt>
                <c:pt idx="13">
                  <c:v>1.63140612130519E-11</c:v>
                </c:pt>
                <c:pt idx="14">
                  <c:v>9.8197006082045846E-12</c:v>
                </c:pt>
                <c:pt idx="15">
                  <c:v>1.3134382470525452E-11</c:v>
                </c:pt>
                <c:pt idx="16">
                  <c:v>1.5418777365994174E-11</c:v>
                </c:pt>
                <c:pt idx="17">
                  <c:v>1.2683187833317788E-12</c:v>
                </c:pt>
                <c:pt idx="18">
                  <c:v>1.3785950159217464E-10</c:v>
                </c:pt>
                <c:pt idx="19">
                  <c:v>2.3021584638627246E-11</c:v>
                </c:pt>
                <c:pt idx="20">
                  <c:v>8.8874685388873331E-11</c:v>
                </c:pt>
                <c:pt idx="21">
                  <c:v>3.0240698833949864E-11</c:v>
                </c:pt>
                <c:pt idx="22">
                  <c:v>1.1436895874794573E-10</c:v>
                </c:pt>
                <c:pt idx="23">
                  <c:v>4.2263081923010759E-11</c:v>
                </c:pt>
                <c:pt idx="24">
                  <c:v>1.2022383089060895E-10</c:v>
                </c:pt>
                <c:pt idx="25">
                  <c:v>3.0368596526386682E-10</c:v>
                </c:pt>
                <c:pt idx="26">
                  <c:v>1.8076207197736949E-11</c:v>
                </c:pt>
                <c:pt idx="27">
                  <c:v>4.4082071326556616E-11</c:v>
                </c:pt>
                <c:pt idx="28">
                  <c:v>2.1316282072803006E-12</c:v>
                </c:pt>
                <c:pt idx="29">
                  <c:v>5.2580162446247414E-11</c:v>
                </c:pt>
                <c:pt idx="30">
                  <c:v>7.6724404607375618E-11</c:v>
                </c:pt>
                <c:pt idx="31">
                  <c:v>1.1175416148034856E-10</c:v>
                </c:pt>
                <c:pt idx="32">
                  <c:v>3.2855496101547033E-11</c:v>
                </c:pt>
                <c:pt idx="33">
                  <c:v>1.7507773009128869E-11</c:v>
                </c:pt>
                <c:pt idx="34">
                  <c:v>1.2221335055073723E-12</c:v>
                </c:pt>
                <c:pt idx="35">
                  <c:v>5.5706550483591855E-12</c:v>
                </c:pt>
                <c:pt idx="36">
                  <c:v>3.4418690120219253E-10</c:v>
                </c:pt>
                <c:pt idx="37">
                  <c:v>3.8028247217880562E-11</c:v>
                </c:pt>
                <c:pt idx="38">
                  <c:v>3.5569769352150615E-10</c:v>
                </c:pt>
                <c:pt idx="39">
                  <c:v>1.9227286429668311E-11</c:v>
                </c:pt>
                <c:pt idx="40">
                  <c:v>2.3987922759260982E-11</c:v>
                </c:pt>
                <c:pt idx="41">
                  <c:v>3.979039320256561E-13</c:v>
                </c:pt>
                <c:pt idx="42">
                  <c:v>6.0879301599925384E-11</c:v>
                </c:pt>
                <c:pt idx="43">
                  <c:v>3.1150193535722792E-11</c:v>
                </c:pt>
                <c:pt idx="44">
                  <c:v>2.0874324491160223E-10</c:v>
                </c:pt>
                <c:pt idx="45">
                  <c:v>5.9685589803848416E-13</c:v>
                </c:pt>
                <c:pt idx="46">
                  <c:v>1.1368683772161603E-13</c:v>
                </c:pt>
                <c:pt idx="47">
                  <c:v>1.7854162592811917E-11</c:v>
                </c:pt>
                <c:pt idx="48">
                  <c:v>1.7536194718559273E-10</c:v>
                </c:pt>
                <c:pt idx="49">
                  <c:v>3.808509063674137E-12</c:v>
                </c:pt>
                <c:pt idx="50">
                  <c:v>1.9829826669592876E-10</c:v>
                </c:pt>
                <c:pt idx="51">
                  <c:v>4.915179374620493E-12</c:v>
                </c:pt>
                <c:pt idx="52">
                  <c:v>1.2991563380637672E-10</c:v>
                </c:pt>
                <c:pt idx="53">
                  <c:v>2.0293100533308461E-11</c:v>
                </c:pt>
                <c:pt idx="54">
                  <c:v>5.0306425691815093E-12</c:v>
                </c:pt>
                <c:pt idx="55">
                  <c:v>1.3078249594400404E-10</c:v>
                </c:pt>
                <c:pt idx="56">
                  <c:v>7.3242745202151127E-10</c:v>
                </c:pt>
                <c:pt idx="57">
                  <c:v>1.2360601431282703E-10</c:v>
                </c:pt>
                <c:pt idx="58">
                  <c:v>2.5899282718455652E-11</c:v>
                </c:pt>
                <c:pt idx="59">
                  <c:v>1.0970779840135947E-11</c:v>
                </c:pt>
                <c:pt idx="60">
                  <c:v>1.4339085474546209E-12</c:v>
                </c:pt>
                <c:pt idx="61">
                  <c:v>5.6843418860808015E-14</c:v>
                </c:pt>
                <c:pt idx="62">
                  <c:v>2.0105517251067795E-10</c:v>
                </c:pt>
                <c:pt idx="63">
                  <c:v>4.3652192971421755E-11</c:v>
                </c:pt>
                <c:pt idx="64">
                  <c:v>1.2505552149377763E-12</c:v>
                </c:pt>
                <c:pt idx="65">
                  <c:v>1.8161472326028161E-11</c:v>
                </c:pt>
                <c:pt idx="66">
                  <c:v>1.5432988220709376E-10</c:v>
                </c:pt>
                <c:pt idx="67">
                  <c:v>6.3494098867522553E-11</c:v>
                </c:pt>
                <c:pt idx="68">
                  <c:v>5.0022208597511053E-12</c:v>
                </c:pt>
                <c:pt idx="69">
                  <c:v>1.8745538454822963E-10</c:v>
                </c:pt>
                <c:pt idx="70">
                  <c:v>4.0877523588278564E-11</c:v>
                </c:pt>
                <c:pt idx="71">
                  <c:v>5.9685589803848416E-13</c:v>
                </c:pt>
                <c:pt idx="72">
                  <c:v>6.4858340920181945E-11</c:v>
                </c:pt>
                <c:pt idx="73">
                  <c:v>8.0433437688043341E-12</c:v>
                </c:pt>
                <c:pt idx="74">
                  <c:v>1.1457501614131615E-13</c:v>
                </c:pt>
                <c:pt idx="75">
                  <c:v>6.9945826908224262E-11</c:v>
                </c:pt>
                <c:pt idx="76">
                  <c:v>1.7275070263167436E-12</c:v>
                </c:pt>
                <c:pt idx="77">
                  <c:v>2.9245939003885724E-11</c:v>
                </c:pt>
                <c:pt idx="78">
                  <c:v>7.4340533728900482E-13</c:v>
                </c:pt>
                <c:pt idx="79">
                  <c:v>8.0717654782347381E-12</c:v>
                </c:pt>
                <c:pt idx="80">
                  <c:v>8.0260775803253637E-10</c:v>
                </c:pt>
                <c:pt idx="81">
                  <c:v>3.2116531656356528E-11</c:v>
                </c:pt>
                <c:pt idx="82">
                  <c:v>5.0874859880423173E-12</c:v>
                </c:pt>
                <c:pt idx="83">
                  <c:v>1.9497292669257149E-11</c:v>
                </c:pt>
                <c:pt idx="84">
                  <c:v>1.2789769243681803E-12</c:v>
                </c:pt>
                <c:pt idx="85">
                  <c:v>2.7004176672562608E-11</c:v>
                </c:pt>
                <c:pt idx="86">
                  <c:v>2.127649167960044E-10</c:v>
                </c:pt>
                <c:pt idx="87">
                  <c:v>2.6517454898566939E-11</c:v>
                </c:pt>
                <c:pt idx="88">
                  <c:v>9.0238927441532724E-11</c:v>
                </c:pt>
                <c:pt idx="89">
                  <c:v>3.1548097467748448E-12</c:v>
                </c:pt>
                <c:pt idx="90">
                  <c:v>1.1368683772161603E-13</c:v>
                </c:pt>
                <c:pt idx="91">
                  <c:v>2.0122570276726037E-11</c:v>
                </c:pt>
                <c:pt idx="92">
                  <c:v>6.4318328441004269E-11</c:v>
                </c:pt>
                <c:pt idx="93">
                  <c:v>1.9777957049882389E-11</c:v>
                </c:pt>
                <c:pt idx="94">
                  <c:v>9.7429619927424937E-11</c:v>
                </c:pt>
                <c:pt idx="95">
                  <c:v>1.389821591146756E-11</c:v>
                </c:pt>
                <c:pt idx="96">
                  <c:v>2.3362645151792094E-11</c:v>
                </c:pt>
                <c:pt idx="97">
                  <c:v>4.1950443119276315E-11</c:v>
                </c:pt>
                <c:pt idx="98">
                  <c:v>1.7223555914824829E-11</c:v>
                </c:pt>
                <c:pt idx="99">
                  <c:v>7.8514972301491071E-11</c:v>
                </c:pt>
                <c:pt idx="100">
                  <c:v>5.7355009630555287E-11</c:v>
                </c:pt>
                <c:pt idx="101">
                  <c:v>8.4956042201156379E-11</c:v>
                </c:pt>
                <c:pt idx="102">
                  <c:v>1.8189894035458565E-12</c:v>
                </c:pt>
                <c:pt idx="103">
                  <c:v>3.9193537304527126E-11</c:v>
                </c:pt>
                <c:pt idx="104">
                  <c:v>7.1963768277782947E-11</c:v>
                </c:pt>
                <c:pt idx="105">
                  <c:v>2.0776269593625329E-11</c:v>
                </c:pt>
                <c:pt idx="106">
                  <c:v>2.1582735598713043E-12</c:v>
                </c:pt>
                <c:pt idx="107">
                  <c:v>4.7975845518521965E-11</c:v>
                </c:pt>
                <c:pt idx="108">
                  <c:v>4.3382186731832917E-11</c:v>
                </c:pt>
                <c:pt idx="109">
                  <c:v>5.411493475548923E-11</c:v>
                </c:pt>
                <c:pt idx="110">
                  <c:v>1.7951151676243171E-10</c:v>
                </c:pt>
                <c:pt idx="111">
                  <c:v>9.3521634880744386E-11</c:v>
                </c:pt>
                <c:pt idx="112">
                  <c:v>8.0348172559752129E-11</c:v>
                </c:pt>
                <c:pt idx="113">
                  <c:v>1.1340262062731199E-11</c:v>
                </c:pt>
                <c:pt idx="114">
                  <c:v>4.403943876241101E-11</c:v>
                </c:pt>
                <c:pt idx="115">
                  <c:v>3.1124613997235429E-10</c:v>
                </c:pt>
                <c:pt idx="116">
                  <c:v>1.2541079286165768E-10</c:v>
                </c:pt>
                <c:pt idx="117">
                  <c:v>3.4020786188193597E-11</c:v>
                </c:pt>
                <c:pt idx="118">
                  <c:v>2.5025315153470729E-11</c:v>
                </c:pt>
                <c:pt idx="119">
                  <c:v>1.219575551658636E-10</c:v>
                </c:pt>
                <c:pt idx="120">
                  <c:v>7.531752999057062E-12</c:v>
                </c:pt>
                <c:pt idx="121">
                  <c:v>2.0150991986156441E-11</c:v>
                </c:pt>
                <c:pt idx="122">
                  <c:v>3.3253400033572689E-12</c:v>
                </c:pt>
                <c:pt idx="123">
                  <c:v>2.7000623958883807E-12</c:v>
                </c:pt>
                <c:pt idx="124">
                  <c:v>3.7414515929867775E-14</c:v>
                </c:pt>
                <c:pt idx="125">
                  <c:v>1.375610736431554E-11</c:v>
                </c:pt>
                <c:pt idx="126">
                  <c:v>2.8421709430404007E-13</c:v>
                </c:pt>
                <c:pt idx="127">
                  <c:v>6.6251004682271741E-11</c:v>
                </c:pt>
                <c:pt idx="128">
                  <c:v>1.0942358130705543E-11</c:v>
                </c:pt>
                <c:pt idx="129">
                  <c:v>4.7180037654470652E-12</c:v>
                </c:pt>
                <c:pt idx="130">
                  <c:v>2.4149571231646405E-12</c:v>
                </c:pt>
                <c:pt idx="131">
                  <c:v>1.1316103609715356E-10</c:v>
                </c:pt>
                <c:pt idx="132">
                  <c:v>5.6843418860808015E-14</c:v>
                </c:pt>
                <c:pt idx="133">
                  <c:v>6.7075234255753458E-12</c:v>
                </c:pt>
                <c:pt idx="134">
                  <c:v>9.4757979240966961E-11</c:v>
                </c:pt>
                <c:pt idx="135">
                  <c:v>7.0741634772275575E-11</c:v>
                </c:pt>
                <c:pt idx="136">
                  <c:v>1.2391865311656147E-11</c:v>
                </c:pt>
                <c:pt idx="137">
                  <c:v>2.134470378223341E-11</c:v>
                </c:pt>
                <c:pt idx="138">
                  <c:v>3.0013325158506632E-11</c:v>
                </c:pt>
                <c:pt idx="139">
                  <c:v>8.6714635472162627E-11</c:v>
                </c:pt>
                <c:pt idx="140">
                  <c:v>1.2320811038080137E-10</c:v>
                </c:pt>
                <c:pt idx="141">
                  <c:v>6.8780536821577698E-12</c:v>
                </c:pt>
                <c:pt idx="142">
                  <c:v>2.3199220322567271E-11</c:v>
                </c:pt>
                <c:pt idx="143">
                  <c:v>9.9475983006414026E-13</c:v>
                </c:pt>
                <c:pt idx="144">
                  <c:v>1.3812950783176348E-11</c:v>
                </c:pt>
                <c:pt idx="145">
                  <c:v>1.1226575225009583E-11</c:v>
                </c:pt>
                <c:pt idx="146">
                  <c:v>1.0410872164356988E-10</c:v>
                </c:pt>
                <c:pt idx="147">
                  <c:v>9.2597929324256256E-11</c:v>
                </c:pt>
                <c:pt idx="148">
                  <c:v>1.6768808563938364E-12</c:v>
                </c:pt>
                <c:pt idx="149">
                  <c:v>6.6506800067145377E-12</c:v>
                </c:pt>
                <c:pt idx="150">
                  <c:v>1.503224211774068E-10</c:v>
                </c:pt>
                <c:pt idx="151">
                  <c:v>9.6619601208658423E-11</c:v>
                </c:pt>
                <c:pt idx="152">
                  <c:v>1.6484591469634324E-12</c:v>
                </c:pt>
                <c:pt idx="153">
                  <c:v>1.8696155734687636E-12</c:v>
                </c:pt>
                <c:pt idx="154">
                  <c:v>1.3102408047416247E-11</c:v>
                </c:pt>
                <c:pt idx="155">
                  <c:v>1.2107648217352107E-11</c:v>
                </c:pt>
                <c:pt idx="156">
                  <c:v>2.8990143619012088E-12</c:v>
                </c:pt>
                <c:pt idx="157">
                  <c:v>2.3305801732931286E-12</c:v>
                </c:pt>
                <c:pt idx="158">
                  <c:v>7.7783113283658167E-11</c:v>
                </c:pt>
                <c:pt idx="159">
                  <c:v>2.730260462158185E-12</c:v>
                </c:pt>
                <c:pt idx="160">
                  <c:v>1.4097167877480388E-11</c:v>
                </c:pt>
                <c:pt idx="161">
                  <c:v>6.5057292886194773E-11</c:v>
                </c:pt>
                <c:pt idx="162">
                  <c:v>2.2737367544323206E-12</c:v>
                </c:pt>
                <c:pt idx="163">
                  <c:v>4.8089532356243581E-11</c:v>
                </c:pt>
                <c:pt idx="164">
                  <c:v>6.9348971010185778E-12</c:v>
                </c:pt>
                <c:pt idx="165">
                  <c:v>1.1380052455933765E-10</c:v>
                </c:pt>
                <c:pt idx="166">
                  <c:v>1.9440449250396341E-11</c:v>
                </c:pt>
                <c:pt idx="167">
                  <c:v>3.5257130548416171E-11</c:v>
                </c:pt>
                <c:pt idx="168">
                  <c:v>7.3356432039872743E-11</c:v>
                </c:pt>
                <c:pt idx="169">
                  <c:v>2.6716406864579767E-12</c:v>
                </c:pt>
                <c:pt idx="170">
                  <c:v>6.6343375237920554E-11</c:v>
                </c:pt>
                <c:pt idx="171">
                  <c:v>2.5217161692125956E-11</c:v>
                </c:pt>
                <c:pt idx="172">
                  <c:v>9.2143181973369792E-11</c:v>
                </c:pt>
                <c:pt idx="173">
                  <c:v>3.4248159863636829E-12</c:v>
                </c:pt>
                <c:pt idx="174">
                  <c:v>2.893330020015128E-11</c:v>
                </c:pt>
                <c:pt idx="175">
                  <c:v>2.9729108064202592E-11</c:v>
                </c:pt>
                <c:pt idx="176">
                  <c:v>7.9921846918296069E-11</c:v>
                </c:pt>
                <c:pt idx="177">
                  <c:v>3.1548097467748448E-12</c:v>
                </c:pt>
                <c:pt idx="178">
                  <c:v>1.3585577107733116E-11</c:v>
                </c:pt>
                <c:pt idx="179">
                  <c:v>7.6639139479084406E-11</c:v>
                </c:pt>
                <c:pt idx="180">
                  <c:v>2.7533531010703882E-13</c:v>
                </c:pt>
                <c:pt idx="181">
                  <c:v>4.8945736352834501E-11</c:v>
                </c:pt>
                <c:pt idx="182">
                  <c:v>1.1368683772161603E-13</c:v>
                </c:pt>
                <c:pt idx="183">
                  <c:v>4.3200998334214091E-12</c:v>
                </c:pt>
                <c:pt idx="184">
                  <c:v>5.1159076974727213E-13</c:v>
                </c:pt>
                <c:pt idx="185">
                  <c:v>6.8496319727273658E-12</c:v>
                </c:pt>
                <c:pt idx="186">
                  <c:v>5.1215920393588021E-11</c:v>
                </c:pt>
                <c:pt idx="187">
                  <c:v>2.7128521651320625E-11</c:v>
                </c:pt>
                <c:pt idx="188">
                  <c:v>4.0197178918788268E-11</c:v>
                </c:pt>
                <c:pt idx="189">
                  <c:v>1.0118128557223827E-11</c:v>
                </c:pt>
                <c:pt idx="190">
                  <c:v>1.6552093029531534E-11</c:v>
                </c:pt>
                <c:pt idx="191">
                  <c:v>4.0358827391173691E-12</c:v>
                </c:pt>
                <c:pt idx="192">
                  <c:v>1.9610979506978765E-12</c:v>
                </c:pt>
                <c:pt idx="193">
                  <c:v>1.5006662579253316E-11</c:v>
                </c:pt>
                <c:pt idx="194">
                  <c:v>6.7572614170785528E-12</c:v>
                </c:pt>
                <c:pt idx="195">
                  <c:v>5.2791548910136044E-11</c:v>
                </c:pt>
                <c:pt idx="196">
                  <c:v>2.7853275241795927E-12</c:v>
                </c:pt>
                <c:pt idx="197">
                  <c:v>8.9755758381215855E-11</c:v>
                </c:pt>
                <c:pt idx="198">
                  <c:v>3.6544633985613473E-10</c:v>
                </c:pt>
                <c:pt idx="199">
                  <c:v>5.1159076974727213E-13</c:v>
                </c:pt>
                <c:pt idx="200">
                  <c:v>5.1306869863765314E-10</c:v>
                </c:pt>
                <c:pt idx="201">
                  <c:v>7.4152239903924055E-11</c:v>
                </c:pt>
                <c:pt idx="202">
                  <c:v>7.2508044013375184E-10</c:v>
                </c:pt>
                <c:pt idx="203">
                  <c:v>2.2737367544323206E-13</c:v>
                </c:pt>
                <c:pt idx="204">
                  <c:v>3.1263880373444408E-13</c:v>
                </c:pt>
                <c:pt idx="205">
                  <c:v>4.9442405725130811E-10</c:v>
                </c:pt>
                <c:pt idx="206">
                  <c:v>6.1962168729223777E-10</c:v>
                </c:pt>
                <c:pt idx="207">
                  <c:v>5.9284843700879719E-10</c:v>
                </c:pt>
                <c:pt idx="208">
                  <c:v>2.8675373187070363E-10</c:v>
                </c:pt>
                <c:pt idx="209">
                  <c:v>3.1263880373444408E-13</c:v>
                </c:pt>
                <c:pt idx="210">
                  <c:v>2.6091129257110879E-11</c:v>
                </c:pt>
                <c:pt idx="211">
                  <c:v>2.8978774935239926E-10</c:v>
                </c:pt>
                <c:pt idx="212">
                  <c:v>9.6719077191664837E-11</c:v>
                </c:pt>
                <c:pt idx="213">
                  <c:v>1.1577867553569376E-9</c:v>
                </c:pt>
                <c:pt idx="214">
                  <c:v>4.0643044485477731E-12</c:v>
                </c:pt>
                <c:pt idx="215">
                  <c:v>9.0381035988684744E-12</c:v>
                </c:pt>
                <c:pt idx="216">
                  <c:v>1.2303189578233287E-9</c:v>
                </c:pt>
                <c:pt idx="217">
                  <c:v>2.5465851649641991E-11</c:v>
                </c:pt>
                <c:pt idx="218">
                  <c:v>8.2707174442475662E-12</c:v>
                </c:pt>
                <c:pt idx="219">
                  <c:v>2.1032064978498966E-12</c:v>
                </c:pt>
                <c:pt idx="220">
                  <c:v>3.2656544135534205E-11</c:v>
                </c:pt>
                <c:pt idx="221">
                  <c:v>2.3021584638627246E-12</c:v>
                </c:pt>
                <c:pt idx="222">
                  <c:v>4.3698200613562221E-10</c:v>
                </c:pt>
                <c:pt idx="223">
                  <c:v>1.9326762412674725E-12</c:v>
                </c:pt>
                <c:pt idx="224">
                  <c:v>3.5596059433373739E-10</c:v>
                </c:pt>
                <c:pt idx="225">
                  <c:v>2.2257040654949378E-10</c:v>
                </c:pt>
                <c:pt idx="226">
                  <c:v>8.9443119577481411E-11</c:v>
                </c:pt>
                <c:pt idx="227">
                  <c:v>1.8189894035458565E-12</c:v>
                </c:pt>
                <c:pt idx="228">
                  <c:v>1.1682743661367567E-10</c:v>
                </c:pt>
                <c:pt idx="229">
                  <c:v>1.936086846399121E-10</c:v>
                </c:pt>
                <c:pt idx="230">
                  <c:v>9.049472282640636E-11</c:v>
                </c:pt>
                <c:pt idx="231">
                  <c:v>2.8279600883251987E-11</c:v>
                </c:pt>
                <c:pt idx="232">
                  <c:v>8.9301011030329391E-11</c:v>
                </c:pt>
                <c:pt idx="233">
                  <c:v>8.4883922113476729E-10</c:v>
                </c:pt>
                <c:pt idx="234">
                  <c:v>3.9675285279372474E-10</c:v>
                </c:pt>
                <c:pt idx="235">
                  <c:v>7.617018127348274E-12</c:v>
                </c:pt>
                <c:pt idx="236">
                  <c:v>1.7564616427989677E-11</c:v>
                </c:pt>
                <c:pt idx="237">
                  <c:v>1.5787282592327756E-10</c:v>
                </c:pt>
                <c:pt idx="238">
                  <c:v>4.0611514151578376E-11</c:v>
                </c:pt>
                <c:pt idx="239">
                  <c:v>3.2684965844964609E-12</c:v>
                </c:pt>
                <c:pt idx="240">
                  <c:v>6.8780536821577698E-12</c:v>
                </c:pt>
                <c:pt idx="241">
                  <c:v>7.8767925515421666E-10</c:v>
                </c:pt>
                <c:pt idx="242">
                  <c:v>1.3509471319395061E-12</c:v>
                </c:pt>
                <c:pt idx="243">
                  <c:v>5.1146642476851412E-10</c:v>
                </c:pt>
                <c:pt idx="244">
                  <c:v>1.1286527268339341E-10</c:v>
                </c:pt>
                <c:pt idx="245">
                  <c:v>1.2391865311656147E-11</c:v>
                </c:pt>
                <c:pt idx="246">
                  <c:v>1.5867840374994557E-10</c:v>
                </c:pt>
                <c:pt idx="247">
                  <c:v>4.6398440645134542E-12</c:v>
                </c:pt>
                <c:pt idx="248">
                  <c:v>8.5265128291212022E-12</c:v>
                </c:pt>
                <c:pt idx="249">
                  <c:v>5.1727511163335294E-12</c:v>
                </c:pt>
                <c:pt idx="250">
                  <c:v>3.5640823625726625E-11</c:v>
                </c:pt>
                <c:pt idx="251">
                  <c:v>6.1953642216394655E-10</c:v>
                </c:pt>
                <c:pt idx="252">
                  <c:v>1.266357685381081E-9</c:v>
                </c:pt>
                <c:pt idx="253">
                  <c:v>1.354862888547359E-10</c:v>
                </c:pt>
                <c:pt idx="254">
                  <c:v>9.0949470177292824E-13</c:v>
                </c:pt>
                <c:pt idx="255">
                  <c:v>5.9401372709544376E-12</c:v>
                </c:pt>
                <c:pt idx="256">
                  <c:v>2.8914186600559333E-9</c:v>
                </c:pt>
                <c:pt idx="257">
                  <c:v>1.0800249583553523E-11</c:v>
                </c:pt>
                <c:pt idx="258">
                  <c:v>1.7166996713058325E-9</c:v>
                </c:pt>
                <c:pt idx="259">
                  <c:v>5.9117155615240335E-12</c:v>
                </c:pt>
                <c:pt idx="260">
                  <c:v>4.5861270336899906E-10</c:v>
                </c:pt>
                <c:pt idx="261">
                  <c:v>6.2527760746888816E-13</c:v>
                </c:pt>
                <c:pt idx="262">
                  <c:v>4.638422979041934E-11</c:v>
                </c:pt>
                <c:pt idx="263">
                  <c:v>2.1115056370035745E-9</c:v>
                </c:pt>
                <c:pt idx="264">
                  <c:v>2.1871358057978796E-9</c:v>
                </c:pt>
                <c:pt idx="265">
                  <c:v>8.1189455158892088E-10</c:v>
                </c:pt>
                <c:pt idx="266">
                  <c:v>1.1809220268332865E-11</c:v>
                </c:pt>
                <c:pt idx="267">
                  <c:v>1.8065549056700547E-11</c:v>
                </c:pt>
                <c:pt idx="268">
                  <c:v>2.5795543479034677E-10</c:v>
                </c:pt>
                <c:pt idx="269">
                  <c:v>4.801563591172453E-10</c:v>
                </c:pt>
                <c:pt idx="270">
                  <c:v>9.4928509497549385E-12</c:v>
                </c:pt>
                <c:pt idx="271">
                  <c:v>7.3328010330442339E-12</c:v>
                </c:pt>
                <c:pt idx="272">
                  <c:v>7.474909580196254E-10</c:v>
                </c:pt>
                <c:pt idx="273">
                  <c:v>2.0804691303055733E-11</c:v>
                </c:pt>
                <c:pt idx="274">
                  <c:v>7.2191141953226179E-12</c:v>
                </c:pt>
                <c:pt idx="275">
                  <c:v>8.0433437688043341E-12</c:v>
                </c:pt>
                <c:pt idx="276">
                  <c:v>7.2361672209808603E-11</c:v>
                </c:pt>
                <c:pt idx="277">
                  <c:v>9.2313712229952216E-11</c:v>
                </c:pt>
                <c:pt idx="278">
                  <c:v>3.234390533179976E-11</c:v>
                </c:pt>
                <c:pt idx="279">
                  <c:v>6.9402972258103546E-10</c:v>
                </c:pt>
                <c:pt idx="280">
                  <c:v>2.2737367544323206E-10</c:v>
                </c:pt>
                <c:pt idx="281">
                  <c:v>2.7734259333556111E-10</c:v>
                </c:pt>
                <c:pt idx="282">
                  <c:v>2.7566215976548847E-10</c:v>
                </c:pt>
                <c:pt idx="283">
                  <c:v>1.2160050744114415E-10</c:v>
                </c:pt>
                <c:pt idx="284">
                  <c:v>4.5474735088646412E-13</c:v>
                </c:pt>
                <c:pt idx="285">
                  <c:v>2.6898305804934353E-10</c:v>
                </c:pt>
                <c:pt idx="286">
                  <c:v>5.5047166824806482E-10</c:v>
                </c:pt>
                <c:pt idx="287">
                  <c:v>5.9846883004865958E-10</c:v>
                </c:pt>
                <c:pt idx="288">
                  <c:v>1.3100631690576847E-12</c:v>
                </c:pt>
                <c:pt idx="289">
                  <c:v>9.1020524450868834E-12</c:v>
                </c:pt>
                <c:pt idx="290">
                  <c:v>2.432898327242583E-11</c:v>
                </c:pt>
                <c:pt idx="291">
                  <c:v>6.4062533056130633E-11</c:v>
                </c:pt>
                <c:pt idx="292">
                  <c:v>2.6716406864579767E-12</c:v>
                </c:pt>
                <c:pt idx="293">
                  <c:v>2.8634872251132037E-12</c:v>
                </c:pt>
                <c:pt idx="294">
                  <c:v>3.979039320256561E-12</c:v>
                </c:pt>
                <c:pt idx="295">
                  <c:v>1.8189894035458565E-12</c:v>
                </c:pt>
                <c:pt idx="296">
                  <c:v>1.4779288903810084E-12</c:v>
                </c:pt>
                <c:pt idx="297">
                  <c:v>3.2258640203508548E-11</c:v>
                </c:pt>
                <c:pt idx="298">
                  <c:v>4.4053649617126212E-12</c:v>
                </c:pt>
                <c:pt idx="299">
                  <c:v>1.1084466677857563E-12</c:v>
                </c:pt>
                <c:pt idx="300">
                  <c:v>8.2849282989627682E-11</c:v>
                </c:pt>
                <c:pt idx="301">
                  <c:v>2.3187283204606501E-9</c:v>
                </c:pt>
                <c:pt idx="302">
                  <c:v>1.1749534678529017E-10</c:v>
                </c:pt>
                <c:pt idx="303">
                  <c:v>3.7222491755528608E-10</c:v>
                </c:pt>
                <c:pt idx="304">
                  <c:v>6.3744209910510108E-9</c:v>
                </c:pt>
                <c:pt idx="305">
                  <c:v>2.6247448658978101E-11</c:v>
                </c:pt>
                <c:pt idx="306">
                  <c:v>1.8246737454319373E-10</c:v>
                </c:pt>
                <c:pt idx="307">
                  <c:v>3.9798351281206124E-9</c:v>
                </c:pt>
                <c:pt idx="308">
                  <c:v>1.3558292266679928E-9</c:v>
                </c:pt>
                <c:pt idx="309">
                  <c:v>5.2821746976405848E-11</c:v>
                </c:pt>
                <c:pt idx="310">
                  <c:v>3.4106051316484809E-12</c:v>
                </c:pt>
                <c:pt idx="311">
                  <c:v>2.4002702048164792E-9</c:v>
                </c:pt>
                <c:pt idx="312">
                  <c:v>5.4569682106375694E-12</c:v>
                </c:pt>
                <c:pt idx="313">
                  <c:v>1.6261196833511349E-9</c:v>
                </c:pt>
                <c:pt idx="314">
                  <c:v>2.9338025342440233E-9</c:v>
                </c:pt>
                <c:pt idx="315">
                  <c:v>6.3023364305081486E-11</c:v>
                </c:pt>
                <c:pt idx="316">
                  <c:v>7.1143652746741282E-8</c:v>
                </c:pt>
                <c:pt idx="317">
                  <c:v>1.3296101997184451E-9</c:v>
                </c:pt>
                <c:pt idx="318">
                  <c:v>2.1841515263076872E-9</c:v>
                </c:pt>
                <c:pt idx="319">
                  <c:v>3.3247147257498E-9</c:v>
                </c:pt>
                <c:pt idx="320">
                  <c:v>5.8940941016771831E-10</c:v>
                </c:pt>
                <c:pt idx="321">
                  <c:v>2.1612969192119635E-9</c:v>
                </c:pt>
                <c:pt idx="322">
                  <c:v>2.6318502932554111E-10</c:v>
                </c:pt>
                <c:pt idx="323">
                  <c:v>8.4736484495806508E-10</c:v>
                </c:pt>
                <c:pt idx="324">
                  <c:v>4.2443915049261705E-10</c:v>
                </c:pt>
                <c:pt idx="325">
                  <c:v>7.2820398600015324E-9</c:v>
                </c:pt>
                <c:pt idx="326">
                  <c:v>2.8718716293951729E-9</c:v>
                </c:pt>
                <c:pt idx="327">
                  <c:v>5.0022208597511053E-12</c:v>
                </c:pt>
                <c:pt idx="328">
                  <c:v>9.212897111865459E-10</c:v>
                </c:pt>
                <c:pt idx="329">
                  <c:v>8.8752472038322594E-10</c:v>
                </c:pt>
                <c:pt idx="330">
                  <c:v>3.3926994547073264E-10</c:v>
                </c:pt>
                <c:pt idx="331">
                  <c:v>6.2691185576113639E-10</c:v>
                </c:pt>
                <c:pt idx="332">
                  <c:v>1.9635706394183217E-9</c:v>
                </c:pt>
                <c:pt idx="333">
                  <c:v>3.492431233098614E-9</c:v>
                </c:pt>
                <c:pt idx="334">
                  <c:v>1.7560353171575116E-10</c:v>
                </c:pt>
                <c:pt idx="335">
                  <c:v>4.2791725718416274E-10</c:v>
                </c:pt>
                <c:pt idx="336">
                  <c:v>2.411297828075476E-10</c:v>
                </c:pt>
                <c:pt idx="337">
                  <c:v>3.723243935382925E-12</c:v>
                </c:pt>
                <c:pt idx="338">
                  <c:v>5.4526765325135784E-8</c:v>
                </c:pt>
                <c:pt idx="339">
                  <c:v>7.2589045885251835E-11</c:v>
                </c:pt>
                <c:pt idx="340">
                  <c:v>4.4565240386873484E-11</c:v>
                </c:pt>
                <c:pt idx="341">
                  <c:v>3.3537617127876729E-12</c:v>
                </c:pt>
                <c:pt idx="342">
                  <c:v>2.4903101802919991E-10</c:v>
                </c:pt>
                <c:pt idx="343">
                  <c:v>4.8544279707130045E-11</c:v>
                </c:pt>
                <c:pt idx="344">
                  <c:v>2.7682744985213503E-11</c:v>
                </c:pt>
                <c:pt idx="345">
                  <c:v>8.4905309449823108E-9</c:v>
                </c:pt>
                <c:pt idx="346">
                  <c:v>1.2589680409291759E-9</c:v>
                </c:pt>
                <c:pt idx="347">
                  <c:v>1.0156639973502024E-9</c:v>
                </c:pt>
                <c:pt idx="348">
                  <c:v>5.8548721426632255E-12</c:v>
                </c:pt>
                <c:pt idx="349">
                  <c:v>6.5699623519321904E-10</c:v>
                </c:pt>
                <c:pt idx="350">
                  <c:v>1.0257394933432806E-10</c:v>
                </c:pt>
                <c:pt idx="351">
                  <c:v>2.9416469260468148E-11</c:v>
                </c:pt>
                <c:pt idx="352">
                  <c:v>3.2406433092546649E-10</c:v>
                </c:pt>
                <c:pt idx="353">
                  <c:v>3.979039320256561E-12</c:v>
                </c:pt>
                <c:pt idx="354">
                  <c:v>1.9517187865858432E-10</c:v>
                </c:pt>
                <c:pt idx="355">
                  <c:v>3.5527136788005009E-12</c:v>
                </c:pt>
                <c:pt idx="356">
                  <c:v>3.1954243695508922E-9</c:v>
                </c:pt>
                <c:pt idx="357">
                  <c:v>3.3594460546737537E-11</c:v>
                </c:pt>
                <c:pt idx="358">
                  <c:v>2.7618369813353638E-9</c:v>
                </c:pt>
                <c:pt idx="359">
                  <c:v>1.5121486285352148E-9</c:v>
                </c:pt>
                <c:pt idx="360">
                  <c:v>3.0817659535387065E-9</c:v>
                </c:pt>
                <c:pt idx="361">
                  <c:v>1.7172396837850101E-10</c:v>
                </c:pt>
                <c:pt idx="362">
                  <c:v>6.7191763264418114E-10</c:v>
                </c:pt>
                <c:pt idx="363">
                  <c:v>1.7503083427072852E-9</c:v>
                </c:pt>
                <c:pt idx="364">
                  <c:v>9.5155883172992617E-11</c:v>
                </c:pt>
                <c:pt idx="365">
                  <c:v>5.5834448176028673E-11</c:v>
                </c:pt>
                <c:pt idx="366">
                  <c:v>3.702353978951578E-10</c:v>
                </c:pt>
                <c:pt idx="367">
                  <c:v>1.8079049368679989E-10</c:v>
                </c:pt>
                <c:pt idx="368">
                  <c:v>1.9906565285054967E-10</c:v>
                </c:pt>
                <c:pt idx="369">
                  <c:v>1.4915846335838978E-13</c:v>
                </c:pt>
                <c:pt idx="370">
                  <c:v>1.1368683772161603E-13</c:v>
                </c:pt>
                <c:pt idx="371">
                  <c:v>1.1805809663201217E-9</c:v>
                </c:pt>
                <c:pt idx="372">
                  <c:v>9.6349594969069585E-11</c:v>
                </c:pt>
                <c:pt idx="373">
                  <c:v>4.3122954096475041E-9</c:v>
                </c:pt>
                <c:pt idx="374">
                  <c:v>7.7640116558086447E-12</c:v>
                </c:pt>
                <c:pt idx="375">
                  <c:v>6.0254023992456496E-11</c:v>
                </c:pt>
                <c:pt idx="376">
                  <c:v>2.3578081709274556E-9</c:v>
                </c:pt>
                <c:pt idx="377">
                  <c:v>1.2222933776229183E-10</c:v>
                </c:pt>
                <c:pt idx="378">
                  <c:v>6.8419403476127627E-9</c:v>
                </c:pt>
                <c:pt idx="379">
                  <c:v>1.0660983207344543E-10</c:v>
                </c:pt>
                <c:pt idx="380">
                  <c:v>1.2129049764553201E-8</c:v>
                </c:pt>
                <c:pt idx="381">
                  <c:v>7.5340267358114943E-10</c:v>
                </c:pt>
                <c:pt idx="382">
                  <c:v>3.9335645851679146E-11</c:v>
                </c:pt>
                <c:pt idx="383">
                  <c:v>5.6843418860808015E-14</c:v>
                </c:pt>
                <c:pt idx="384">
                  <c:v>9.2961727204965428E-10</c:v>
                </c:pt>
                <c:pt idx="385">
                  <c:v>4.6861714508850127E-10</c:v>
                </c:pt>
                <c:pt idx="386">
                  <c:v>7.7470474479923723E-10</c:v>
                </c:pt>
                <c:pt idx="387">
                  <c:v>1.4328520592243876E-9</c:v>
                </c:pt>
                <c:pt idx="388">
                  <c:v>2.8115323402744252E-9</c:v>
                </c:pt>
                <c:pt idx="389">
                  <c:v>1.0522285265324172E-9</c:v>
                </c:pt>
                <c:pt idx="390">
                  <c:v>2.9842794901924208E-12</c:v>
                </c:pt>
                <c:pt idx="391">
                  <c:v>2.1355859303184843E-9</c:v>
                </c:pt>
                <c:pt idx="392">
                  <c:v>8.7474472110216084E-13</c:v>
                </c:pt>
                <c:pt idx="393">
                  <c:v>8.0345898822997697E-9</c:v>
                </c:pt>
                <c:pt idx="394">
                  <c:v>2.2812400857219473E-9</c:v>
                </c:pt>
                <c:pt idx="395">
                  <c:v>6.2505023379344493E-10</c:v>
                </c:pt>
                <c:pt idx="396">
                  <c:v>5.1159076974727213E-13</c:v>
                </c:pt>
                <c:pt idx="397">
                  <c:v>1.8758328224066645E-11</c:v>
                </c:pt>
                <c:pt idx="398">
                  <c:v>1.0864908972507692E-9</c:v>
                </c:pt>
                <c:pt idx="399">
                  <c:v>8.7854346020321827E-10</c:v>
                </c:pt>
                <c:pt idx="400">
                  <c:v>2.8462039836085751E-7</c:v>
                </c:pt>
                <c:pt idx="401">
                  <c:v>5.3299231694836635E-10</c:v>
                </c:pt>
                <c:pt idx="402">
                  <c:v>2.1186338017287198E-8</c:v>
                </c:pt>
                <c:pt idx="403">
                  <c:v>2.2713209091307363E-9</c:v>
                </c:pt>
                <c:pt idx="404">
                  <c:v>4.4380499275575858E-10</c:v>
                </c:pt>
                <c:pt idx="405">
                  <c:v>2.1326161459001014E-7</c:v>
                </c:pt>
                <c:pt idx="406">
                  <c:v>3.1536131928078248E-8</c:v>
                </c:pt>
                <c:pt idx="407">
                  <c:v>7.3072214945568703E-10</c:v>
                </c:pt>
                <c:pt idx="408">
                  <c:v>3.6834535421803594E-10</c:v>
                </c:pt>
                <c:pt idx="409">
                  <c:v>3.6136142966824991E-9</c:v>
                </c:pt>
                <c:pt idx="410">
                  <c:v>7.333090934480424E-8</c:v>
                </c:pt>
                <c:pt idx="411">
                  <c:v>1.6303829397656955E-9</c:v>
                </c:pt>
                <c:pt idx="412">
                  <c:v>3.7962308852002025E-9</c:v>
                </c:pt>
                <c:pt idx="413">
                  <c:v>1.7182202327603591E-8</c:v>
                </c:pt>
                <c:pt idx="414">
                  <c:v>1.1399947652535047E-10</c:v>
                </c:pt>
                <c:pt idx="415">
                  <c:v>2.7066526797625556E-10</c:v>
                </c:pt>
                <c:pt idx="416">
                  <c:v>1.460875864722766E-11</c:v>
                </c:pt>
                <c:pt idx="417">
                  <c:v>2.2039330360712484E-9</c:v>
                </c:pt>
                <c:pt idx="418">
                  <c:v>2.9287150482559809E-9</c:v>
                </c:pt>
                <c:pt idx="419">
                  <c:v>2.3228494683280587E-9</c:v>
                </c:pt>
                <c:pt idx="420">
                  <c:v>1.8346213437325787E-9</c:v>
                </c:pt>
                <c:pt idx="421">
                  <c:v>2.7339126518199919E-9</c:v>
                </c:pt>
                <c:pt idx="422">
                  <c:v>8.6821216882526642E-10</c:v>
                </c:pt>
                <c:pt idx="423">
                  <c:v>9.8191321740159765E-10</c:v>
                </c:pt>
                <c:pt idx="424">
                  <c:v>8.4270368461147882E-11</c:v>
                </c:pt>
                <c:pt idx="425">
                  <c:v>1.6644349898342625E-8</c:v>
                </c:pt>
                <c:pt idx="426">
                  <c:v>1.4607621778850444E-9</c:v>
                </c:pt>
                <c:pt idx="427">
                  <c:v>1.0977032616210636E-9</c:v>
                </c:pt>
                <c:pt idx="428">
                  <c:v>2.8876954161205504E-9</c:v>
                </c:pt>
                <c:pt idx="429">
                  <c:v>3.638120915638865E-10</c:v>
                </c:pt>
                <c:pt idx="430">
                  <c:v>4.1933390093618073E-10</c:v>
                </c:pt>
                <c:pt idx="431">
                  <c:v>2.7011601844151301E-9</c:v>
                </c:pt>
                <c:pt idx="432">
                  <c:v>1.3312728697201237E-10</c:v>
                </c:pt>
                <c:pt idx="433">
                  <c:v>9.5013774625840597E-11</c:v>
                </c:pt>
                <c:pt idx="434">
                  <c:v>1.8448531591275241E-9</c:v>
                </c:pt>
                <c:pt idx="435">
                  <c:v>3.7436791444633855E-9</c:v>
                </c:pt>
                <c:pt idx="436">
                  <c:v>1.7273823260666177E-8</c:v>
                </c:pt>
                <c:pt idx="437">
                  <c:v>1.1948912970183301E-9</c:v>
                </c:pt>
                <c:pt idx="438">
                  <c:v>2.7093562948721228E-9</c:v>
                </c:pt>
                <c:pt idx="439">
                  <c:v>1.2050804798491299E-11</c:v>
                </c:pt>
                <c:pt idx="440">
                  <c:v>4.138569664746683E-8</c:v>
                </c:pt>
                <c:pt idx="441">
                  <c:v>2.5414692572667263E-9</c:v>
                </c:pt>
                <c:pt idx="442">
                  <c:v>3.12070369545836E-11</c:v>
                </c:pt>
                <c:pt idx="443">
                  <c:v>1.9480594914966787E-10</c:v>
                </c:pt>
                <c:pt idx="444">
                  <c:v>2.2487256501335651E-10</c:v>
                </c:pt>
                <c:pt idx="445">
                  <c:v>2.6142288334085606E-10</c:v>
                </c:pt>
                <c:pt idx="446">
                  <c:v>4.2225423158015474E-8</c:v>
                </c:pt>
                <c:pt idx="447">
                  <c:v>1.0433893748995615E-9</c:v>
                </c:pt>
                <c:pt idx="448">
                  <c:v>8.1451290157019685E-11</c:v>
                </c:pt>
                <c:pt idx="449">
                  <c:v>7.1122485678642988E-10</c:v>
                </c:pt>
                <c:pt idx="450">
                  <c:v>1.9902486769751704E-8</c:v>
                </c:pt>
                <c:pt idx="451">
                  <c:v>6.4801497501321137E-11</c:v>
                </c:pt>
                <c:pt idx="452">
                  <c:v>2.3487700673285872E-9</c:v>
                </c:pt>
                <c:pt idx="453">
                  <c:v>9.4212282419903204E-9</c:v>
                </c:pt>
                <c:pt idx="454">
                  <c:v>3.2321736398444045E-9</c:v>
                </c:pt>
                <c:pt idx="455">
                  <c:v>2.2187265358297736E-9</c:v>
                </c:pt>
                <c:pt idx="456">
                  <c:v>9.9298347322474001E-11</c:v>
                </c:pt>
                <c:pt idx="457">
                  <c:v>5.1620929752971279E-10</c:v>
                </c:pt>
                <c:pt idx="458">
                  <c:v>8.1462310674851324E-8</c:v>
                </c:pt>
                <c:pt idx="459">
                  <c:v>7.4240347203158308E-10</c:v>
                </c:pt>
                <c:pt idx="460">
                  <c:v>1.0783338666442432E-7</c:v>
                </c:pt>
                <c:pt idx="461">
                  <c:v>5.0832085207730415E-8</c:v>
                </c:pt>
                <c:pt idx="462">
                  <c:v>3.4535787563072518E-9</c:v>
                </c:pt>
                <c:pt idx="463">
                  <c:v>1.5667467323510209E-9</c:v>
                </c:pt>
                <c:pt idx="464">
                  <c:v>2.9239402010716731E-9</c:v>
                </c:pt>
                <c:pt idx="465">
                  <c:v>4.8169113142648712E-10</c:v>
                </c:pt>
                <c:pt idx="466">
                  <c:v>1.2309442354307976E-10</c:v>
                </c:pt>
                <c:pt idx="467">
                  <c:v>1.3262138054415118E-9</c:v>
                </c:pt>
                <c:pt idx="468">
                  <c:v>1.7324168766208459E-9</c:v>
                </c:pt>
                <c:pt idx="469">
                  <c:v>3.555811645128415E-9</c:v>
                </c:pt>
                <c:pt idx="470">
                  <c:v>1.5501200323342346E-10</c:v>
                </c:pt>
                <c:pt idx="471">
                  <c:v>3.7919448914180975E-8</c:v>
                </c:pt>
                <c:pt idx="472">
                  <c:v>3.1798208510736004E-10</c:v>
                </c:pt>
                <c:pt idx="473">
                  <c:v>5.889586418561521E-8</c:v>
                </c:pt>
                <c:pt idx="474">
                  <c:v>8.3490533597796457E-8</c:v>
                </c:pt>
                <c:pt idx="475">
                  <c:v>4.8927972784440499E-10</c:v>
                </c:pt>
                <c:pt idx="476">
                  <c:v>4.0927261579781771E-12</c:v>
                </c:pt>
                <c:pt idx="477">
                  <c:v>6.6684859234555915E-7</c:v>
                </c:pt>
                <c:pt idx="478">
                  <c:v>8.7302225892926799E-8</c:v>
                </c:pt>
                <c:pt idx="479">
                  <c:v>3.7028826227469835E-8</c:v>
                </c:pt>
                <c:pt idx="480">
                  <c:v>1.455449760712213E-9</c:v>
                </c:pt>
                <c:pt idx="481">
                  <c:v>3.4481217880966142E-10</c:v>
                </c:pt>
                <c:pt idx="482">
                  <c:v>1.3470346971189429E-7</c:v>
                </c:pt>
                <c:pt idx="483">
                  <c:v>6.24140739091672E-11</c:v>
                </c:pt>
                <c:pt idx="484">
                  <c:v>2.9586431082861964E-9</c:v>
                </c:pt>
                <c:pt idx="485">
                  <c:v>1.576040631334763E-9</c:v>
                </c:pt>
                <c:pt idx="486">
                  <c:v>3.2191280752158491E-9</c:v>
                </c:pt>
                <c:pt idx="487">
                  <c:v>1.1866951865613373E-11</c:v>
                </c:pt>
                <c:pt idx="488">
                  <c:v>1.0157918950426392E-10</c:v>
                </c:pt>
                <c:pt idx="489">
                  <c:v>1.7691981213374675E-9</c:v>
                </c:pt>
                <c:pt idx="490">
                  <c:v>1.5665690966670809E-9</c:v>
                </c:pt>
                <c:pt idx="491">
                  <c:v>2.4610642412881134E-9</c:v>
                </c:pt>
                <c:pt idx="492">
                  <c:v>6.9991301643312909E-10</c:v>
                </c:pt>
                <c:pt idx="493">
                  <c:v>7.9529627328156494E-10</c:v>
                </c:pt>
                <c:pt idx="494">
                  <c:v>3.1869262784312014E-10</c:v>
                </c:pt>
                <c:pt idx="495">
                  <c:v>1.8807270407705801E-8</c:v>
                </c:pt>
                <c:pt idx="496">
                  <c:v>2.8821318664995488E-9</c:v>
                </c:pt>
                <c:pt idx="497">
                  <c:v>1.4724719221703708E-9</c:v>
                </c:pt>
                <c:pt idx="498">
                  <c:v>6.7360250710635228E-9</c:v>
                </c:pt>
                <c:pt idx="499">
                  <c:v>1.0336327704862924E-7</c:v>
                </c:pt>
                <c:pt idx="500">
                  <c:v>3.8369834953755344E-7</c:v>
                </c:pt>
                <c:pt idx="501">
                  <c:v>4.7978204520404688E-8</c:v>
                </c:pt>
                <c:pt idx="502">
                  <c:v>1.0720563068389311E-6</c:v>
                </c:pt>
                <c:pt idx="503">
                  <c:v>1.9488027191982837E-8</c:v>
                </c:pt>
                <c:pt idx="504">
                  <c:v>1.4054535313334782E-10</c:v>
                </c:pt>
                <c:pt idx="505">
                  <c:v>2.3264593096428143E-7</c:v>
                </c:pt>
                <c:pt idx="506">
                  <c:v>2.3454722963833774E-7</c:v>
                </c:pt>
                <c:pt idx="507">
                  <c:v>2.2293988877208903E-10</c:v>
                </c:pt>
                <c:pt idx="508">
                  <c:v>2.3938639515108662E-8</c:v>
                </c:pt>
                <c:pt idx="509">
                  <c:v>1.6556247928178891E-8</c:v>
                </c:pt>
                <c:pt idx="510">
                  <c:v>7.6404319315770408E-8</c:v>
                </c:pt>
                <c:pt idx="511">
                  <c:v>1.439985908291419E-10</c:v>
                </c:pt>
                <c:pt idx="512">
                  <c:v>5.5474829707691242E-7</c:v>
                </c:pt>
                <c:pt idx="513">
                  <c:v>6.4826348733504346E-9</c:v>
                </c:pt>
                <c:pt idx="514">
                  <c:v>1.131280313870775E-8</c:v>
                </c:pt>
                <c:pt idx="515">
                  <c:v>9.0862911861222528E-8</c:v>
                </c:pt>
                <c:pt idx="516">
                  <c:v>2.4678307397607568E-8</c:v>
                </c:pt>
                <c:pt idx="517">
                  <c:v>3.4205382348773128E-7</c:v>
                </c:pt>
                <c:pt idx="518">
                  <c:v>4.8283595788234379E-8</c:v>
                </c:pt>
                <c:pt idx="519">
                  <c:v>6.3245806813938543E-7</c:v>
                </c:pt>
                <c:pt idx="520">
                  <c:v>1.1061399618483847E-7</c:v>
                </c:pt>
                <c:pt idx="521">
                  <c:v>7.4437195962673286E-8</c:v>
                </c:pt>
                <c:pt idx="522">
                  <c:v>9.8503571166475012E-7</c:v>
                </c:pt>
                <c:pt idx="523">
                  <c:v>1.0088895692206279E-6</c:v>
                </c:pt>
                <c:pt idx="524">
                  <c:v>4.8887287107390875E-7</c:v>
                </c:pt>
                <c:pt idx="525">
                  <c:v>4.5877301957375494E-11</c:v>
                </c:pt>
                <c:pt idx="526">
                  <c:v>3.7292920751497149E-8</c:v>
                </c:pt>
                <c:pt idx="527">
                  <c:v>5.9098181282024598E-7</c:v>
                </c:pt>
                <c:pt idx="528">
                  <c:v>6.6406812493369216E-8</c:v>
                </c:pt>
                <c:pt idx="529">
                  <c:v>7.5935957966066781E-8</c:v>
                </c:pt>
                <c:pt idx="530">
                  <c:v>2.5217898880214307E-8</c:v>
                </c:pt>
                <c:pt idx="531">
                  <c:v>9.9005035281152232E-9</c:v>
                </c:pt>
                <c:pt idx="532">
                  <c:v>2.488281580781404E-9</c:v>
                </c:pt>
                <c:pt idx="533">
                  <c:v>1.2246914593561087E-10</c:v>
                </c:pt>
                <c:pt idx="534">
                  <c:v>3.4183307739965585E-7</c:v>
                </c:pt>
                <c:pt idx="535">
                  <c:v>3.0104274628683925E-9</c:v>
                </c:pt>
                <c:pt idx="536">
                  <c:v>1.4469247102688598E-6</c:v>
                </c:pt>
                <c:pt idx="537">
                  <c:v>1.2084569789294619E-7</c:v>
                </c:pt>
                <c:pt idx="538">
                  <c:v>9.52497771322669E-7</c:v>
                </c:pt>
                <c:pt idx="539">
                  <c:v>1.0778970533920074E-6</c:v>
                </c:pt>
                <c:pt idx="540">
                  <c:v>9.8497906719785533E-7</c:v>
                </c:pt>
                <c:pt idx="541">
                  <c:v>3.3689960332594637E-7</c:v>
                </c:pt>
                <c:pt idx="542">
                  <c:v>2.7859033480126527E-7</c:v>
                </c:pt>
                <c:pt idx="543">
                  <c:v>6.7950622906209901E-8</c:v>
                </c:pt>
                <c:pt idx="544">
                  <c:v>3.1042230830280459E-7</c:v>
                </c:pt>
                <c:pt idx="545">
                  <c:v>1.0434231256795101E-10</c:v>
                </c:pt>
                <c:pt idx="546">
                  <c:v>2.3972046570008843E-10</c:v>
                </c:pt>
                <c:pt idx="547">
                  <c:v>5.7239216744164878E-7</c:v>
                </c:pt>
                <c:pt idx="548">
                  <c:v>2.6784101692101103E-7</c:v>
                </c:pt>
                <c:pt idx="549">
                  <c:v>1.1183942660863977E-11</c:v>
                </c:pt>
                <c:pt idx="550">
                  <c:v>9.4119570803741226E-8</c:v>
                </c:pt>
                <c:pt idx="551">
                  <c:v>1.4581907656907589E-6</c:v>
                </c:pt>
                <c:pt idx="552">
                  <c:v>1.389190629197401E-8</c:v>
                </c:pt>
                <c:pt idx="553">
                  <c:v>1.5658056895517802E-7</c:v>
                </c:pt>
                <c:pt idx="554">
                  <c:v>6.4677355027242811E-7</c:v>
                </c:pt>
                <c:pt idx="555">
                  <c:v>7.3040865800066967E-8</c:v>
                </c:pt>
                <c:pt idx="556">
                  <c:v>1.6867790009200689E-7</c:v>
                </c:pt>
                <c:pt idx="557">
                  <c:v>1.6360351651201199E-7</c:v>
                </c:pt>
                <c:pt idx="558">
                  <c:v>1.0081442098908155E-6</c:v>
                </c:pt>
                <c:pt idx="559">
                  <c:v>8.2422957348171622E-10</c:v>
                </c:pt>
                <c:pt idx="560">
                  <c:v>9.6488079748269229E-9</c:v>
                </c:pt>
                <c:pt idx="561">
                  <c:v>2.8165914045530371E-11</c:v>
                </c:pt>
                <c:pt idx="562">
                  <c:v>1.0498808933334658E-8</c:v>
                </c:pt>
                <c:pt idx="563">
                  <c:v>1.144371708505787E-9</c:v>
                </c:pt>
                <c:pt idx="564">
                  <c:v>7.0251300599011302E-7</c:v>
                </c:pt>
                <c:pt idx="565">
                  <c:v>1.5590302382406662E-7</c:v>
                </c:pt>
                <c:pt idx="566">
                  <c:v>1.6250396583927795E-9</c:v>
                </c:pt>
                <c:pt idx="567">
                  <c:v>1.2603607046912657E-9</c:v>
                </c:pt>
                <c:pt idx="568">
                  <c:v>8.0500946353367908E-7</c:v>
                </c:pt>
                <c:pt idx="569">
                  <c:v>1.137266281148186E-9</c:v>
                </c:pt>
                <c:pt idx="570">
                  <c:v>4.9187688944130059E-7</c:v>
                </c:pt>
                <c:pt idx="571">
                  <c:v>9.6798828508326551E-8</c:v>
                </c:pt>
                <c:pt idx="572">
                  <c:v>7.6969718065811321E-7</c:v>
                </c:pt>
                <c:pt idx="573">
                  <c:v>5.1038142601100844E-9</c:v>
                </c:pt>
                <c:pt idx="574">
                  <c:v>2.2550733547177515E-7</c:v>
                </c:pt>
                <c:pt idx="575">
                  <c:v>6.8154321297697606E-7</c:v>
                </c:pt>
                <c:pt idx="576">
                  <c:v>5.0097185777531195E-7</c:v>
                </c:pt>
                <c:pt idx="577">
                  <c:v>1.2120509040869365E-7</c:v>
                </c:pt>
                <c:pt idx="578">
                  <c:v>7.5366148166722269E-7</c:v>
                </c:pt>
                <c:pt idx="579">
                  <c:v>2.208157070526795E-7</c:v>
                </c:pt>
                <c:pt idx="580">
                  <c:v>4.1477471768303076E-7</c:v>
                </c:pt>
                <c:pt idx="581">
                  <c:v>1.1405973054934293E-8</c:v>
                </c:pt>
                <c:pt idx="582">
                  <c:v>1.0038704090220563E-8</c:v>
                </c:pt>
                <c:pt idx="583">
                  <c:v>8.1286088970955461E-10</c:v>
                </c:pt>
                <c:pt idx="584">
                  <c:v>7.9862653024065366E-7</c:v>
                </c:pt>
                <c:pt idx="585">
                  <c:v>1.0844485132111004E-7</c:v>
                </c:pt>
                <c:pt idx="586">
                  <c:v>8.2130986811534967E-7</c:v>
                </c:pt>
                <c:pt idx="587">
                  <c:v>1.3518842933990527E-8</c:v>
                </c:pt>
                <c:pt idx="588">
                  <c:v>2.341351290624516E-8</c:v>
                </c:pt>
                <c:pt idx="589">
                  <c:v>1.1885958883794956E-10</c:v>
                </c:pt>
                <c:pt idx="590">
                  <c:v>2.2522101517097326E-8</c:v>
                </c:pt>
                <c:pt idx="591">
                  <c:v>4.1463152911092038E-8</c:v>
                </c:pt>
                <c:pt idx="592">
                  <c:v>1.4152249150356511E-8</c:v>
                </c:pt>
                <c:pt idx="593">
                  <c:v>4.1269078110417468E-7</c:v>
                </c:pt>
                <c:pt idx="594">
                  <c:v>2.7967840310338943E-7</c:v>
                </c:pt>
                <c:pt idx="595">
                  <c:v>6.5816827543585532E-8</c:v>
                </c:pt>
                <c:pt idx="596">
                  <c:v>1.0045686735793424E-6</c:v>
                </c:pt>
                <c:pt idx="597">
                  <c:v>4.3076795464003226E-9</c:v>
                </c:pt>
                <c:pt idx="598">
                  <c:v>2.7324745133228134E-8</c:v>
                </c:pt>
                <c:pt idx="599">
                  <c:v>5.3185942761047045E-8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350-45A4-934E-8DFB98DBD067}"/>
            </c:ext>
          </c:extLst>
        </c:ser>
        <c:ser>
          <c:idx val="1"/>
          <c:order val="1"/>
          <c:tx>
            <c:strRef>
              <c:f>Inverse!$U$2</c:f>
              <c:strCache>
                <c:ptCount val="1"/>
                <c:pt idx="0">
                  <c:v>FwdAzimuth GA Δ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Inverse!$N$3:$N$602</c:f>
              <c:numCache>
                <c:formatCode>0.000</c:formatCode>
                <c:ptCount val="600"/>
                <c:pt idx="0">
                  <c:v>7288125.6963858316</c:v>
                </c:pt>
                <c:pt idx="1">
                  <c:v>8926024.1224245112</c:v>
                </c:pt>
                <c:pt idx="2">
                  <c:v>17441757.002850156</c:v>
                </c:pt>
                <c:pt idx="3">
                  <c:v>1696868.6811977762</c:v>
                </c:pt>
                <c:pt idx="4">
                  <c:v>15866490.842496967</c:v>
                </c:pt>
                <c:pt idx="5">
                  <c:v>2329780.6717621377</c:v>
                </c:pt>
                <c:pt idx="6">
                  <c:v>8171429.8378450526</c:v>
                </c:pt>
                <c:pt idx="7">
                  <c:v>18591406.404547203</c:v>
                </c:pt>
                <c:pt idx="8">
                  <c:v>18352200.13564178</c:v>
                </c:pt>
                <c:pt idx="9">
                  <c:v>13013464.102549139</c:v>
                </c:pt>
                <c:pt idx="10">
                  <c:v>9843902.6371369381</c:v>
                </c:pt>
                <c:pt idx="11">
                  <c:v>14144633.179986298</c:v>
                </c:pt>
                <c:pt idx="12">
                  <c:v>11126939.108720006</c:v>
                </c:pt>
                <c:pt idx="13">
                  <c:v>8628113.1866227742</c:v>
                </c:pt>
                <c:pt idx="14">
                  <c:v>15078802.086415969</c:v>
                </c:pt>
                <c:pt idx="15">
                  <c:v>10848297.534494171</c:v>
                </c:pt>
                <c:pt idx="16">
                  <c:v>2068921.0111408576</c:v>
                </c:pt>
                <c:pt idx="17">
                  <c:v>13329277.575401368</c:v>
                </c:pt>
                <c:pt idx="18">
                  <c:v>10971195.910463449</c:v>
                </c:pt>
                <c:pt idx="19">
                  <c:v>6990777.0187217705</c:v>
                </c:pt>
                <c:pt idx="20">
                  <c:v>13278834.887680421</c:v>
                </c:pt>
                <c:pt idx="21">
                  <c:v>16293897.990389509</c:v>
                </c:pt>
                <c:pt idx="22">
                  <c:v>11321064.524744052</c:v>
                </c:pt>
                <c:pt idx="23">
                  <c:v>13912911.091220979</c:v>
                </c:pt>
                <c:pt idx="24">
                  <c:v>8079548.1933386493</c:v>
                </c:pt>
                <c:pt idx="25">
                  <c:v>13124386.15754142</c:v>
                </c:pt>
                <c:pt idx="26">
                  <c:v>7776083.7752931975</c:v>
                </c:pt>
                <c:pt idx="27">
                  <c:v>9368637.2487671636</c:v>
                </c:pt>
                <c:pt idx="28">
                  <c:v>6014625.4718837198</c:v>
                </c:pt>
                <c:pt idx="29">
                  <c:v>7044804.2746306788</c:v>
                </c:pt>
                <c:pt idx="30">
                  <c:v>2284594.0220601563</c:v>
                </c:pt>
                <c:pt idx="31">
                  <c:v>2954440.6790760066</c:v>
                </c:pt>
                <c:pt idx="32">
                  <c:v>9276811.5910762642</c:v>
                </c:pt>
                <c:pt idx="33">
                  <c:v>18654328.232049946</c:v>
                </c:pt>
                <c:pt idx="34">
                  <c:v>16831309.185747702</c:v>
                </c:pt>
                <c:pt idx="35">
                  <c:v>7278952.7179807257</c:v>
                </c:pt>
                <c:pt idx="36">
                  <c:v>12060516.677621422</c:v>
                </c:pt>
                <c:pt idx="37">
                  <c:v>2966149.701055496</c:v>
                </c:pt>
                <c:pt idx="38">
                  <c:v>12533853.74110496</c:v>
                </c:pt>
                <c:pt idx="39">
                  <c:v>2549123.5147279091</c:v>
                </c:pt>
                <c:pt idx="40">
                  <c:v>12271081.064307384</c:v>
                </c:pt>
                <c:pt idx="41">
                  <c:v>591727.50880290929</c:v>
                </c:pt>
                <c:pt idx="42">
                  <c:v>14851083.606159996</c:v>
                </c:pt>
                <c:pt idx="43">
                  <c:v>10074604.479454651</c:v>
                </c:pt>
                <c:pt idx="44">
                  <c:v>8754736.1896608267</c:v>
                </c:pt>
                <c:pt idx="45">
                  <c:v>8605721.7855929863</c:v>
                </c:pt>
                <c:pt idx="46">
                  <c:v>1295718.6771788264</c:v>
                </c:pt>
                <c:pt idx="47">
                  <c:v>17177097.930895045</c:v>
                </c:pt>
                <c:pt idx="48">
                  <c:v>9805356.254032582</c:v>
                </c:pt>
                <c:pt idx="49">
                  <c:v>3435870.1126214182</c:v>
                </c:pt>
                <c:pt idx="50">
                  <c:v>9964216.6492618695</c:v>
                </c:pt>
                <c:pt idx="51">
                  <c:v>5384030.2016799124</c:v>
                </c:pt>
                <c:pt idx="52">
                  <c:v>6179877.6031648442</c:v>
                </c:pt>
                <c:pt idx="53">
                  <c:v>6233671.1722633103</c:v>
                </c:pt>
                <c:pt idx="54">
                  <c:v>3527724.8938039802</c:v>
                </c:pt>
                <c:pt idx="55">
                  <c:v>8818419.3637236543</c:v>
                </c:pt>
                <c:pt idx="56">
                  <c:v>16552270.061897544</c:v>
                </c:pt>
                <c:pt idx="57">
                  <c:v>6949214.2646111874</c:v>
                </c:pt>
                <c:pt idx="58">
                  <c:v>16197045.795054168</c:v>
                </c:pt>
                <c:pt idx="59">
                  <c:v>16726146.300163798</c:v>
                </c:pt>
                <c:pt idx="60">
                  <c:v>11673348.671239186</c:v>
                </c:pt>
                <c:pt idx="61">
                  <c:v>12028828.323664518</c:v>
                </c:pt>
                <c:pt idx="62">
                  <c:v>14339963.471979573</c:v>
                </c:pt>
                <c:pt idx="63">
                  <c:v>4818719.410231459</c:v>
                </c:pt>
                <c:pt idx="64">
                  <c:v>7633895.7516718889</c:v>
                </c:pt>
                <c:pt idx="65">
                  <c:v>7097483.6343833497</c:v>
                </c:pt>
                <c:pt idx="66">
                  <c:v>13364872.899534322</c:v>
                </c:pt>
                <c:pt idx="67">
                  <c:v>7924499.6141683413</c:v>
                </c:pt>
                <c:pt idx="68">
                  <c:v>3610421.0933479168</c:v>
                </c:pt>
                <c:pt idx="69">
                  <c:v>6159231.566899064</c:v>
                </c:pt>
                <c:pt idx="70">
                  <c:v>10584894.541920075</c:v>
                </c:pt>
                <c:pt idx="71">
                  <c:v>655243.68049509695</c:v>
                </c:pt>
                <c:pt idx="72">
                  <c:v>2864739.0899375491</c:v>
                </c:pt>
                <c:pt idx="73">
                  <c:v>6924158.0894780327</c:v>
                </c:pt>
                <c:pt idx="74">
                  <c:v>4871626.5673506204</c:v>
                </c:pt>
                <c:pt idx="75">
                  <c:v>18288955.12691465</c:v>
                </c:pt>
                <c:pt idx="76">
                  <c:v>5243855.9642471438</c:v>
                </c:pt>
                <c:pt idx="77">
                  <c:v>8771186.4160845745</c:v>
                </c:pt>
                <c:pt idx="78">
                  <c:v>10161458.52608045</c:v>
                </c:pt>
                <c:pt idx="79">
                  <c:v>3183285.9839552343</c:v>
                </c:pt>
                <c:pt idx="80">
                  <c:v>18112446.323670369</c:v>
                </c:pt>
                <c:pt idx="81">
                  <c:v>7914420.6537720682</c:v>
                </c:pt>
                <c:pt idx="82">
                  <c:v>8958543.5518025123</c:v>
                </c:pt>
                <c:pt idx="83">
                  <c:v>4511895.8568540188</c:v>
                </c:pt>
                <c:pt idx="84">
                  <c:v>909274.86052974011</c:v>
                </c:pt>
                <c:pt idx="85">
                  <c:v>11607157.092400923</c:v>
                </c:pt>
                <c:pt idx="86">
                  <c:v>8931844.8564303853</c:v>
                </c:pt>
                <c:pt idx="87">
                  <c:v>7496752.5366281047</c:v>
                </c:pt>
                <c:pt idx="88">
                  <c:v>15762230.514531359</c:v>
                </c:pt>
                <c:pt idx="89">
                  <c:v>6754537.3039613804</c:v>
                </c:pt>
                <c:pt idx="90">
                  <c:v>6858651.0723340772</c:v>
                </c:pt>
                <c:pt idx="91">
                  <c:v>13273425.583867243</c:v>
                </c:pt>
                <c:pt idx="92">
                  <c:v>6324868.2450951673</c:v>
                </c:pt>
                <c:pt idx="93">
                  <c:v>13576996.580363095</c:v>
                </c:pt>
                <c:pt idx="94">
                  <c:v>12711428.208022941</c:v>
                </c:pt>
                <c:pt idx="95">
                  <c:v>9916507.9193239249</c:v>
                </c:pt>
                <c:pt idx="96">
                  <c:v>5999956.6226362148</c:v>
                </c:pt>
                <c:pt idx="97">
                  <c:v>10868721.91765256</c:v>
                </c:pt>
                <c:pt idx="98">
                  <c:v>6920914.5095388582</c:v>
                </c:pt>
                <c:pt idx="99">
                  <c:v>3762439.1458674502</c:v>
                </c:pt>
                <c:pt idx="100">
                  <c:v>157563.53948525776</c:v>
                </c:pt>
                <c:pt idx="101">
                  <c:v>901247.91020958486</c:v>
                </c:pt>
                <c:pt idx="102">
                  <c:v>917232.23890802509</c:v>
                </c:pt>
                <c:pt idx="103">
                  <c:v>1175722.2877854879</c:v>
                </c:pt>
                <c:pt idx="104">
                  <c:v>435337.99301161367</c:v>
                </c:pt>
                <c:pt idx="105">
                  <c:v>988119.73769252596</c:v>
                </c:pt>
                <c:pt idx="106">
                  <c:v>1062926.9684577854</c:v>
                </c:pt>
                <c:pt idx="107">
                  <c:v>761747.2244784768</c:v>
                </c:pt>
                <c:pt idx="108">
                  <c:v>1029662.3869015459</c:v>
                </c:pt>
                <c:pt idx="109">
                  <c:v>1029995.4866540617</c:v>
                </c:pt>
                <c:pt idx="110">
                  <c:v>651973.01978210057</c:v>
                </c:pt>
                <c:pt idx="111">
                  <c:v>855080.93446190725</c:v>
                </c:pt>
                <c:pt idx="112">
                  <c:v>1069049.1970008055</c:v>
                </c:pt>
                <c:pt idx="113">
                  <c:v>978958.29756391724</c:v>
                </c:pt>
                <c:pt idx="114">
                  <c:v>1381289.9699106738</c:v>
                </c:pt>
                <c:pt idx="115">
                  <c:v>883720.90994789801</c:v>
                </c:pt>
                <c:pt idx="116">
                  <c:v>829495.27785734879</c:v>
                </c:pt>
                <c:pt idx="117">
                  <c:v>306329.78676863643</c:v>
                </c:pt>
                <c:pt idx="118">
                  <c:v>804814.54727708641</c:v>
                </c:pt>
                <c:pt idx="119">
                  <c:v>1027495.9071938648</c:v>
                </c:pt>
                <c:pt idx="120">
                  <c:v>1128214.5367293104</c:v>
                </c:pt>
                <c:pt idx="121">
                  <c:v>853871.61089870625</c:v>
                </c:pt>
                <c:pt idx="122">
                  <c:v>867936.53154121363</c:v>
                </c:pt>
                <c:pt idx="123">
                  <c:v>142494.05520314962</c:v>
                </c:pt>
                <c:pt idx="124">
                  <c:v>570028.86260328069</c:v>
                </c:pt>
                <c:pt idx="125">
                  <c:v>1113827.0793367326</c:v>
                </c:pt>
                <c:pt idx="126">
                  <c:v>574111.4048195387</c:v>
                </c:pt>
                <c:pt idx="127">
                  <c:v>497614.05854740622</c:v>
                </c:pt>
                <c:pt idx="128">
                  <c:v>285845.2667031099</c:v>
                </c:pt>
                <c:pt idx="129">
                  <c:v>391097.70754434861</c:v>
                </c:pt>
                <c:pt idx="130">
                  <c:v>238768.05651624582</c:v>
                </c:pt>
                <c:pt idx="131">
                  <c:v>493633.80518860836</c:v>
                </c:pt>
                <c:pt idx="132">
                  <c:v>685458.12361168186</c:v>
                </c:pt>
                <c:pt idx="133">
                  <c:v>287149.49519980338</c:v>
                </c:pt>
                <c:pt idx="134">
                  <c:v>835019.12039802666</c:v>
                </c:pt>
                <c:pt idx="135">
                  <c:v>677065.11909637437</c:v>
                </c:pt>
                <c:pt idx="136">
                  <c:v>341268.40704323794</c:v>
                </c:pt>
                <c:pt idx="137">
                  <c:v>371335.85204723536</c:v>
                </c:pt>
                <c:pt idx="138">
                  <c:v>886618.26167655329</c:v>
                </c:pt>
                <c:pt idx="139">
                  <c:v>449504.43119129329</c:v>
                </c:pt>
                <c:pt idx="140">
                  <c:v>461332.0546698785</c:v>
                </c:pt>
                <c:pt idx="141">
                  <c:v>1025130.2287561676</c:v>
                </c:pt>
                <c:pt idx="142">
                  <c:v>134515.37037482395</c:v>
                </c:pt>
                <c:pt idx="143">
                  <c:v>718764.12713467178</c:v>
                </c:pt>
                <c:pt idx="144">
                  <c:v>1460060.2163203303</c:v>
                </c:pt>
                <c:pt idx="145">
                  <c:v>1032952.8158964519</c:v>
                </c:pt>
                <c:pt idx="146">
                  <c:v>850898.26533546846</c:v>
                </c:pt>
                <c:pt idx="147">
                  <c:v>266878.65594502137</c:v>
                </c:pt>
                <c:pt idx="148">
                  <c:v>572419.94640994794</c:v>
                </c:pt>
                <c:pt idx="149">
                  <c:v>1006778.5685472348</c:v>
                </c:pt>
                <c:pt idx="150">
                  <c:v>494006.02837731462</c:v>
                </c:pt>
                <c:pt idx="151">
                  <c:v>1152949.1242537459</c:v>
                </c:pt>
                <c:pt idx="152">
                  <c:v>587572.569922984</c:v>
                </c:pt>
                <c:pt idx="153">
                  <c:v>888916.22724440985</c:v>
                </c:pt>
                <c:pt idx="154">
                  <c:v>284354.54355420027</c:v>
                </c:pt>
                <c:pt idx="155">
                  <c:v>365437.73038692976</c:v>
                </c:pt>
                <c:pt idx="156">
                  <c:v>842173.91611387499</c:v>
                </c:pt>
                <c:pt idx="157">
                  <c:v>776125.68007035484</c:v>
                </c:pt>
                <c:pt idx="158">
                  <c:v>583597.70348065742</c:v>
                </c:pt>
                <c:pt idx="159">
                  <c:v>937689.10064370104</c:v>
                </c:pt>
                <c:pt idx="160">
                  <c:v>316225.25420602574</c:v>
                </c:pt>
                <c:pt idx="161">
                  <c:v>949375.952169689</c:v>
                </c:pt>
                <c:pt idx="162">
                  <c:v>800748.69720413804</c:v>
                </c:pt>
                <c:pt idx="163">
                  <c:v>726364.393405815</c:v>
                </c:pt>
                <c:pt idx="164">
                  <c:v>1006904.0903341232</c:v>
                </c:pt>
                <c:pt idx="165">
                  <c:v>593510.87353314599</c:v>
                </c:pt>
                <c:pt idx="166">
                  <c:v>1012836.4110308342</c:v>
                </c:pt>
                <c:pt idx="167">
                  <c:v>797599.85035357892</c:v>
                </c:pt>
                <c:pt idx="168">
                  <c:v>1491183.7853596543</c:v>
                </c:pt>
                <c:pt idx="169">
                  <c:v>1048756.3107671267</c:v>
                </c:pt>
                <c:pt idx="170">
                  <c:v>1265036.8791265045</c:v>
                </c:pt>
                <c:pt idx="171">
                  <c:v>124217.11630279524</c:v>
                </c:pt>
                <c:pt idx="172">
                  <c:v>654197.86435641756</c:v>
                </c:pt>
                <c:pt idx="173">
                  <c:v>518482.88902360667</c:v>
                </c:pt>
                <c:pt idx="174">
                  <c:v>56931.9641740402</c:v>
                </c:pt>
                <c:pt idx="175">
                  <c:v>185725.16845517204</c:v>
                </c:pt>
                <c:pt idx="176">
                  <c:v>1450056.569033603</c:v>
                </c:pt>
                <c:pt idx="177">
                  <c:v>529160.87919418991</c:v>
                </c:pt>
                <c:pt idx="178">
                  <c:v>711943.01043914806</c:v>
                </c:pt>
                <c:pt idx="179">
                  <c:v>1223926.8209512529</c:v>
                </c:pt>
                <c:pt idx="180">
                  <c:v>760688.05545350467</c:v>
                </c:pt>
                <c:pt idx="181">
                  <c:v>1183858.3610807068</c:v>
                </c:pt>
                <c:pt idx="182">
                  <c:v>930584.10286563192</c:v>
                </c:pt>
                <c:pt idx="183">
                  <c:v>863834.62731454044</c:v>
                </c:pt>
                <c:pt idx="184">
                  <c:v>702689.67756402621</c:v>
                </c:pt>
                <c:pt idx="185">
                  <c:v>932048.79505756358</c:v>
                </c:pt>
                <c:pt idx="186">
                  <c:v>814807.42281005683</c:v>
                </c:pt>
                <c:pt idx="187">
                  <c:v>819800.46231578221</c:v>
                </c:pt>
                <c:pt idx="188">
                  <c:v>808065.87717811915</c:v>
                </c:pt>
                <c:pt idx="189">
                  <c:v>267061.474829969</c:v>
                </c:pt>
                <c:pt idx="190">
                  <c:v>1097226.7739563882</c:v>
                </c:pt>
                <c:pt idx="191">
                  <c:v>446199.73015723855</c:v>
                </c:pt>
                <c:pt idx="192">
                  <c:v>469804.15710829484</c:v>
                </c:pt>
                <c:pt idx="193">
                  <c:v>525080.6500825875</c:v>
                </c:pt>
                <c:pt idx="194">
                  <c:v>393228.4152736757</c:v>
                </c:pt>
                <c:pt idx="195">
                  <c:v>615023.21762602672</c:v>
                </c:pt>
                <c:pt idx="196">
                  <c:v>810345.09178652451</c:v>
                </c:pt>
                <c:pt idx="197">
                  <c:v>560753.58530124195</c:v>
                </c:pt>
                <c:pt idx="198">
                  <c:v>381017.52154380037</c:v>
                </c:pt>
                <c:pt idx="199">
                  <c:v>702689.67756402621</c:v>
                </c:pt>
                <c:pt idx="200">
                  <c:v>49585.567217159798</c:v>
                </c:pt>
                <c:pt idx="201">
                  <c:v>89474.727405850615</c:v>
                </c:pt>
                <c:pt idx="202">
                  <c:v>38406.738005995532</c:v>
                </c:pt>
                <c:pt idx="203">
                  <c:v>129340.44800058422</c:v>
                </c:pt>
                <c:pt idx="204">
                  <c:v>54697.767200533286</c:v>
                </c:pt>
                <c:pt idx="205">
                  <c:v>92948.011054105838</c:v>
                </c:pt>
                <c:pt idx="206">
                  <c:v>79591.296756380383</c:v>
                </c:pt>
                <c:pt idx="207">
                  <c:v>57204.743578672351</c:v>
                </c:pt>
                <c:pt idx="208">
                  <c:v>109291.92307159577</c:v>
                </c:pt>
                <c:pt idx="209">
                  <c:v>55726.554171453899</c:v>
                </c:pt>
                <c:pt idx="210">
                  <c:v>62228.119847420145</c:v>
                </c:pt>
                <c:pt idx="211">
                  <c:v>80833.111806437228</c:v>
                </c:pt>
                <c:pt idx="212">
                  <c:v>110852.05970269667</c:v>
                </c:pt>
                <c:pt idx="213">
                  <c:v>14593.314265052142</c:v>
                </c:pt>
                <c:pt idx="214">
                  <c:v>85852.15811412425</c:v>
                </c:pt>
                <c:pt idx="215">
                  <c:v>6465.1270998007376</c:v>
                </c:pt>
                <c:pt idx="216">
                  <c:v>91059.330934206373</c:v>
                </c:pt>
                <c:pt idx="217">
                  <c:v>38664.370839985015</c:v>
                </c:pt>
                <c:pt idx="218">
                  <c:v>90821.361211636569</c:v>
                </c:pt>
                <c:pt idx="219">
                  <c:v>93645.360945609296</c:v>
                </c:pt>
                <c:pt idx="220">
                  <c:v>24371.563599189245</c:v>
                </c:pt>
                <c:pt idx="221">
                  <c:v>100251.49142439043</c:v>
                </c:pt>
                <c:pt idx="222">
                  <c:v>69538.138403545992</c:v>
                </c:pt>
                <c:pt idx="223">
                  <c:v>118432.82216317505</c:v>
                </c:pt>
                <c:pt idx="224">
                  <c:v>94462.076222016723</c:v>
                </c:pt>
                <c:pt idx="225">
                  <c:v>78242.604898139209</c:v>
                </c:pt>
                <c:pt idx="226">
                  <c:v>124812.69354847354</c:v>
                </c:pt>
                <c:pt idx="227">
                  <c:v>22552.238115331522</c:v>
                </c:pt>
                <c:pt idx="228">
                  <c:v>84306.782227317308</c:v>
                </c:pt>
                <c:pt idx="229">
                  <c:v>76721.704175268955</c:v>
                </c:pt>
                <c:pt idx="230">
                  <c:v>111505.93188867858</c:v>
                </c:pt>
                <c:pt idx="231">
                  <c:v>103595.88455849062</c:v>
                </c:pt>
                <c:pt idx="232">
                  <c:v>55320.98629319451</c:v>
                </c:pt>
                <c:pt idx="233">
                  <c:v>50511.680928931441</c:v>
                </c:pt>
                <c:pt idx="234">
                  <c:v>67679.627979910991</c:v>
                </c:pt>
                <c:pt idx="235">
                  <c:v>70453.369151743842</c:v>
                </c:pt>
                <c:pt idx="236">
                  <c:v>17259.880973716728</c:v>
                </c:pt>
                <c:pt idx="237">
                  <c:v>95725.531558329269</c:v>
                </c:pt>
                <c:pt idx="238">
                  <c:v>48040.112753488051</c:v>
                </c:pt>
                <c:pt idx="239">
                  <c:v>74751.687998788722</c:v>
                </c:pt>
                <c:pt idx="240">
                  <c:v>60094.145297682269</c:v>
                </c:pt>
                <c:pt idx="241">
                  <c:v>112938.85613694205</c:v>
                </c:pt>
                <c:pt idx="242">
                  <c:v>67526.303361587823</c:v>
                </c:pt>
                <c:pt idx="243">
                  <c:v>81331.076373407312</c:v>
                </c:pt>
                <c:pt idx="244">
                  <c:v>91357.675959408865</c:v>
                </c:pt>
                <c:pt idx="245">
                  <c:v>73426.260164785199</c:v>
                </c:pt>
                <c:pt idx="246">
                  <c:v>13521.854061892238</c:v>
                </c:pt>
                <c:pt idx="247">
                  <c:v>64425.722337112114</c:v>
                </c:pt>
                <c:pt idx="248">
                  <c:v>27632.760988422822</c:v>
                </c:pt>
                <c:pt idx="249">
                  <c:v>95145.683709211065</c:v>
                </c:pt>
                <c:pt idx="250">
                  <c:v>76415.833261073203</c:v>
                </c:pt>
                <c:pt idx="251">
                  <c:v>95042.450325975922</c:v>
                </c:pt>
                <c:pt idx="252">
                  <c:v>38543.968896436971</c:v>
                </c:pt>
                <c:pt idx="253">
                  <c:v>131676.75509929107</c:v>
                </c:pt>
                <c:pt idx="254">
                  <c:v>95422.78895216783</c:v>
                </c:pt>
                <c:pt idx="255">
                  <c:v>72603.060568790039</c:v>
                </c:pt>
                <c:pt idx="256">
                  <c:v>85979.777238102048</c:v>
                </c:pt>
                <c:pt idx="257">
                  <c:v>33769.953266738579</c:v>
                </c:pt>
                <c:pt idx="258">
                  <c:v>45929.728469039612</c:v>
                </c:pt>
                <c:pt idx="259">
                  <c:v>69585.074376684715</c:v>
                </c:pt>
                <c:pt idx="260">
                  <c:v>87108.477580809122</c:v>
                </c:pt>
                <c:pt idx="261">
                  <c:v>91116.13863073611</c:v>
                </c:pt>
                <c:pt idx="262">
                  <c:v>72932.057748012026</c:v>
                </c:pt>
                <c:pt idx="263">
                  <c:v>74558.341889352974</c:v>
                </c:pt>
                <c:pt idx="264">
                  <c:v>65356.107164141431</c:v>
                </c:pt>
                <c:pt idx="265">
                  <c:v>49858.871946846928</c:v>
                </c:pt>
                <c:pt idx="266">
                  <c:v>38480.511182640628</c:v>
                </c:pt>
                <c:pt idx="267">
                  <c:v>110006.9902705047</c:v>
                </c:pt>
                <c:pt idx="268">
                  <c:v>12854.441177776918</c:v>
                </c:pt>
                <c:pt idx="269">
                  <c:v>103867.36172692994</c:v>
                </c:pt>
                <c:pt idx="270">
                  <c:v>26727.112439431377</c:v>
                </c:pt>
                <c:pt idx="271">
                  <c:v>56422.040912334945</c:v>
                </c:pt>
                <c:pt idx="272">
                  <c:v>63232.082979176928</c:v>
                </c:pt>
                <c:pt idx="273">
                  <c:v>93913.720975334174</c:v>
                </c:pt>
                <c:pt idx="274">
                  <c:v>83317.121596607045</c:v>
                </c:pt>
                <c:pt idx="275">
                  <c:v>36863.609967916629</c:v>
                </c:pt>
                <c:pt idx="276">
                  <c:v>94654.224474943068</c:v>
                </c:pt>
                <c:pt idx="277">
                  <c:v>103709.27464970971</c:v>
                </c:pt>
                <c:pt idx="278">
                  <c:v>72499.957777249045</c:v>
                </c:pt>
                <c:pt idx="279">
                  <c:v>105852.08396273818</c:v>
                </c:pt>
                <c:pt idx="280">
                  <c:v>60987.586229681801</c:v>
                </c:pt>
                <c:pt idx="281">
                  <c:v>118595.41220244681</c:v>
                </c:pt>
                <c:pt idx="282">
                  <c:v>91681.667154660201</c:v>
                </c:pt>
                <c:pt idx="283">
                  <c:v>60615.120586331825</c:v>
                </c:pt>
                <c:pt idx="284">
                  <c:v>87550.186408437614</c:v>
                </c:pt>
                <c:pt idx="285">
                  <c:v>50625.874170485928</c:v>
                </c:pt>
                <c:pt idx="286">
                  <c:v>66662.044791718959</c:v>
                </c:pt>
                <c:pt idx="287">
                  <c:v>98327.422116002752</c:v>
                </c:pt>
                <c:pt idx="288">
                  <c:v>104364.72052565365</c:v>
                </c:pt>
                <c:pt idx="289">
                  <c:v>95289.048671426586</c:v>
                </c:pt>
                <c:pt idx="290">
                  <c:v>62154.805845581111</c:v>
                </c:pt>
                <c:pt idx="291">
                  <c:v>26516.797792536116</c:v>
                </c:pt>
                <c:pt idx="292">
                  <c:v>89586.99777515234</c:v>
                </c:pt>
                <c:pt idx="293">
                  <c:v>90859.499602455937</c:v>
                </c:pt>
                <c:pt idx="294">
                  <c:v>75337.536234137209</c:v>
                </c:pt>
                <c:pt idx="295">
                  <c:v>84629.773088732938</c:v>
                </c:pt>
                <c:pt idx="296">
                  <c:v>87648.480587707323</c:v>
                </c:pt>
                <c:pt idx="297">
                  <c:v>81682.396554250256</c:v>
                </c:pt>
                <c:pt idx="298">
                  <c:v>25524.930575862592</c:v>
                </c:pt>
                <c:pt idx="299">
                  <c:v>58962.375157485025</c:v>
                </c:pt>
                <c:pt idx="300">
                  <c:v>17010.584032509574</c:v>
                </c:pt>
                <c:pt idx="301">
                  <c:v>17331.639765151282</c:v>
                </c:pt>
                <c:pt idx="302">
                  <c:v>14409.820230102912</c:v>
                </c:pt>
                <c:pt idx="303">
                  <c:v>15905.687488281317</c:v>
                </c:pt>
                <c:pt idx="304">
                  <c:v>16872.870970632688</c:v>
                </c:pt>
                <c:pt idx="305">
                  <c:v>7297.6871908483481</c:v>
                </c:pt>
                <c:pt idx="306">
                  <c:v>12729.160127606165</c:v>
                </c:pt>
                <c:pt idx="307">
                  <c:v>13203.952390535638</c:v>
                </c:pt>
                <c:pt idx="308">
                  <c:v>17776.249194215619</c:v>
                </c:pt>
                <c:pt idx="309">
                  <c:v>10239.33469179094</c:v>
                </c:pt>
                <c:pt idx="310">
                  <c:v>9729.7411513772095</c:v>
                </c:pt>
                <c:pt idx="311">
                  <c:v>18230.853156675192</c:v>
                </c:pt>
                <c:pt idx="312">
                  <c:v>10058.488451134353</c:v>
                </c:pt>
                <c:pt idx="313">
                  <c:v>9207.4873051915674</c:v>
                </c:pt>
                <c:pt idx="314">
                  <c:v>9132.6472675806217</c:v>
                </c:pt>
                <c:pt idx="315">
                  <c:v>10426.439158915542</c:v>
                </c:pt>
                <c:pt idx="316">
                  <c:v>2493.540213809641</c:v>
                </c:pt>
                <c:pt idx="317">
                  <c:v>11742.289879682554</c:v>
                </c:pt>
                <c:pt idx="318">
                  <c:v>8872.1793091042782</c:v>
                </c:pt>
                <c:pt idx="319">
                  <c:v>22600.22293928697</c:v>
                </c:pt>
                <c:pt idx="320">
                  <c:v>10599.141535311506</c:v>
                </c:pt>
                <c:pt idx="321">
                  <c:v>11276.077537644014</c:v>
                </c:pt>
                <c:pt idx="322">
                  <c:v>8346.0289963862233</c:v>
                </c:pt>
                <c:pt idx="323">
                  <c:v>17921.377657114394</c:v>
                </c:pt>
                <c:pt idx="324">
                  <c:v>14430.696843659309</c:v>
                </c:pt>
                <c:pt idx="325">
                  <c:v>11379.204313226235</c:v>
                </c:pt>
                <c:pt idx="326">
                  <c:v>7797.3549591994743</c:v>
                </c:pt>
                <c:pt idx="327">
                  <c:v>8760.0011356000923</c:v>
                </c:pt>
                <c:pt idx="328">
                  <c:v>4735.2509714383987</c:v>
                </c:pt>
                <c:pt idx="329">
                  <c:v>17427.392569847227</c:v>
                </c:pt>
                <c:pt idx="330">
                  <c:v>13210.514529036051</c:v>
                </c:pt>
                <c:pt idx="331">
                  <c:v>6711.7722669922769</c:v>
                </c:pt>
                <c:pt idx="332">
                  <c:v>15911.812131064187</c:v>
                </c:pt>
                <c:pt idx="333">
                  <c:v>22280.925778636469</c:v>
                </c:pt>
                <c:pt idx="334">
                  <c:v>16504.877663412437</c:v>
                </c:pt>
                <c:pt idx="335">
                  <c:v>11350.162805946875</c:v>
                </c:pt>
                <c:pt idx="336">
                  <c:v>15626.823520107117</c:v>
                </c:pt>
                <c:pt idx="337">
                  <c:v>8187.4380761736766</c:v>
                </c:pt>
                <c:pt idx="338">
                  <c:v>1189.2121903019845</c:v>
                </c:pt>
                <c:pt idx="339">
                  <c:v>18565.664996101692</c:v>
                </c:pt>
                <c:pt idx="340">
                  <c:v>5668.7615663811803</c:v>
                </c:pt>
                <c:pt idx="341">
                  <c:v>8266.1263129366034</c:v>
                </c:pt>
                <c:pt idx="342">
                  <c:v>17452.52053279824</c:v>
                </c:pt>
                <c:pt idx="343">
                  <c:v>3039.0559378454714</c:v>
                </c:pt>
                <c:pt idx="344">
                  <c:v>9045.9744276098882</c:v>
                </c:pt>
                <c:pt idx="345">
                  <c:v>12916.893983628517</c:v>
                </c:pt>
                <c:pt idx="346">
                  <c:v>6273.1787789042937</c:v>
                </c:pt>
                <c:pt idx="347">
                  <c:v>608.12622879592652</c:v>
                </c:pt>
                <c:pt idx="348">
                  <c:v>4711.4128073829452</c:v>
                </c:pt>
                <c:pt idx="349">
                  <c:v>7030.3342890818167</c:v>
                </c:pt>
                <c:pt idx="350">
                  <c:v>13423.407947576217</c:v>
                </c:pt>
                <c:pt idx="351">
                  <c:v>2806.5933741277308</c:v>
                </c:pt>
                <c:pt idx="352">
                  <c:v>13677.594483264145</c:v>
                </c:pt>
                <c:pt idx="353">
                  <c:v>9416.7867874048916</c:v>
                </c:pt>
                <c:pt idx="354">
                  <c:v>12679.628015607273</c:v>
                </c:pt>
                <c:pt idx="355">
                  <c:v>16096.001967885808</c:v>
                </c:pt>
                <c:pt idx="356">
                  <c:v>19171.261568330174</c:v>
                </c:pt>
                <c:pt idx="357">
                  <c:v>18585.341004393078</c:v>
                </c:pt>
                <c:pt idx="358">
                  <c:v>14722.294693728865</c:v>
                </c:pt>
                <c:pt idx="359">
                  <c:v>5218.9524886808895</c:v>
                </c:pt>
                <c:pt idx="360">
                  <c:v>12647.138813385211</c:v>
                </c:pt>
                <c:pt idx="361">
                  <c:v>8023.7296119112425</c:v>
                </c:pt>
                <c:pt idx="362">
                  <c:v>16241.06793636773</c:v>
                </c:pt>
                <c:pt idx="363">
                  <c:v>14312.679599904674</c:v>
                </c:pt>
                <c:pt idx="364">
                  <c:v>11423.775586218999</c:v>
                </c:pt>
                <c:pt idx="365">
                  <c:v>19121.549663934155</c:v>
                </c:pt>
                <c:pt idx="366">
                  <c:v>16966.386282277603</c:v>
                </c:pt>
                <c:pt idx="367">
                  <c:v>16993.748128235999</c:v>
                </c:pt>
                <c:pt idx="368">
                  <c:v>1216.3516009289403</c:v>
                </c:pt>
                <c:pt idx="369">
                  <c:v>9132.1901744284387</c:v>
                </c:pt>
                <c:pt idx="370">
                  <c:v>10188.924272315642</c:v>
                </c:pt>
                <c:pt idx="371">
                  <c:v>19500.92276250061</c:v>
                </c:pt>
                <c:pt idx="372">
                  <c:v>9611.7851508146105</c:v>
                </c:pt>
                <c:pt idx="373">
                  <c:v>5110.1885702572235</c:v>
                </c:pt>
                <c:pt idx="374">
                  <c:v>5373.7332077411447</c:v>
                </c:pt>
                <c:pt idx="375">
                  <c:v>20022.604360549412</c:v>
                </c:pt>
                <c:pt idx="376">
                  <c:v>14335.521141328518</c:v>
                </c:pt>
                <c:pt idx="377">
                  <c:v>4270.0700505916766</c:v>
                </c:pt>
                <c:pt idx="378">
                  <c:v>19471.910452634394</c:v>
                </c:pt>
                <c:pt idx="379">
                  <c:v>8319.5897276456981</c:v>
                </c:pt>
                <c:pt idx="380">
                  <c:v>16364.372292298565</c:v>
                </c:pt>
                <c:pt idx="381">
                  <c:v>18418.541664633049</c:v>
                </c:pt>
                <c:pt idx="382">
                  <c:v>13441.573914766874</c:v>
                </c:pt>
                <c:pt idx="383">
                  <c:v>7615.6451806113828</c:v>
                </c:pt>
                <c:pt idx="384">
                  <c:v>5111.7233140687858</c:v>
                </c:pt>
                <c:pt idx="385">
                  <c:v>16645.358181561987</c:v>
                </c:pt>
                <c:pt idx="386">
                  <c:v>6369.9765586049034</c:v>
                </c:pt>
                <c:pt idx="387">
                  <c:v>18358.764961292916</c:v>
                </c:pt>
                <c:pt idx="388">
                  <c:v>15746.016057149465</c:v>
                </c:pt>
                <c:pt idx="389">
                  <c:v>8134.38421012862</c:v>
                </c:pt>
                <c:pt idx="390">
                  <c:v>5304.8156502293286</c:v>
                </c:pt>
                <c:pt idx="391">
                  <c:v>3753.5537320391932</c:v>
                </c:pt>
                <c:pt idx="392">
                  <c:v>17381.965354801316</c:v>
                </c:pt>
                <c:pt idx="393">
                  <c:v>7410.8241118489677</c:v>
                </c:pt>
                <c:pt idx="394">
                  <c:v>17359.226581519521</c:v>
                </c:pt>
                <c:pt idx="395">
                  <c:v>21624.30220745863</c:v>
                </c:pt>
                <c:pt idx="396">
                  <c:v>16791.56870600862</c:v>
                </c:pt>
                <c:pt idx="397">
                  <c:v>13525.478179161111</c:v>
                </c:pt>
                <c:pt idx="398">
                  <c:v>15537.743404690182</c:v>
                </c:pt>
                <c:pt idx="399">
                  <c:v>13367.572612393287</c:v>
                </c:pt>
                <c:pt idx="400">
                  <c:v>773.76243950946252</c:v>
                </c:pt>
                <c:pt idx="401">
                  <c:v>1282.8590733585308</c:v>
                </c:pt>
                <c:pt idx="402">
                  <c:v>889.93056879589039</c:v>
                </c:pt>
                <c:pt idx="403">
                  <c:v>1682.2966839245557</c:v>
                </c:pt>
                <c:pt idx="404">
                  <c:v>703.69103214447557</c:v>
                </c:pt>
                <c:pt idx="405">
                  <c:v>1046.2658827564085</c:v>
                </c:pt>
                <c:pt idx="406">
                  <c:v>897.79918591358103</c:v>
                </c:pt>
                <c:pt idx="407">
                  <c:v>622.92869741844481</c:v>
                </c:pt>
                <c:pt idx="408">
                  <c:v>1416.5661404875525</c:v>
                </c:pt>
                <c:pt idx="409">
                  <c:v>2202.5966509223781</c:v>
                </c:pt>
                <c:pt idx="410">
                  <c:v>284.74299027087125</c:v>
                </c:pt>
                <c:pt idx="411">
                  <c:v>1489.0884742444073</c:v>
                </c:pt>
                <c:pt idx="412">
                  <c:v>1375.0655408814928</c:v>
                </c:pt>
                <c:pt idx="413">
                  <c:v>1194.986112078677</c:v>
                </c:pt>
                <c:pt idx="414">
                  <c:v>414.61903108092849</c:v>
                </c:pt>
                <c:pt idx="415">
                  <c:v>1636.910936623452</c:v>
                </c:pt>
                <c:pt idx="416">
                  <c:v>285.51825579657816</c:v>
                </c:pt>
                <c:pt idx="417">
                  <c:v>2194.964077187688</c:v>
                </c:pt>
                <c:pt idx="418">
                  <c:v>2192.5590771687816</c:v>
                </c:pt>
                <c:pt idx="419">
                  <c:v>1873.5486123458313</c:v>
                </c:pt>
                <c:pt idx="420">
                  <c:v>1320.0921835107874</c:v>
                </c:pt>
                <c:pt idx="421">
                  <c:v>1826.924121623674</c:v>
                </c:pt>
                <c:pt idx="422">
                  <c:v>1729.9818977534453</c:v>
                </c:pt>
                <c:pt idx="423">
                  <c:v>1401.3513497014189</c:v>
                </c:pt>
                <c:pt idx="424">
                  <c:v>1564.7206625081872</c:v>
                </c:pt>
                <c:pt idx="425">
                  <c:v>1046.3437247757508</c:v>
                </c:pt>
                <c:pt idx="426">
                  <c:v>1700.0996566675619</c:v>
                </c:pt>
                <c:pt idx="427">
                  <c:v>1679.6260554904886</c:v>
                </c:pt>
                <c:pt idx="428">
                  <c:v>2099.3567787241191</c:v>
                </c:pt>
                <c:pt idx="429">
                  <c:v>1223.8940905964896</c:v>
                </c:pt>
                <c:pt idx="430">
                  <c:v>1663.2604008937828</c:v>
                </c:pt>
                <c:pt idx="431">
                  <c:v>1545.7427769674052</c:v>
                </c:pt>
                <c:pt idx="432">
                  <c:v>678.00785546913835</c:v>
                </c:pt>
                <c:pt idx="433">
                  <c:v>627.45069884408872</c:v>
                </c:pt>
                <c:pt idx="434">
                  <c:v>1617.617367296863</c:v>
                </c:pt>
                <c:pt idx="435">
                  <c:v>986.15003575423862</c:v>
                </c:pt>
                <c:pt idx="436">
                  <c:v>1730.156763548981</c:v>
                </c:pt>
                <c:pt idx="437">
                  <c:v>1542.8445928081583</c:v>
                </c:pt>
                <c:pt idx="438">
                  <c:v>1977.2023915254706</c:v>
                </c:pt>
                <c:pt idx="439">
                  <c:v>322.73560226345552</c:v>
                </c:pt>
                <c:pt idx="440">
                  <c:v>1275.4025039341022</c:v>
                </c:pt>
                <c:pt idx="441">
                  <c:v>691.85120459072812</c:v>
                </c:pt>
                <c:pt idx="442">
                  <c:v>1782.0986076342108</c:v>
                </c:pt>
                <c:pt idx="443">
                  <c:v>852.22369310285796</c:v>
                </c:pt>
                <c:pt idx="444">
                  <c:v>330.45781918839549</c:v>
                </c:pt>
                <c:pt idx="445">
                  <c:v>1422.9121221945563</c:v>
                </c:pt>
                <c:pt idx="446">
                  <c:v>1021.6566763765353</c:v>
                </c:pt>
                <c:pt idx="447">
                  <c:v>1277.8832118512678</c:v>
                </c:pt>
                <c:pt idx="448">
                  <c:v>1598.4409779325279</c:v>
                </c:pt>
                <c:pt idx="449">
                  <c:v>1527.5471658872866</c:v>
                </c:pt>
                <c:pt idx="450">
                  <c:v>101.33792754813719</c:v>
                </c:pt>
                <c:pt idx="451">
                  <c:v>1110.7086140046815</c:v>
                </c:pt>
                <c:pt idx="452">
                  <c:v>1723.1645398701785</c:v>
                </c:pt>
                <c:pt idx="453">
                  <c:v>524.23572800660338</c:v>
                </c:pt>
                <c:pt idx="454">
                  <c:v>1047.4275436786281</c:v>
                </c:pt>
                <c:pt idx="455">
                  <c:v>2338.1601293463773</c:v>
                </c:pt>
                <c:pt idx="456">
                  <c:v>305.55685174822042</c:v>
                </c:pt>
                <c:pt idx="457">
                  <c:v>651.16316285616847</c:v>
                </c:pt>
                <c:pt idx="458">
                  <c:v>1252.2038663446008</c:v>
                </c:pt>
                <c:pt idx="459">
                  <c:v>964.66340261952621</c:v>
                </c:pt>
                <c:pt idx="460">
                  <c:v>1822.3479191639349</c:v>
                </c:pt>
                <c:pt idx="461">
                  <c:v>1180.5165197936471</c:v>
                </c:pt>
                <c:pt idx="462">
                  <c:v>1481.7147052559023</c:v>
                </c:pt>
                <c:pt idx="463">
                  <c:v>1728.1659417101348</c:v>
                </c:pt>
                <c:pt idx="464">
                  <c:v>1743.7785213090879</c:v>
                </c:pt>
                <c:pt idx="465">
                  <c:v>1575.55178653197</c:v>
                </c:pt>
                <c:pt idx="466">
                  <c:v>870.30879423374176</c:v>
                </c:pt>
                <c:pt idx="467">
                  <c:v>1828.6776334392318</c:v>
                </c:pt>
                <c:pt idx="468">
                  <c:v>526.87047831147629</c:v>
                </c:pt>
                <c:pt idx="469">
                  <c:v>1058.38853532128</c:v>
                </c:pt>
                <c:pt idx="470">
                  <c:v>1388.3738990203485</c:v>
                </c:pt>
                <c:pt idx="471">
                  <c:v>555.78369360164152</c:v>
                </c:pt>
                <c:pt idx="472">
                  <c:v>1707.8287095081844</c:v>
                </c:pt>
                <c:pt idx="473">
                  <c:v>403.61098177567845</c:v>
                </c:pt>
                <c:pt idx="474">
                  <c:v>744.07987396848182</c:v>
                </c:pt>
                <c:pt idx="475">
                  <c:v>1602.3036094691488</c:v>
                </c:pt>
                <c:pt idx="476">
                  <c:v>514.3958247389503</c:v>
                </c:pt>
                <c:pt idx="477">
                  <c:v>223.66003667914177</c:v>
                </c:pt>
                <c:pt idx="478">
                  <c:v>1151.8165795103241</c:v>
                </c:pt>
                <c:pt idx="479">
                  <c:v>1547.306609313292</c:v>
                </c:pt>
                <c:pt idx="480">
                  <c:v>1376.5530011345966</c:v>
                </c:pt>
                <c:pt idx="481">
                  <c:v>1117.8525951574925</c:v>
                </c:pt>
                <c:pt idx="482">
                  <c:v>30.550827958870414</c:v>
                </c:pt>
                <c:pt idx="483">
                  <c:v>846.01321450494504</c:v>
                </c:pt>
                <c:pt idx="484">
                  <c:v>1774.1352398470931</c:v>
                </c:pt>
                <c:pt idx="485">
                  <c:v>1118.8372185283674</c:v>
                </c:pt>
                <c:pt idx="486">
                  <c:v>953.13649792518038</c:v>
                </c:pt>
                <c:pt idx="487">
                  <c:v>1634.9834791365904</c:v>
                </c:pt>
                <c:pt idx="488">
                  <c:v>1100.9882910084752</c:v>
                </c:pt>
                <c:pt idx="489">
                  <c:v>1513.205688662239</c:v>
                </c:pt>
                <c:pt idx="490">
                  <c:v>169.72266104841913</c:v>
                </c:pt>
                <c:pt idx="491">
                  <c:v>1976.1823918988071</c:v>
                </c:pt>
                <c:pt idx="492">
                  <c:v>521.40135860035559</c:v>
                </c:pt>
                <c:pt idx="493">
                  <c:v>1443.7030729977662</c:v>
                </c:pt>
                <c:pt idx="494">
                  <c:v>1907.0400851854045</c:v>
                </c:pt>
                <c:pt idx="495">
                  <c:v>632.98991543404759</c:v>
                </c:pt>
                <c:pt idx="496">
                  <c:v>1321.7709160319341</c:v>
                </c:pt>
                <c:pt idx="497">
                  <c:v>1604.2781018127905</c:v>
                </c:pt>
                <c:pt idx="498">
                  <c:v>568.4785467566478</c:v>
                </c:pt>
                <c:pt idx="499">
                  <c:v>1110.3506525773789</c:v>
                </c:pt>
                <c:pt idx="500">
                  <c:v>128.25594655189292</c:v>
                </c:pt>
                <c:pt idx="501">
                  <c:v>56.445203403080214</c:v>
                </c:pt>
                <c:pt idx="502">
                  <c:v>208.23185374299331</c:v>
                </c:pt>
                <c:pt idx="503">
                  <c:v>137.68963072389778</c:v>
                </c:pt>
                <c:pt idx="504">
                  <c:v>102.75426927187726</c:v>
                </c:pt>
                <c:pt idx="505">
                  <c:v>135.12010920634197</c:v>
                </c:pt>
                <c:pt idx="506">
                  <c:v>138.217683776748</c:v>
                </c:pt>
                <c:pt idx="507">
                  <c:v>173.28412246759157</c:v>
                </c:pt>
                <c:pt idx="508">
                  <c:v>159.47807210043376</c:v>
                </c:pt>
                <c:pt idx="509">
                  <c:v>38.650444010383652</c:v>
                </c:pt>
                <c:pt idx="510">
                  <c:v>81.804376045487473</c:v>
                </c:pt>
                <c:pt idx="511">
                  <c:v>68.463378375360278</c:v>
                </c:pt>
                <c:pt idx="512">
                  <c:v>100.39078699400766</c:v>
                </c:pt>
                <c:pt idx="513">
                  <c:v>134.75266081842256</c:v>
                </c:pt>
                <c:pt idx="514">
                  <c:v>184.39873125004331</c:v>
                </c:pt>
                <c:pt idx="515">
                  <c:v>126.47559905326834</c:v>
                </c:pt>
                <c:pt idx="516">
                  <c:v>120.60303946283211</c:v>
                </c:pt>
                <c:pt idx="517">
                  <c:v>184.64984362951495</c:v>
                </c:pt>
                <c:pt idx="518">
                  <c:v>143.60510107138953</c:v>
                </c:pt>
                <c:pt idx="519">
                  <c:v>190.47134075402033</c:v>
                </c:pt>
                <c:pt idx="520">
                  <c:v>139.57512820071713</c:v>
                </c:pt>
                <c:pt idx="521">
                  <c:v>73.100761595006517</c:v>
                </c:pt>
                <c:pt idx="522">
                  <c:v>59.967693802533695</c:v>
                </c:pt>
                <c:pt idx="523">
                  <c:v>196.26480702375881</c:v>
                </c:pt>
                <c:pt idx="524">
                  <c:v>113.16595827180572</c:v>
                </c:pt>
                <c:pt idx="525">
                  <c:v>25.694169192773785</c:v>
                </c:pt>
                <c:pt idx="526">
                  <c:v>34.408548250924255</c:v>
                </c:pt>
                <c:pt idx="527">
                  <c:v>157.66752088197973</c:v>
                </c:pt>
                <c:pt idx="528">
                  <c:v>106.74447548968408</c:v>
                </c:pt>
                <c:pt idx="529">
                  <c:v>196.75462940148694</c:v>
                </c:pt>
                <c:pt idx="530">
                  <c:v>167.52107704563099</c:v>
                </c:pt>
                <c:pt idx="531">
                  <c:v>70.062401634028944</c:v>
                </c:pt>
                <c:pt idx="532">
                  <c:v>77.558266900219024</c:v>
                </c:pt>
                <c:pt idx="533">
                  <c:v>73.722182870661555</c:v>
                </c:pt>
                <c:pt idx="534">
                  <c:v>165.81532545260799</c:v>
                </c:pt>
                <c:pt idx="535">
                  <c:v>252.98217913313314</c:v>
                </c:pt>
                <c:pt idx="536">
                  <c:v>82.638110836408856</c:v>
                </c:pt>
                <c:pt idx="537">
                  <c:v>26.537332232718139</c:v>
                </c:pt>
                <c:pt idx="538">
                  <c:v>187.28903029419109</c:v>
                </c:pt>
                <c:pt idx="539">
                  <c:v>206.36354689335883</c:v>
                </c:pt>
                <c:pt idx="540">
                  <c:v>208.88065649655363</c:v>
                </c:pt>
                <c:pt idx="541">
                  <c:v>159.93204219708349</c:v>
                </c:pt>
                <c:pt idx="542">
                  <c:v>165.51477200555357</c:v>
                </c:pt>
                <c:pt idx="543">
                  <c:v>19.990109794983621</c:v>
                </c:pt>
                <c:pt idx="544">
                  <c:v>115.4195504179952</c:v>
                </c:pt>
                <c:pt idx="545">
                  <c:v>46.035839242573068</c:v>
                </c:pt>
                <c:pt idx="546">
                  <c:v>172.08215695842966</c:v>
                </c:pt>
                <c:pt idx="547">
                  <c:v>139.00373811107798</c:v>
                </c:pt>
                <c:pt idx="548">
                  <c:v>182.30283366513373</c:v>
                </c:pt>
                <c:pt idx="549">
                  <c:v>58.570633741418384</c:v>
                </c:pt>
                <c:pt idx="550">
                  <c:v>161.74106371125316</c:v>
                </c:pt>
                <c:pt idx="551">
                  <c:v>132.12990703359623</c:v>
                </c:pt>
                <c:pt idx="552">
                  <c:v>91.931713414637457</c:v>
                </c:pt>
                <c:pt idx="553">
                  <c:v>124.88485388161463</c:v>
                </c:pt>
                <c:pt idx="554">
                  <c:v>84.135672707294503</c:v>
                </c:pt>
                <c:pt idx="555">
                  <c:v>75.547929214841901</c:v>
                </c:pt>
                <c:pt idx="556">
                  <c:v>120.34492456169227</c:v>
                </c:pt>
                <c:pt idx="557">
                  <c:v>167.63816688060908</c:v>
                </c:pt>
                <c:pt idx="558">
                  <c:v>166.39954424068105</c:v>
                </c:pt>
                <c:pt idx="559">
                  <c:v>165.61123901208748</c:v>
                </c:pt>
                <c:pt idx="560">
                  <c:v>97.155290869190623</c:v>
                </c:pt>
                <c:pt idx="561">
                  <c:v>73.626350988676307</c:v>
                </c:pt>
                <c:pt idx="562">
                  <c:v>169.80240877546649</c:v>
                </c:pt>
                <c:pt idx="563">
                  <c:v>176.58380303743425</c:v>
                </c:pt>
                <c:pt idx="564">
                  <c:v>14.683644895504811</c:v>
                </c:pt>
                <c:pt idx="565">
                  <c:v>107.22667329992846</c:v>
                </c:pt>
                <c:pt idx="566">
                  <c:v>69.349802458496697</c:v>
                </c:pt>
                <c:pt idx="567">
                  <c:v>170.33683732597243</c:v>
                </c:pt>
                <c:pt idx="568">
                  <c:v>176.43302911577695</c:v>
                </c:pt>
                <c:pt idx="569">
                  <c:v>188.32960999638323</c:v>
                </c:pt>
                <c:pt idx="570">
                  <c:v>156.45400630144141</c:v>
                </c:pt>
                <c:pt idx="571">
                  <c:v>30.117025018583089</c:v>
                </c:pt>
                <c:pt idx="572">
                  <c:v>18.320888150148178</c:v>
                </c:pt>
                <c:pt idx="573">
                  <c:v>103.27112550698125</c:v>
                </c:pt>
                <c:pt idx="574">
                  <c:v>121.69186981889999</c:v>
                </c:pt>
                <c:pt idx="575">
                  <c:v>149.51739437906389</c:v>
                </c:pt>
                <c:pt idx="576">
                  <c:v>139.51793737524022</c:v>
                </c:pt>
                <c:pt idx="577">
                  <c:v>61.272036702976337</c:v>
                </c:pt>
                <c:pt idx="578">
                  <c:v>199.1089054685655</c:v>
                </c:pt>
                <c:pt idx="579">
                  <c:v>44.5652603052187</c:v>
                </c:pt>
                <c:pt idx="580">
                  <c:v>104.18029509837301</c:v>
                </c:pt>
                <c:pt idx="581">
                  <c:v>171.30354317168602</c:v>
                </c:pt>
                <c:pt idx="582">
                  <c:v>104.76073571270263</c:v>
                </c:pt>
                <c:pt idx="583">
                  <c:v>104.86770920542324</c:v>
                </c:pt>
                <c:pt idx="584">
                  <c:v>114.43493859394981</c:v>
                </c:pt>
                <c:pt idx="585">
                  <c:v>151.93178204365532</c:v>
                </c:pt>
                <c:pt idx="586">
                  <c:v>189.52997083389965</c:v>
                </c:pt>
                <c:pt idx="587">
                  <c:v>64.937933374724224</c:v>
                </c:pt>
                <c:pt idx="588">
                  <c:v>83.126880667105482</c:v>
                </c:pt>
                <c:pt idx="589">
                  <c:v>69.30472601103088</c:v>
                </c:pt>
                <c:pt idx="590">
                  <c:v>54.736562173851482</c:v>
                </c:pt>
                <c:pt idx="591">
                  <c:v>105.5633608772051</c:v>
                </c:pt>
                <c:pt idx="592">
                  <c:v>102.74428044163758</c:v>
                </c:pt>
                <c:pt idx="593">
                  <c:v>172.65115033582131</c:v>
                </c:pt>
                <c:pt idx="594">
                  <c:v>127.52767422827702</c:v>
                </c:pt>
                <c:pt idx="595">
                  <c:v>23.987302050740908</c:v>
                </c:pt>
                <c:pt idx="596">
                  <c:v>228.92156304120161</c:v>
                </c:pt>
                <c:pt idx="597">
                  <c:v>119.53929249529321</c:v>
                </c:pt>
                <c:pt idx="598">
                  <c:v>24.30250794273762</c:v>
                </c:pt>
                <c:pt idx="599">
                  <c:v>87.073914006705095</c:v>
                </c:pt>
              </c:numCache>
            </c:numRef>
          </c:xVal>
          <c:yVal>
            <c:numRef>
              <c:f>Inverse!$U$3:$U$602</c:f>
              <c:numCache>
                <c:formatCode>0.00000000</c:formatCode>
                <c:ptCount val="600"/>
                <c:pt idx="0">
                  <c:v>2.3944079430293641E-7</c:v>
                </c:pt>
                <c:pt idx="1">
                  <c:v>3.5274709375698876E-8</c:v>
                </c:pt>
                <c:pt idx="2">
                  <c:v>3.4698720696724195E-7</c:v>
                </c:pt>
                <c:pt idx="3">
                  <c:v>4.4162464174490879E-7</c:v>
                </c:pt>
                <c:pt idx="4">
                  <c:v>1.814118455456537E-8</c:v>
                </c:pt>
                <c:pt idx="5">
                  <c:v>2.1634703983863801E-7</c:v>
                </c:pt>
                <c:pt idx="6">
                  <c:v>1.244339387085347E-7</c:v>
                </c:pt>
                <c:pt idx="7">
                  <c:v>2.3975687213351193E-7</c:v>
                </c:pt>
                <c:pt idx="8">
                  <c:v>4.4022476686222944E-7</c:v>
                </c:pt>
                <c:pt idx="9">
                  <c:v>2.442712769834543E-7</c:v>
                </c:pt>
                <c:pt idx="10">
                  <c:v>2.6686569754019729E-7</c:v>
                </c:pt>
                <c:pt idx="11">
                  <c:v>3.6735017339140086E-7</c:v>
                </c:pt>
                <c:pt idx="12">
                  <c:v>3.3908511909430672E-7</c:v>
                </c:pt>
                <c:pt idx="13">
                  <c:v>2.5015731353050796E-7</c:v>
                </c:pt>
                <c:pt idx="14">
                  <c:v>2.8439199972751794E-7</c:v>
                </c:pt>
                <c:pt idx="15">
                  <c:v>4.755794336119834E-7</c:v>
                </c:pt>
                <c:pt idx="16">
                  <c:v>1.06671876665132E-7</c:v>
                </c:pt>
                <c:pt idx="17">
                  <c:v>1.2767692858517421E-7</c:v>
                </c:pt>
                <c:pt idx="18">
                  <c:v>1.0035932973551098E-8</c:v>
                </c:pt>
                <c:pt idx="19">
                  <c:v>3.3904896667991125E-7</c:v>
                </c:pt>
                <c:pt idx="20">
                  <c:v>3.8829111304039543E-7</c:v>
                </c:pt>
                <c:pt idx="21">
                  <c:v>1.7392923723491549E-7</c:v>
                </c:pt>
                <c:pt idx="22">
                  <c:v>2.796463149934425E-8</c:v>
                </c:pt>
                <c:pt idx="23">
                  <c:v>3.7534826446972147E-7</c:v>
                </c:pt>
                <c:pt idx="24">
                  <c:v>2.612921434774762E-8</c:v>
                </c:pt>
                <c:pt idx="25">
                  <c:v>2.4940568721376621E-7</c:v>
                </c:pt>
                <c:pt idx="26">
                  <c:v>1.7669091789684899E-7</c:v>
                </c:pt>
                <c:pt idx="27">
                  <c:v>4.4266607801546343E-7</c:v>
                </c:pt>
                <c:pt idx="28">
                  <c:v>3.5805513221021101E-7</c:v>
                </c:pt>
                <c:pt idx="29">
                  <c:v>1.9567659137464943E-7</c:v>
                </c:pt>
                <c:pt idx="30">
                  <c:v>7.4744924916103628E-8</c:v>
                </c:pt>
                <c:pt idx="31">
                  <c:v>2.1617785250782617E-7</c:v>
                </c:pt>
                <c:pt idx="32">
                  <c:v>2.2655513021163642E-7</c:v>
                </c:pt>
                <c:pt idx="33">
                  <c:v>3.274549058573939E-7</c:v>
                </c:pt>
                <c:pt idx="34">
                  <c:v>4.2208796457998687E-8</c:v>
                </c:pt>
                <c:pt idx="35">
                  <c:v>2.6498634042582125E-7</c:v>
                </c:pt>
                <c:pt idx="36">
                  <c:v>1.7260907725358265E-7</c:v>
                </c:pt>
                <c:pt idx="37">
                  <c:v>4.0869775830287836E-7</c:v>
                </c:pt>
                <c:pt idx="38">
                  <c:v>7.3733289696065185E-8</c:v>
                </c:pt>
                <c:pt idx="39">
                  <c:v>2.6100877903445507E-7</c:v>
                </c:pt>
                <c:pt idx="40">
                  <c:v>4.7351892362712533E-7</c:v>
                </c:pt>
                <c:pt idx="41">
                  <c:v>3.4158159678554512E-7</c:v>
                </c:pt>
                <c:pt idx="42">
                  <c:v>2.9472272444763803E-7</c:v>
                </c:pt>
                <c:pt idx="43">
                  <c:v>3.126502292616351E-7</c:v>
                </c:pt>
                <c:pt idx="44">
                  <c:v>4.4713260649587028E-8</c:v>
                </c:pt>
                <c:pt idx="45">
                  <c:v>1.5487441373807087E-7</c:v>
                </c:pt>
                <c:pt idx="46">
                  <c:v>4.0149456026483676E-7</c:v>
                </c:pt>
                <c:pt idx="47">
                  <c:v>2.7586505346732793E-7</c:v>
                </c:pt>
                <c:pt idx="48">
                  <c:v>4.3375462155381683E-7</c:v>
                </c:pt>
                <c:pt idx="49">
                  <c:v>1.5205517911454081E-7</c:v>
                </c:pt>
                <c:pt idx="50">
                  <c:v>2.9152471370252897E-7</c:v>
                </c:pt>
                <c:pt idx="51">
                  <c:v>4.532984156924158E-7</c:v>
                </c:pt>
                <c:pt idx="52">
                  <c:v>1.1072893357777502E-7</c:v>
                </c:pt>
                <c:pt idx="53">
                  <c:v>1.9609450419011409E-7</c:v>
                </c:pt>
                <c:pt idx="54">
                  <c:v>3.8698033222317463E-8</c:v>
                </c:pt>
                <c:pt idx="55">
                  <c:v>1.485473291040762E-7</c:v>
                </c:pt>
                <c:pt idx="56">
                  <c:v>9.5476707429043017E-8</c:v>
                </c:pt>
                <c:pt idx="57">
                  <c:v>2.9944539647885904E-7</c:v>
                </c:pt>
                <c:pt idx="58">
                  <c:v>9.6845198527262255E-8</c:v>
                </c:pt>
                <c:pt idx="59">
                  <c:v>1.5199299241430708E-7</c:v>
                </c:pt>
                <c:pt idx="60">
                  <c:v>4.9585878009184015E-7</c:v>
                </c:pt>
                <c:pt idx="61">
                  <c:v>1.7503936078355764E-8</c:v>
                </c:pt>
                <c:pt idx="62">
                  <c:v>2.9128938194844523E-7</c:v>
                </c:pt>
                <c:pt idx="63">
                  <c:v>1.435079539646722E-7</c:v>
                </c:pt>
                <c:pt idx="64">
                  <c:v>2.0078573470527772E-7</c:v>
                </c:pt>
                <c:pt idx="65">
                  <c:v>8.3350840895946021E-8</c:v>
                </c:pt>
                <c:pt idx="66">
                  <c:v>3.8419329939642921E-8</c:v>
                </c:pt>
                <c:pt idx="67">
                  <c:v>1.0303142516931985E-7</c:v>
                </c:pt>
                <c:pt idx="68">
                  <c:v>3.9680418240095605E-7</c:v>
                </c:pt>
                <c:pt idx="69">
                  <c:v>1.4446594320816075E-7</c:v>
                </c:pt>
                <c:pt idx="70">
                  <c:v>7.117979095028204E-9</c:v>
                </c:pt>
                <c:pt idx="71">
                  <c:v>2.7199359919904964E-7</c:v>
                </c:pt>
                <c:pt idx="72">
                  <c:v>2.9398739798125462E-7</c:v>
                </c:pt>
                <c:pt idx="73">
                  <c:v>4.444930254976498E-7</c:v>
                </c:pt>
                <c:pt idx="74">
                  <c:v>5.2007424145017467E-8</c:v>
                </c:pt>
                <c:pt idx="75">
                  <c:v>2.1440496311697643E-7</c:v>
                </c:pt>
                <c:pt idx="76">
                  <c:v>2.0803420763826352E-7</c:v>
                </c:pt>
                <c:pt idx="77">
                  <c:v>2.1817422179992718E-7</c:v>
                </c:pt>
                <c:pt idx="78">
                  <c:v>4.2197885630201881E-7</c:v>
                </c:pt>
                <c:pt idx="79">
                  <c:v>1.0765558045022772E-7</c:v>
                </c:pt>
                <c:pt idx="80">
                  <c:v>3.9014870623077513E-7</c:v>
                </c:pt>
                <c:pt idx="81">
                  <c:v>9.9541125564428512E-8</c:v>
                </c:pt>
                <c:pt idx="82">
                  <c:v>1.7566208043717779E-7</c:v>
                </c:pt>
                <c:pt idx="83">
                  <c:v>1.0873475275730016E-7</c:v>
                </c:pt>
                <c:pt idx="84">
                  <c:v>1.1830972823645425E-7</c:v>
                </c:pt>
                <c:pt idx="85">
                  <c:v>2.0229770569812899E-7</c:v>
                </c:pt>
                <c:pt idx="86">
                  <c:v>2.3992907927095075E-7</c:v>
                </c:pt>
                <c:pt idx="87">
                  <c:v>4.6948350984621356E-7</c:v>
                </c:pt>
                <c:pt idx="88">
                  <c:v>3.8156323967086792E-7</c:v>
                </c:pt>
                <c:pt idx="89">
                  <c:v>4.1862816146931436E-7</c:v>
                </c:pt>
                <c:pt idx="90">
                  <c:v>1.1418137546570506E-9</c:v>
                </c:pt>
                <c:pt idx="91">
                  <c:v>4.0599087469672668E-7</c:v>
                </c:pt>
                <c:pt idx="92">
                  <c:v>3.1726432325740461E-7</c:v>
                </c:pt>
                <c:pt idx="93">
                  <c:v>1.6004982228423614E-7</c:v>
                </c:pt>
                <c:pt idx="94">
                  <c:v>3.6777942113985773E-7</c:v>
                </c:pt>
                <c:pt idx="95">
                  <c:v>3.6107510936744802E-7</c:v>
                </c:pt>
                <c:pt idx="96">
                  <c:v>2.5025437366821279E-7</c:v>
                </c:pt>
                <c:pt idx="97">
                  <c:v>2.6867405722441617E-7</c:v>
                </c:pt>
                <c:pt idx="98">
                  <c:v>3.9499508375229198E-7</c:v>
                </c:pt>
                <c:pt idx="99">
                  <c:v>3.8142658098649918E-7</c:v>
                </c:pt>
                <c:pt idx="100">
                  <c:v>2.1642255987330827E-8</c:v>
                </c:pt>
                <c:pt idx="101">
                  <c:v>1.6769135413596814E-7</c:v>
                </c:pt>
                <c:pt idx="102">
                  <c:v>3.3324562309644534E-7</c:v>
                </c:pt>
                <c:pt idx="103">
                  <c:v>2.2398479870844312E-7</c:v>
                </c:pt>
                <c:pt idx="104">
                  <c:v>4.4909586449648486E-7</c:v>
                </c:pt>
                <c:pt idx="105">
                  <c:v>1.9064921730205242E-7</c:v>
                </c:pt>
                <c:pt idx="106">
                  <c:v>3.4198228782145179E-7</c:v>
                </c:pt>
                <c:pt idx="107">
                  <c:v>1.1591157544899033E-7</c:v>
                </c:pt>
                <c:pt idx="108">
                  <c:v>1.446451172171237E-7</c:v>
                </c:pt>
                <c:pt idx="109">
                  <c:v>4.9379093525203643E-7</c:v>
                </c:pt>
                <c:pt idx="110">
                  <c:v>5.8102500588574912E-8</c:v>
                </c:pt>
                <c:pt idx="111">
                  <c:v>4.5777082391396107E-7</c:v>
                </c:pt>
                <c:pt idx="112">
                  <c:v>4.6084514337962901E-7</c:v>
                </c:pt>
                <c:pt idx="113">
                  <c:v>3.5917867080570431E-7</c:v>
                </c:pt>
                <c:pt idx="114">
                  <c:v>6.0650634736703068E-8</c:v>
                </c:pt>
                <c:pt idx="115">
                  <c:v>2.5239222622985835E-7</c:v>
                </c:pt>
                <c:pt idx="116">
                  <c:v>1.385993115832207E-7</c:v>
                </c:pt>
                <c:pt idx="117">
                  <c:v>2.2524895371134335E-7</c:v>
                </c:pt>
                <c:pt idx="118">
                  <c:v>3.56271428358923E-7</c:v>
                </c:pt>
                <c:pt idx="119">
                  <c:v>4.8690503717807587E-7</c:v>
                </c:pt>
                <c:pt idx="120">
                  <c:v>9.5607532557551167E-8</c:v>
                </c:pt>
                <c:pt idx="121">
                  <c:v>3.8148684211591899E-7</c:v>
                </c:pt>
                <c:pt idx="122">
                  <c:v>4.5232033585307363E-7</c:v>
                </c:pt>
                <c:pt idx="123">
                  <c:v>3.9817427932575811E-7</c:v>
                </c:pt>
                <c:pt idx="124">
                  <c:v>1.1395339460928966E-7</c:v>
                </c:pt>
                <c:pt idx="125">
                  <c:v>4.6015941279620165E-8</c:v>
                </c:pt>
                <c:pt idx="126">
                  <c:v>2.8039428912052244E-7</c:v>
                </c:pt>
                <c:pt idx="127">
                  <c:v>8.1297457654727623E-9</c:v>
                </c:pt>
                <c:pt idx="128">
                  <c:v>2.5136392878266633E-7</c:v>
                </c:pt>
                <c:pt idx="129">
                  <c:v>8.1876521562662674E-8</c:v>
                </c:pt>
                <c:pt idx="130">
                  <c:v>3.0054771493759347E-7</c:v>
                </c:pt>
                <c:pt idx="131">
                  <c:v>3.8398985680032638E-7</c:v>
                </c:pt>
                <c:pt idx="132">
                  <c:v>1.5224480875986046E-7</c:v>
                </c:pt>
                <c:pt idx="133">
                  <c:v>3.2617282386127044E-7</c:v>
                </c:pt>
                <c:pt idx="134">
                  <c:v>4.8275586550516891E-7</c:v>
                </c:pt>
                <c:pt idx="135">
                  <c:v>3.7880772651988082E-7</c:v>
                </c:pt>
                <c:pt idx="136">
                  <c:v>2.3616959765604406E-7</c:v>
                </c:pt>
                <c:pt idx="137">
                  <c:v>9.0686569365061587E-9</c:v>
                </c:pt>
                <c:pt idx="138">
                  <c:v>3.0047590371395927E-7</c:v>
                </c:pt>
                <c:pt idx="139">
                  <c:v>7.6725712006009417E-8</c:v>
                </c:pt>
                <c:pt idx="140">
                  <c:v>3.7761620319542999E-7</c:v>
                </c:pt>
                <c:pt idx="141">
                  <c:v>3.2495984214619966E-7</c:v>
                </c:pt>
                <c:pt idx="142">
                  <c:v>2.3187210018704718E-7</c:v>
                </c:pt>
                <c:pt idx="143">
                  <c:v>3.7990599821569049E-7</c:v>
                </c:pt>
                <c:pt idx="144">
                  <c:v>4.3147917949681869E-7</c:v>
                </c:pt>
                <c:pt idx="145">
                  <c:v>4.5009022642261698E-7</c:v>
                </c:pt>
                <c:pt idx="146">
                  <c:v>3.3263509635617083E-7</c:v>
                </c:pt>
                <c:pt idx="147">
                  <c:v>1.9069759105150297E-7</c:v>
                </c:pt>
                <c:pt idx="148">
                  <c:v>3.7745667214039713E-7</c:v>
                </c:pt>
                <c:pt idx="149">
                  <c:v>2.8816168651246699E-7</c:v>
                </c:pt>
                <c:pt idx="150">
                  <c:v>2.2174066316438257E-7</c:v>
                </c:pt>
                <c:pt idx="151">
                  <c:v>7.3764283570199041E-8</c:v>
                </c:pt>
                <c:pt idx="152">
                  <c:v>3.32943358216653E-7</c:v>
                </c:pt>
                <c:pt idx="153">
                  <c:v>3.5030885037201642E-7</c:v>
                </c:pt>
                <c:pt idx="154">
                  <c:v>4.1395489347451075E-7</c:v>
                </c:pt>
                <c:pt idx="155">
                  <c:v>3.2689888485037955E-7</c:v>
                </c:pt>
                <c:pt idx="156">
                  <c:v>3.8973155369603774E-7</c:v>
                </c:pt>
                <c:pt idx="157">
                  <c:v>3.2302477848134004E-7</c:v>
                </c:pt>
                <c:pt idx="158">
                  <c:v>3.4913528246249825E-7</c:v>
                </c:pt>
                <c:pt idx="159">
                  <c:v>3.6971252903583718E-7</c:v>
                </c:pt>
                <c:pt idx="160">
                  <c:v>4.4994999370828737E-7</c:v>
                </c:pt>
                <c:pt idx="161">
                  <c:v>2.6520005746988318E-7</c:v>
                </c:pt>
                <c:pt idx="162">
                  <c:v>1.5488225812987366E-7</c:v>
                </c:pt>
                <c:pt idx="163">
                  <c:v>1.362459016718276E-7</c:v>
                </c:pt>
                <c:pt idx="164">
                  <c:v>3.7070006442263548E-7</c:v>
                </c:pt>
                <c:pt idx="165">
                  <c:v>3.5035213841183577E-7</c:v>
                </c:pt>
                <c:pt idx="166">
                  <c:v>4.5259059788804734E-7</c:v>
                </c:pt>
                <c:pt idx="167">
                  <c:v>2.1174295739001536E-7</c:v>
                </c:pt>
                <c:pt idx="168">
                  <c:v>4.5968565132170625E-7</c:v>
                </c:pt>
                <c:pt idx="169">
                  <c:v>4.4387519437805167E-7</c:v>
                </c:pt>
                <c:pt idx="170">
                  <c:v>2.1540995476243552E-7</c:v>
                </c:pt>
                <c:pt idx="171">
                  <c:v>2.3680501470835225E-7</c:v>
                </c:pt>
                <c:pt idx="172">
                  <c:v>1.2356105472122181E-7</c:v>
                </c:pt>
                <c:pt idx="173">
                  <c:v>4.0102192500057754E-7</c:v>
                </c:pt>
                <c:pt idx="174">
                  <c:v>3.3268307220168936E-7</c:v>
                </c:pt>
                <c:pt idx="175">
                  <c:v>3.2652985737513518E-7</c:v>
                </c:pt>
                <c:pt idx="176">
                  <c:v>2.8061592161066073E-7</c:v>
                </c:pt>
                <c:pt idx="177">
                  <c:v>3.2429386465082644E-7</c:v>
                </c:pt>
                <c:pt idx="178">
                  <c:v>1.8274258195560833E-7</c:v>
                </c:pt>
                <c:pt idx="179">
                  <c:v>4.4360274387145182E-7</c:v>
                </c:pt>
                <c:pt idx="180">
                  <c:v>4.3680647543453688E-7</c:v>
                </c:pt>
                <c:pt idx="181">
                  <c:v>3.8791375445157428E-7</c:v>
                </c:pt>
                <c:pt idx="182">
                  <c:v>2.9982248861415428E-7</c:v>
                </c:pt>
                <c:pt idx="183">
                  <c:v>4.988818318452104E-7</c:v>
                </c:pt>
                <c:pt idx="184">
                  <c:v>4.1359749047842342E-7</c:v>
                </c:pt>
                <c:pt idx="185">
                  <c:v>2.0717914139822824E-7</c:v>
                </c:pt>
                <c:pt idx="186">
                  <c:v>2.237792102732783E-7</c:v>
                </c:pt>
                <c:pt idx="187">
                  <c:v>5.0187566102977144E-8</c:v>
                </c:pt>
                <c:pt idx="188">
                  <c:v>1.3360896389258414E-8</c:v>
                </c:pt>
                <c:pt idx="189">
                  <c:v>3.8359036125257262E-7</c:v>
                </c:pt>
                <c:pt idx="190">
                  <c:v>1.8186454653346118E-7</c:v>
                </c:pt>
                <c:pt idx="191">
                  <c:v>9.2446043709060177E-8</c:v>
                </c:pt>
                <c:pt idx="192">
                  <c:v>1.9551224283986812E-7</c:v>
                </c:pt>
                <c:pt idx="193">
                  <c:v>1.0291699936715304E-7</c:v>
                </c:pt>
                <c:pt idx="194">
                  <c:v>3.7390834251027627E-7</c:v>
                </c:pt>
                <c:pt idx="195">
                  <c:v>1.8080891450722447E-8</c:v>
                </c:pt>
                <c:pt idx="196">
                  <c:v>3.8513701383635635E-7</c:v>
                </c:pt>
                <c:pt idx="197">
                  <c:v>4.0931976741376275E-7</c:v>
                </c:pt>
                <c:pt idx="198">
                  <c:v>3.6453045026973996E-7</c:v>
                </c:pt>
                <c:pt idx="199">
                  <c:v>4.1359749047842342E-7</c:v>
                </c:pt>
                <c:pt idx="200">
                  <c:v>4.786979701520977E-7</c:v>
                </c:pt>
                <c:pt idx="201">
                  <c:v>1.3069836768409004E-8</c:v>
                </c:pt>
                <c:pt idx="202">
                  <c:v>2.11427220619953E-7</c:v>
                </c:pt>
                <c:pt idx="203">
                  <c:v>3.1015827062219614E-7</c:v>
                </c:pt>
                <c:pt idx="204">
                  <c:v>4.0961330682875996E-7</c:v>
                </c:pt>
                <c:pt idx="205">
                  <c:v>4.6490541194543766E-7</c:v>
                </c:pt>
                <c:pt idx="206">
                  <c:v>4.9702620685820875E-8</c:v>
                </c:pt>
                <c:pt idx="207">
                  <c:v>2.3230015244735114E-7</c:v>
                </c:pt>
                <c:pt idx="208">
                  <c:v>1.6775484112940831E-7</c:v>
                </c:pt>
                <c:pt idx="209">
                  <c:v>3.2158371254809026E-7</c:v>
                </c:pt>
                <c:pt idx="210">
                  <c:v>3.0711703402630519E-8</c:v>
                </c:pt>
                <c:pt idx="211">
                  <c:v>2.3027723727864213E-7</c:v>
                </c:pt>
                <c:pt idx="212">
                  <c:v>2.8330171630841505E-7</c:v>
                </c:pt>
                <c:pt idx="213">
                  <c:v>2.2946022681935574E-7</c:v>
                </c:pt>
                <c:pt idx="214">
                  <c:v>9.5209060191336903E-8</c:v>
                </c:pt>
                <c:pt idx="215">
                  <c:v>2.8120103934270446E-7</c:v>
                </c:pt>
                <c:pt idx="216">
                  <c:v>4.7173867301353312E-7</c:v>
                </c:pt>
                <c:pt idx="217">
                  <c:v>1.0695316632336471E-8</c:v>
                </c:pt>
                <c:pt idx="218">
                  <c:v>5.9180251810175832E-8</c:v>
                </c:pt>
                <c:pt idx="219">
                  <c:v>6.172710698137962E-8</c:v>
                </c:pt>
                <c:pt idx="220">
                  <c:v>3.7022664400865324E-7</c:v>
                </c:pt>
                <c:pt idx="221">
                  <c:v>2.4569931156293023E-7</c:v>
                </c:pt>
                <c:pt idx="222">
                  <c:v>1.1093643159654221E-7</c:v>
                </c:pt>
                <c:pt idx="223">
                  <c:v>3.5926313302070412E-7</c:v>
                </c:pt>
                <c:pt idx="224">
                  <c:v>2.1949895057105095E-7</c:v>
                </c:pt>
                <c:pt idx="225">
                  <c:v>6.3634502112108748E-9</c:v>
                </c:pt>
                <c:pt idx="226">
                  <c:v>4.5660056002816418E-7</c:v>
                </c:pt>
                <c:pt idx="227">
                  <c:v>8.6841822621863685E-8</c:v>
                </c:pt>
                <c:pt idx="228">
                  <c:v>2.1148751727650961E-7</c:v>
                </c:pt>
                <c:pt idx="229">
                  <c:v>2.2689391698804684E-8</c:v>
                </c:pt>
                <c:pt idx="230">
                  <c:v>3.5115849073008576E-7</c:v>
                </c:pt>
                <c:pt idx="231">
                  <c:v>3.4736171983240638E-7</c:v>
                </c:pt>
                <c:pt idx="232">
                  <c:v>2.191426915487682E-7</c:v>
                </c:pt>
                <c:pt idx="233">
                  <c:v>1.8603664031502376E-7</c:v>
                </c:pt>
                <c:pt idx="234">
                  <c:v>3.8829774950954743E-7</c:v>
                </c:pt>
                <c:pt idx="235">
                  <c:v>2.3636897594769835E-7</c:v>
                </c:pt>
                <c:pt idx="236">
                  <c:v>5.1339412721063127E-8</c:v>
                </c:pt>
                <c:pt idx="237">
                  <c:v>4.6039932755093105E-8</c:v>
                </c:pt>
                <c:pt idx="238">
                  <c:v>3.1875623873744985E-7</c:v>
                </c:pt>
                <c:pt idx="239">
                  <c:v>4.5067824316902261E-7</c:v>
                </c:pt>
                <c:pt idx="240">
                  <c:v>7.0924727424426237E-8</c:v>
                </c:pt>
                <c:pt idx="241">
                  <c:v>2.2141929889585299E-7</c:v>
                </c:pt>
                <c:pt idx="242">
                  <c:v>2.8189304304704343E-7</c:v>
                </c:pt>
                <c:pt idx="243">
                  <c:v>4.0966383352269986E-7</c:v>
                </c:pt>
                <c:pt idx="244">
                  <c:v>2.2001980415353728E-7</c:v>
                </c:pt>
                <c:pt idx="245">
                  <c:v>3.4764360634653713E-7</c:v>
                </c:pt>
                <c:pt idx="246">
                  <c:v>4.0483033103555499E-7</c:v>
                </c:pt>
                <c:pt idx="247">
                  <c:v>4.9135176283243709E-7</c:v>
                </c:pt>
                <c:pt idx="248">
                  <c:v>3.3534152521497163E-7</c:v>
                </c:pt>
                <c:pt idx="249">
                  <c:v>4.2843817027460318E-7</c:v>
                </c:pt>
                <c:pt idx="250">
                  <c:v>5.4053543863119557E-9</c:v>
                </c:pt>
                <c:pt idx="251">
                  <c:v>2.8804547014260606E-7</c:v>
                </c:pt>
                <c:pt idx="252">
                  <c:v>2.9256935363264347E-7</c:v>
                </c:pt>
                <c:pt idx="253">
                  <c:v>1.6153947512975719E-7</c:v>
                </c:pt>
                <c:pt idx="254">
                  <c:v>2.6518691242927162E-7</c:v>
                </c:pt>
                <c:pt idx="255">
                  <c:v>5.6293941952390014E-8</c:v>
                </c:pt>
                <c:pt idx="256">
                  <c:v>1.7449648481715485E-7</c:v>
                </c:pt>
                <c:pt idx="257">
                  <c:v>1.9596996025939006E-8</c:v>
                </c:pt>
                <c:pt idx="258">
                  <c:v>1.1736770488823822E-7</c:v>
                </c:pt>
                <c:pt idx="259">
                  <c:v>2.0566869807225885E-7</c:v>
                </c:pt>
                <c:pt idx="260">
                  <c:v>3.2496458857167454E-7</c:v>
                </c:pt>
                <c:pt idx="261">
                  <c:v>5.6306362239411101E-8</c:v>
                </c:pt>
                <c:pt idx="262">
                  <c:v>3.5649350138555747E-7</c:v>
                </c:pt>
                <c:pt idx="263">
                  <c:v>4.0226630915185524E-7</c:v>
                </c:pt>
                <c:pt idx="264">
                  <c:v>2.9061016704190479E-7</c:v>
                </c:pt>
                <c:pt idx="265">
                  <c:v>1.0710289188864408E-7</c:v>
                </c:pt>
                <c:pt idx="266">
                  <c:v>7.1242496346712869E-8</c:v>
                </c:pt>
                <c:pt idx="267">
                  <c:v>2.3614263255922197E-7</c:v>
                </c:pt>
                <c:pt idx="268">
                  <c:v>1.401739382345113E-7</c:v>
                </c:pt>
                <c:pt idx="269">
                  <c:v>2.3037364371703006E-7</c:v>
                </c:pt>
                <c:pt idx="270">
                  <c:v>1.4184949748141662E-7</c:v>
                </c:pt>
                <c:pt idx="271">
                  <c:v>3.4012467153843318E-7</c:v>
                </c:pt>
                <c:pt idx="272">
                  <c:v>3.6715647411256214E-7</c:v>
                </c:pt>
                <c:pt idx="273">
                  <c:v>1.479717752772558E-7</c:v>
                </c:pt>
                <c:pt idx="274">
                  <c:v>4.7055840468601673E-7</c:v>
                </c:pt>
                <c:pt idx="275">
                  <c:v>2.6397705710223818E-7</c:v>
                </c:pt>
                <c:pt idx="276">
                  <c:v>3.5301962952871691E-7</c:v>
                </c:pt>
                <c:pt idx="277">
                  <c:v>1.896031562864664E-7</c:v>
                </c:pt>
                <c:pt idx="278">
                  <c:v>3.7866306001888006E-7</c:v>
                </c:pt>
                <c:pt idx="279">
                  <c:v>4.915940223781945E-7</c:v>
                </c:pt>
                <c:pt idx="280">
                  <c:v>3.7459454915733659E-7</c:v>
                </c:pt>
                <c:pt idx="281">
                  <c:v>3.1797974386904571E-7</c:v>
                </c:pt>
                <c:pt idx="282">
                  <c:v>3.1089064123079879E-7</c:v>
                </c:pt>
                <c:pt idx="283">
                  <c:v>3.3098430129996359E-7</c:v>
                </c:pt>
                <c:pt idx="284">
                  <c:v>9.8784767033066601E-8</c:v>
                </c:pt>
                <c:pt idx="285">
                  <c:v>1.0541181438838976E-7</c:v>
                </c:pt>
                <c:pt idx="286">
                  <c:v>2.6927779117613682E-7</c:v>
                </c:pt>
                <c:pt idx="287">
                  <c:v>1.587358298138497E-7</c:v>
                </c:pt>
                <c:pt idx="288">
                  <c:v>2.344845597690437E-7</c:v>
                </c:pt>
                <c:pt idx="289">
                  <c:v>8.4291301050143375E-8</c:v>
                </c:pt>
                <c:pt idx="290">
                  <c:v>1.6127430058077152E-7</c:v>
                </c:pt>
                <c:pt idx="291">
                  <c:v>1.6375406630686484E-7</c:v>
                </c:pt>
                <c:pt idx="292">
                  <c:v>1.6893835663722712E-8</c:v>
                </c:pt>
                <c:pt idx="293">
                  <c:v>1.1575536973396083E-8</c:v>
                </c:pt>
                <c:pt idx="294">
                  <c:v>3.3326000448141713E-7</c:v>
                </c:pt>
                <c:pt idx="295">
                  <c:v>3.9898174009067588E-7</c:v>
                </c:pt>
                <c:pt idx="296">
                  <c:v>2.7859437068400439E-7</c:v>
                </c:pt>
                <c:pt idx="297">
                  <c:v>2.357047605983098E-7</c:v>
                </c:pt>
                <c:pt idx="298">
                  <c:v>3.3357660811361711E-7</c:v>
                </c:pt>
                <c:pt idx="299">
                  <c:v>4.5967888695486181E-7</c:v>
                </c:pt>
                <c:pt idx="300">
                  <c:v>1.3827215639139467E-7</c:v>
                </c:pt>
                <c:pt idx="301">
                  <c:v>1.6559428672735521E-7</c:v>
                </c:pt>
                <c:pt idx="302">
                  <c:v>4.3978647568110318E-7</c:v>
                </c:pt>
                <c:pt idx="303">
                  <c:v>3.6412677673069993E-7</c:v>
                </c:pt>
                <c:pt idx="304">
                  <c:v>2.1350672341213794E-8</c:v>
                </c:pt>
                <c:pt idx="305">
                  <c:v>4.072711519143013E-7</c:v>
                </c:pt>
                <c:pt idx="306">
                  <c:v>1.9883236745954491E-7</c:v>
                </c:pt>
                <c:pt idx="307">
                  <c:v>1.2951176131537068E-8</c:v>
                </c:pt>
                <c:pt idx="308">
                  <c:v>2.275061774525966E-7</c:v>
                </c:pt>
                <c:pt idx="309">
                  <c:v>4.2164317903825577E-7</c:v>
                </c:pt>
                <c:pt idx="310">
                  <c:v>1.8574149862615741E-7</c:v>
                </c:pt>
                <c:pt idx="311">
                  <c:v>2.8136906848885701E-7</c:v>
                </c:pt>
                <c:pt idx="312">
                  <c:v>2.728811523411423E-7</c:v>
                </c:pt>
                <c:pt idx="313">
                  <c:v>4.9272796331933932E-7</c:v>
                </c:pt>
                <c:pt idx="314">
                  <c:v>8.6440593349834671E-8</c:v>
                </c:pt>
                <c:pt idx="315">
                  <c:v>3.8248867717527446E-7</c:v>
                </c:pt>
                <c:pt idx="316">
                  <c:v>1.8012954683399585E-7</c:v>
                </c:pt>
                <c:pt idx="317">
                  <c:v>1.29636390511223E-7</c:v>
                </c:pt>
                <c:pt idx="318">
                  <c:v>4.8957014087136486E-7</c:v>
                </c:pt>
                <c:pt idx="319">
                  <c:v>1.678188255027635E-7</c:v>
                </c:pt>
                <c:pt idx="320">
                  <c:v>1.2010139016638277E-7</c:v>
                </c:pt>
                <c:pt idx="321">
                  <c:v>1.9056699329667026E-8</c:v>
                </c:pt>
                <c:pt idx="322">
                  <c:v>1.7654997463978361E-7</c:v>
                </c:pt>
                <c:pt idx="323">
                  <c:v>4.5039189444651129E-7</c:v>
                </c:pt>
                <c:pt idx="324">
                  <c:v>1.699262384136091E-7</c:v>
                </c:pt>
                <c:pt idx="325">
                  <c:v>4.9495616849526414E-7</c:v>
                </c:pt>
                <c:pt idx="326">
                  <c:v>4.2322486137891246E-7</c:v>
                </c:pt>
                <c:pt idx="327">
                  <c:v>4.9620888376011862E-7</c:v>
                </c:pt>
                <c:pt idx="328">
                  <c:v>1.5161029409682669E-7</c:v>
                </c:pt>
                <c:pt idx="329">
                  <c:v>2.2347852279835934E-7</c:v>
                </c:pt>
                <c:pt idx="330">
                  <c:v>2.2870074189995648E-7</c:v>
                </c:pt>
                <c:pt idx="331">
                  <c:v>1.1835209079436027E-7</c:v>
                </c:pt>
                <c:pt idx="332">
                  <c:v>2.635344458212785E-7</c:v>
                </c:pt>
                <c:pt idx="333">
                  <c:v>1.671745621933951E-7</c:v>
                </c:pt>
                <c:pt idx="334">
                  <c:v>9.1222595699491649E-8</c:v>
                </c:pt>
                <c:pt idx="335">
                  <c:v>2.7784818712461856E-7</c:v>
                </c:pt>
                <c:pt idx="336">
                  <c:v>4.3263753468636423E-7</c:v>
                </c:pt>
                <c:pt idx="337">
                  <c:v>2.6715417789091589E-7</c:v>
                </c:pt>
                <c:pt idx="338">
                  <c:v>1.9115023519589158E-7</c:v>
                </c:pt>
                <c:pt idx="339">
                  <c:v>3.1614604267815594E-7</c:v>
                </c:pt>
                <c:pt idx="340">
                  <c:v>3.1698732527729589E-9</c:v>
                </c:pt>
                <c:pt idx="341">
                  <c:v>3.8483619846374495E-8</c:v>
                </c:pt>
                <c:pt idx="342">
                  <c:v>1.8618817421156564E-7</c:v>
                </c:pt>
                <c:pt idx="343">
                  <c:v>1.5534084241153323E-7</c:v>
                </c:pt>
                <c:pt idx="344">
                  <c:v>4.2843331016229058E-7</c:v>
                </c:pt>
                <c:pt idx="345">
                  <c:v>4.8207539293798618E-8</c:v>
                </c:pt>
                <c:pt idx="346">
                  <c:v>1.0525997140575782E-7</c:v>
                </c:pt>
                <c:pt idx="347">
                  <c:v>4.9058165529913822E-7</c:v>
                </c:pt>
                <c:pt idx="348">
                  <c:v>1.0342813538954942E-7</c:v>
                </c:pt>
                <c:pt idx="349">
                  <c:v>1.3995361314300681E-8</c:v>
                </c:pt>
                <c:pt idx="350">
                  <c:v>4.3479843725435785E-7</c:v>
                </c:pt>
                <c:pt idx="351">
                  <c:v>9.7728417358666775E-8</c:v>
                </c:pt>
                <c:pt idx="352">
                  <c:v>4.6763710770392208E-7</c:v>
                </c:pt>
                <c:pt idx="353">
                  <c:v>1.5548323517577955E-7</c:v>
                </c:pt>
                <c:pt idx="354">
                  <c:v>6.8652155960080563E-8</c:v>
                </c:pt>
                <c:pt idx="355">
                  <c:v>3.1818856882637192E-7</c:v>
                </c:pt>
                <c:pt idx="356">
                  <c:v>4.3607442989923584E-7</c:v>
                </c:pt>
                <c:pt idx="357">
                  <c:v>1.3401404430624098E-8</c:v>
                </c:pt>
                <c:pt idx="358">
                  <c:v>3.56230337672514E-7</c:v>
                </c:pt>
                <c:pt idx="359">
                  <c:v>1.552311630348413E-7</c:v>
                </c:pt>
                <c:pt idx="360">
                  <c:v>7.4438759156691958E-8</c:v>
                </c:pt>
                <c:pt idx="361">
                  <c:v>4.3184986964206473E-7</c:v>
                </c:pt>
                <c:pt idx="362">
                  <c:v>2.4837191858750884E-7</c:v>
                </c:pt>
                <c:pt idx="363">
                  <c:v>1.2769789492494965E-7</c:v>
                </c:pt>
                <c:pt idx="364">
                  <c:v>4.133008530970983E-7</c:v>
                </c:pt>
                <c:pt idx="365">
                  <c:v>1.9301703702012674E-7</c:v>
                </c:pt>
                <c:pt idx="366">
                  <c:v>1.9754035918140289E-7</c:v>
                </c:pt>
                <c:pt idx="367">
                  <c:v>4.8584280420982395E-7</c:v>
                </c:pt>
                <c:pt idx="368">
                  <c:v>2.7482394671096699E-7</c:v>
                </c:pt>
                <c:pt idx="369">
                  <c:v>2.6060034985508906E-7</c:v>
                </c:pt>
                <c:pt idx="370">
                  <c:v>1.061912939803733E-7</c:v>
                </c:pt>
                <c:pt idx="371">
                  <c:v>3.0223714020394254E-7</c:v>
                </c:pt>
                <c:pt idx="372">
                  <c:v>2.7352325560059398E-7</c:v>
                </c:pt>
                <c:pt idx="373">
                  <c:v>9.4008054674077357E-9</c:v>
                </c:pt>
                <c:pt idx="374">
                  <c:v>2.9502195797448394E-8</c:v>
                </c:pt>
                <c:pt idx="375">
                  <c:v>3.1879642392595997E-7</c:v>
                </c:pt>
                <c:pt idx="376">
                  <c:v>1.134387161982886E-7</c:v>
                </c:pt>
                <c:pt idx="377">
                  <c:v>4.6174071943738682E-7</c:v>
                </c:pt>
                <c:pt idx="378">
                  <c:v>4.1055094257558267E-7</c:v>
                </c:pt>
                <c:pt idx="379">
                  <c:v>1.5993461488506E-7</c:v>
                </c:pt>
                <c:pt idx="380">
                  <c:v>1.8031505533144809E-7</c:v>
                </c:pt>
                <c:pt idx="381">
                  <c:v>5.2813589945799322E-8</c:v>
                </c:pt>
                <c:pt idx="382">
                  <c:v>1.0069851441585342E-7</c:v>
                </c:pt>
                <c:pt idx="383">
                  <c:v>2.8667159313044976E-8</c:v>
                </c:pt>
                <c:pt idx="384">
                  <c:v>4.8317042455892079E-7</c:v>
                </c:pt>
                <c:pt idx="385">
                  <c:v>4.4532271203934215E-8</c:v>
                </c:pt>
                <c:pt idx="386">
                  <c:v>4.8471810032424401E-7</c:v>
                </c:pt>
                <c:pt idx="387">
                  <c:v>3.3613085292927281E-7</c:v>
                </c:pt>
                <c:pt idx="388">
                  <c:v>8.0115114542422816E-10</c:v>
                </c:pt>
                <c:pt idx="389">
                  <c:v>3.6447821116780688E-7</c:v>
                </c:pt>
                <c:pt idx="390">
                  <c:v>3.7857034840271808E-8</c:v>
                </c:pt>
                <c:pt idx="391">
                  <c:v>4.8244859129908946E-7</c:v>
                </c:pt>
                <c:pt idx="392">
                  <c:v>1.7489866777076202E-7</c:v>
                </c:pt>
                <c:pt idx="393">
                  <c:v>4.1688457486088737E-7</c:v>
                </c:pt>
                <c:pt idx="394">
                  <c:v>1.1990022130703437E-7</c:v>
                </c:pt>
                <c:pt idx="395">
                  <c:v>2.6233237804262899E-7</c:v>
                </c:pt>
                <c:pt idx="396">
                  <c:v>4.9830248372018104E-7</c:v>
                </c:pt>
                <c:pt idx="397">
                  <c:v>3.2365522883992526E-7</c:v>
                </c:pt>
                <c:pt idx="398">
                  <c:v>1.83823090083024E-8</c:v>
                </c:pt>
                <c:pt idx="399">
                  <c:v>3.065545683966775E-8</c:v>
                </c:pt>
                <c:pt idx="400">
                  <c:v>3.9692139353064704E-7</c:v>
                </c:pt>
                <c:pt idx="401">
                  <c:v>4.3765399482253997E-7</c:v>
                </c:pt>
                <c:pt idx="402">
                  <c:v>1.4857744190521771E-7</c:v>
                </c:pt>
                <c:pt idx="403">
                  <c:v>3.0340632406478107E-7</c:v>
                </c:pt>
                <c:pt idx="404">
                  <c:v>9.9859789770562202E-8</c:v>
                </c:pt>
                <c:pt idx="405">
                  <c:v>3.2327162102774309E-7</c:v>
                </c:pt>
                <c:pt idx="406">
                  <c:v>1.7654588191362564E-7</c:v>
                </c:pt>
                <c:pt idx="407">
                  <c:v>4.687197190378356E-7</c:v>
                </c:pt>
                <c:pt idx="408">
                  <c:v>1.9811733409369481E-7</c:v>
                </c:pt>
                <c:pt idx="409">
                  <c:v>1.4535201131593567E-7</c:v>
                </c:pt>
                <c:pt idx="410">
                  <c:v>3.8325072182487929E-7</c:v>
                </c:pt>
                <c:pt idx="411">
                  <c:v>9.7817377309183939E-8</c:v>
                </c:pt>
                <c:pt idx="412">
                  <c:v>1.5486577353840403E-7</c:v>
                </c:pt>
                <c:pt idx="413">
                  <c:v>5.6205806231446331E-8</c:v>
                </c:pt>
                <c:pt idx="414">
                  <c:v>1.2606298582795716E-7</c:v>
                </c:pt>
                <c:pt idx="415">
                  <c:v>3.0648756421669532E-7</c:v>
                </c:pt>
                <c:pt idx="416">
                  <c:v>3.1428942293132422E-7</c:v>
                </c:pt>
                <c:pt idx="417">
                  <c:v>2.0738593775604386E-7</c:v>
                </c:pt>
                <c:pt idx="418">
                  <c:v>2.5976129336413578E-7</c:v>
                </c:pt>
                <c:pt idx="419">
                  <c:v>3.9320514133578399E-7</c:v>
                </c:pt>
                <c:pt idx="420">
                  <c:v>9.9364598327156273E-8</c:v>
                </c:pt>
                <c:pt idx="421">
                  <c:v>2.3492592049478844E-7</c:v>
                </c:pt>
                <c:pt idx="422">
                  <c:v>3.1914711939862173E-7</c:v>
                </c:pt>
                <c:pt idx="423">
                  <c:v>1.0494289881535224E-8</c:v>
                </c:pt>
                <c:pt idx="424">
                  <c:v>4.5807627202520962E-7</c:v>
                </c:pt>
                <c:pt idx="425">
                  <c:v>2.9404364454421739E-7</c:v>
                </c:pt>
                <c:pt idx="426">
                  <c:v>2.919713892879372E-7</c:v>
                </c:pt>
                <c:pt idx="427">
                  <c:v>2.9644098731296253E-8</c:v>
                </c:pt>
                <c:pt idx="428">
                  <c:v>1.8976199811504557E-7</c:v>
                </c:pt>
                <c:pt idx="429">
                  <c:v>1.0097610925186018E-7</c:v>
                </c:pt>
                <c:pt idx="430">
                  <c:v>2.7146978709424729E-7</c:v>
                </c:pt>
                <c:pt idx="431">
                  <c:v>1.0089474145047461E-7</c:v>
                </c:pt>
                <c:pt idx="432">
                  <c:v>9.000086720334366E-8</c:v>
                </c:pt>
                <c:pt idx="433">
                  <c:v>4.4656803765974473E-7</c:v>
                </c:pt>
                <c:pt idx="434">
                  <c:v>2.6525964358370402E-7</c:v>
                </c:pt>
                <c:pt idx="435">
                  <c:v>1.6925297074976697E-7</c:v>
                </c:pt>
                <c:pt idx="436">
                  <c:v>5.0587872379992405E-7</c:v>
                </c:pt>
                <c:pt idx="437">
                  <c:v>4.8480519865279348E-7</c:v>
                </c:pt>
                <c:pt idx="438">
                  <c:v>2.867876389700541E-7</c:v>
                </c:pt>
                <c:pt idx="439">
                  <c:v>1.3441695045912638E-7</c:v>
                </c:pt>
                <c:pt idx="440">
                  <c:v>2.0072019424333121E-7</c:v>
                </c:pt>
                <c:pt idx="441">
                  <c:v>3.4910266322185635E-7</c:v>
                </c:pt>
                <c:pt idx="442">
                  <c:v>4.7088002474993118E-7</c:v>
                </c:pt>
                <c:pt idx="443">
                  <c:v>1.3170108426052707E-7</c:v>
                </c:pt>
                <c:pt idx="444">
                  <c:v>2.7936550850427011E-7</c:v>
                </c:pt>
                <c:pt idx="445">
                  <c:v>2.7869998575624777E-7</c:v>
                </c:pt>
                <c:pt idx="446">
                  <c:v>7.0482570890817442E-8</c:v>
                </c:pt>
                <c:pt idx="447">
                  <c:v>4.8165938437705336E-7</c:v>
                </c:pt>
                <c:pt idx="448">
                  <c:v>1.9711931198429511E-8</c:v>
                </c:pt>
                <c:pt idx="449">
                  <c:v>9.2559673703362932E-8</c:v>
                </c:pt>
                <c:pt idx="450">
                  <c:v>2.3180848529591458E-7</c:v>
                </c:pt>
                <c:pt idx="451">
                  <c:v>4.9909789368030033E-7</c:v>
                </c:pt>
                <c:pt idx="452">
                  <c:v>2.3014246153252316E-7</c:v>
                </c:pt>
                <c:pt idx="453">
                  <c:v>1.2709324437309988E-7</c:v>
                </c:pt>
                <c:pt idx="454">
                  <c:v>1.3363506923269597E-7</c:v>
                </c:pt>
                <c:pt idx="455">
                  <c:v>9.5872479732861393E-8</c:v>
                </c:pt>
                <c:pt idx="456">
                  <c:v>1.7026410148446303E-7</c:v>
                </c:pt>
                <c:pt idx="457">
                  <c:v>3.6572818373770133E-7</c:v>
                </c:pt>
                <c:pt idx="458">
                  <c:v>3.5177514234874252E-8</c:v>
                </c:pt>
                <c:pt idx="459">
                  <c:v>9.3766104214410007E-8</c:v>
                </c:pt>
                <c:pt idx="460">
                  <c:v>5.3728840043731907E-7</c:v>
                </c:pt>
                <c:pt idx="461">
                  <c:v>3.7531893326558929E-7</c:v>
                </c:pt>
                <c:pt idx="462">
                  <c:v>1.9178600041414029E-7</c:v>
                </c:pt>
                <c:pt idx="463">
                  <c:v>2.6409372821944999E-7</c:v>
                </c:pt>
                <c:pt idx="464">
                  <c:v>4.874419232692162E-7</c:v>
                </c:pt>
                <c:pt idx="465">
                  <c:v>4.5610323695655097E-7</c:v>
                </c:pt>
                <c:pt idx="466">
                  <c:v>2.6652509177438333E-7</c:v>
                </c:pt>
                <c:pt idx="467">
                  <c:v>3.8694849990861258E-8</c:v>
                </c:pt>
                <c:pt idx="468">
                  <c:v>2.4014728694510268E-7</c:v>
                </c:pt>
                <c:pt idx="469">
                  <c:v>6.9082389586583304E-8</c:v>
                </c:pt>
                <c:pt idx="470">
                  <c:v>3.0121299232632737E-7</c:v>
                </c:pt>
                <c:pt idx="471">
                  <c:v>1.0063547506433679E-7</c:v>
                </c:pt>
                <c:pt idx="472">
                  <c:v>2.5370263756485656E-7</c:v>
                </c:pt>
                <c:pt idx="473">
                  <c:v>1.2475913990783738E-7</c:v>
                </c:pt>
                <c:pt idx="474">
                  <c:v>2.2609923178151803E-7</c:v>
                </c:pt>
                <c:pt idx="475">
                  <c:v>1.9369772985555755E-7</c:v>
                </c:pt>
                <c:pt idx="476">
                  <c:v>1.1067510286011384E-7</c:v>
                </c:pt>
                <c:pt idx="477">
                  <c:v>1.8236858068121364E-7</c:v>
                </c:pt>
                <c:pt idx="478">
                  <c:v>3.3039222557817993E-7</c:v>
                </c:pt>
                <c:pt idx="479">
                  <c:v>4.2494716012697609E-7</c:v>
                </c:pt>
                <c:pt idx="480">
                  <c:v>7.2078059742963774E-8</c:v>
                </c:pt>
                <c:pt idx="481">
                  <c:v>2.9101980203449784E-7</c:v>
                </c:pt>
                <c:pt idx="482">
                  <c:v>1.5376031115010846E-8</c:v>
                </c:pt>
                <c:pt idx="483">
                  <c:v>2.7257021883997368E-7</c:v>
                </c:pt>
                <c:pt idx="484">
                  <c:v>1.890913523538984E-7</c:v>
                </c:pt>
                <c:pt idx="485">
                  <c:v>3.8860724771438981E-7</c:v>
                </c:pt>
                <c:pt idx="486">
                  <c:v>2.5983013074437622E-7</c:v>
                </c:pt>
                <c:pt idx="487">
                  <c:v>1.1168276348172412E-7</c:v>
                </c:pt>
                <c:pt idx="488">
                  <c:v>1.6781939393695211E-7</c:v>
                </c:pt>
                <c:pt idx="489">
                  <c:v>1.1061550253543828E-7</c:v>
                </c:pt>
                <c:pt idx="490">
                  <c:v>3.9921446415291939E-7</c:v>
                </c:pt>
                <c:pt idx="491">
                  <c:v>8.2129361089755548E-9</c:v>
                </c:pt>
                <c:pt idx="492">
                  <c:v>2.9040992899354023E-7</c:v>
                </c:pt>
                <c:pt idx="493">
                  <c:v>3.9139848695413093E-7</c:v>
                </c:pt>
                <c:pt idx="494">
                  <c:v>1.237463038705755E-7</c:v>
                </c:pt>
                <c:pt idx="495">
                  <c:v>4.7661674784649222E-7</c:v>
                </c:pt>
                <c:pt idx="496">
                  <c:v>2.4014849486775347E-7</c:v>
                </c:pt>
                <c:pt idx="497">
                  <c:v>2.8812513619413949E-7</c:v>
                </c:pt>
                <c:pt idx="498">
                  <c:v>2.8455952616468494E-7</c:v>
                </c:pt>
                <c:pt idx="499">
                  <c:v>1.3999328984937165E-7</c:v>
                </c:pt>
                <c:pt idx="500">
                  <c:v>7.6526535508492088E-7</c:v>
                </c:pt>
                <c:pt idx="501">
                  <c:v>6.6802783749153605E-8</c:v>
                </c:pt>
                <c:pt idx="502">
                  <c:v>9.6650430236877583E-7</c:v>
                </c:pt>
                <c:pt idx="503">
                  <c:v>2.4658004349475959E-7</c:v>
                </c:pt>
                <c:pt idx="504">
                  <c:v>4.2336955630162265E-7</c:v>
                </c:pt>
                <c:pt idx="505">
                  <c:v>1.4166607797960751E-7</c:v>
                </c:pt>
                <c:pt idx="506">
                  <c:v>2.542122388149437E-7</c:v>
                </c:pt>
                <c:pt idx="507">
                  <c:v>4.6233628836489515E-7</c:v>
                </c:pt>
                <c:pt idx="508">
                  <c:v>4.2896337504316762E-7</c:v>
                </c:pt>
                <c:pt idx="509">
                  <c:v>9.8935046821679862E-8</c:v>
                </c:pt>
                <c:pt idx="510">
                  <c:v>2.8827273013121157E-8</c:v>
                </c:pt>
                <c:pt idx="511">
                  <c:v>2.713520075303677E-8</c:v>
                </c:pt>
                <c:pt idx="512">
                  <c:v>9.1552294634311693E-8</c:v>
                </c:pt>
                <c:pt idx="513">
                  <c:v>3.5149401522716062E-7</c:v>
                </c:pt>
                <c:pt idx="514">
                  <c:v>2.1336989597386946E-7</c:v>
                </c:pt>
                <c:pt idx="515">
                  <c:v>3.5165891176802688E-7</c:v>
                </c:pt>
                <c:pt idx="516">
                  <c:v>3.1652320586772476E-7</c:v>
                </c:pt>
                <c:pt idx="517">
                  <c:v>6.9836880811635638E-7</c:v>
                </c:pt>
                <c:pt idx="518">
                  <c:v>4.6495148353642435E-7</c:v>
                </c:pt>
                <c:pt idx="519">
                  <c:v>1.3580006452684756E-7</c:v>
                </c:pt>
                <c:pt idx="520">
                  <c:v>5.0573200383041694E-7</c:v>
                </c:pt>
                <c:pt idx="521">
                  <c:v>2.0061060013176757E-7</c:v>
                </c:pt>
                <c:pt idx="522">
                  <c:v>1.2220837106724503E-6</c:v>
                </c:pt>
                <c:pt idx="523">
                  <c:v>7.3294054914185836E-7</c:v>
                </c:pt>
                <c:pt idx="524">
                  <c:v>9.1069486529704591E-7</c:v>
                </c:pt>
                <c:pt idx="525">
                  <c:v>4.4917310737524474E-7</c:v>
                </c:pt>
                <c:pt idx="526">
                  <c:v>6.4562357238173718E-8</c:v>
                </c:pt>
                <c:pt idx="527">
                  <c:v>1.4287681437963329E-7</c:v>
                </c:pt>
                <c:pt idx="528">
                  <c:v>8.3899180935986806E-8</c:v>
                </c:pt>
                <c:pt idx="529">
                  <c:v>9.0016953890881268E-8</c:v>
                </c:pt>
                <c:pt idx="530">
                  <c:v>1.263525000183563E-7</c:v>
                </c:pt>
                <c:pt idx="531">
                  <c:v>2.0223509977768117E-8</c:v>
                </c:pt>
                <c:pt idx="532">
                  <c:v>4.7647061940381263E-7</c:v>
                </c:pt>
                <c:pt idx="533">
                  <c:v>5.273534497973742E-9</c:v>
                </c:pt>
                <c:pt idx="534">
                  <c:v>1.2286387729432136E-7</c:v>
                </c:pt>
                <c:pt idx="535">
                  <c:v>1.7264517282455927E-7</c:v>
                </c:pt>
                <c:pt idx="536">
                  <c:v>1.3780608902891345E-6</c:v>
                </c:pt>
                <c:pt idx="537">
                  <c:v>2.3277931404663832E-7</c:v>
                </c:pt>
                <c:pt idx="538">
                  <c:v>1.2682862120527716E-6</c:v>
                </c:pt>
                <c:pt idx="539">
                  <c:v>1.1903020435966027E-6</c:v>
                </c:pt>
                <c:pt idx="540">
                  <c:v>1.0857660583951656E-6</c:v>
                </c:pt>
                <c:pt idx="541">
                  <c:v>5.1805758971568139E-7</c:v>
                </c:pt>
                <c:pt idx="542">
                  <c:v>3.3435833302064566E-7</c:v>
                </c:pt>
                <c:pt idx="543">
                  <c:v>6.7805359549311106E-8</c:v>
                </c:pt>
                <c:pt idx="544">
                  <c:v>2.9845531912542356E-7</c:v>
                </c:pt>
                <c:pt idx="545">
                  <c:v>1.6033561234252147E-7</c:v>
                </c:pt>
                <c:pt idx="546">
                  <c:v>1.1533219490544866E-8</c:v>
                </c:pt>
                <c:pt idx="547">
                  <c:v>3.4924116221191071E-7</c:v>
                </c:pt>
                <c:pt idx="548">
                  <c:v>7.1893111908138962E-8</c:v>
                </c:pt>
                <c:pt idx="549">
                  <c:v>2.3358451528565638E-7</c:v>
                </c:pt>
                <c:pt idx="550">
                  <c:v>1.9069875634158961E-7</c:v>
                </c:pt>
                <c:pt idx="551">
                  <c:v>1.462196821677697E-6</c:v>
                </c:pt>
                <c:pt idx="552">
                  <c:v>2.1009907413827023E-7</c:v>
                </c:pt>
                <c:pt idx="553">
                  <c:v>5.8446156003810756E-7</c:v>
                </c:pt>
                <c:pt idx="554">
                  <c:v>1.0068451530287348E-6</c:v>
                </c:pt>
                <c:pt idx="555">
                  <c:v>1.1139135835946945E-8</c:v>
                </c:pt>
                <c:pt idx="556">
                  <c:v>1.1576588576645008E-7</c:v>
                </c:pt>
                <c:pt idx="557">
                  <c:v>1.9842951815007837E-7</c:v>
                </c:pt>
                <c:pt idx="558">
                  <c:v>8.8745420612212911E-7</c:v>
                </c:pt>
                <c:pt idx="559">
                  <c:v>3.9848424648880609E-7</c:v>
                </c:pt>
                <c:pt idx="560">
                  <c:v>5.7066095848767873E-8</c:v>
                </c:pt>
                <c:pt idx="561">
                  <c:v>1.0709793230034848E-7</c:v>
                </c:pt>
                <c:pt idx="562">
                  <c:v>1.7749880498740822E-7</c:v>
                </c:pt>
                <c:pt idx="563">
                  <c:v>1.9091237390966853E-7</c:v>
                </c:pt>
                <c:pt idx="564">
                  <c:v>4.9076101049649878E-7</c:v>
                </c:pt>
                <c:pt idx="565">
                  <c:v>4.6501759243255947E-7</c:v>
                </c:pt>
                <c:pt idx="566">
                  <c:v>4.2876223460552865E-7</c:v>
                </c:pt>
                <c:pt idx="567">
                  <c:v>1.5722736179668573E-7</c:v>
                </c:pt>
                <c:pt idx="568">
                  <c:v>3.2699126251145572E-7</c:v>
                </c:pt>
                <c:pt idx="569">
                  <c:v>3.6529741009871941E-8</c:v>
                </c:pt>
                <c:pt idx="570">
                  <c:v>8.624278819979736E-7</c:v>
                </c:pt>
                <c:pt idx="571">
                  <c:v>2.3377518232337025E-7</c:v>
                </c:pt>
                <c:pt idx="572">
                  <c:v>9.5952259471232537E-7</c:v>
                </c:pt>
                <c:pt idx="573">
                  <c:v>3.4084784772403509E-8</c:v>
                </c:pt>
                <c:pt idx="574">
                  <c:v>6.8225961058487883E-7</c:v>
                </c:pt>
                <c:pt idx="575">
                  <c:v>3.5483321880747098E-7</c:v>
                </c:pt>
                <c:pt idx="576">
                  <c:v>3.5626365502139379E-7</c:v>
                </c:pt>
                <c:pt idx="577">
                  <c:v>3.1848009029999957E-7</c:v>
                </c:pt>
                <c:pt idx="578">
                  <c:v>9.2131949713802896E-7</c:v>
                </c:pt>
                <c:pt idx="579">
                  <c:v>5.359125907489215E-7</c:v>
                </c:pt>
                <c:pt idx="580">
                  <c:v>5.88161725545433E-7</c:v>
                </c:pt>
                <c:pt idx="581">
                  <c:v>2.5666736291896086E-7</c:v>
                </c:pt>
                <c:pt idx="582">
                  <c:v>4.290745039270405E-7</c:v>
                </c:pt>
                <c:pt idx="583">
                  <c:v>3.4113816127501195E-7</c:v>
                </c:pt>
                <c:pt idx="584">
                  <c:v>3.0137752560221998E-7</c:v>
                </c:pt>
                <c:pt idx="585">
                  <c:v>3.4783784030878451E-7</c:v>
                </c:pt>
                <c:pt idx="586">
                  <c:v>6.6371785578667186E-7</c:v>
                </c:pt>
                <c:pt idx="587">
                  <c:v>2.2504184471472399E-7</c:v>
                </c:pt>
                <c:pt idx="588">
                  <c:v>4.1588481280996348E-7</c:v>
                </c:pt>
                <c:pt idx="589">
                  <c:v>3.1301084391088807E-7</c:v>
                </c:pt>
                <c:pt idx="590">
                  <c:v>1.1381288800293987E-7</c:v>
                </c:pt>
                <c:pt idx="591">
                  <c:v>1.2460586162887921E-7</c:v>
                </c:pt>
                <c:pt idx="592">
                  <c:v>4.3323399268047069E-7</c:v>
                </c:pt>
                <c:pt idx="593">
                  <c:v>2.3279477545656846E-7</c:v>
                </c:pt>
                <c:pt idx="594">
                  <c:v>2.3687042016717896E-7</c:v>
                </c:pt>
                <c:pt idx="595">
                  <c:v>3.5492372774115211E-7</c:v>
                </c:pt>
                <c:pt idx="596">
                  <c:v>1.4606487752644171E-6</c:v>
                </c:pt>
                <c:pt idx="597">
                  <c:v>7.5089673146067071E-8</c:v>
                </c:pt>
                <c:pt idx="598">
                  <c:v>1.0652303217284498E-7</c:v>
                </c:pt>
                <c:pt idx="599">
                  <c:v>1.1692816315189702E-7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350-45A4-934E-8DFB98DBD0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1183160"/>
        <c:axId val="511775440"/>
      </c:scatterChart>
      <c:valAx>
        <c:axId val="351183160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baseline="0">
                    <a:effectLst/>
                  </a:rPr>
                  <a:t>distance [m]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775440"/>
        <c:crosses val="autoZero"/>
        <c:crossBetween val="midCat"/>
      </c:valAx>
      <c:valAx>
        <c:axId val="5117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/>
                  <a:t>Δ</a:t>
                </a:r>
                <a:r>
                  <a:rPr lang="en-US"/>
                  <a:t> azimuth [degrees]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11831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Inverse Results</a:t>
            </a:r>
            <a:r>
              <a:rPr lang="en-US" baseline="0"/>
              <a:t> Comparison - RevAzimuth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Inverse!$W$2</c:f>
              <c:strCache>
                <c:ptCount val="1"/>
                <c:pt idx="0">
                  <c:v>RevAzimuth GL Δ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Inverse!$N$3:$N$602</c:f>
              <c:numCache>
                <c:formatCode>0.000</c:formatCode>
                <c:ptCount val="600"/>
                <c:pt idx="0">
                  <c:v>7288125.6963858316</c:v>
                </c:pt>
                <c:pt idx="1">
                  <c:v>8926024.1224245112</c:v>
                </c:pt>
                <c:pt idx="2">
                  <c:v>17441757.002850156</c:v>
                </c:pt>
                <c:pt idx="3">
                  <c:v>1696868.6811977762</c:v>
                </c:pt>
                <c:pt idx="4">
                  <c:v>15866490.842496967</c:v>
                </c:pt>
                <c:pt idx="5">
                  <c:v>2329780.6717621377</c:v>
                </c:pt>
                <c:pt idx="6">
                  <c:v>8171429.8378450526</c:v>
                </c:pt>
                <c:pt idx="7">
                  <c:v>18591406.404547203</c:v>
                </c:pt>
                <c:pt idx="8">
                  <c:v>18352200.13564178</c:v>
                </c:pt>
                <c:pt idx="9">
                  <c:v>13013464.102549139</c:v>
                </c:pt>
                <c:pt idx="10">
                  <c:v>9843902.6371369381</c:v>
                </c:pt>
                <c:pt idx="11">
                  <c:v>14144633.179986298</c:v>
                </c:pt>
                <c:pt idx="12">
                  <c:v>11126939.108720006</c:v>
                </c:pt>
                <c:pt idx="13">
                  <c:v>8628113.1866227742</c:v>
                </c:pt>
                <c:pt idx="14">
                  <c:v>15078802.086415969</c:v>
                </c:pt>
                <c:pt idx="15">
                  <c:v>10848297.534494171</c:v>
                </c:pt>
                <c:pt idx="16">
                  <c:v>2068921.0111408576</c:v>
                </c:pt>
                <c:pt idx="17">
                  <c:v>13329277.575401368</c:v>
                </c:pt>
                <c:pt idx="18">
                  <c:v>10971195.910463449</c:v>
                </c:pt>
                <c:pt idx="19">
                  <c:v>6990777.0187217705</c:v>
                </c:pt>
                <c:pt idx="20">
                  <c:v>13278834.887680421</c:v>
                </c:pt>
                <c:pt idx="21">
                  <c:v>16293897.990389509</c:v>
                </c:pt>
                <c:pt idx="22">
                  <c:v>11321064.524744052</c:v>
                </c:pt>
                <c:pt idx="23">
                  <c:v>13912911.091220979</c:v>
                </c:pt>
                <c:pt idx="24">
                  <c:v>8079548.1933386493</c:v>
                </c:pt>
                <c:pt idx="25">
                  <c:v>13124386.15754142</c:v>
                </c:pt>
                <c:pt idx="26">
                  <c:v>7776083.7752931975</c:v>
                </c:pt>
                <c:pt idx="27">
                  <c:v>9368637.2487671636</c:v>
                </c:pt>
                <c:pt idx="28">
                  <c:v>6014625.4718837198</c:v>
                </c:pt>
                <c:pt idx="29">
                  <c:v>7044804.2746306788</c:v>
                </c:pt>
                <c:pt idx="30">
                  <c:v>2284594.0220601563</c:v>
                </c:pt>
                <c:pt idx="31">
                  <c:v>2954440.6790760066</c:v>
                </c:pt>
                <c:pt idx="32">
                  <c:v>9276811.5910762642</c:v>
                </c:pt>
                <c:pt idx="33">
                  <c:v>18654328.232049946</c:v>
                </c:pt>
                <c:pt idx="34">
                  <c:v>16831309.185747702</c:v>
                </c:pt>
                <c:pt idx="35">
                  <c:v>7278952.7179807257</c:v>
                </c:pt>
                <c:pt idx="36">
                  <c:v>12060516.677621422</c:v>
                </c:pt>
                <c:pt idx="37">
                  <c:v>2966149.701055496</c:v>
                </c:pt>
                <c:pt idx="38">
                  <c:v>12533853.74110496</c:v>
                </c:pt>
                <c:pt idx="39">
                  <c:v>2549123.5147279091</c:v>
                </c:pt>
                <c:pt idx="40">
                  <c:v>12271081.064307384</c:v>
                </c:pt>
                <c:pt idx="41">
                  <c:v>591727.50880290929</c:v>
                </c:pt>
                <c:pt idx="42">
                  <c:v>14851083.606159996</c:v>
                </c:pt>
                <c:pt idx="43">
                  <c:v>10074604.479454651</c:v>
                </c:pt>
                <c:pt idx="44">
                  <c:v>8754736.1896608267</c:v>
                </c:pt>
                <c:pt idx="45">
                  <c:v>8605721.7855929863</c:v>
                </c:pt>
                <c:pt idx="46">
                  <c:v>1295718.6771788264</c:v>
                </c:pt>
                <c:pt idx="47">
                  <c:v>17177097.930895045</c:v>
                </c:pt>
                <c:pt idx="48">
                  <c:v>9805356.254032582</c:v>
                </c:pt>
                <c:pt idx="49">
                  <c:v>3435870.1126214182</c:v>
                </c:pt>
                <c:pt idx="50">
                  <c:v>9964216.6492618695</c:v>
                </c:pt>
                <c:pt idx="51">
                  <c:v>5384030.2016799124</c:v>
                </c:pt>
                <c:pt idx="52">
                  <c:v>6179877.6031648442</c:v>
                </c:pt>
                <c:pt idx="53">
                  <c:v>6233671.1722633103</c:v>
                </c:pt>
                <c:pt idx="54">
                  <c:v>3527724.8938039802</c:v>
                </c:pt>
                <c:pt idx="55">
                  <c:v>8818419.3637236543</c:v>
                </c:pt>
                <c:pt idx="56">
                  <c:v>16552270.061897544</c:v>
                </c:pt>
                <c:pt idx="57">
                  <c:v>6949214.2646111874</c:v>
                </c:pt>
                <c:pt idx="58">
                  <c:v>16197045.795054168</c:v>
                </c:pt>
                <c:pt idx="59">
                  <c:v>16726146.300163798</c:v>
                </c:pt>
                <c:pt idx="60">
                  <c:v>11673348.671239186</c:v>
                </c:pt>
                <c:pt idx="61">
                  <c:v>12028828.323664518</c:v>
                </c:pt>
                <c:pt idx="62">
                  <c:v>14339963.471979573</c:v>
                </c:pt>
                <c:pt idx="63">
                  <c:v>4818719.410231459</c:v>
                </c:pt>
                <c:pt idx="64">
                  <c:v>7633895.7516718889</c:v>
                </c:pt>
                <c:pt idx="65">
                  <c:v>7097483.6343833497</c:v>
                </c:pt>
                <c:pt idx="66">
                  <c:v>13364872.899534322</c:v>
                </c:pt>
                <c:pt idx="67">
                  <c:v>7924499.6141683413</c:v>
                </c:pt>
                <c:pt idx="68">
                  <c:v>3610421.0933479168</c:v>
                </c:pt>
                <c:pt idx="69">
                  <c:v>6159231.566899064</c:v>
                </c:pt>
                <c:pt idx="70">
                  <c:v>10584894.541920075</c:v>
                </c:pt>
                <c:pt idx="71">
                  <c:v>655243.68049509695</c:v>
                </c:pt>
                <c:pt idx="72">
                  <c:v>2864739.0899375491</c:v>
                </c:pt>
                <c:pt idx="73">
                  <c:v>6924158.0894780327</c:v>
                </c:pt>
                <c:pt idx="74">
                  <c:v>4871626.5673506204</c:v>
                </c:pt>
                <c:pt idx="75">
                  <c:v>18288955.12691465</c:v>
                </c:pt>
                <c:pt idx="76">
                  <c:v>5243855.9642471438</c:v>
                </c:pt>
                <c:pt idx="77">
                  <c:v>8771186.4160845745</c:v>
                </c:pt>
                <c:pt idx="78">
                  <c:v>10161458.52608045</c:v>
                </c:pt>
                <c:pt idx="79">
                  <c:v>3183285.9839552343</c:v>
                </c:pt>
                <c:pt idx="80">
                  <c:v>18112446.323670369</c:v>
                </c:pt>
                <c:pt idx="81">
                  <c:v>7914420.6537720682</c:v>
                </c:pt>
                <c:pt idx="82">
                  <c:v>8958543.5518025123</c:v>
                </c:pt>
                <c:pt idx="83">
                  <c:v>4511895.8568540188</c:v>
                </c:pt>
                <c:pt idx="84">
                  <c:v>909274.86052974011</c:v>
                </c:pt>
                <c:pt idx="85">
                  <c:v>11607157.092400923</c:v>
                </c:pt>
                <c:pt idx="86">
                  <c:v>8931844.8564303853</c:v>
                </c:pt>
                <c:pt idx="87">
                  <c:v>7496752.5366281047</c:v>
                </c:pt>
                <c:pt idx="88">
                  <c:v>15762230.514531359</c:v>
                </c:pt>
                <c:pt idx="89">
                  <c:v>6754537.3039613804</c:v>
                </c:pt>
                <c:pt idx="90">
                  <c:v>6858651.0723340772</c:v>
                </c:pt>
                <c:pt idx="91">
                  <c:v>13273425.583867243</c:v>
                </c:pt>
                <c:pt idx="92">
                  <c:v>6324868.2450951673</c:v>
                </c:pt>
                <c:pt idx="93">
                  <c:v>13576996.580363095</c:v>
                </c:pt>
                <c:pt idx="94">
                  <c:v>12711428.208022941</c:v>
                </c:pt>
                <c:pt idx="95">
                  <c:v>9916507.9193239249</c:v>
                </c:pt>
                <c:pt idx="96">
                  <c:v>5999956.6226362148</c:v>
                </c:pt>
                <c:pt idx="97">
                  <c:v>10868721.91765256</c:v>
                </c:pt>
                <c:pt idx="98">
                  <c:v>6920914.5095388582</c:v>
                </c:pt>
                <c:pt idx="99">
                  <c:v>3762439.1458674502</c:v>
                </c:pt>
                <c:pt idx="100">
                  <c:v>157563.53948525776</c:v>
                </c:pt>
                <c:pt idx="101">
                  <c:v>901247.91020958486</c:v>
                </c:pt>
                <c:pt idx="102">
                  <c:v>917232.23890802509</c:v>
                </c:pt>
                <c:pt idx="103">
                  <c:v>1175722.2877854879</c:v>
                </c:pt>
                <c:pt idx="104">
                  <c:v>435337.99301161367</c:v>
                </c:pt>
                <c:pt idx="105">
                  <c:v>988119.73769252596</c:v>
                </c:pt>
                <c:pt idx="106">
                  <c:v>1062926.9684577854</c:v>
                </c:pt>
                <c:pt idx="107">
                  <c:v>761747.2244784768</c:v>
                </c:pt>
                <c:pt idx="108">
                  <c:v>1029662.3869015459</c:v>
                </c:pt>
                <c:pt idx="109">
                  <c:v>1029995.4866540617</c:v>
                </c:pt>
                <c:pt idx="110">
                  <c:v>651973.01978210057</c:v>
                </c:pt>
                <c:pt idx="111">
                  <c:v>855080.93446190725</c:v>
                </c:pt>
                <c:pt idx="112">
                  <c:v>1069049.1970008055</c:v>
                </c:pt>
                <c:pt idx="113">
                  <c:v>978958.29756391724</c:v>
                </c:pt>
                <c:pt idx="114">
                  <c:v>1381289.9699106738</c:v>
                </c:pt>
                <c:pt idx="115">
                  <c:v>883720.90994789801</c:v>
                </c:pt>
                <c:pt idx="116">
                  <c:v>829495.27785734879</c:v>
                </c:pt>
                <c:pt idx="117">
                  <c:v>306329.78676863643</c:v>
                </c:pt>
                <c:pt idx="118">
                  <c:v>804814.54727708641</c:v>
                </c:pt>
                <c:pt idx="119">
                  <c:v>1027495.9071938648</c:v>
                </c:pt>
                <c:pt idx="120">
                  <c:v>1128214.5367293104</c:v>
                </c:pt>
                <c:pt idx="121">
                  <c:v>853871.61089870625</c:v>
                </c:pt>
                <c:pt idx="122">
                  <c:v>867936.53154121363</c:v>
                </c:pt>
                <c:pt idx="123">
                  <c:v>142494.05520314962</c:v>
                </c:pt>
                <c:pt idx="124">
                  <c:v>570028.86260328069</c:v>
                </c:pt>
                <c:pt idx="125">
                  <c:v>1113827.0793367326</c:v>
                </c:pt>
                <c:pt idx="126">
                  <c:v>574111.4048195387</c:v>
                </c:pt>
                <c:pt idx="127">
                  <c:v>497614.05854740622</c:v>
                </c:pt>
                <c:pt idx="128">
                  <c:v>285845.2667031099</c:v>
                </c:pt>
                <c:pt idx="129">
                  <c:v>391097.70754434861</c:v>
                </c:pt>
                <c:pt idx="130">
                  <c:v>238768.05651624582</c:v>
                </c:pt>
                <c:pt idx="131">
                  <c:v>493633.80518860836</c:v>
                </c:pt>
                <c:pt idx="132">
                  <c:v>685458.12361168186</c:v>
                </c:pt>
                <c:pt idx="133">
                  <c:v>287149.49519980338</c:v>
                </c:pt>
                <c:pt idx="134">
                  <c:v>835019.12039802666</c:v>
                </c:pt>
                <c:pt idx="135">
                  <c:v>677065.11909637437</c:v>
                </c:pt>
                <c:pt idx="136">
                  <c:v>341268.40704323794</c:v>
                </c:pt>
                <c:pt idx="137">
                  <c:v>371335.85204723536</c:v>
                </c:pt>
                <c:pt idx="138">
                  <c:v>886618.26167655329</c:v>
                </c:pt>
                <c:pt idx="139">
                  <c:v>449504.43119129329</c:v>
                </c:pt>
                <c:pt idx="140">
                  <c:v>461332.0546698785</c:v>
                </c:pt>
                <c:pt idx="141">
                  <c:v>1025130.2287561676</c:v>
                </c:pt>
                <c:pt idx="142">
                  <c:v>134515.37037482395</c:v>
                </c:pt>
                <c:pt idx="143">
                  <c:v>718764.12713467178</c:v>
                </c:pt>
                <c:pt idx="144">
                  <c:v>1460060.2163203303</c:v>
                </c:pt>
                <c:pt idx="145">
                  <c:v>1032952.8158964519</c:v>
                </c:pt>
                <c:pt idx="146">
                  <c:v>850898.26533546846</c:v>
                </c:pt>
                <c:pt idx="147">
                  <c:v>266878.65594502137</c:v>
                </c:pt>
                <c:pt idx="148">
                  <c:v>572419.94640994794</c:v>
                </c:pt>
                <c:pt idx="149">
                  <c:v>1006778.5685472348</c:v>
                </c:pt>
                <c:pt idx="150">
                  <c:v>494006.02837731462</c:v>
                </c:pt>
                <c:pt idx="151">
                  <c:v>1152949.1242537459</c:v>
                </c:pt>
                <c:pt idx="152">
                  <c:v>587572.569922984</c:v>
                </c:pt>
                <c:pt idx="153">
                  <c:v>888916.22724440985</c:v>
                </c:pt>
                <c:pt idx="154">
                  <c:v>284354.54355420027</c:v>
                </c:pt>
                <c:pt idx="155">
                  <c:v>365437.73038692976</c:v>
                </c:pt>
                <c:pt idx="156">
                  <c:v>842173.91611387499</c:v>
                </c:pt>
                <c:pt idx="157">
                  <c:v>776125.68007035484</c:v>
                </c:pt>
                <c:pt idx="158">
                  <c:v>583597.70348065742</c:v>
                </c:pt>
                <c:pt idx="159">
                  <c:v>937689.10064370104</c:v>
                </c:pt>
                <c:pt idx="160">
                  <c:v>316225.25420602574</c:v>
                </c:pt>
                <c:pt idx="161">
                  <c:v>949375.952169689</c:v>
                </c:pt>
                <c:pt idx="162">
                  <c:v>800748.69720413804</c:v>
                </c:pt>
                <c:pt idx="163">
                  <c:v>726364.393405815</c:v>
                </c:pt>
                <c:pt idx="164">
                  <c:v>1006904.0903341232</c:v>
                </c:pt>
                <c:pt idx="165">
                  <c:v>593510.87353314599</c:v>
                </c:pt>
                <c:pt idx="166">
                  <c:v>1012836.4110308342</c:v>
                </c:pt>
                <c:pt idx="167">
                  <c:v>797599.85035357892</c:v>
                </c:pt>
                <c:pt idx="168">
                  <c:v>1491183.7853596543</c:v>
                </c:pt>
                <c:pt idx="169">
                  <c:v>1048756.3107671267</c:v>
                </c:pt>
                <c:pt idx="170">
                  <c:v>1265036.8791265045</c:v>
                </c:pt>
                <c:pt idx="171">
                  <c:v>124217.11630279524</c:v>
                </c:pt>
                <c:pt idx="172">
                  <c:v>654197.86435641756</c:v>
                </c:pt>
                <c:pt idx="173">
                  <c:v>518482.88902360667</c:v>
                </c:pt>
                <c:pt idx="174">
                  <c:v>56931.9641740402</c:v>
                </c:pt>
                <c:pt idx="175">
                  <c:v>185725.16845517204</c:v>
                </c:pt>
                <c:pt idx="176">
                  <c:v>1450056.569033603</c:v>
                </c:pt>
                <c:pt idx="177">
                  <c:v>529160.87919418991</c:v>
                </c:pt>
                <c:pt idx="178">
                  <c:v>711943.01043914806</c:v>
                </c:pt>
                <c:pt idx="179">
                  <c:v>1223926.8209512529</c:v>
                </c:pt>
                <c:pt idx="180">
                  <c:v>760688.05545350467</c:v>
                </c:pt>
                <c:pt idx="181">
                  <c:v>1183858.3610807068</c:v>
                </c:pt>
                <c:pt idx="182">
                  <c:v>930584.10286563192</c:v>
                </c:pt>
                <c:pt idx="183">
                  <c:v>863834.62731454044</c:v>
                </c:pt>
                <c:pt idx="184">
                  <c:v>702689.67756402621</c:v>
                </c:pt>
                <c:pt idx="185">
                  <c:v>932048.79505756358</c:v>
                </c:pt>
                <c:pt idx="186">
                  <c:v>814807.42281005683</c:v>
                </c:pt>
                <c:pt idx="187">
                  <c:v>819800.46231578221</c:v>
                </c:pt>
                <c:pt idx="188">
                  <c:v>808065.87717811915</c:v>
                </c:pt>
                <c:pt idx="189">
                  <c:v>267061.474829969</c:v>
                </c:pt>
                <c:pt idx="190">
                  <c:v>1097226.7739563882</c:v>
                </c:pt>
                <c:pt idx="191">
                  <c:v>446199.73015723855</c:v>
                </c:pt>
                <c:pt idx="192">
                  <c:v>469804.15710829484</c:v>
                </c:pt>
                <c:pt idx="193">
                  <c:v>525080.6500825875</c:v>
                </c:pt>
                <c:pt idx="194">
                  <c:v>393228.4152736757</c:v>
                </c:pt>
                <c:pt idx="195">
                  <c:v>615023.21762602672</c:v>
                </c:pt>
                <c:pt idx="196">
                  <c:v>810345.09178652451</c:v>
                </c:pt>
                <c:pt idx="197">
                  <c:v>560753.58530124195</c:v>
                </c:pt>
                <c:pt idx="198">
                  <c:v>381017.52154380037</c:v>
                </c:pt>
                <c:pt idx="199">
                  <c:v>702689.67756402621</c:v>
                </c:pt>
                <c:pt idx="200">
                  <c:v>49585.567217159798</c:v>
                </c:pt>
                <c:pt idx="201">
                  <c:v>89474.727405850615</c:v>
                </c:pt>
                <c:pt idx="202">
                  <c:v>38406.738005995532</c:v>
                </c:pt>
                <c:pt idx="203">
                  <c:v>129340.44800058422</c:v>
                </c:pt>
                <c:pt idx="204">
                  <c:v>54697.767200533286</c:v>
                </c:pt>
                <c:pt idx="205">
                  <c:v>92948.011054105838</c:v>
                </c:pt>
                <c:pt idx="206">
                  <c:v>79591.296756380383</c:v>
                </c:pt>
                <c:pt idx="207">
                  <c:v>57204.743578672351</c:v>
                </c:pt>
                <c:pt idx="208">
                  <c:v>109291.92307159577</c:v>
                </c:pt>
                <c:pt idx="209">
                  <c:v>55726.554171453899</c:v>
                </c:pt>
                <c:pt idx="210">
                  <c:v>62228.119847420145</c:v>
                </c:pt>
                <c:pt idx="211">
                  <c:v>80833.111806437228</c:v>
                </c:pt>
                <c:pt idx="212">
                  <c:v>110852.05970269667</c:v>
                </c:pt>
                <c:pt idx="213">
                  <c:v>14593.314265052142</c:v>
                </c:pt>
                <c:pt idx="214">
                  <c:v>85852.15811412425</c:v>
                </c:pt>
                <c:pt idx="215">
                  <c:v>6465.1270998007376</c:v>
                </c:pt>
                <c:pt idx="216">
                  <c:v>91059.330934206373</c:v>
                </c:pt>
                <c:pt idx="217">
                  <c:v>38664.370839985015</c:v>
                </c:pt>
                <c:pt idx="218">
                  <c:v>90821.361211636569</c:v>
                </c:pt>
                <c:pt idx="219">
                  <c:v>93645.360945609296</c:v>
                </c:pt>
                <c:pt idx="220">
                  <c:v>24371.563599189245</c:v>
                </c:pt>
                <c:pt idx="221">
                  <c:v>100251.49142439043</c:v>
                </c:pt>
                <c:pt idx="222">
                  <c:v>69538.138403545992</c:v>
                </c:pt>
                <c:pt idx="223">
                  <c:v>118432.82216317505</c:v>
                </c:pt>
                <c:pt idx="224">
                  <c:v>94462.076222016723</c:v>
                </c:pt>
                <c:pt idx="225">
                  <c:v>78242.604898139209</c:v>
                </c:pt>
                <c:pt idx="226">
                  <c:v>124812.69354847354</c:v>
                </c:pt>
                <c:pt idx="227">
                  <c:v>22552.238115331522</c:v>
                </c:pt>
                <c:pt idx="228">
                  <c:v>84306.782227317308</c:v>
                </c:pt>
                <c:pt idx="229">
                  <c:v>76721.704175268955</c:v>
                </c:pt>
                <c:pt idx="230">
                  <c:v>111505.93188867858</c:v>
                </c:pt>
                <c:pt idx="231">
                  <c:v>103595.88455849062</c:v>
                </c:pt>
                <c:pt idx="232">
                  <c:v>55320.98629319451</c:v>
                </c:pt>
                <c:pt idx="233">
                  <c:v>50511.680928931441</c:v>
                </c:pt>
                <c:pt idx="234">
                  <c:v>67679.627979910991</c:v>
                </c:pt>
                <c:pt idx="235">
                  <c:v>70453.369151743842</c:v>
                </c:pt>
                <c:pt idx="236">
                  <c:v>17259.880973716728</c:v>
                </c:pt>
                <c:pt idx="237">
                  <c:v>95725.531558329269</c:v>
                </c:pt>
                <c:pt idx="238">
                  <c:v>48040.112753488051</c:v>
                </c:pt>
                <c:pt idx="239">
                  <c:v>74751.687998788722</c:v>
                </c:pt>
                <c:pt idx="240">
                  <c:v>60094.145297682269</c:v>
                </c:pt>
                <c:pt idx="241">
                  <c:v>112938.85613694205</c:v>
                </c:pt>
                <c:pt idx="242">
                  <c:v>67526.303361587823</c:v>
                </c:pt>
                <c:pt idx="243">
                  <c:v>81331.076373407312</c:v>
                </c:pt>
                <c:pt idx="244">
                  <c:v>91357.675959408865</c:v>
                </c:pt>
                <c:pt idx="245">
                  <c:v>73426.260164785199</c:v>
                </c:pt>
                <c:pt idx="246">
                  <c:v>13521.854061892238</c:v>
                </c:pt>
                <c:pt idx="247">
                  <c:v>64425.722337112114</c:v>
                </c:pt>
                <c:pt idx="248">
                  <c:v>27632.760988422822</c:v>
                </c:pt>
                <c:pt idx="249">
                  <c:v>95145.683709211065</c:v>
                </c:pt>
                <c:pt idx="250">
                  <c:v>76415.833261073203</c:v>
                </c:pt>
                <c:pt idx="251">
                  <c:v>95042.450325975922</c:v>
                </c:pt>
                <c:pt idx="252">
                  <c:v>38543.968896436971</c:v>
                </c:pt>
                <c:pt idx="253">
                  <c:v>131676.75509929107</c:v>
                </c:pt>
                <c:pt idx="254">
                  <c:v>95422.78895216783</c:v>
                </c:pt>
                <c:pt idx="255">
                  <c:v>72603.060568790039</c:v>
                </c:pt>
                <c:pt idx="256">
                  <c:v>85979.777238102048</c:v>
                </c:pt>
                <c:pt idx="257">
                  <c:v>33769.953266738579</c:v>
                </c:pt>
                <c:pt idx="258">
                  <c:v>45929.728469039612</c:v>
                </c:pt>
                <c:pt idx="259">
                  <c:v>69585.074376684715</c:v>
                </c:pt>
                <c:pt idx="260">
                  <c:v>87108.477580809122</c:v>
                </c:pt>
                <c:pt idx="261">
                  <c:v>91116.13863073611</c:v>
                </c:pt>
                <c:pt idx="262">
                  <c:v>72932.057748012026</c:v>
                </c:pt>
                <c:pt idx="263">
                  <c:v>74558.341889352974</c:v>
                </c:pt>
                <c:pt idx="264">
                  <c:v>65356.107164141431</c:v>
                </c:pt>
                <c:pt idx="265">
                  <c:v>49858.871946846928</c:v>
                </c:pt>
                <c:pt idx="266">
                  <c:v>38480.511182640628</c:v>
                </c:pt>
                <c:pt idx="267">
                  <c:v>110006.9902705047</c:v>
                </c:pt>
                <c:pt idx="268">
                  <c:v>12854.441177776918</c:v>
                </c:pt>
                <c:pt idx="269">
                  <c:v>103867.36172692994</c:v>
                </c:pt>
                <c:pt idx="270">
                  <c:v>26727.112439431377</c:v>
                </c:pt>
                <c:pt idx="271">
                  <c:v>56422.040912334945</c:v>
                </c:pt>
                <c:pt idx="272">
                  <c:v>63232.082979176928</c:v>
                </c:pt>
                <c:pt idx="273">
                  <c:v>93913.720975334174</c:v>
                </c:pt>
                <c:pt idx="274">
                  <c:v>83317.121596607045</c:v>
                </c:pt>
                <c:pt idx="275">
                  <c:v>36863.609967916629</c:v>
                </c:pt>
                <c:pt idx="276">
                  <c:v>94654.224474943068</c:v>
                </c:pt>
                <c:pt idx="277">
                  <c:v>103709.27464970971</c:v>
                </c:pt>
                <c:pt idx="278">
                  <c:v>72499.957777249045</c:v>
                </c:pt>
                <c:pt idx="279">
                  <c:v>105852.08396273818</c:v>
                </c:pt>
                <c:pt idx="280">
                  <c:v>60987.586229681801</c:v>
                </c:pt>
                <c:pt idx="281">
                  <c:v>118595.41220244681</c:v>
                </c:pt>
                <c:pt idx="282">
                  <c:v>91681.667154660201</c:v>
                </c:pt>
                <c:pt idx="283">
                  <c:v>60615.120586331825</c:v>
                </c:pt>
                <c:pt idx="284">
                  <c:v>87550.186408437614</c:v>
                </c:pt>
                <c:pt idx="285">
                  <c:v>50625.874170485928</c:v>
                </c:pt>
                <c:pt idx="286">
                  <c:v>66662.044791718959</c:v>
                </c:pt>
                <c:pt idx="287">
                  <c:v>98327.422116002752</c:v>
                </c:pt>
                <c:pt idx="288">
                  <c:v>104364.72052565365</c:v>
                </c:pt>
                <c:pt idx="289">
                  <c:v>95289.048671426586</c:v>
                </c:pt>
                <c:pt idx="290">
                  <c:v>62154.805845581111</c:v>
                </c:pt>
                <c:pt idx="291">
                  <c:v>26516.797792536116</c:v>
                </c:pt>
                <c:pt idx="292">
                  <c:v>89586.99777515234</c:v>
                </c:pt>
                <c:pt idx="293">
                  <c:v>90859.499602455937</c:v>
                </c:pt>
                <c:pt idx="294">
                  <c:v>75337.536234137209</c:v>
                </c:pt>
                <c:pt idx="295">
                  <c:v>84629.773088732938</c:v>
                </c:pt>
                <c:pt idx="296">
                  <c:v>87648.480587707323</c:v>
                </c:pt>
                <c:pt idx="297">
                  <c:v>81682.396554250256</c:v>
                </c:pt>
                <c:pt idx="298">
                  <c:v>25524.930575862592</c:v>
                </c:pt>
                <c:pt idx="299">
                  <c:v>58962.375157485025</c:v>
                </c:pt>
                <c:pt idx="300">
                  <c:v>17010.584032509574</c:v>
                </c:pt>
                <c:pt idx="301">
                  <c:v>17331.639765151282</c:v>
                </c:pt>
                <c:pt idx="302">
                  <c:v>14409.820230102912</c:v>
                </c:pt>
                <c:pt idx="303">
                  <c:v>15905.687488281317</c:v>
                </c:pt>
                <c:pt idx="304">
                  <c:v>16872.870970632688</c:v>
                </c:pt>
                <c:pt idx="305">
                  <c:v>7297.6871908483481</c:v>
                </c:pt>
                <c:pt idx="306">
                  <c:v>12729.160127606165</c:v>
                </c:pt>
                <c:pt idx="307">
                  <c:v>13203.952390535638</c:v>
                </c:pt>
                <c:pt idx="308">
                  <c:v>17776.249194215619</c:v>
                </c:pt>
                <c:pt idx="309">
                  <c:v>10239.33469179094</c:v>
                </c:pt>
                <c:pt idx="310">
                  <c:v>9729.7411513772095</c:v>
                </c:pt>
                <c:pt idx="311">
                  <c:v>18230.853156675192</c:v>
                </c:pt>
                <c:pt idx="312">
                  <c:v>10058.488451134353</c:v>
                </c:pt>
                <c:pt idx="313">
                  <c:v>9207.4873051915674</c:v>
                </c:pt>
                <c:pt idx="314">
                  <c:v>9132.6472675806217</c:v>
                </c:pt>
                <c:pt idx="315">
                  <c:v>10426.439158915542</c:v>
                </c:pt>
                <c:pt idx="316">
                  <c:v>2493.540213809641</c:v>
                </c:pt>
                <c:pt idx="317">
                  <c:v>11742.289879682554</c:v>
                </c:pt>
                <c:pt idx="318">
                  <c:v>8872.1793091042782</c:v>
                </c:pt>
                <c:pt idx="319">
                  <c:v>22600.22293928697</c:v>
                </c:pt>
                <c:pt idx="320">
                  <c:v>10599.141535311506</c:v>
                </c:pt>
                <c:pt idx="321">
                  <c:v>11276.077537644014</c:v>
                </c:pt>
                <c:pt idx="322">
                  <c:v>8346.0289963862233</c:v>
                </c:pt>
                <c:pt idx="323">
                  <c:v>17921.377657114394</c:v>
                </c:pt>
                <c:pt idx="324">
                  <c:v>14430.696843659309</c:v>
                </c:pt>
                <c:pt idx="325">
                  <c:v>11379.204313226235</c:v>
                </c:pt>
                <c:pt idx="326">
                  <c:v>7797.3549591994743</c:v>
                </c:pt>
                <c:pt idx="327">
                  <c:v>8760.0011356000923</c:v>
                </c:pt>
                <c:pt idx="328">
                  <c:v>4735.2509714383987</c:v>
                </c:pt>
                <c:pt idx="329">
                  <c:v>17427.392569847227</c:v>
                </c:pt>
                <c:pt idx="330">
                  <c:v>13210.514529036051</c:v>
                </c:pt>
                <c:pt idx="331">
                  <c:v>6711.7722669922769</c:v>
                </c:pt>
                <c:pt idx="332">
                  <c:v>15911.812131064187</c:v>
                </c:pt>
                <c:pt idx="333">
                  <c:v>22280.925778636469</c:v>
                </c:pt>
                <c:pt idx="334">
                  <c:v>16504.877663412437</c:v>
                </c:pt>
                <c:pt idx="335">
                  <c:v>11350.162805946875</c:v>
                </c:pt>
                <c:pt idx="336">
                  <c:v>15626.823520107117</c:v>
                </c:pt>
                <c:pt idx="337">
                  <c:v>8187.4380761736766</c:v>
                </c:pt>
                <c:pt idx="338">
                  <c:v>1189.2121903019845</c:v>
                </c:pt>
                <c:pt idx="339">
                  <c:v>18565.664996101692</c:v>
                </c:pt>
                <c:pt idx="340">
                  <c:v>5668.7615663811803</c:v>
                </c:pt>
                <c:pt idx="341">
                  <c:v>8266.1263129366034</c:v>
                </c:pt>
                <c:pt idx="342">
                  <c:v>17452.52053279824</c:v>
                </c:pt>
                <c:pt idx="343">
                  <c:v>3039.0559378454714</c:v>
                </c:pt>
                <c:pt idx="344">
                  <c:v>9045.9744276098882</c:v>
                </c:pt>
                <c:pt idx="345">
                  <c:v>12916.893983628517</c:v>
                </c:pt>
                <c:pt idx="346">
                  <c:v>6273.1787789042937</c:v>
                </c:pt>
                <c:pt idx="347">
                  <c:v>608.12622879592652</c:v>
                </c:pt>
                <c:pt idx="348">
                  <c:v>4711.4128073829452</c:v>
                </c:pt>
                <c:pt idx="349">
                  <c:v>7030.3342890818167</c:v>
                </c:pt>
                <c:pt idx="350">
                  <c:v>13423.407947576217</c:v>
                </c:pt>
                <c:pt idx="351">
                  <c:v>2806.5933741277308</c:v>
                </c:pt>
                <c:pt idx="352">
                  <c:v>13677.594483264145</c:v>
                </c:pt>
                <c:pt idx="353">
                  <c:v>9416.7867874048916</c:v>
                </c:pt>
                <c:pt idx="354">
                  <c:v>12679.628015607273</c:v>
                </c:pt>
                <c:pt idx="355">
                  <c:v>16096.001967885808</c:v>
                </c:pt>
                <c:pt idx="356">
                  <c:v>19171.261568330174</c:v>
                </c:pt>
                <c:pt idx="357">
                  <c:v>18585.341004393078</c:v>
                </c:pt>
                <c:pt idx="358">
                  <c:v>14722.294693728865</c:v>
                </c:pt>
                <c:pt idx="359">
                  <c:v>5218.9524886808895</c:v>
                </c:pt>
                <c:pt idx="360">
                  <c:v>12647.138813385211</c:v>
                </c:pt>
                <c:pt idx="361">
                  <c:v>8023.7296119112425</c:v>
                </c:pt>
                <c:pt idx="362">
                  <c:v>16241.06793636773</c:v>
                </c:pt>
                <c:pt idx="363">
                  <c:v>14312.679599904674</c:v>
                </c:pt>
                <c:pt idx="364">
                  <c:v>11423.775586218999</c:v>
                </c:pt>
                <c:pt idx="365">
                  <c:v>19121.549663934155</c:v>
                </c:pt>
                <c:pt idx="366">
                  <c:v>16966.386282277603</c:v>
                </c:pt>
                <c:pt idx="367">
                  <c:v>16993.748128235999</c:v>
                </c:pt>
                <c:pt idx="368">
                  <c:v>1216.3516009289403</c:v>
                </c:pt>
                <c:pt idx="369">
                  <c:v>9132.1901744284387</c:v>
                </c:pt>
                <c:pt idx="370">
                  <c:v>10188.924272315642</c:v>
                </c:pt>
                <c:pt idx="371">
                  <c:v>19500.92276250061</c:v>
                </c:pt>
                <c:pt idx="372">
                  <c:v>9611.7851508146105</c:v>
                </c:pt>
                <c:pt idx="373">
                  <c:v>5110.1885702572235</c:v>
                </c:pt>
                <c:pt idx="374">
                  <c:v>5373.7332077411447</c:v>
                </c:pt>
                <c:pt idx="375">
                  <c:v>20022.604360549412</c:v>
                </c:pt>
                <c:pt idx="376">
                  <c:v>14335.521141328518</c:v>
                </c:pt>
                <c:pt idx="377">
                  <c:v>4270.0700505916766</c:v>
                </c:pt>
                <c:pt idx="378">
                  <c:v>19471.910452634394</c:v>
                </c:pt>
                <c:pt idx="379">
                  <c:v>8319.5897276456981</c:v>
                </c:pt>
                <c:pt idx="380">
                  <c:v>16364.372292298565</c:v>
                </c:pt>
                <c:pt idx="381">
                  <c:v>18418.541664633049</c:v>
                </c:pt>
                <c:pt idx="382">
                  <c:v>13441.573914766874</c:v>
                </c:pt>
                <c:pt idx="383">
                  <c:v>7615.6451806113828</c:v>
                </c:pt>
                <c:pt idx="384">
                  <c:v>5111.7233140687858</c:v>
                </c:pt>
                <c:pt idx="385">
                  <c:v>16645.358181561987</c:v>
                </c:pt>
                <c:pt idx="386">
                  <c:v>6369.9765586049034</c:v>
                </c:pt>
                <c:pt idx="387">
                  <c:v>18358.764961292916</c:v>
                </c:pt>
                <c:pt idx="388">
                  <c:v>15746.016057149465</c:v>
                </c:pt>
                <c:pt idx="389">
                  <c:v>8134.38421012862</c:v>
                </c:pt>
                <c:pt idx="390">
                  <c:v>5304.8156502293286</c:v>
                </c:pt>
                <c:pt idx="391">
                  <c:v>3753.5537320391932</c:v>
                </c:pt>
                <c:pt idx="392">
                  <c:v>17381.965354801316</c:v>
                </c:pt>
                <c:pt idx="393">
                  <c:v>7410.8241118489677</c:v>
                </c:pt>
                <c:pt idx="394">
                  <c:v>17359.226581519521</c:v>
                </c:pt>
                <c:pt idx="395">
                  <c:v>21624.30220745863</c:v>
                </c:pt>
                <c:pt idx="396">
                  <c:v>16791.56870600862</c:v>
                </c:pt>
                <c:pt idx="397">
                  <c:v>13525.478179161111</c:v>
                </c:pt>
                <c:pt idx="398">
                  <c:v>15537.743404690182</c:v>
                </c:pt>
                <c:pt idx="399">
                  <c:v>13367.572612393287</c:v>
                </c:pt>
                <c:pt idx="400">
                  <c:v>773.76243950946252</c:v>
                </c:pt>
                <c:pt idx="401">
                  <c:v>1282.8590733585308</c:v>
                </c:pt>
                <c:pt idx="402">
                  <c:v>889.93056879589039</c:v>
                </c:pt>
                <c:pt idx="403">
                  <c:v>1682.2966839245557</c:v>
                </c:pt>
                <c:pt idx="404">
                  <c:v>703.69103214447557</c:v>
                </c:pt>
                <c:pt idx="405">
                  <c:v>1046.2658827564085</c:v>
                </c:pt>
                <c:pt idx="406">
                  <c:v>897.79918591358103</c:v>
                </c:pt>
                <c:pt idx="407">
                  <c:v>622.92869741844481</c:v>
                </c:pt>
                <c:pt idx="408">
                  <c:v>1416.5661404875525</c:v>
                </c:pt>
                <c:pt idx="409">
                  <c:v>2202.5966509223781</c:v>
                </c:pt>
                <c:pt idx="410">
                  <c:v>284.74299027087125</c:v>
                </c:pt>
                <c:pt idx="411">
                  <c:v>1489.0884742444073</c:v>
                </c:pt>
                <c:pt idx="412">
                  <c:v>1375.0655408814928</c:v>
                </c:pt>
                <c:pt idx="413">
                  <c:v>1194.986112078677</c:v>
                </c:pt>
                <c:pt idx="414">
                  <c:v>414.61903108092849</c:v>
                </c:pt>
                <c:pt idx="415">
                  <c:v>1636.910936623452</c:v>
                </c:pt>
                <c:pt idx="416">
                  <c:v>285.51825579657816</c:v>
                </c:pt>
                <c:pt idx="417">
                  <c:v>2194.964077187688</c:v>
                </c:pt>
                <c:pt idx="418">
                  <c:v>2192.5590771687816</c:v>
                </c:pt>
                <c:pt idx="419">
                  <c:v>1873.5486123458313</c:v>
                </c:pt>
                <c:pt idx="420">
                  <c:v>1320.0921835107874</c:v>
                </c:pt>
                <c:pt idx="421">
                  <c:v>1826.924121623674</c:v>
                </c:pt>
                <c:pt idx="422">
                  <c:v>1729.9818977534453</c:v>
                </c:pt>
                <c:pt idx="423">
                  <c:v>1401.3513497014189</c:v>
                </c:pt>
                <c:pt idx="424">
                  <c:v>1564.7206625081872</c:v>
                </c:pt>
                <c:pt idx="425">
                  <c:v>1046.3437247757508</c:v>
                </c:pt>
                <c:pt idx="426">
                  <c:v>1700.0996566675619</c:v>
                </c:pt>
                <c:pt idx="427">
                  <c:v>1679.6260554904886</c:v>
                </c:pt>
                <c:pt idx="428">
                  <c:v>2099.3567787241191</c:v>
                </c:pt>
                <c:pt idx="429">
                  <c:v>1223.8940905964896</c:v>
                </c:pt>
                <c:pt idx="430">
                  <c:v>1663.2604008937828</c:v>
                </c:pt>
                <c:pt idx="431">
                  <c:v>1545.7427769674052</c:v>
                </c:pt>
                <c:pt idx="432">
                  <c:v>678.00785546913835</c:v>
                </c:pt>
                <c:pt idx="433">
                  <c:v>627.45069884408872</c:v>
                </c:pt>
                <c:pt idx="434">
                  <c:v>1617.617367296863</c:v>
                </c:pt>
                <c:pt idx="435">
                  <c:v>986.15003575423862</c:v>
                </c:pt>
                <c:pt idx="436">
                  <c:v>1730.156763548981</c:v>
                </c:pt>
                <c:pt idx="437">
                  <c:v>1542.8445928081583</c:v>
                </c:pt>
                <c:pt idx="438">
                  <c:v>1977.2023915254706</c:v>
                </c:pt>
                <c:pt idx="439">
                  <c:v>322.73560226345552</c:v>
                </c:pt>
                <c:pt idx="440">
                  <c:v>1275.4025039341022</c:v>
                </c:pt>
                <c:pt idx="441">
                  <c:v>691.85120459072812</c:v>
                </c:pt>
                <c:pt idx="442">
                  <c:v>1782.0986076342108</c:v>
                </c:pt>
                <c:pt idx="443">
                  <c:v>852.22369310285796</c:v>
                </c:pt>
                <c:pt idx="444">
                  <c:v>330.45781918839549</c:v>
                </c:pt>
                <c:pt idx="445">
                  <c:v>1422.9121221945563</c:v>
                </c:pt>
                <c:pt idx="446">
                  <c:v>1021.6566763765353</c:v>
                </c:pt>
                <c:pt idx="447">
                  <c:v>1277.8832118512678</c:v>
                </c:pt>
                <c:pt idx="448">
                  <c:v>1598.4409779325279</c:v>
                </c:pt>
                <c:pt idx="449">
                  <c:v>1527.5471658872866</c:v>
                </c:pt>
                <c:pt idx="450">
                  <c:v>101.33792754813719</c:v>
                </c:pt>
                <c:pt idx="451">
                  <c:v>1110.7086140046815</c:v>
                </c:pt>
                <c:pt idx="452">
                  <c:v>1723.1645398701785</c:v>
                </c:pt>
                <c:pt idx="453">
                  <c:v>524.23572800660338</c:v>
                </c:pt>
                <c:pt idx="454">
                  <c:v>1047.4275436786281</c:v>
                </c:pt>
                <c:pt idx="455">
                  <c:v>2338.1601293463773</c:v>
                </c:pt>
                <c:pt idx="456">
                  <c:v>305.55685174822042</c:v>
                </c:pt>
                <c:pt idx="457">
                  <c:v>651.16316285616847</c:v>
                </c:pt>
                <c:pt idx="458">
                  <c:v>1252.2038663446008</c:v>
                </c:pt>
                <c:pt idx="459">
                  <c:v>964.66340261952621</c:v>
                </c:pt>
                <c:pt idx="460">
                  <c:v>1822.3479191639349</c:v>
                </c:pt>
                <c:pt idx="461">
                  <c:v>1180.5165197936471</c:v>
                </c:pt>
                <c:pt idx="462">
                  <c:v>1481.7147052559023</c:v>
                </c:pt>
                <c:pt idx="463">
                  <c:v>1728.1659417101348</c:v>
                </c:pt>
                <c:pt idx="464">
                  <c:v>1743.7785213090879</c:v>
                </c:pt>
                <c:pt idx="465">
                  <c:v>1575.55178653197</c:v>
                </c:pt>
                <c:pt idx="466">
                  <c:v>870.30879423374176</c:v>
                </c:pt>
                <c:pt idx="467">
                  <c:v>1828.6776334392318</c:v>
                </c:pt>
                <c:pt idx="468">
                  <c:v>526.87047831147629</c:v>
                </c:pt>
                <c:pt idx="469">
                  <c:v>1058.38853532128</c:v>
                </c:pt>
                <c:pt idx="470">
                  <c:v>1388.3738990203485</c:v>
                </c:pt>
                <c:pt idx="471">
                  <c:v>555.78369360164152</c:v>
                </c:pt>
                <c:pt idx="472">
                  <c:v>1707.8287095081844</c:v>
                </c:pt>
                <c:pt idx="473">
                  <c:v>403.61098177567845</c:v>
                </c:pt>
                <c:pt idx="474">
                  <c:v>744.07987396848182</c:v>
                </c:pt>
                <c:pt idx="475">
                  <c:v>1602.3036094691488</c:v>
                </c:pt>
                <c:pt idx="476">
                  <c:v>514.3958247389503</c:v>
                </c:pt>
                <c:pt idx="477">
                  <c:v>223.66003667914177</c:v>
                </c:pt>
                <c:pt idx="478">
                  <c:v>1151.8165795103241</c:v>
                </c:pt>
                <c:pt idx="479">
                  <c:v>1547.306609313292</c:v>
                </c:pt>
                <c:pt idx="480">
                  <c:v>1376.5530011345966</c:v>
                </c:pt>
                <c:pt idx="481">
                  <c:v>1117.8525951574925</c:v>
                </c:pt>
                <c:pt idx="482">
                  <c:v>30.550827958870414</c:v>
                </c:pt>
                <c:pt idx="483">
                  <c:v>846.01321450494504</c:v>
                </c:pt>
                <c:pt idx="484">
                  <c:v>1774.1352398470931</c:v>
                </c:pt>
                <c:pt idx="485">
                  <c:v>1118.8372185283674</c:v>
                </c:pt>
                <c:pt idx="486">
                  <c:v>953.13649792518038</c:v>
                </c:pt>
                <c:pt idx="487">
                  <c:v>1634.9834791365904</c:v>
                </c:pt>
                <c:pt idx="488">
                  <c:v>1100.9882910084752</c:v>
                </c:pt>
                <c:pt idx="489">
                  <c:v>1513.205688662239</c:v>
                </c:pt>
                <c:pt idx="490">
                  <c:v>169.72266104841913</c:v>
                </c:pt>
                <c:pt idx="491">
                  <c:v>1976.1823918988071</c:v>
                </c:pt>
                <c:pt idx="492">
                  <c:v>521.40135860035559</c:v>
                </c:pt>
                <c:pt idx="493">
                  <c:v>1443.7030729977662</c:v>
                </c:pt>
                <c:pt idx="494">
                  <c:v>1907.0400851854045</c:v>
                </c:pt>
                <c:pt idx="495">
                  <c:v>632.98991543404759</c:v>
                </c:pt>
                <c:pt idx="496">
                  <c:v>1321.7709160319341</c:v>
                </c:pt>
                <c:pt idx="497">
                  <c:v>1604.2781018127905</c:v>
                </c:pt>
                <c:pt idx="498">
                  <c:v>568.4785467566478</c:v>
                </c:pt>
                <c:pt idx="499">
                  <c:v>1110.3506525773789</c:v>
                </c:pt>
                <c:pt idx="500">
                  <c:v>128.25594655189292</c:v>
                </c:pt>
                <c:pt idx="501">
                  <c:v>56.445203403080214</c:v>
                </c:pt>
                <c:pt idx="502">
                  <c:v>208.23185374299331</c:v>
                </c:pt>
                <c:pt idx="503">
                  <c:v>137.68963072389778</c:v>
                </c:pt>
                <c:pt idx="504">
                  <c:v>102.75426927187726</c:v>
                </c:pt>
                <c:pt idx="505">
                  <c:v>135.12010920634197</c:v>
                </c:pt>
                <c:pt idx="506">
                  <c:v>138.217683776748</c:v>
                </c:pt>
                <c:pt idx="507">
                  <c:v>173.28412246759157</c:v>
                </c:pt>
                <c:pt idx="508">
                  <c:v>159.47807210043376</c:v>
                </c:pt>
                <c:pt idx="509">
                  <c:v>38.650444010383652</c:v>
                </c:pt>
                <c:pt idx="510">
                  <c:v>81.804376045487473</c:v>
                </c:pt>
                <c:pt idx="511">
                  <c:v>68.463378375360278</c:v>
                </c:pt>
                <c:pt idx="512">
                  <c:v>100.39078699400766</c:v>
                </c:pt>
                <c:pt idx="513">
                  <c:v>134.75266081842256</c:v>
                </c:pt>
                <c:pt idx="514">
                  <c:v>184.39873125004331</c:v>
                </c:pt>
                <c:pt idx="515">
                  <c:v>126.47559905326834</c:v>
                </c:pt>
                <c:pt idx="516">
                  <c:v>120.60303946283211</c:v>
                </c:pt>
                <c:pt idx="517">
                  <c:v>184.64984362951495</c:v>
                </c:pt>
                <c:pt idx="518">
                  <c:v>143.60510107138953</c:v>
                </c:pt>
                <c:pt idx="519">
                  <c:v>190.47134075402033</c:v>
                </c:pt>
                <c:pt idx="520">
                  <c:v>139.57512820071713</c:v>
                </c:pt>
                <c:pt idx="521">
                  <c:v>73.100761595006517</c:v>
                </c:pt>
                <c:pt idx="522">
                  <c:v>59.967693802533695</c:v>
                </c:pt>
                <c:pt idx="523">
                  <c:v>196.26480702375881</c:v>
                </c:pt>
                <c:pt idx="524">
                  <c:v>113.16595827180572</c:v>
                </c:pt>
                <c:pt idx="525">
                  <c:v>25.694169192773785</c:v>
                </c:pt>
                <c:pt idx="526">
                  <c:v>34.408548250924255</c:v>
                </c:pt>
                <c:pt idx="527">
                  <c:v>157.66752088197973</c:v>
                </c:pt>
                <c:pt idx="528">
                  <c:v>106.74447548968408</c:v>
                </c:pt>
                <c:pt idx="529">
                  <c:v>196.75462940148694</c:v>
                </c:pt>
                <c:pt idx="530">
                  <c:v>167.52107704563099</c:v>
                </c:pt>
                <c:pt idx="531">
                  <c:v>70.062401634028944</c:v>
                </c:pt>
                <c:pt idx="532">
                  <c:v>77.558266900219024</c:v>
                </c:pt>
                <c:pt idx="533">
                  <c:v>73.722182870661555</c:v>
                </c:pt>
                <c:pt idx="534">
                  <c:v>165.81532545260799</c:v>
                </c:pt>
                <c:pt idx="535">
                  <c:v>252.98217913313314</c:v>
                </c:pt>
                <c:pt idx="536">
                  <c:v>82.638110836408856</c:v>
                </c:pt>
                <c:pt idx="537">
                  <c:v>26.537332232718139</c:v>
                </c:pt>
                <c:pt idx="538">
                  <c:v>187.28903029419109</c:v>
                </c:pt>
                <c:pt idx="539">
                  <c:v>206.36354689335883</c:v>
                </c:pt>
                <c:pt idx="540">
                  <c:v>208.88065649655363</c:v>
                </c:pt>
                <c:pt idx="541">
                  <c:v>159.93204219708349</c:v>
                </c:pt>
                <c:pt idx="542">
                  <c:v>165.51477200555357</c:v>
                </c:pt>
                <c:pt idx="543">
                  <c:v>19.990109794983621</c:v>
                </c:pt>
                <c:pt idx="544">
                  <c:v>115.4195504179952</c:v>
                </c:pt>
                <c:pt idx="545">
                  <c:v>46.035839242573068</c:v>
                </c:pt>
                <c:pt idx="546">
                  <c:v>172.08215695842966</c:v>
                </c:pt>
                <c:pt idx="547">
                  <c:v>139.00373811107798</c:v>
                </c:pt>
                <c:pt idx="548">
                  <c:v>182.30283366513373</c:v>
                </c:pt>
                <c:pt idx="549">
                  <c:v>58.570633741418384</c:v>
                </c:pt>
                <c:pt idx="550">
                  <c:v>161.74106371125316</c:v>
                </c:pt>
                <c:pt idx="551">
                  <c:v>132.12990703359623</c:v>
                </c:pt>
                <c:pt idx="552">
                  <c:v>91.931713414637457</c:v>
                </c:pt>
                <c:pt idx="553">
                  <c:v>124.88485388161463</c:v>
                </c:pt>
                <c:pt idx="554">
                  <c:v>84.135672707294503</c:v>
                </c:pt>
                <c:pt idx="555">
                  <c:v>75.547929214841901</c:v>
                </c:pt>
                <c:pt idx="556">
                  <c:v>120.34492456169227</c:v>
                </c:pt>
                <c:pt idx="557">
                  <c:v>167.63816688060908</c:v>
                </c:pt>
                <c:pt idx="558">
                  <c:v>166.39954424068105</c:v>
                </c:pt>
                <c:pt idx="559">
                  <c:v>165.61123901208748</c:v>
                </c:pt>
                <c:pt idx="560">
                  <c:v>97.155290869190623</c:v>
                </c:pt>
                <c:pt idx="561">
                  <c:v>73.626350988676307</c:v>
                </c:pt>
                <c:pt idx="562">
                  <c:v>169.80240877546649</c:v>
                </c:pt>
                <c:pt idx="563">
                  <c:v>176.58380303743425</c:v>
                </c:pt>
                <c:pt idx="564">
                  <c:v>14.683644895504811</c:v>
                </c:pt>
                <c:pt idx="565">
                  <c:v>107.22667329992846</c:v>
                </c:pt>
                <c:pt idx="566">
                  <c:v>69.349802458496697</c:v>
                </c:pt>
                <c:pt idx="567">
                  <c:v>170.33683732597243</c:v>
                </c:pt>
                <c:pt idx="568">
                  <c:v>176.43302911577695</c:v>
                </c:pt>
                <c:pt idx="569">
                  <c:v>188.32960999638323</c:v>
                </c:pt>
                <c:pt idx="570">
                  <c:v>156.45400630144141</c:v>
                </c:pt>
                <c:pt idx="571">
                  <c:v>30.117025018583089</c:v>
                </c:pt>
                <c:pt idx="572">
                  <c:v>18.320888150148178</c:v>
                </c:pt>
                <c:pt idx="573">
                  <c:v>103.27112550698125</c:v>
                </c:pt>
                <c:pt idx="574">
                  <c:v>121.69186981889999</c:v>
                </c:pt>
                <c:pt idx="575">
                  <c:v>149.51739437906389</c:v>
                </c:pt>
                <c:pt idx="576">
                  <c:v>139.51793737524022</c:v>
                </c:pt>
                <c:pt idx="577">
                  <c:v>61.272036702976337</c:v>
                </c:pt>
                <c:pt idx="578">
                  <c:v>199.1089054685655</c:v>
                </c:pt>
                <c:pt idx="579">
                  <c:v>44.5652603052187</c:v>
                </c:pt>
                <c:pt idx="580">
                  <c:v>104.18029509837301</c:v>
                </c:pt>
                <c:pt idx="581">
                  <c:v>171.30354317168602</c:v>
                </c:pt>
                <c:pt idx="582">
                  <c:v>104.76073571270263</c:v>
                </c:pt>
                <c:pt idx="583">
                  <c:v>104.86770920542324</c:v>
                </c:pt>
                <c:pt idx="584">
                  <c:v>114.43493859394981</c:v>
                </c:pt>
                <c:pt idx="585">
                  <c:v>151.93178204365532</c:v>
                </c:pt>
                <c:pt idx="586">
                  <c:v>189.52997083389965</c:v>
                </c:pt>
                <c:pt idx="587">
                  <c:v>64.937933374724224</c:v>
                </c:pt>
                <c:pt idx="588">
                  <c:v>83.126880667105482</c:v>
                </c:pt>
                <c:pt idx="589">
                  <c:v>69.30472601103088</c:v>
                </c:pt>
                <c:pt idx="590">
                  <c:v>54.736562173851482</c:v>
                </c:pt>
                <c:pt idx="591">
                  <c:v>105.5633608772051</c:v>
                </c:pt>
                <c:pt idx="592">
                  <c:v>102.74428044163758</c:v>
                </c:pt>
                <c:pt idx="593">
                  <c:v>172.65115033582131</c:v>
                </c:pt>
                <c:pt idx="594">
                  <c:v>127.52767422827702</c:v>
                </c:pt>
                <c:pt idx="595">
                  <c:v>23.987302050740908</c:v>
                </c:pt>
                <c:pt idx="596">
                  <c:v>228.92156304120161</c:v>
                </c:pt>
                <c:pt idx="597">
                  <c:v>119.53929249529321</c:v>
                </c:pt>
                <c:pt idx="598">
                  <c:v>24.30250794273762</c:v>
                </c:pt>
                <c:pt idx="599">
                  <c:v>87.073914006705095</c:v>
                </c:pt>
              </c:numCache>
            </c:numRef>
          </c:xVal>
          <c:yVal>
            <c:numRef>
              <c:f>Inverse!$W$3:$W$602</c:f>
              <c:numCache>
                <c:formatCode>0.00000000</c:formatCode>
                <c:ptCount val="600"/>
                <c:pt idx="0">
                  <c:v>2.2168933355715126E-12</c:v>
                </c:pt>
                <c:pt idx="1">
                  <c:v>2.035278612311231E-10</c:v>
                </c:pt>
                <c:pt idx="2">
                  <c:v>4.6043169277254492E-12</c:v>
                </c:pt>
                <c:pt idx="3">
                  <c:v>1.6110757172782542E-10</c:v>
                </c:pt>
                <c:pt idx="4">
                  <c:v>1.8388846001471393E-10</c:v>
                </c:pt>
                <c:pt idx="5">
                  <c:v>4.3556269702094141E-12</c:v>
                </c:pt>
                <c:pt idx="6">
                  <c:v>3.2628122426103801E-11</c:v>
                </c:pt>
                <c:pt idx="7">
                  <c:v>1.6507328837178648E-10</c:v>
                </c:pt>
                <c:pt idx="8">
                  <c:v>1.3762075923295924E-9</c:v>
                </c:pt>
                <c:pt idx="9">
                  <c:v>6.6940231135959039E-11</c:v>
                </c:pt>
                <c:pt idx="10">
                  <c:v>1.9832668840535916E-10</c:v>
                </c:pt>
                <c:pt idx="11">
                  <c:v>2.319211489520967E-11</c:v>
                </c:pt>
                <c:pt idx="12">
                  <c:v>5.8832938520936295E-12</c:v>
                </c:pt>
                <c:pt idx="13">
                  <c:v>5.7411853049416095E-12</c:v>
                </c:pt>
                <c:pt idx="14">
                  <c:v>1.4154011296341196E-11</c:v>
                </c:pt>
                <c:pt idx="15">
                  <c:v>5.5429438816645415E-11</c:v>
                </c:pt>
                <c:pt idx="16">
                  <c:v>1.0881251455430174E-10</c:v>
                </c:pt>
                <c:pt idx="17">
                  <c:v>2.4291679778798425E-13</c:v>
                </c:pt>
                <c:pt idx="18">
                  <c:v>4.5595527353725629E-11</c:v>
                </c:pt>
                <c:pt idx="19">
                  <c:v>9.2214236246945802E-11</c:v>
                </c:pt>
                <c:pt idx="20">
                  <c:v>2.3362645151792094E-11</c:v>
                </c:pt>
                <c:pt idx="21">
                  <c:v>6.3082872259201395E-13</c:v>
                </c:pt>
                <c:pt idx="22">
                  <c:v>1.674038685450796E-11</c:v>
                </c:pt>
                <c:pt idx="23">
                  <c:v>1.2973799812243669E-10</c:v>
                </c:pt>
                <c:pt idx="24">
                  <c:v>1.8587797967484221E-11</c:v>
                </c:pt>
                <c:pt idx="25">
                  <c:v>8.8988372226594947E-11</c:v>
                </c:pt>
                <c:pt idx="26">
                  <c:v>4.7748471843078732E-12</c:v>
                </c:pt>
                <c:pt idx="27">
                  <c:v>1.9895196601282805E-11</c:v>
                </c:pt>
                <c:pt idx="28">
                  <c:v>2.7284841053187847E-12</c:v>
                </c:pt>
                <c:pt idx="29">
                  <c:v>1.808189153962303E-10</c:v>
                </c:pt>
                <c:pt idx="30">
                  <c:v>9.6797236892598448E-11</c:v>
                </c:pt>
                <c:pt idx="31">
                  <c:v>7.2418515628669411E-11</c:v>
                </c:pt>
                <c:pt idx="32">
                  <c:v>1.1624479157035239E-11</c:v>
                </c:pt>
                <c:pt idx="33">
                  <c:v>2.1449864107125904E-10</c:v>
                </c:pt>
                <c:pt idx="34">
                  <c:v>2.5579538487363607E-12</c:v>
                </c:pt>
                <c:pt idx="35">
                  <c:v>2.9274360713316128E-12</c:v>
                </c:pt>
                <c:pt idx="36">
                  <c:v>1.382716163789155E-10</c:v>
                </c:pt>
                <c:pt idx="37">
                  <c:v>6.0026650317013264E-11</c:v>
                </c:pt>
                <c:pt idx="38">
                  <c:v>3.7699976473959396E-10</c:v>
                </c:pt>
                <c:pt idx="39">
                  <c:v>3.7914560380158946E-11</c:v>
                </c:pt>
                <c:pt idx="40">
                  <c:v>2.7426949600339867E-10</c:v>
                </c:pt>
                <c:pt idx="41">
                  <c:v>1.7053025658242404E-12</c:v>
                </c:pt>
                <c:pt idx="42">
                  <c:v>2.6034285838250071E-11</c:v>
                </c:pt>
                <c:pt idx="43">
                  <c:v>3.1747049433761276E-11</c:v>
                </c:pt>
                <c:pt idx="44">
                  <c:v>1.2785505987267243E-10</c:v>
                </c:pt>
                <c:pt idx="45">
                  <c:v>0</c:v>
                </c:pt>
                <c:pt idx="46">
                  <c:v>4.0643044485477731E-12</c:v>
                </c:pt>
                <c:pt idx="47">
                  <c:v>6.7217342802905478E-11</c:v>
                </c:pt>
                <c:pt idx="48">
                  <c:v>2.8956037567695603E-10</c:v>
                </c:pt>
                <c:pt idx="49">
                  <c:v>1.9895196601282805E-12</c:v>
                </c:pt>
                <c:pt idx="50">
                  <c:v>2.6068391889566556E-10</c:v>
                </c:pt>
                <c:pt idx="51">
                  <c:v>2.7220892206969438E-11</c:v>
                </c:pt>
                <c:pt idx="52">
                  <c:v>1.6831336324685253E-10</c:v>
                </c:pt>
                <c:pt idx="53">
                  <c:v>9.3848484539194033E-11</c:v>
                </c:pt>
                <c:pt idx="54">
                  <c:v>5.2646775827724923E-13</c:v>
                </c:pt>
                <c:pt idx="55">
                  <c:v>9.9298347322474001E-12</c:v>
                </c:pt>
                <c:pt idx="56">
                  <c:v>6.6873440118797589E-10</c:v>
                </c:pt>
                <c:pt idx="57">
                  <c:v>1.0751932677521836E-10</c:v>
                </c:pt>
                <c:pt idx="58">
                  <c:v>6.1675109463976696E-12</c:v>
                </c:pt>
                <c:pt idx="59">
                  <c:v>7.7420736488420516E-11</c:v>
                </c:pt>
                <c:pt idx="60">
                  <c:v>2.3874235921539366E-12</c:v>
                </c:pt>
                <c:pt idx="61">
                  <c:v>3.2002844818634912E-11</c:v>
                </c:pt>
                <c:pt idx="62">
                  <c:v>2.3135271476348862E-11</c:v>
                </c:pt>
                <c:pt idx="63">
                  <c:v>6.1838534293201519E-11</c:v>
                </c:pt>
                <c:pt idx="64">
                  <c:v>4.4792614062316716E-11</c:v>
                </c:pt>
                <c:pt idx="65">
                  <c:v>5.6843418860808015E-13</c:v>
                </c:pt>
                <c:pt idx="66">
                  <c:v>8.1683992902981117E-11</c:v>
                </c:pt>
                <c:pt idx="67">
                  <c:v>3.9619862945983186E-11</c:v>
                </c:pt>
                <c:pt idx="68">
                  <c:v>5.1386450650170445E-11</c:v>
                </c:pt>
                <c:pt idx="69">
                  <c:v>9.0579987954697572E-11</c:v>
                </c:pt>
                <c:pt idx="70">
                  <c:v>4.3289816176184104E-11</c:v>
                </c:pt>
                <c:pt idx="71">
                  <c:v>8.8107299234252423E-13</c:v>
                </c:pt>
                <c:pt idx="72">
                  <c:v>4.5901060730102472E-11</c:v>
                </c:pt>
                <c:pt idx="73">
                  <c:v>1.3073986337985843E-12</c:v>
                </c:pt>
                <c:pt idx="74">
                  <c:v>1.5347723092418164E-12</c:v>
                </c:pt>
                <c:pt idx="75">
                  <c:v>3.2173375075217336E-10</c:v>
                </c:pt>
                <c:pt idx="76">
                  <c:v>1.3045564628555439E-11</c:v>
                </c:pt>
                <c:pt idx="77">
                  <c:v>1.1019096746167634E-10</c:v>
                </c:pt>
                <c:pt idx="78">
                  <c:v>3.1036506698001176E-11</c:v>
                </c:pt>
                <c:pt idx="79">
                  <c:v>3.0695446184836328E-12</c:v>
                </c:pt>
                <c:pt idx="80">
                  <c:v>1.1093277407780988E-9</c:v>
                </c:pt>
                <c:pt idx="81">
                  <c:v>2.0150991986156441E-11</c:v>
                </c:pt>
                <c:pt idx="82">
                  <c:v>2.5327295816168771E-11</c:v>
                </c:pt>
                <c:pt idx="83">
                  <c:v>3.8596681406488642E-11</c:v>
                </c:pt>
                <c:pt idx="84">
                  <c:v>6.0662586065518553E-13</c:v>
                </c:pt>
                <c:pt idx="85">
                  <c:v>5.5138116294983774E-12</c:v>
                </c:pt>
                <c:pt idx="86">
                  <c:v>2.4334667614311911E-10</c:v>
                </c:pt>
                <c:pt idx="87">
                  <c:v>4.1211478674085811E-12</c:v>
                </c:pt>
                <c:pt idx="88">
                  <c:v>2.8677504815277644E-11</c:v>
                </c:pt>
                <c:pt idx="89">
                  <c:v>2.950173438875936E-11</c:v>
                </c:pt>
                <c:pt idx="90">
                  <c:v>1.3073986337985843E-12</c:v>
                </c:pt>
                <c:pt idx="91">
                  <c:v>5.6445514928782359E-11</c:v>
                </c:pt>
                <c:pt idx="92">
                  <c:v>1.9895196601282805E-11</c:v>
                </c:pt>
                <c:pt idx="93">
                  <c:v>2.9729108064202592E-11</c:v>
                </c:pt>
                <c:pt idx="94">
                  <c:v>2.5852386897895485E-10</c:v>
                </c:pt>
                <c:pt idx="95">
                  <c:v>6.6222582972841337E-12</c:v>
                </c:pt>
                <c:pt idx="96">
                  <c:v>8.2309270510450006E-11</c:v>
                </c:pt>
                <c:pt idx="97">
                  <c:v>2.2015456124790944E-10</c:v>
                </c:pt>
                <c:pt idx="98">
                  <c:v>6.5369931689929217E-12</c:v>
                </c:pt>
                <c:pt idx="99">
                  <c:v>5.3322679605116718E-11</c:v>
                </c:pt>
                <c:pt idx="100">
                  <c:v>5.581846096447407E-11</c:v>
                </c:pt>
                <c:pt idx="101">
                  <c:v>7.1679551183478907E-11</c:v>
                </c:pt>
                <c:pt idx="102">
                  <c:v>8.4128259913995862E-12</c:v>
                </c:pt>
                <c:pt idx="103">
                  <c:v>3.6337155506771524E-11</c:v>
                </c:pt>
                <c:pt idx="104">
                  <c:v>6.5483618527650833E-11</c:v>
                </c:pt>
                <c:pt idx="105">
                  <c:v>2.1884716261411086E-11</c:v>
                </c:pt>
                <c:pt idx="106">
                  <c:v>4.0252245980809676E-12</c:v>
                </c:pt>
                <c:pt idx="107">
                  <c:v>4.5645265345228836E-11</c:v>
                </c:pt>
                <c:pt idx="108">
                  <c:v>4.0657255340192933E-11</c:v>
                </c:pt>
                <c:pt idx="109">
                  <c:v>6.0595084505621344E-11</c:v>
                </c:pt>
                <c:pt idx="110">
                  <c:v>1.8832224668585695E-10</c:v>
                </c:pt>
                <c:pt idx="111">
                  <c:v>8.4803275512967957E-11</c:v>
                </c:pt>
                <c:pt idx="112">
                  <c:v>6.8894223659299314E-11</c:v>
                </c:pt>
                <c:pt idx="113">
                  <c:v>9.2086338554508984E-12</c:v>
                </c:pt>
                <c:pt idx="114">
                  <c:v>4.779820983458194E-11</c:v>
                </c:pt>
                <c:pt idx="115">
                  <c:v>3.0482283364108298E-10</c:v>
                </c:pt>
                <c:pt idx="116">
                  <c:v>1.0518874660192523E-10</c:v>
                </c:pt>
                <c:pt idx="117">
                  <c:v>3.3168134905281477E-11</c:v>
                </c:pt>
                <c:pt idx="118">
                  <c:v>2.6560087462712545E-11</c:v>
                </c:pt>
                <c:pt idx="119">
                  <c:v>9.6292751550208777E-11</c:v>
                </c:pt>
                <c:pt idx="120">
                  <c:v>4.2916781239910051E-12</c:v>
                </c:pt>
                <c:pt idx="121">
                  <c:v>8.5265128291212022E-14</c:v>
                </c:pt>
                <c:pt idx="122">
                  <c:v>4.0927261579781771E-12</c:v>
                </c:pt>
                <c:pt idx="123">
                  <c:v>2.1032064978498966E-12</c:v>
                </c:pt>
                <c:pt idx="124">
                  <c:v>7.4162898044960457E-14</c:v>
                </c:pt>
                <c:pt idx="125">
                  <c:v>1.3812950783176348E-11</c:v>
                </c:pt>
                <c:pt idx="126">
                  <c:v>1.1368683772161603E-12</c:v>
                </c:pt>
                <c:pt idx="127">
                  <c:v>6.801315066695679E-11</c:v>
                </c:pt>
                <c:pt idx="128">
                  <c:v>1.3585577107733116E-11</c:v>
                </c:pt>
                <c:pt idx="129">
                  <c:v>2.8990143619012088E-12</c:v>
                </c:pt>
                <c:pt idx="130">
                  <c:v>1.5003109865574515E-11</c:v>
                </c:pt>
                <c:pt idx="131">
                  <c:v>1.0591350019240053E-10</c:v>
                </c:pt>
                <c:pt idx="132">
                  <c:v>0</c:v>
                </c:pt>
                <c:pt idx="133">
                  <c:v>5.1159076974727213E-12</c:v>
                </c:pt>
                <c:pt idx="134">
                  <c:v>1.0470557754160836E-10</c:v>
                </c:pt>
                <c:pt idx="135">
                  <c:v>8.1371354099246673E-11</c:v>
                </c:pt>
                <c:pt idx="136">
                  <c:v>1.0743406164692715E-11</c:v>
                </c:pt>
                <c:pt idx="137">
                  <c:v>1.6484591469634324E-11</c:v>
                </c:pt>
                <c:pt idx="138">
                  <c:v>2.97859514830634E-11</c:v>
                </c:pt>
                <c:pt idx="139">
                  <c:v>6.7487349042494316E-11</c:v>
                </c:pt>
                <c:pt idx="140">
                  <c:v>9.836753633862827E-11</c:v>
                </c:pt>
                <c:pt idx="141">
                  <c:v>6.8212102632969618E-12</c:v>
                </c:pt>
                <c:pt idx="142">
                  <c:v>2.134470378223341E-11</c:v>
                </c:pt>
                <c:pt idx="143">
                  <c:v>8.5265128291212022E-13</c:v>
                </c:pt>
                <c:pt idx="144">
                  <c:v>1.4807710613240488E-11</c:v>
                </c:pt>
                <c:pt idx="145">
                  <c:v>1.0800249583553523E-11</c:v>
                </c:pt>
                <c:pt idx="146">
                  <c:v>9.00683971849503E-11</c:v>
                </c:pt>
                <c:pt idx="147">
                  <c:v>8.9841023509507068E-11</c:v>
                </c:pt>
                <c:pt idx="148">
                  <c:v>7.673861546209082E-13</c:v>
                </c:pt>
                <c:pt idx="149">
                  <c:v>3.2173375075217336E-11</c:v>
                </c:pt>
                <c:pt idx="150">
                  <c:v>1.0467715583217796E-10</c:v>
                </c:pt>
                <c:pt idx="151">
                  <c:v>1.1385736797819845E-10</c:v>
                </c:pt>
                <c:pt idx="152">
                  <c:v>1.5916157281026244E-12</c:v>
                </c:pt>
                <c:pt idx="153">
                  <c:v>1.5161205624281138E-12</c:v>
                </c:pt>
                <c:pt idx="154">
                  <c:v>1.6257217794191092E-11</c:v>
                </c:pt>
                <c:pt idx="155">
                  <c:v>1.0089706847793423E-11</c:v>
                </c:pt>
                <c:pt idx="156">
                  <c:v>5.0022208597511053E-12</c:v>
                </c:pt>
                <c:pt idx="157">
                  <c:v>1.9326762412674725E-12</c:v>
                </c:pt>
                <c:pt idx="158">
                  <c:v>5.2244431003600766E-11</c:v>
                </c:pt>
                <c:pt idx="159">
                  <c:v>9.7788444008983788E-13</c:v>
                </c:pt>
                <c:pt idx="160">
                  <c:v>1.3130829756846651E-11</c:v>
                </c:pt>
                <c:pt idx="161">
                  <c:v>9.8765440270653926E-11</c:v>
                </c:pt>
                <c:pt idx="162">
                  <c:v>5.0022208597511053E-12</c:v>
                </c:pt>
                <c:pt idx="163">
                  <c:v>4.5162096284911968E-11</c:v>
                </c:pt>
                <c:pt idx="164">
                  <c:v>5.8264504332328215E-12</c:v>
                </c:pt>
                <c:pt idx="165">
                  <c:v>9.4360075308941305E-11</c:v>
                </c:pt>
                <c:pt idx="166">
                  <c:v>2.6489033189136535E-11</c:v>
                </c:pt>
                <c:pt idx="167">
                  <c:v>2.8052227207808755E-11</c:v>
                </c:pt>
                <c:pt idx="168">
                  <c:v>6.5341509980498813E-11</c:v>
                </c:pt>
                <c:pt idx="169">
                  <c:v>4.0358827391173691E-12</c:v>
                </c:pt>
                <c:pt idx="170">
                  <c:v>6.0488503095257329E-11</c:v>
                </c:pt>
                <c:pt idx="171">
                  <c:v>2.4428459255432244E-11</c:v>
                </c:pt>
                <c:pt idx="172">
                  <c:v>8.0881079611572204E-11</c:v>
                </c:pt>
                <c:pt idx="173">
                  <c:v>3.858247055177344E-12</c:v>
                </c:pt>
                <c:pt idx="174">
                  <c:v>4.8231640903395601E-11</c:v>
                </c:pt>
                <c:pt idx="175">
                  <c:v>1.0231815394945443E-12</c:v>
                </c:pt>
                <c:pt idx="176">
                  <c:v>7.1366912379744463E-11</c:v>
                </c:pt>
                <c:pt idx="177">
                  <c:v>2.0463630789890885E-12</c:v>
                </c:pt>
                <c:pt idx="178">
                  <c:v>1.0061285138363019E-11</c:v>
                </c:pt>
                <c:pt idx="179">
                  <c:v>6.9377392719616182E-11</c:v>
                </c:pt>
                <c:pt idx="180">
                  <c:v>1.2434497875801753E-13</c:v>
                </c:pt>
                <c:pt idx="181">
                  <c:v>6.3458571730734548E-11</c:v>
                </c:pt>
                <c:pt idx="182">
                  <c:v>1.7621459846850485E-12</c:v>
                </c:pt>
                <c:pt idx="183">
                  <c:v>3.2400748750660568E-12</c:v>
                </c:pt>
                <c:pt idx="184">
                  <c:v>9.0949470177292824E-13</c:v>
                </c:pt>
                <c:pt idx="185">
                  <c:v>8.7538865045644343E-12</c:v>
                </c:pt>
                <c:pt idx="186">
                  <c:v>4.7833736971369945E-11</c:v>
                </c:pt>
                <c:pt idx="187">
                  <c:v>5.1187498684157617E-11</c:v>
                </c:pt>
                <c:pt idx="188">
                  <c:v>3.7653435924767109E-11</c:v>
                </c:pt>
                <c:pt idx="189">
                  <c:v>5.1159076974727213E-12</c:v>
                </c:pt>
                <c:pt idx="190">
                  <c:v>1.2633449841814581E-11</c:v>
                </c:pt>
                <c:pt idx="191">
                  <c:v>5.1727511163335294E-12</c:v>
                </c:pt>
                <c:pt idx="192">
                  <c:v>9.6349594969069585E-12</c:v>
                </c:pt>
                <c:pt idx="193">
                  <c:v>1.9014123608940281E-11</c:v>
                </c:pt>
                <c:pt idx="194">
                  <c:v>8.8320462054980453E-12</c:v>
                </c:pt>
                <c:pt idx="195">
                  <c:v>5.8999916063839919E-11</c:v>
                </c:pt>
                <c:pt idx="196">
                  <c:v>2.0463630789890885E-12</c:v>
                </c:pt>
                <c:pt idx="197">
                  <c:v>9.5980112746474333E-11</c:v>
                </c:pt>
                <c:pt idx="198">
                  <c:v>3.4279423744010273E-10</c:v>
                </c:pt>
                <c:pt idx="199">
                  <c:v>9.0949470177292824E-13</c:v>
                </c:pt>
                <c:pt idx="200">
                  <c:v>5.035332151237526E-10</c:v>
                </c:pt>
                <c:pt idx="201">
                  <c:v>7.474909580196254E-11</c:v>
                </c:pt>
                <c:pt idx="202">
                  <c:v>7.3064398975475342E-10</c:v>
                </c:pt>
                <c:pt idx="203">
                  <c:v>2.8421709430404007E-13</c:v>
                </c:pt>
                <c:pt idx="204">
                  <c:v>2.8421709430404007E-13</c:v>
                </c:pt>
                <c:pt idx="205">
                  <c:v>4.8471804348082514E-10</c:v>
                </c:pt>
                <c:pt idx="206">
                  <c:v>6.0840932292194339E-10</c:v>
                </c:pt>
                <c:pt idx="207">
                  <c:v>5.9495164350664709E-10</c:v>
                </c:pt>
                <c:pt idx="208">
                  <c:v>2.9233859777377802E-10</c:v>
                </c:pt>
                <c:pt idx="209">
                  <c:v>3.1263880373444408E-13</c:v>
                </c:pt>
                <c:pt idx="210">
                  <c:v>2.1671553440683056E-11</c:v>
                </c:pt>
                <c:pt idx="211">
                  <c:v>2.8478552849264815E-10</c:v>
                </c:pt>
                <c:pt idx="212">
                  <c:v>9.4416918727802113E-11</c:v>
                </c:pt>
                <c:pt idx="213">
                  <c:v>1.1322356385790044E-9</c:v>
                </c:pt>
                <c:pt idx="214">
                  <c:v>4.7180037654470652E-12</c:v>
                </c:pt>
                <c:pt idx="215">
                  <c:v>8.8817841970012523E-12</c:v>
                </c:pt>
                <c:pt idx="216">
                  <c:v>1.2344969491095981E-9</c:v>
                </c:pt>
                <c:pt idx="217">
                  <c:v>2.2566837287740782E-11</c:v>
                </c:pt>
                <c:pt idx="218">
                  <c:v>7.2475359047530219E-12</c:v>
                </c:pt>
                <c:pt idx="219">
                  <c:v>2.1032064978498966E-12</c:v>
                </c:pt>
                <c:pt idx="220">
                  <c:v>3.3026026358129457E-11</c:v>
                </c:pt>
                <c:pt idx="221">
                  <c:v>2.0179413695586845E-12</c:v>
                </c:pt>
                <c:pt idx="222">
                  <c:v>4.3855763465217024E-10</c:v>
                </c:pt>
                <c:pt idx="223">
                  <c:v>1.8758328224066645E-12</c:v>
                </c:pt>
                <c:pt idx="224">
                  <c:v>3.5631941841529624E-10</c:v>
                </c:pt>
                <c:pt idx="225">
                  <c:v>2.255262643302558E-10</c:v>
                </c:pt>
                <c:pt idx="226">
                  <c:v>9.1461060947040096E-11</c:v>
                </c:pt>
                <c:pt idx="227">
                  <c:v>1.5916157281026244E-12</c:v>
                </c:pt>
                <c:pt idx="228">
                  <c:v>1.0034284514404135E-10</c:v>
                </c:pt>
                <c:pt idx="229">
                  <c:v>2.0182255866529886E-10</c:v>
                </c:pt>
                <c:pt idx="230">
                  <c:v>9.7713837021728978E-11</c:v>
                </c:pt>
                <c:pt idx="231">
                  <c:v>2.7540636438061483E-11</c:v>
                </c:pt>
                <c:pt idx="232">
                  <c:v>9.2597929324256256E-11</c:v>
                </c:pt>
                <c:pt idx="233">
                  <c:v>8.4534335087482759E-10</c:v>
                </c:pt>
                <c:pt idx="234">
                  <c:v>4.0996894767886261E-10</c:v>
                </c:pt>
                <c:pt idx="235">
                  <c:v>7.3328010330442339E-12</c:v>
                </c:pt>
                <c:pt idx="236">
                  <c:v>1.6427748050773516E-11</c:v>
                </c:pt>
                <c:pt idx="237">
                  <c:v>1.5074519410518405E-10</c:v>
                </c:pt>
                <c:pt idx="238">
                  <c:v>4.0378367316407093E-11</c:v>
                </c:pt>
                <c:pt idx="239">
                  <c:v>3.2116531656356528E-12</c:v>
                </c:pt>
                <c:pt idx="240">
                  <c:v>6.6506800067145377E-12</c:v>
                </c:pt>
                <c:pt idx="241">
                  <c:v>8.3042550613754429E-10</c:v>
                </c:pt>
                <c:pt idx="242">
                  <c:v>1.8808010704418621E-12</c:v>
                </c:pt>
                <c:pt idx="243">
                  <c:v>5.3385562637231487E-10</c:v>
                </c:pt>
                <c:pt idx="244">
                  <c:v>1.0746603607003635E-10</c:v>
                </c:pt>
                <c:pt idx="245">
                  <c:v>1.0629719326971099E-11</c:v>
                </c:pt>
                <c:pt idx="246">
                  <c:v>1.5725731827842537E-10</c:v>
                </c:pt>
                <c:pt idx="247">
                  <c:v>4.5332626541494392E-12</c:v>
                </c:pt>
                <c:pt idx="248">
                  <c:v>8.4696694102603942E-12</c:v>
                </c:pt>
                <c:pt idx="249">
                  <c:v>5.6843418860808015E-12</c:v>
                </c:pt>
                <c:pt idx="250">
                  <c:v>3.7573499866994098E-11</c:v>
                </c:pt>
                <c:pt idx="251">
                  <c:v>6.2519234234059695E-10</c:v>
                </c:pt>
                <c:pt idx="252">
                  <c:v>1.2747989330819109E-9</c:v>
                </c:pt>
                <c:pt idx="253">
                  <c:v>1.3210410543251783E-10</c:v>
                </c:pt>
                <c:pt idx="254">
                  <c:v>7.3896444519050419E-13</c:v>
                </c:pt>
                <c:pt idx="255">
                  <c:v>6.3380412029800937E-12</c:v>
                </c:pt>
                <c:pt idx="256">
                  <c:v>2.8800215545743413E-9</c:v>
                </c:pt>
                <c:pt idx="257">
                  <c:v>1.1652900866465643E-11</c:v>
                </c:pt>
                <c:pt idx="258">
                  <c:v>1.7152217424154514E-9</c:v>
                </c:pt>
                <c:pt idx="259">
                  <c:v>5.8548721426632255E-12</c:v>
                </c:pt>
                <c:pt idx="260">
                  <c:v>4.5315573515836149E-10</c:v>
                </c:pt>
                <c:pt idx="261">
                  <c:v>4.8316906031686813E-13</c:v>
                </c:pt>
                <c:pt idx="262">
                  <c:v>4.3769432522822171E-11</c:v>
                </c:pt>
                <c:pt idx="263">
                  <c:v>2.1258514948385709E-9</c:v>
                </c:pt>
                <c:pt idx="264">
                  <c:v>2.1782895487376663E-9</c:v>
                </c:pt>
                <c:pt idx="265">
                  <c:v>8.1058715295512229E-10</c:v>
                </c:pt>
                <c:pt idx="266">
                  <c:v>1.2889245226688217E-11</c:v>
                </c:pt>
                <c:pt idx="267">
                  <c:v>1.8140156043955358E-11</c:v>
                </c:pt>
                <c:pt idx="268">
                  <c:v>2.5983126761275344E-10</c:v>
                </c:pt>
                <c:pt idx="269">
                  <c:v>4.5662318370887078E-10</c:v>
                </c:pt>
                <c:pt idx="270">
                  <c:v>1.0004441719502211E-11</c:v>
                </c:pt>
                <c:pt idx="271">
                  <c:v>4.7180037654470652E-12</c:v>
                </c:pt>
                <c:pt idx="272">
                  <c:v>7.3822548074531369E-10</c:v>
                </c:pt>
                <c:pt idx="273">
                  <c:v>2.1259438653942198E-11</c:v>
                </c:pt>
                <c:pt idx="274">
                  <c:v>7.0485839387401938E-12</c:v>
                </c:pt>
                <c:pt idx="275">
                  <c:v>8.0149220593739301E-12</c:v>
                </c:pt>
                <c:pt idx="276">
                  <c:v>7.0457417677971534E-11</c:v>
                </c:pt>
                <c:pt idx="277">
                  <c:v>9.3450580607168376E-11</c:v>
                </c:pt>
                <c:pt idx="278">
                  <c:v>3.3082869776990265E-11</c:v>
                </c:pt>
                <c:pt idx="279">
                  <c:v>6.7865357777918689E-10</c:v>
                </c:pt>
                <c:pt idx="280">
                  <c:v>2.311821845069062E-10</c:v>
                </c:pt>
                <c:pt idx="281">
                  <c:v>2.723297143347736E-10</c:v>
                </c:pt>
                <c:pt idx="282">
                  <c:v>2.7841906558023766E-10</c:v>
                </c:pt>
                <c:pt idx="283">
                  <c:v>1.1714895720160712E-10</c:v>
                </c:pt>
                <c:pt idx="284">
                  <c:v>4.5474735088646412E-13</c:v>
                </c:pt>
                <c:pt idx="285">
                  <c:v>2.8053648293280276E-10</c:v>
                </c:pt>
                <c:pt idx="286">
                  <c:v>5.3910298447590321E-10</c:v>
                </c:pt>
                <c:pt idx="287">
                  <c:v>5.8634697097659227E-10</c:v>
                </c:pt>
                <c:pt idx="288">
                  <c:v>1.4832579608992091E-12</c:v>
                </c:pt>
                <c:pt idx="289">
                  <c:v>9.0949470177292824E-12</c:v>
                </c:pt>
                <c:pt idx="290">
                  <c:v>2.3305801732931286E-11</c:v>
                </c:pt>
                <c:pt idx="291">
                  <c:v>6.1902483139419928E-11</c:v>
                </c:pt>
                <c:pt idx="292">
                  <c:v>2.6858515411731787E-12</c:v>
                </c:pt>
                <c:pt idx="293">
                  <c:v>2.8421709430404007E-12</c:v>
                </c:pt>
                <c:pt idx="294">
                  <c:v>3.637978807091713E-12</c:v>
                </c:pt>
                <c:pt idx="295">
                  <c:v>1.8189894035458565E-12</c:v>
                </c:pt>
                <c:pt idx="296">
                  <c:v>1.6484591469634324E-12</c:v>
                </c:pt>
                <c:pt idx="297">
                  <c:v>3.0155433705658652E-11</c:v>
                </c:pt>
                <c:pt idx="298">
                  <c:v>4.5048409447190352E-12</c:v>
                </c:pt>
                <c:pt idx="299">
                  <c:v>1.3073986337985843E-12</c:v>
                </c:pt>
                <c:pt idx="300">
                  <c:v>8.2792439570766874E-11</c:v>
                </c:pt>
                <c:pt idx="301">
                  <c:v>2.3303527996176854E-9</c:v>
                </c:pt>
                <c:pt idx="302">
                  <c:v>1.1769429875130299E-10</c:v>
                </c:pt>
                <c:pt idx="303">
                  <c:v>3.7452707601914881E-10</c:v>
                </c:pt>
                <c:pt idx="304">
                  <c:v>6.3996594690252095E-9</c:v>
                </c:pt>
                <c:pt idx="305">
                  <c:v>2.7853275241795927E-11</c:v>
                </c:pt>
                <c:pt idx="306">
                  <c:v>1.8115997590939514E-10</c:v>
                </c:pt>
                <c:pt idx="307">
                  <c:v>3.9595704492967343E-9</c:v>
                </c:pt>
                <c:pt idx="308">
                  <c:v>1.3581882285507163E-9</c:v>
                </c:pt>
                <c:pt idx="309">
                  <c:v>5.1059600991720799E-11</c:v>
                </c:pt>
                <c:pt idx="310">
                  <c:v>2.9558577807620168E-12</c:v>
                </c:pt>
                <c:pt idx="311">
                  <c:v>2.3970301299414132E-9</c:v>
                </c:pt>
                <c:pt idx="312">
                  <c:v>5.5138116294983774E-12</c:v>
                </c:pt>
                <c:pt idx="313">
                  <c:v>1.6217427400988527E-9</c:v>
                </c:pt>
                <c:pt idx="314">
                  <c:v>2.9328361961233895E-9</c:v>
                </c:pt>
                <c:pt idx="315">
                  <c:v>6.2566840597355622E-11</c:v>
                </c:pt>
                <c:pt idx="316">
                  <c:v>7.11829315491741E-8</c:v>
                </c:pt>
                <c:pt idx="317">
                  <c:v>1.3299654710863251E-9</c:v>
                </c:pt>
                <c:pt idx="318">
                  <c:v>2.1830999230587622E-9</c:v>
                </c:pt>
                <c:pt idx="319">
                  <c:v>3.3226683626708109E-9</c:v>
                </c:pt>
                <c:pt idx="320">
                  <c:v>5.8963678384316154E-10</c:v>
                </c:pt>
                <c:pt idx="321">
                  <c:v>2.1604478206427302E-9</c:v>
                </c:pt>
                <c:pt idx="322">
                  <c:v>2.6227553462376818E-10</c:v>
                </c:pt>
                <c:pt idx="323">
                  <c:v>8.4935436461819336E-10</c:v>
                </c:pt>
                <c:pt idx="324">
                  <c:v>4.2084025153599214E-10</c:v>
                </c:pt>
                <c:pt idx="325">
                  <c:v>7.3115415943902917E-9</c:v>
                </c:pt>
                <c:pt idx="326">
                  <c:v>2.8857130018877797E-9</c:v>
                </c:pt>
                <c:pt idx="327">
                  <c:v>4.6611603465862572E-12</c:v>
                </c:pt>
                <c:pt idx="328">
                  <c:v>9.2501295512192883E-10</c:v>
                </c:pt>
                <c:pt idx="329">
                  <c:v>8.8431306721759029E-10</c:v>
                </c:pt>
                <c:pt idx="330">
                  <c:v>3.3983837965934072E-10</c:v>
                </c:pt>
                <c:pt idx="331">
                  <c:v>6.2939875533629674E-10</c:v>
                </c:pt>
                <c:pt idx="332">
                  <c:v>1.9623485059128143E-9</c:v>
                </c:pt>
                <c:pt idx="333">
                  <c:v>3.4939660054078558E-9</c:v>
                </c:pt>
                <c:pt idx="334">
                  <c:v>1.7561774257046636E-10</c:v>
                </c:pt>
                <c:pt idx="335">
                  <c:v>4.1461589717073366E-10</c:v>
                </c:pt>
                <c:pt idx="336">
                  <c:v>2.4402879716944881E-10</c:v>
                </c:pt>
                <c:pt idx="337">
                  <c:v>1.9610979506978765E-12</c:v>
                </c:pt>
                <c:pt idx="338">
                  <c:v>5.4534638138648006E-8</c:v>
                </c:pt>
                <c:pt idx="339">
                  <c:v>7.071321306284517E-11</c:v>
                </c:pt>
                <c:pt idx="340">
                  <c:v>4.2234660213580355E-11</c:v>
                </c:pt>
                <c:pt idx="341">
                  <c:v>3.1548097467748448E-12</c:v>
                </c:pt>
                <c:pt idx="342">
                  <c:v>2.5221424948540516E-10</c:v>
                </c:pt>
                <c:pt idx="343">
                  <c:v>4.4281023292569444E-11</c:v>
                </c:pt>
                <c:pt idx="344">
                  <c:v>2.6744828574010171E-11</c:v>
                </c:pt>
                <c:pt idx="345">
                  <c:v>8.4644966591440607E-9</c:v>
                </c:pt>
                <c:pt idx="346">
                  <c:v>1.2599059573403792E-9</c:v>
                </c:pt>
                <c:pt idx="347">
                  <c:v>1.0057590316137066E-9</c:v>
                </c:pt>
                <c:pt idx="348">
                  <c:v>6.1959326558280736E-12</c:v>
                </c:pt>
                <c:pt idx="349">
                  <c:v>6.5909944169106893E-10</c:v>
                </c:pt>
                <c:pt idx="350">
                  <c:v>1.0328449207008816E-10</c:v>
                </c:pt>
                <c:pt idx="351">
                  <c:v>2.8876456781290472E-11</c:v>
                </c:pt>
                <c:pt idx="352">
                  <c:v>3.2611069400445558E-10</c:v>
                </c:pt>
                <c:pt idx="353">
                  <c:v>4.2064129956997931E-12</c:v>
                </c:pt>
                <c:pt idx="354">
                  <c:v>1.9394974515307695E-10</c:v>
                </c:pt>
                <c:pt idx="355">
                  <c:v>3.4958702599396929E-12</c:v>
                </c:pt>
                <c:pt idx="356">
                  <c:v>3.1936053801473463E-9</c:v>
                </c:pt>
                <c:pt idx="357">
                  <c:v>3.3054448067559861E-11</c:v>
                </c:pt>
                <c:pt idx="358">
                  <c:v>2.7597550911195867E-9</c:v>
                </c:pt>
                <c:pt idx="359">
                  <c:v>1.5103012174222386E-9</c:v>
                </c:pt>
                <c:pt idx="360">
                  <c:v>3.0796059036219958E-9</c:v>
                </c:pt>
                <c:pt idx="361">
                  <c:v>1.7142554042948177E-10</c:v>
                </c:pt>
                <c:pt idx="362">
                  <c:v>6.7069549913867377E-10</c:v>
                </c:pt>
                <c:pt idx="363">
                  <c:v>1.751949696426891E-9</c:v>
                </c:pt>
                <c:pt idx="364">
                  <c:v>9.6918029157677665E-11</c:v>
                </c:pt>
                <c:pt idx="365">
                  <c:v>5.6459725783497561E-11</c:v>
                </c:pt>
                <c:pt idx="366">
                  <c:v>3.7476866054930724E-10</c:v>
                </c:pt>
                <c:pt idx="367">
                  <c:v>1.8133050616597757E-10</c:v>
                </c:pt>
                <c:pt idx="368">
                  <c:v>1.8627588360686786E-10</c:v>
                </c:pt>
                <c:pt idx="369">
                  <c:v>1.2967404927621828E-13</c:v>
                </c:pt>
                <c:pt idx="370">
                  <c:v>1.7053025658242404E-13</c:v>
                </c:pt>
                <c:pt idx="371">
                  <c:v>1.1842189451272134E-9</c:v>
                </c:pt>
                <c:pt idx="372">
                  <c:v>9.4985352916410193E-11</c:v>
                </c:pt>
                <c:pt idx="373">
                  <c:v>4.2782675180319529E-9</c:v>
                </c:pt>
                <c:pt idx="374">
                  <c:v>8.0291329140891321E-12</c:v>
                </c:pt>
                <c:pt idx="375">
                  <c:v>5.9912963479291648E-11</c:v>
                </c:pt>
                <c:pt idx="376">
                  <c:v>2.360081907681888E-9</c:v>
                </c:pt>
                <c:pt idx="377">
                  <c:v>1.2466916388120808E-10</c:v>
                </c:pt>
                <c:pt idx="378">
                  <c:v>6.7967640404731355E-9</c:v>
                </c:pt>
                <c:pt idx="379">
                  <c:v>1.063540366885718E-10</c:v>
                </c:pt>
                <c:pt idx="380">
                  <c:v>1.2155737749708351E-8</c:v>
                </c:pt>
                <c:pt idx="381">
                  <c:v>7.5255002229823731E-10</c:v>
                </c:pt>
                <c:pt idx="382">
                  <c:v>3.9563019527122378E-11</c:v>
                </c:pt>
                <c:pt idx="383">
                  <c:v>5.6843418860808015E-14</c:v>
                </c:pt>
                <c:pt idx="384">
                  <c:v>9.1785068434546702E-10</c:v>
                </c:pt>
                <c:pt idx="385">
                  <c:v>4.7117509893723764E-10</c:v>
                </c:pt>
                <c:pt idx="386">
                  <c:v>7.7416473232005956E-10</c:v>
                </c:pt>
                <c:pt idx="387">
                  <c:v>1.4298109363153344E-9</c:v>
                </c:pt>
                <c:pt idx="388">
                  <c:v>2.8135218599345535E-9</c:v>
                </c:pt>
                <c:pt idx="389">
                  <c:v>1.0525127436267212E-9</c:v>
                </c:pt>
                <c:pt idx="390">
                  <c:v>2.5011104298755527E-12</c:v>
                </c:pt>
                <c:pt idx="391">
                  <c:v>2.1345840650610626E-9</c:v>
                </c:pt>
                <c:pt idx="392">
                  <c:v>8.82960371484387E-13</c:v>
                </c:pt>
                <c:pt idx="393">
                  <c:v>8.0486870501772501E-9</c:v>
                </c:pt>
                <c:pt idx="394">
                  <c:v>2.2828317014500499E-9</c:v>
                </c:pt>
                <c:pt idx="395">
                  <c:v>6.2294702729559503E-10</c:v>
                </c:pt>
                <c:pt idx="396">
                  <c:v>1.1368683772161603E-12</c:v>
                </c:pt>
                <c:pt idx="397">
                  <c:v>1.8360424292040989E-11</c:v>
                </c:pt>
                <c:pt idx="398">
                  <c:v>1.0892122759287304E-9</c:v>
                </c:pt>
                <c:pt idx="399">
                  <c:v>8.8010665422189049E-10</c:v>
                </c:pt>
                <c:pt idx="400">
                  <c:v>2.8464384627113759E-7</c:v>
                </c:pt>
                <c:pt idx="401">
                  <c:v>5.2722270993399434E-10</c:v>
                </c:pt>
                <c:pt idx="402">
                  <c:v>2.117377562171896E-8</c:v>
                </c:pt>
                <c:pt idx="403">
                  <c:v>2.2715198610967491E-9</c:v>
                </c:pt>
                <c:pt idx="404">
                  <c:v>4.4741454985341989E-10</c:v>
                </c:pt>
                <c:pt idx="405">
                  <c:v>2.1328588672986371E-7</c:v>
                </c:pt>
                <c:pt idx="406">
                  <c:v>3.1551820711683831E-8</c:v>
                </c:pt>
                <c:pt idx="407">
                  <c:v>7.1881345320434775E-10</c:v>
                </c:pt>
                <c:pt idx="408">
                  <c:v>3.6931169233866967E-10</c:v>
                </c:pt>
                <c:pt idx="409">
                  <c:v>3.6134863989900623E-9</c:v>
                </c:pt>
                <c:pt idx="410">
                  <c:v>7.331186679948587E-8</c:v>
                </c:pt>
                <c:pt idx="411">
                  <c:v>1.6366925592592452E-9</c:v>
                </c:pt>
                <c:pt idx="412">
                  <c:v>3.7967140542605193E-9</c:v>
                </c:pt>
                <c:pt idx="413">
                  <c:v>1.7191695178553346E-8</c:v>
                </c:pt>
                <c:pt idx="414">
                  <c:v>1.134594640461728E-10</c:v>
                </c:pt>
                <c:pt idx="415">
                  <c:v>2.6984281475961325E-10</c:v>
                </c:pt>
                <c:pt idx="416">
                  <c:v>1.460875864722766E-11</c:v>
                </c:pt>
                <c:pt idx="417">
                  <c:v>2.1991581888869405E-9</c:v>
                </c:pt>
                <c:pt idx="418">
                  <c:v>2.9305624593689572E-9</c:v>
                </c:pt>
                <c:pt idx="419">
                  <c:v>2.3244695057655917E-9</c:v>
                </c:pt>
                <c:pt idx="420">
                  <c:v>1.8350192476646043E-9</c:v>
                </c:pt>
                <c:pt idx="421">
                  <c:v>2.7341400254954351E-9</c:v>
                </c:pt>
                <c:pt idx="422">
                  <c:v>8.6600948634441011E-10</c:v>
                </c:pt>
                <c:pt idx="423">
                  <c:v>9.8313535090710502E-10</c:v>
                </c:pt>
                <c:pt idx="424">
                  <c:v>8.319034350279253E-11</c:v>
                </c:pt>
                <c:pt idx="425">
                  <c:v>1.6634572830298566E-8</c:v>
                </c:pt>
                <c:pt idx="426">
                  <c:v>1.4595684660889674E-9</c:v>
                </c:pt>
                <c:pt idx="427">
                  <c:v>1.0918626003331156E-9</c:v>
                </c:pt>
                <c:pt idx="428">
                  <c:v>2.8879725277874968E-9</c:v>
                </c:pt>
                <c:pt idx="429">
                  <c:v>3.6829561622653273E-10</c:v>
                </c:pt>
                <c:pt idx="430">
                  <c:v>4.1882231016643345E-10</c:v>
                </c:pt>
                <c:pt idx="431">
                  <c:v>2.7003075331322179E-9</c:v>
                </c:pt>
                <c:pt idx="432">
                  <c:v>1.3017142919125035E-10</c:v>
                </c:pt>
                <c:pt idx="433">
                  <c:v>9.2256868811091408E-11</c:v>
                </c:pt>
                <c:pt idx="434">
                  <c:v>1.8396804080111906E-9</c:v>
                </c:pt>
                <c:pt idx="435">
                  <c:v>3.745152632461668E-9</c:v>
                </c:pt>
                <c:pt idx="436">
                  <c:v>1.7265080032302649E-8</c:v>
                </c:pt>
                <c:pt idx="437">
                  <c:v>1.194678134197602E-9</c:v>
                </c:pt>
                <c:pt idx="438">
                  <c:v>2.7095552468381356E-9</c:v>
                </c:pt>
                <c:pt idx="439">
                  <c:v>3.0240698833949864E-11</c:v>
                </c:pt>
                <c:pt idx="440">
                  <c:v>4.1393732885808276E-8</c:v>
                </c:pt>
                <c:pt idx="441">
                  <c:v>2.5444251150474884E-9</c:v>
                </c:pt>
                <c:pt idx="442">
                  <c:v>3.0524915928253904E-11</c:v>
                </c:pt>
                <c:pt idx="443">
                  <c:v>1.9426904529495914E-10</c:v>
                </c:pt>
                <c:pt idx="444">
                  <c:v>2.1941559680271894E-10</c:v>
                </c:pt>
                <c:pt idx="445">
                  <c:v>2.5119106794591062E-10</c:v>
                </c:pt>
                <c:pt idx="446">
                  <c:v>4.2218289308948442E-8</c:v>
                </c:pt>
                <c:pt idx="447">
                  <c:v>1.0431335795146879E-9</c:v>
                </c:pt>
                <c:pt idx="448">
                  <c:v>8.1708417809522871E-11</c:v>
                </c:pt>
                <c:pt idx="449">
                  <c:v>7.1241856858250685E-10</c:v>
                </c:pt>
                <c:pt idx="450">
                  <c:v>1.9924513594560267E-8</c:v>
                </c:pt>
                <c:pt idx="451">
                  <c:v>5.439915184979327E-11</c:v>
                </c:pt>
                <c:pt idx="452">
                  <c:v>2.3465531739930157E-9</c:v>
                </c:pt>
                <c:pt idx="453">
                  <c:v>9.4018730578682153E-9</c:v>
                </c:pt>
                <c:pt idx="454">
                  <c:v>3.2304683372785803E-9</c:v>
                </c:pt>
                <c:pt idx="455">
                  <c:v>2.219913142198493E-9</c:v>
                </c:pt>
                <c:pt idx="456">
                  <c:v>1.155910922534531E-10</c:v>
                </c:pt>
                <c:pt idx="457">
                  <c:v>5.2470738864940358E-10</c:v>
                </c:pt>
                <c:pt idx="458">
                  <c:v>8.148192875978566E-8</c:v>
                </c:pt>
                <c:pt idx="459">
                  <c:v>7.5266370913595892E-10</c:v>
                </c:pt>
                <c:pt idx="460">
                  <c:v>1.078332729775866E-7</c:v>
                </c:pt>
                <c:pt idx="461">
                  <c:v>5.0829470410462818E-8</c:v>
                </c:pt>
                <c:pt idx="462">
                  <c:v>3.4539198168204166E-9</c:v>
                </c:pt>
                <c:pt idx="463">
                  <c:v>1.5640466699551325E-9</c:v>
                </c:pt>
                <c:pt idx="464">
                  <c:v>2.9241391530376859E-9</c:v>
                </c:pt>
                <c:pt idx="465">
                  <c:v>4.7953108150977641E-10</c:v>
                </c:pt>
                <c:pt idx="466">
                  <c:v>1.2428813533915672E-10</c:v>
                </c:pt>
                <c:pt idx="467">
                  <c:v>1.3313297131389845E-9</c:v>
                </c:pt>
                <c:pt idx="468">
                  <c:v>1.747551436892536E-9</c:v>
                </c:pt>
                <c:pt idx="469">
                  <c:v>3.5556553257265477E-9</c:v>
                </c:pt>
                <c:pt idx="470">
                  <c:v>1.5748469195386861E-10</c:v>
                </c:pt>
                <c:pt idx="471">
                  <c:v>3.794582426053239E-8</c:v>
                </c:pt>
                <c:pt idx="472">
                  <c:v>3.1849367587710731E-10</c:v>
                </c:pt>
                <c:pt idx="473">
                  <c:v>5.8892794640996726E-8</c:v>
                </c:pt>
                <c:pt idx="474">
                  <c:v>8.3487222468647815E-8</c:v>
                </c:pt>
                <c:pt idx="475">
                  <c:v>4.9212189878744539E-10</c:v>
                </c:pt>
                <c:pt idx="476">
                  <c:v>3.780087354243733E-12</c:v>
                </c:pt>
                <c:pt idx="477">
                  <c:v>6.6685220190265682E-7</c:v>
                </c:pt>
                <c:pt idx="478">
                  <c:v>8.7346379018526932E-8</c:v>
                </c:pt>
                <c:pt idx="479">
                  <c:v>3.7017741760791978E-8</c:v>
                </c:pt>
                <c:pt idx="480">
                  <c:v>1.4588192875919503E-9</c:v>
                </c:pt>
                <c:pt idx="481">
                  <c:v>3.3648461794655304E-10</c:v>
                </c:pt>
                <c:pt idx="482">
                  <c:v>1.344362203781202E-7</c:v>
                </c:pt>
                <c:pt idx="483">
                  <c:v>6.4545702116447501E-11</c:v>
                </c:pt>
                <c:pt idx="484">
                  <c:v>2.9597799766634125E-9</c:v>
                </c:pt>
                <c:pt idx="485">
                  <c:v>1.57723434313084E-9</c:v>
                </c:pt>
                <c:pt idx="486">
                  <c:v>3.2144669148692628E-9</c:v>
                </c:pt>
                <c:pt idx="487">
                  <c:v>1.1369571950581303E-11</c:v>
                </c:pt>
                <c:pt idx="488">
                  <c:v>9.9021235655527562E-11</c:v>
                </c:pt>
                <c:pt idx="489">
                  <c:v>1.7658514650520374E-9</c:v>
                </c:pt>
                <c:pt idx="490">
                  <c:v>1.6075034636742203E-9</c:v>
                </c:pt>
                <c:pt idx="491">
                  <c:v>2.4582647029092186E-9</c:v>
                </c:pt>
                <c:pt idx="492">
                  <c:v>7.2401462603011169E-10</c:v>
                </c:pt>
                <c:pt idx="493">
                  <c:v>8.0029849414131604E-10</c:v>
                </c:pt>
                <c:pt idx="494">
                  <c:v>3.1570834835292771E-10</c:v>
                </c:pt>
                <c:pt idx="495">
                  <c:v>1.8818809621734545E-8</c:v>
                </c:pt>
                <c:pt idx="496">
                  <c:v>2.8841782295785379E-9</c:v>
                </c:pt>
                <c:pt idx="497">
                  <c:v>1.4758256838831585E-9</c:v>
                </c:pt>
                <c:pt idx="498">
                  <c:v>6.7278786985980332E-9</c:v>
                </c:pt>
                <c:pt idx="499">
                  <c:v>1.0334454714211461E-7</c:v>
                </c:pt>
                <c:pt idx="500">
                  <c:v>3.8368173704839137E-7</c:v>
                </c:pt>
                <c:pt idx="501">
                  <c:v>4.8035502686616383E-8</c:v>
                </c:pt>
                <c:pt idx="502">
                  <c:v>1.0720562499955122E-6</c:v>
                </c:pt>
                <c:pt idx="503">
                  <c:v>1.9454716948530404E-8</c:v>
                </c:pt>
                <c:pt idx="504">
                  <c:v>1.4102852219366468E-10</c:v>
                </c:pt>
                <c:pt idx="505">
                  <c:v>2.3256814074557042E-7</c:v>
                </c:pt>
                <c:pt idx="506">
                  <c:v>2.3458133568965422E-7</c:v>
                </c:pt>
                <c:pt idx="507">
                  <c:v>2.212914296251256E-10</c:v>
                </c:pt>
                <c:pt idx="508">
                  <c:v>2.3956374661793234E-8</c:v>
                </c:pt>
                <c:pt idx="509">
                  <c:v>1.6594883689435846E-8</c:v>
                </c:pt>
                <c:pt idx="510">
                  <c:v>7.6382590918910864E-8</c:v>
                </c:pt>
                <c:pt idx="511">
                  <c:v>7.4834360930253752E-11</c:v>
                </c:pt>
                <c:pt idx="512">
                  <c:v>5.5464674630911759E-7</c:v>
                </c:pt>
                <c:pt idx="513">
                  <c:v>6.4808531874405162E-9</c:v>
                </c:pt>
                <c:pt idx="514">
                  <c:v>1.1317947468114653E-8</c:v>
                </c:pt>
                <c:pt idx="515">
                  <c:v>9.0764373794627318E-8</c:v>
                </c:pt>
                <c:pt idx="516">
                  <c:v>2.4710768542490769E-8</c:v>
                </c:pt>
                <c:pt idx="517">
                  <c:v>3.4197515219602792E-7</c:v>
                </c:pt>
                <c:pt idx="518">
                  <c:v>4.8306503686035285E-8</c:v>
                </c:pt>
                <c:pt idx="519">
                  <c:v>6.3249058257497381E-7</c:v>
                </c:pt>
                <c:pt idx="520">
                  <c:v>1.1061007398893707E-7</c:v>
                </c:pt>
                <c:pt idx="521">
                  <c:v>7.4431682151043788E-8</c:v>
                </c:pt>
                <c:pt idx="522">
                  <c:v>9.8504617085382051E-7</c:v>
                </c:pt>
                <c:pt idx="523">
                  <c:v>1.0088894839554996E-6</c:v>
                </c:pt>
                <c:pt idx="524">
                  <c:v>4.888607634256914E-7</c:v>
                </c:pt>
                <c:pt idx="525">
                  <c:v>4.5441872487117507E-11</c:v>
                </c:pt>
                <c:pt idx="526">
                  <c:v>3.6997278130002087E-8</c:v>
                </c:pt>
                <c:pt idx="527">
                  <c:v>5.9096990412399464E-7</c:v>
                </c:pt>
                <c:pt idx="528">
                  <c:v>6.6467350734455977E-8</c:v>
                </c:pt>
                <c:pt idx="529">
                  <c:v>7.594084650008881E-8</c:v>
                </c:pt>
                <c:pt idx="530">
                  <c:v>2.5235893374997431E-8</c:v>
                </c:pt>
                <c:pt idx="531">
                  <c:v>9.9913393114547944E-9</c:v>
                </c:pt>
                <c:pt idx="532">
                  <c:v>2.4826416478163083E-9</c:v>
                </c:pt>
                <c:pt idx="533">
                  <c:v>1.226965196110541E-10</c:v>
                </c:pt>
                <c:pt idx="534">
                  <c:v>3.4181584318559999E-7</c:v>
                </c:pt>
                <c:pt idx="535">
                  <c:v>3.0022988539712969E-9</c:v>
                </c:pt>
                <c:pt idx="536">
                  <c:v>1.4468947155954481E-6</c:v>
                </c:pt>
                <c:pt idx="537">
                  <c:v>1.2100548474336392E-7</c:v>
                </c:pt>
                <c:pt idx="538">
                  <c:v>9.5250368303823052E-7</c:v>
                </c:pt>
                <c:pt idx="539">
                  <c:v>1.0778972239222639E-6</c:v>
                </c:pt>
                <c:pt idx="540">
                  <c:v>9.8500140666146763E-7</c:v>
                </c:pt>
                <c:pt idx="541">
                  <c:v>3.3687658174130775E-7</c:v>
                </c:pt>
                <c:pt idx="542">
                  <c:v>2.7861976548138045E-7</c:v>
                </c:pt>
                <c:pt idx="543">
                  <c:v>6.8252120399847627E-8</c:v>
                </c:pt>
                <c:pt idx="544">
                  <c:v>3.103977235241473E-7</c:v>
                </c:pt>
                <c:pt idx="545">
                  <c:v>1.0760548008192927E-10</c:v>
                </c:pt>
                <c:pt idx="546">
                  <c:v>2.3986856945157342E-10</c:v>
                </c:pt>
                <c:pt idx="547">
                  <c:v>5.723829303860839E-7</c:v>
                </c:pt>
                <c:pt idx="548">
                  <c:v>2.6783436624100432E-7</c:v>
                </c:pt>
                <c:pt idx="549">
                  <c:v>1.1183942660863977E-11</c:v>
                </c:pt>
                <c:pt idx="550">
                  <c:v>9.4156234808906447E-8</c:v>
                </c:pt>
                <c:pt idx="551">
                  <c:v>1.4582153953779375E-6</c:v>
                </c:pt>
                <c:pt idx="552">
                  <c:v>1.3885028238291852E-8</c:v>
                </c:pt>
                <c:pt idx="553">
                  <c:v>1.5658645224903012E-7</c:v>
                </c:pt>
                <c:pt idx="554">
                  <c:v>6.4668609667251076E-7</c:v>
                </c:pt>
                <c:pt idx="555">
                  <c:v>7.3137627509822778E-8</c:v>
                </c:pt>
                <c:pt idx="556">
                  <c:v>1.6877913822099799E-7</c:v>
                </c:pt>
                <c:pt idx="557">
                  <c:v>1.6358947618755337E-7</c:v>
                </c:pt>
                <c:pt idx="558">
                  <c:v>1.0081688515128917E-6</c:v>
                </c:pt>
                <c:pt idx="559">
                  <c:v>8.2582118920981884E-10</c:v>
                </c:pt>
                <c:pt idx="560">
                  <c:v>9.7187324854530743E-9</c:v>
                </c:pt>
                <c:pt idx="561">
                  <c:v>3.1818103707337286E-11</c:v>
                </c:pt>
                <c:pt idx="562">
                  <c:v>1.0496677305127378E-8</c:v>
                </c:pt>
                <c:pt idx="563">
                  <c:v>1.1300755886622937E-9</c:v>
                </c:pt>
                <c:pt idx="564">
                  <c:v>7.0251650186037295E-7</c:v>
                </c:pt>
                <c:pt idx="565">
                  <c:v>1.5607577097398462E-7</c:v>
                </c:pt>
                <c:pt idx="566">
                  <c:v>1.6225953913817648E-9</c:v>
                </c:pt>
                <c:pt idx="567">
                  <c:v>1.2547900496429065E-9</c:v>
                </c:pt>
                <c:pt idx="568">
                  <c:v>8.049947801680446E-7</c:v>
                </c:pt>
                <c:pt idx="569">
                  <c:v>1.1289955637039384E-9</c:v>
                </c:pt>
                <c:pt idx="570">
                  <c:v>4.9186544970325485E-7</c:v>
                </c:pt>
                <c:pt idx="571">
                  <c:v>9.6770293112058425E-8</c:v>
                </c:pt>
                <c:pt idx="572">
                  <c:v>7.6970189866187866E-7</c:v>
                </c:pt>
                <c:pt idx="573">
                  <c:v>5.0785651239948493E-9</c:v>
                </c:pt>
                <c:pt idx="574">
                  <c:v>2.255078470625449E-7</c:v>
                </c:pt>
                <c:pt idx="575">
                  <c:v>6.8150043830428331E-7</c:v>
                </c:pt>
                <c:pt idx="576">
                  <c:v>5.0094585191118313E-7</c:v>
                </c:pt>
                <c:pt idx="577">
                  <c:v>1.2120830206185929E-7</c:v>
                </c:pt>
                <c:pt idx="578">
                  <c:v>7.5365315410635958E-7</c:v>
                </c:pt>
                <c:pt idx="579">
                  <c:v>2.2076147843108629E-7</c:v>
                </c:pt>
                <c:pt idx="580">
                  <c:v>4.1476096157566644E-7</c:v>
                </c:pt>
                <c:pt idx="581">
                  <c:v>1.1410065781092271E-8</c:v>
                </c:pt>
                <c:pt idx="582">
                  <c:v>1.0078434087290589E-8</c:v>
                </c:pt>
                <c:pt idx="583">
                  <c:v>7.8921402746345848E-10</c:v>
                </c:pt>
                <c:pt idx="584">
                  <c:v>7.9866205737744167E-7</c:v>
                </c:pt>
                <c:pt idx="585">
                  <c:v>1.0847091402865772E-7</c:v>
                </c:pt>
                <c:pt idx="586">
                  <c:v>8.2126902611889818E-7</c:v>
                </c:pt>
                <c:pt idx="587">
                  <c:v>1.3475073501467705E-8</c:v>
                </c:pt>
                <c:pt idx="588">
                  <c:v>2.3453772257653327E-8</c:v>
                </c:pt>
                <c:pt idx="589">
                  <c:v>1.1965539670200087E-10</c:v>
                </c:pt>
                <c:pt idx="590">
                  <c:v>2.2638346308667678E-8</c:v>
                </c:pt>
                <c:pt idx="591">
                  <c:v>4.145763909946254E-8</c:v>
                </c:pt>
                <c:pt idx="592">
                  <c:v>1.4151680716167903E-8</c:v>
                </c:pt>
                <c:pt idx="593">
                  <c:v>4.126895873923786E-7</c:v>
                </c:pt>
                <c:pt idx="594">
                  <c:v>2.7956994586020301E-7</c:v>
                </c:pt>
                <c:pt idx="595">
                  <c:v>6.5779435232116157E-8</c:v>
                </c:pt>
                <c:pt idx="596">
                  <c:v>1.004567472762119E-6</c:v>
                </c:pt>
                <c:pt idx="597">
                  <c:v>4.2485908124945126E-9</c:v>
                </c:pt>
                <c:pt idx="598">
                  <c:v>2.7256078283244278E-8</c:v>
                </c:pt>
                <c:pt idx="599">
                  <c:v>5.3119151743885595E-8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14-4FE5-8EE2-4178836413A4}"/>
            </c:ext>
          </c:extLst>
        </c:ser>
        <c:ser>
          <c:idx val="1"/>
          <c:order val="1"/>
          <c:tx>
            <c:strRef>
              <c:f>Inverse!$X$2</c:f>
              <c:strCache>
                <c:ptCount val="1"/>
                <c:pt idx="0">
                  <c:v>RevAzimuth GA Δ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Inverse!$N$3:$N$602</c:f>
              <c:numCache>
                <c:formatCode>0.000</c:formatCode>
                <c:ptCount val="600"/>
                <c:pt idx="0">
                  <c:v>7288125.6963858316</c:v>
                </c:pt>
                <c:pt idx="1">
                  <c:v>8926024.1224245112</c:v>
                </c:pt>
                <c:pt idx="2">
                  <c:v>17441757.002850156</c:v>
                </c:pt>
                <c:pt idx="3">
                  <c:v>1696868.6811977762</c:v>
                </c:pt>
                <c:pt idx="4">
                  <c:v>15866490.842496967</c:v>
                </c:pt>
                <c:pt idx="5">
                  <c:v>2329780.6717621377</c:v>
                </c:pt>
                <c:pt idx="6">
                  <c:v>8171429.8378450526</c:v>
                </c:pt>
                <c:pt idx="7">
                  <c:v>18591406.404547203</c:v>
                </c:pt>
                <c:pt idx="8">
                  <c:v>18352200.13564178</c:v>
                </c:pt>
                <c:pt idx="9">
                  <c:v>13013464.102549139</c:v>
                </c:pt>
                <c:pt idx="10">
                  <c:v>9843902.6371369381</c:v>
                </c:pt>
                <c:pt idx="11">
                  <c:v>14144633.179986298</c:v>
                </c:pt>
                <c:pt idx="12">
                  <c:v>11126939.108720006</c:v>
                </c:pt>
                <c:pt idx="13">
                  <c:v>8628113.1866227742</c:v>
                </c:pt>
                <c:pt idx="14">
                  <c:v>15078802.086415969</c:v>
                </c:pt>
                <c:pt idx="15">
                  <c:v>10848297.534494171</c:v>
                </c:pt>
                <c:pt idx="16">
                  <c:v>2068921.0111408576</c:v>
                </c:pt>
                <c:pt idx="17">
                  <c:v>13329277.575401368</c:v>
                </c:pt>
                <c:pt idx="18">
                  <c:v>10971195.910463449</c:v>
                </c:pt>
                <c:pt idx="19">
                  <c:v>6990777.0187217705</c:v>
                </c:pt>
                <c:pt idx="20">
                  <c:v>13278834.887680421</c:v>
                </c:pt>
                <c:pt idx="21">
                  <c:v>16293897.990389509</c:v>
                </c:pt>
                <c:pt idx="22">
                  <c:v>11321064.524744052</c:v>
                </c:pt>
                <c:pt idx="23">
                  <c:v>13912911.091220979</c:v>
                </c:pt>
                <c:pt idx="24">
                  <c:v>8079548.1933386493</c:v>
                </c:pt>
                <c:pt idx="25">
                  <c:v>13124386.15754142</c:v>
                </c:pt>
                <c:pt idx="26">
                  <c:v>7776083.7752931975</c:v>
                </c:pt>
                <c:pt idx="27">
                  <c:v>9368637.2487671636</c:v>
                </c:pt>
                <c:pt idx="28">
                  <c:v>6014625.4718837198</c:v>
                </c:pt>
                <c:pt idx="29">
                  <c:v>7044804.2746306788</c:v>
                </c:pt>
                <c:pt idx="30">
                  <c:v>2284594.0220601563</c:v>
                </c:pt>
                <c:pt idx="31">
                  <c:v>2954440.6790760066</c:v>
                </c:pt>
                <c:pt idx="32">
                  <c:v>9276811.5910762642</c:v>
                </c:pt>
                <c:pt idx="33">
                  <c:v>18654328.232049946</c:v>
                </c:pt>
                <c:pt idx="34">
                  <c:v>16831309.185747702</c:v>
                </c:pt>
                <c:pt idx="35">
                  <c:v>7278952.7179807257</c:v>
                </c:pt>
                <c:pt idx="36">
                  <c:v>12060516.677621422</c:v>
                </c:pt>
                <c:pt idx="37">
                  <c:v>2966149.701055496</c:v>
                </c:pt>
                <c:pt idx="38">
                  <c:v>12533853.74110496</c:v>
                </c:pt>
                <c:pt idx="39">
                  <c:v>2549123.5147279091</c:v>
                </c:pt>
                <c:pt idx="40">
                  <c:v>12271081.064307384</c:v>
                </c:pt>
                <c:pt idx="41">
                  <c:v>591727.50880290929</c:v>
                </c:pt>
                <c:pt idx="42">
                  <c:v>14851083.606159996</c:v>
                </c:pt>
                <c:pt idx="43">
                  <c:v>10074604.479454651</c:v>
                </c:pt>
                <c:pt idx="44">
                  <c:v>8754736.1896608267</c:v>
                </c:pt>
                <c:pt idx="45">
                  <c:v>8605721.7855929863</c:v>
                </c:pt>
                <c:pt idx="46">
                  <c:v>1295718.6771788264</c:v>
                </c:pt>
                <c:pt idx="47">
                  <c:v>17177097.930895045</c:v>
                </c:pt>
                <c:pt idx="48">
                  <c:v>9805356.254032582</c:v>
                </c:pt>
                <c:pt idx="49">
                  <c:v>3435870.1126214182</c:v>
                </c:pt>
                <c:pt idx="50">
                  <c:v>9964216.6492618695</c:v>
                </c:pt>
                <c:pt idx="51">
                  <c:v>5384030.2016799124</c:v>
                </c:pt>
                <c:pt idx="52">
                  <c:v>6179877.6031648442</c:v>
                </c:pt>
                <c:pt idx="53">
                  <c:v>6233671.1722633103</c:v>
                </c:pt>
                <c:pt idx="54">
                  <c:v>3527724.8938039802</c:v>
                </c:pt>
                <c:pt idx="55">
                  <c:v>8818419.3637236543</c:v>
                </c:pt>
                <c:pt idx="56">
                  <c:v>16552270.061897544</c:v>
                </c:pt>
                <c:pt idx="57">
                  <c:v>6949214.2646111874</c:v>
                </c:pt>
                <c:pt idx="58">
                  <c:v>16197045.795054168</c:v>
                </c:pt>
                <c:pt idx="59">
                  <c:v>16726146.300163798</c:v>
                </c:pt>
                <c:pt idx="60">
                  <c:v>11673348.671239186</c:v>
                </c:pt>
                <c:pt idx="61">
                  <c:v>12028828.323664518</c:v>
                </c:pt>
                <c:pt idx="62">
                  <c:v>14339963.471979573</c:v>
                </c:pt>
                <c:pt idx="63">
                  <c:v>4818719.410231459</c:v>
                </c:pt>
                <c:pt idx="64">
                  <c:v>7633895.7516718889</c:v>
                </c:pt>
                <c:pt idx="65">
                  <c:v>7097483.6343833497</c:v>
                </c:pt>
                <c:pt idx="66">
                  <c:v>13364872.899534322</c:v>
                </c:pt>
                <c:pt idx="67">
                  <c:v>7924499.6141683413</c:v>
                </c:pt>
                <c:pt idx="68">
                  <c:v>3610421.0933479168</c:v>
                </c:pt>
                <c:pt idx="69">
                  <c:v>6159231.566899064</c:v>
                </c:pt>
                <c:pt idx="70">
                  <c:v>10584894.541920075</c:v>
                </c:pt>
                <c:pt idx="71">
                  <c:v>655243.68049509695</c:v>
                </c:pt>
                <c:pt idx="72">
                  <c:v>2864739.0899375491</c:v>
                </c:pt>
                <c:pt idx="73">
                  <c:v>6924158.0894780327</c:v>
                </c:pt>
                <c:pt idx="74">
                  <c:v>4871626.5673506204</c:v>
                </c:pt>
                <c:pt idx="75">
                  <c:v>18288955.12691465</c:v>
                </c:pt>
                <c:pt idx="76">
                  <c:v>5243855.9642471438</c:v>
                </c:pt>
                <c:pt idx="77">
                  <c:v>8771186.4160845745</c:v>
                </c:pt>
                <c:pt idx="78">
                  <c:v>10161458.52608045</c:v>
                </c:pt>
                <c:pt idx="79">
                  <c:v>3183285.9839552343</c:v>
                </c:pt>
                <c:pt idx="80">
                  <c:v>18112446.323670369</c:v>
                </c:pt>
                <c:pt idx="81">
                  <c:v>7914420.6537720682</c:v>
                </c:pt>
                <c:pt idx="82">
                  <c:v>8958543.5518025123</c:v>
                </c:pt>
                <c:pt idx="83">
                  <c:v>4511895.8568540188</c:v>
                </c:pt>
                <c:pt idx="84">
                  <c:v>909274.86052974011</c:v>
                </c:pt>
                <c:pt idx="85">
                  <c:v>11607157.092400923</c:v>
                </c:pt>
                <c:pt idx="86">
                  <c:v>8931844.8564303853</c:v>
                </c:pt>
                <c:pt idx="87">
                  <c:v>7496752.5366281047</c:v>
                </c:pt>
                <c:pt idx="88">
                  <c:v>15762230.514531359</c:v>
                </c:pt>
                <c:pt idx="89">
                  <c:v>6754537.3039613804</c:v>
                </c:pt>
                <c:pt idx="90">
                  <c:v>6858651.0723340772</c:v>
                </c:pt>
                <c:pt idx="91">
                  <c:v>13273425.583867243</c:v>
                </c:pt>
                <c:pt idx="92">
                  <c:v>6324868.2450951673</c:v>
                </c:pt>
                <c:pt idx="93">
                  <c:v>13576996.580363095</c:v>
                </c:pt>
                <c:pt idx="94">
                  <c:v>12711428.208022941</c:v>
                </c:pt>
                <c:pt idx="95">
                  <c:v>9916507.9193239249</c:v>
                </c:pt>
                <c:pt idx="96">
                  <c:v>5999956.6226362148</c:v>
                </c:pt>
                <c:pt idx="97">
                  <c:v>10868721.91765256</c:v>
                </c:pt>
                <c:pt idx="98">
                  <c:v>6920914.5095388582</c:v>
                </c:pt>
                <c:pt idx="99">
                  <c:v>3762439.1458674502</c:v>
                </c:pt>
                <c:pt idx="100">
                  <c:v>157563.53948525776</c:v>
                </c:pt>
                <c:pt idx="101">
                  <c:v>901247.91020958486</c:v>
                </c:pt>
                <c:pt idx="102">
                  <c:v>917232.23890802509</c:v>
                </c:pt>
                <c:pt idx="103">
                  <c:v>1175722.2877854879</c:v>
                </c:pt>
                <c:pt idx="104">
                  <c:v>435337.99301161367</c:v>
                </c:pt>
                <c:pt idx="105">
                  <c:v>988119.73769252596</c:v>
                </c:pt>
                <c:pt idx="106">
                  <c:v>1062926.9684577854</c:v>
                </c:pt>
                <c:pt idx="107">
                  <c:v>761747.2244784768</c:v>
                </c:pt>
                <c:pt idx="108">
                  <c:v>1029662.3869015459</c:v>
                </c:pt>
                <c:pt idx="109">
                  <c:v>1029995.4866540617</c:v>
                </c:pt>
                <c:pt idx="110">
                  <c:v>651973.01978210057</c:v>
                </c:pt>
                <c:pt idx="111">
                  <c:v>855080.93446190725</c:v>
                </c:pt>
                <c:pt idx="112">
                  <c:v>1069049.1970008055</c:v>
                </c:pt>
                <c:pt idx="113">
                  <c:v>978958.29756391724</c:v>
                </c:pt>
                <c:pt idx="114">
                  <c:v>1381289.9699106738</c:v>
                </c:pt>
                <c:pt idx="115">
                  <c:v>883720.90994789801</c:v>
                </c:pt>
                <c:pt idx="116">
                  <c:v>829495.27785734879</c:v>
                </c:pt>
                <c:pt idx="117">
                  <c:v>306329.78676863643</c:v>
                </c:pt>
                <c:pt idx="118">
                  <c:v>804814.54727708641</c:v>
                </c:pt>
                <c:pt idx="119">
                  <c:v>1027495.9071938648</c:v>
                </c:pt>
                <c:pt idx="120">
                  <c:v>1128214.5367293104</c:v>
                </c:pt>
                <c:pt idx="121">
                  <c:v>853871.61089870625</c:v>
                </c:pt>
                <c:pt idx="122">
                  <c:v>867936.53154121363</c:v>
                </c:pt>
                <c:pt idx="123">
                  <c:v>142494.05520314962</c:v>
                </c:pt>
                <c:pt idx="124">
                  <c:v>570028.86260328069</c:v>
                </c:pt>
                <c:pt idx="125">
                  <c:v>1113827.0793367326</c:v>
                </c:pt>
                <c:pt idx="126">
                  <c:v>574111.4048195387</c:v>
                </c:pt>
                <c:pt idx="127">
                  <c:v>497614.05854740622</c:v>
                </c:pt>
                <c:pt idx="128">
                  <c:v>285845.2667031099</c:v>
                </c:pt>
                <c:pt idx="129">
                  <c:v>391097.70754434861</c:v>
                </c:pt>
                <c:pt idx="130">
                  <c:v>238768.05651624582</c:v>
                </c:pt>
                <c:pt idx="131">
                  <c:v>493633.80518860836</c:v>
                </c:pt>
                <c:pt idx="132">
                  <c:v>685458.12361168186</c:v>
                </c:pt>
                <c:pt idx="133">
                  <c:v>287149.49519980338</c:v>
                </c:pt>
                <c:pt idx="134">
                  <c:v>835019.12039802666</c:v>
                </c:pt>
                <c:pt idx="135">
                  <c:v>677065.11909637437</c:v>
                </c:pt>
                <c:pt idx="136">
                  <c:v>341268.40704323794</c:v>
                </c:pt>
                <c:pt idx="137">
                  <c:v>371335.85204723536</c:v>
                </c:pt>
                <c:pt idx="138">
                  <c:v>886618.26167655329</c:v>
                </c:pt>
                <c:pt idx="139">
                  <c:v>449504.43119129329</c:v>
                </c:pt>
                <c:pt idx="140">
                  <c:v>461332.0546698785</c:v>
                </c:pt>
                <c:pt idx="141">
                  <c:v>1025130.2287561676</c:v>
                </c:pt>
                <c:pt idx="142">
                  <c:v>134515.37037482395</c:v>
                </c:pt>
                <c:pt idx="143">
                  <c:v>718764.12713467178</c:v>
                </c:pt>
                <c:pt idx="144">
                  <c:v>1460060.2163203303</c:v>
                </c:pt>
                <c:pt idx="145">
                  <c:v>1032952.8158964519</c:v>
                </c:pt>
                <c:pt idx="146">
                  <c:v>850898.26533546846</c:v>
                </c:pt>
                <c:pt idx="147">
                  <c:v>266878.65594502137</c:v>
                </c:pt>
                <c:pt idx="148">
                  <c:v>572419.94640994794</c:v>
                </c:pt>
                <c:pt idx="149">
                  <c:v>1006778.5685472348</c:v>
                </c:pt>
                <c:pt idx="150">
                  <c:v>494006.02837731462</c:v>
                </c:pt>
                <c:pt idx="151">
                  <c:v>1152949.1242537459</c:v>
                </c:pt>
                <c:pt idx="152">
                  <c:v>587572.569922984</c:v>
                </c:pt>
                <c:pt idx="153">
                  <c:v>888916.22724440985</c:v>
                </c:pt>
                <c:pt idx="154">
                  <c:v>284354.54355420027</c:v>
                </c:pt>
                <c:pt idx="155">
                  <c:v>365437.73038692976</c:v>
                </c:pt>
                <c:pt idx="156">
                  <c:v>842173.91611387499</c:v>
                </c:pt>
                <c:pt idx="157">
                  <c:v>776125.68007035484</c:v>
                </c:pt>
                <c:pt idx="158">
                  <c:v>583597.70348065742</c:v>
                </c:pt>
                <c:pt idx="159">
                  <c:v>937689.10064370104</c:v>
                </c:pt>
                <c:pt idx="160">
                  <c:v>316225.25420602574</c:v>
                </c:pt>
                <c:pt idx="161">
                  <c:v>949375.952169689</c:v>
                </c:pt>
                <c:pt idx="162">
                  <c:v>800748.69720413804</c:v>
                </c:pt>
                <c:pt idx="163">
                  <c:v>726364.393405815</c:v>
                </c:pt>
                <c:pt idx="164">
                  <c:v>1006904.0903341232</c:v>
                </c:pt>
                <c:pt idx="165">
                  <c:v>593510.87353314599</c:v>
                </c:pt>
                <c:pt idx="166">
                  <c:v>1012836.4110308342</c:v>
                </c:pt>
                <c:pt idx="167">
                  <c:v>797599.85035357892</c:v>
                </c:pt>
                <c:pt idx="168">
                  <c:v>1491183.7853596543</c:v>
                </c:pt>
                <c:pt idx="169">
                  <c:v>1048756.3107671267</c:v>
                </c:pt>
                <c:pt idx="170">
                  <c:v>1265036.8791265045</c:v>
                </c:pt>
                <c:pt idx="171">
                  <c:v>124217.11630279524</c:v>
                </c:pt>
                <c:pt idx="172">
                  <c:v>654197.86435641756</c:v>
                </c:pt>
                <c:pt idx="173">
                  <c:v>518482.88902360667</c:v>
                </c:pt>
                <c:pt idx="174">
                  <c:v>56931.9641740402</c:v>
                </c:pt>
                <c:pt idx="175">
                  <c:v>185725.16845517204</c:v>
                </c:pt>
                <c:pt idx="176">
                  <c:v>1450056.569033603</c:v>
                </c:pt>
                <c:pt idx="177">
                  <c:v>529160.87919418991</c:v>
                </c:pt>
                <c:pt idx="178">
                  <c:v>711943.01043914806</c:v>
                </c:pt>
                <c:pt idx="179">
                  <c:v>1223926.8209512529</c:v>
                </c:pt>
                <c:pt idx="180">
                  <c:v>760688.05545350467</c:v>
                </c:pt>
                <c:pt idx="181">
                  <c:v>1183858.3610807068</c:v>
                </c:pt>
                <c:pt idx="182">
                  <c:v>930584.10286563192</c:v>
                </c:pt>
                <c:pt idx="183">
                  <c:v>863834.62731454044</c:v>
                </c:pt>
                <c:pt idx="184">
                  <c:v>702689.67756402621</c:v>
                </c:pt>
                <c:pt idx="185">
                  <c:v>932048.79505756358</c:v>
                </c:pt>
                <c:pt idx="186">
                  <c:v>814807.42281005683</c:v>
                </c:pt>
                <c:pt idx="187">
                  <c:v>819800.46231578221</c:v>
                </c:pt>
                <c:pt idx="188">
                  <c:v>808065.87717811915</c:v>
                </c:pt>
                <c:pt idx="189">
                  <c:v>267061.474829969</c:v>
                </c:pt>
                <c:pt idx="190">
                  <c:v>1097226.7739563882</c:v>
                </c:pt>
                <c:pt idx="191">
                  <c:v>446199.73015723855</c:v>
                </c:pt>
                <c:pt idx="192">
                  <c:v>469804.15710829484</c:v>
                </c:pt>
                <c:pt idx="193">
                  <c:v>525080.6500825875</c:v>
                </c:pt>
                <c:pt idx="194">
                  <c:v>393228.4152736757</c:v>
                </c:pt>
                <c:pt idx="195">
                  <c:v>615023.21762602672</c:v>
                </c:pt>
                <c:pt idx="196">
                  <c:v>810345.09178652451</c:v>
                </c:pt>
                <c:pt idx="197">
                  <c:v>560753.58530124195</c:v>
                </c:pt>
                <c:pt idx="198">
                  <c:v>381017.52154380037</c:v>
                </c:pt>
                <c:pt idx="199">
                  <c:v>702689.67756402621</c:v>
                </c:pt>
                <c:pt idx="200">
                  <c:v>49585.567217159798</c:v>
                </c:pt>
                <c:pt idx="201">
                  <c:v>89474.727405850615</c:v>
                </c:pt>
                <c:pt idx="202">
                  <c:v>38406.738005995532</c:v>
                </c:pt>
                <c:pt idx="203">
                  <c:v>129340.44800058422</c:v>
                </c:pt>
                <c:pt idx="204">
                  <c:v>54697.767200533286</c:v>
                </c:pt>
                <c:pt idx="205">
                  <c:v>92948.011054105838</c:v>
                </c:pt>
                <c:pt idx="206">
                  <c:v>79591.296756380383</c:v>
                </c:pt>
                <c:pt idx="207">
                  <c:v>57204.743578672351</c:v>
                </c:pt>
                <c:pt idx="208">
                  <c:v>109291.92307159577</c:v>
                </c:pt>
                <c:pt idx="209">
                  <c:v>55726.554171453899</c:v>
                </c:pt>
                <c:pt idx="210">
                  <c:v>62228.119847420145</c:v>
                </c:pt>
                <c:pt idx="211">
                  <c:v>80833.111806437228</c:v>
                </c:pt>
                <c:pt idx="212">
                  <c:v>110852.05970269667</c:v>
                </c:pt>
                <c:pt idx="213">
                  <c:v>14593.314265052142</c:v>
                </c:pt>
                <c:pt idx="214">
                  <c:v>85852.15811412425</c:v>
                </c:pt>
                <c:pt idx="215">
                  <c:v>6465.1270998007376</c:v>
                </c:pt>
                <c:pt idx="216">
                  <c:v>91059.330934206373</c:v>
                </c:pt>
                <c:pt idx="217">
                  <c:v>38664.370839985015</c:v>
                </c:pt>
                <c:pt idx="218">
                  <c:v>90821.361211636569</c:v>
                </c:pt>
                <c:pt idx="219">
                  <c:v>93645.360945609296</c:v>
                </c:pt>
                <c:pt idx="220">
                  <c:v>24371.563599189245</c:v>
                </c:pt>
                <c:pt idx="221">
                  <c:v>100251.49142439043</c:v>
                </c:pt>
                <c:pt idx="222">
                  <c:v>69538.138403545992</c:v>
                </c:pt>
                <c:pt idx="223">
                  <c:v>118432.82216317505</c:v>
                </c:pt>
                <c:pt idx="224">
                  <c:v>94462.076222016723</c:v>
                </c:pt>
                <c:pt idx="225">
                  <c:v>78242.604898139209</c:v>
                </c:pt>
                <c:pt idx="226">
                  <c:v>124812.69354847354</c:v>
                </c:pt>
                <c:pt idx="227">
                  <c:v>22552.238115331522</c:v>
                </c:pt>
                <c:pt idx="228">
                  <c:v>84306.782227317308</c:v>
                </c:pt>
                <c:pt idx="229">
                  <c:v>76721.704175268955</c:v>
                </c:pt>
                <c:pt idx="230">
                  <c:v>111505.93188867858</c:v>
                </c:pt>
                <c:pt idx="231">
                  <c:v>103595.88455849062</c:v>
                </c:pt>
                <c:pt idx="232">
                  <c:v>55320.98629319451</c:v>
                </c:pt>
                <c:pt idx="233">
                  <c:v>50511.680928931441</c:v>
                </c:pt>
                <c:pt idx="234">
                  <c:v>67679.627979910991</c:v>
                </c:pt>
                <c:pt idx="235">
                  <c:v>70453.369151743842</c:v>
                </c:pt>
                <c:pt idx="236">
                  <c:v>17259.880973716728</c:v>
                </c:pt>
                <c:pt idx="237">
                  <c:v>95725.531558329269</c:v>
                </c:pt>
                <c:pt idx="238">
                  <c:v>48040.112753488051</c:v>
                </c:pt>
                <c:pt idx="239">
                  <c:v>74751.687998788722</c:v>
                </c:pt>
                <c:pt idx="240">
                  <c:v>60094.145297682269</c:v>
                </c:pt>
                <c:pt idx="241">
                  <c:v>112938.85613694205</c:v>
                </c:pt>
                <c:pt idx="242">
                  <c:v>67526.303361587823</c:v>
                </c:pt>
                <c:pt idx="243">
                  <c:v>81331.076373407312</c:v>
                </c:pt>
                <c:pt idx="244">
                  <c:v>91357.675959408865</c:v>
                </c:pt>
                <c:pt idx="245">
                  <c:v>73426.260164785199</c:v>
                </c:pt>
                <c:pt idx="246">
                  <c:v>13521.854061892238</c:v>
                </c:pt>
                <c:pt idx="247">
                  <c:v>64425.722337112114</c:v>
                </c:pt>
                <c:pt idx="248">
                  <c:v>27632.760988422822</c:v>
                </c:pt>
                <c:pt idx="249">
                  <c:v>95145.683709211065</c:v>
                </c:pt>
                <c:pt idx="250">
                  <c:v>76415.833261073203</c:v>
                </c:pt>
                <c:pt idx="251">
                  <c:v>95042.450325975922</c:v>
                </c:pt>
                <c:pt idx="252">
                  <c:v>38543.968896436971</c:v>
                </c:pt>
                <c:pt idx="253">
                  <c:v>131676.75509929107</c:v>
                </c:pt>
                <c:pt idx="254">
                  <c:v>95422.78895216783</c:v>
                </c:pt>
                <c:pt idx="255">
                  <c:v>72603.060568790039</c:v>
                </c:pt>
                <c:pt idx="256">
                  <c:v>85979.777238102048</c:v>
                </c:pt>
                <c:pt idx="257">
                  <c:v>33769.953266738579</c:v>
                </c:pt>
                <c:pt idx="258">
                  <c:v>45929.728469039612</c:v>
                </c:pt>
                <c:pt idx="259">
                  <c:v>69585.074376684715</c:v>
                </c:pt>
                <c:pt idx="260">
                  <c:v>87108.477580809122</c:v>
                </c:pt>
                <c:pt idx="261">
                  <c:v>91116.13863073611</c:v>
                </c:pt>
                <c:pt idx="262">
                  <c:v>72932.057748012026</c:v>
                </c:pt>
                <c:pt idx="263">
                  <c:v>74558.341889352974</c:v>
                </c:pt>
                <c:pt idx="264">
                  <c:v>65356.107164141431</c:v>
                </c:pt>
                <c:pt idx="265">
                  <c:v>49858.871946846928</c:v>
                </c:pt>
                <c:pt idx="266">
                  <c:v>38480.511182640628</c:v>
                </c:pt>
                <c:pt idx="267">
                  <c:v>110006.9902705047</c:v>
                </c:pt>
                <c:pt idx="268">
                  <c:v>12854.441177776918</c:v>
                </c:pt>
                <c:pt idx="269">
                  <c:v>103867.36172692994</c:v>
                </c:pt>
                <c:pt idx="270">
                  <c:v>26727.112439431377</c:v>
                </c:pt>
                <c:pt idx="271">
                  <c:v>56422.040912334945</c:v>
                </c:pt>
                <c:pt idx="272">
                  <c:v>63232.082979176928</c:v>
                </c:pt>
                <c:pt idx="273">
                  <c:v>93913.720975334174</c:v>
                </c:pt>
                <c:pt idx="274">
                  <c:v>83317.121596607045</c:v>
                </c:pt>
                <c:pt idx="275">
                  <c:v>36863.609967916629</c:v>
                </c:pt>
                <c:pt idx="276">
                  <c:v>94654.224474943068</c:v>
                </c:pt>
                <c:pt idx="277">
                  <c:v>103709.27464970971</c:v>
                </c:pt>
                <c:pt idx="278">
                  <c:v>72499.957777249045</c:v>
                </c:pt>
                <c:pt idx="279">
                  <c:v>105852.08396273818</c:v>
                </c:pt>
                <c:pt idx="280">
                  <c:v>60987.586229681801</c:v>
                </c:pt>
                <c:pt idx="281">
                  <c:v>118595.41220244681</c:v>
                </c:pt>
                <c:pt idx="282">
                  <c:v>91681.667154660201</c:v>
                </c:pt>
                <c:pt idx="283">
                  <c:v>60615.120586331825</c:v>
                </c:pt>
                <c:pt idx="284">
                  <c:v>87550.186408437614</c:v>
                </c:pt>
                <c:pt idx="285">
                  <c:v>50625.874170485928</c:v>
                </c:pt>
                <c:pt idx="286">
                  <c:v>66662.044791718959</c:v>
                </c:pt>
                <c:pt idx="287">
                  <c:v>98327.422116002752</c:v>
                </c:pt>
                <c:pt idx="288">
                  <c:v>104364.72052565365</c:v>
                </c:pt>
                <c:pt idx="289">
                  <c:v>95289.048671426586</c:v>
                </c:pt>
                <c:pt idx="290">
                  <c:v>62154.805845581111</c:v>
                </c:pt>
                <c:pt idx="291">
                  <c:v>26516.797792536116</c:v>
                </c:pt>
                <c:pt idx="292">
                  <c:v>89586.99777515234</c:v>
                </c:pt>
                <c:pt idx="293">
                  <c:v>90859.499602455937</c:v>
                </c:pt>
                <c:pt idx="294">
                  <c:v>75337.536234137209</c:v>
                </c:pt>
                <c:pt idx="295">
                  <c:v>84629.773088732938</c:v>
                </c:pt>
                <c:pt idx="296">
                  <c:v>87648.480587707323</c:v>
                </c:pt>
                <c:pt idx="297">
                  <c:v>81682.396554250256</c:v>
                </c:pt>
                <c:pt idx="298">
                  <c:v>25524.930575862592</c:v>
                </c:pt>
                <c:pt idx="299">
                  <c:v>58962.375157485025</c:v>
                </c:pt>
                <c:pt idx="300">
                  <c:v>17010.584032509574</c:v>
                </c:pt>
                <c:pt idx="301">
                  <c:v>17331.639765151282</c:v>
                </c:pt>
                <c:pt idx="302">
                  <c:v>14409.820230102912</c:v>
                </c:pt>
                <c:pt idx="303">
                  <c:v>15905.687488281317</c:v>
                </c:pt>
                <c:pt idx="304">
                  <c:v>16872.870970632688</c:v>
                </c:pt>
                <c:pt idx="305">
                  <c:v>7297.6871908483481</c:v>
                </c:pt>
                <c:pt idx="306">
                  <c:v>12729.160127606165</c:v>
                </c:pt>
                <c:pt idx="307">
                  <c:v>13203.952390535638</c:v>
                </c:pt>
                <c:pt idx="308">
                  <c:v>17776.249194215619</c:v>
                </c:pt>
                <c:pt idx="309">
                  <c:v>10239.33469179094</c:v>
                </c:pt>
                <c:pt idx="310">
                  <c:v>9729.7411513772095</c:v>
                </c:pt>
                <c:pt idx="311">
                  <c:v>18230.853156675192</c:v>
                </c:pt>
                <c:pt idx="312">
                  <c:v>10058.488451134353</c:v>
                </c:pt>
                <c:pt idx="313">
                  <c:v>9207.4873051915674</c:v>
                </c:pt>
                <c:pt idx="314">
                  <c:v>9132.6472675806217</c:v>
                </c:pt>
                <c:pt idx="315">
                  <c:v>10426.439158915542</c:v>
                </c:pt>
                <c:pt idx="316">
                  <c:v>2493.540213809641</c:v>
                </c:pt>
                <c:pt idx="317">
                  <c:v>11742.289879682554</c:v>
                </c:pt>
                <c:pt idx="318">
                  <c:v>8872.1793091042782</c:v>
                </c:pt>
                <c:pt idx="319">
                  <c:v>22600.22293928697</c:v>
                </c:pt>
                <c:pt idx="320">
                  <c:v>10599.141535311506</c:v>
                </c:pt>
                <c:pt idx="321">
                  <c:v>11276.077537644014</c:v>
                </c:pt>
                <c:pt idx="322">
                  <c:v>8346.0289963862233</c:v>
                </c:pt>
                <c:pt idx="323">
                  <c:v>17921.377657114394</c:v>
                </c:pt>
                <c:pt idx="324">
                  <c:v>14430.696843659309</c:v>
                </c:pt>
                <c:pt idx="325">
                  <c:v>11379.204313226235</c:v>
                </c:pt>
                <c:pt idx="326">
                  <c:v>7797.3549591994743</c:v>
                </c:pt>
                <c:pt idx="327">
                  <c:v>8760.0011356000923</c:v>
                </c:pt>
                <c:pt idx="328">
                  <c:v>4735.2509714383987</c:v>
                </c:pt>
                <c:pt idx="329">
                  <c:v>17427.392569847227</c:v>
                </c:pt>
                <c:pt idx="330">
                  <c:v>13210.514529036051</c:v>
                </c:pt>
                <c:pt idx="331">
                  <c:v>6711.7722669922769</c:v>
                </c:pt>
                <c:pt idx="332">
                  <c:v>15911.812131064187</c:v>
                </c:pt>
                <c:pt idx="333">
                  <c:v>22280.925778636469</c:v>
                </c:pt>
                <c:pt idx="334">
                  <c:v>16504.877663412437</c:v>
                </c:pt>
                <c:pt idx="335">
                  <c:v>11350.162805946875</c:v>
                </c:pt>
                <c:pt idx="336">
                  <c:v>15626.823520107117</c:v>
                </c:pt>
                <c:pt idx="337">
                  <c:v>8187.4380761736766</c:v>
                </c:pt>
                <c:pt idx="338">
                  <c:v>1189.2121903019845</c:v>
                </c:pt>
                <c:pt idx="339">
                  <c:v>18565.664996101692</c:v>
                </c:pt>
                <c:pt idx="340">
                  <c:v>5668.7615663811803</c:v>
                </c:pt>
                <c:pt idx="341">
                  <c:v>8266.1263129366034</c:v>
                </c:pt>
                <c:pt idx="342">
                  <c:v>17452.52053279824</c:v>
                </c:pt>
                <c:pt idx="343">
                  <c:v>3039.0559378454714</c:v>
                </c:pt>
                <c:pt idx="344">
                  <c:v>9045.9744276098882</c:v>
                </c:pt>
                <c:pt idx="345">
                  <c:v>12916.893983628517</c:v>
                </c:pt>
                <c:pt idx="346">
                  <c:v>6273.1787789042937</c:v>
                </c:pt>
                <c:pt idx="347">
                  <c:v>608.12622879592652</c:v>
                </c:pt>
                <c:pt idx="348">
                  <c:v>4711.4128073829452</c:v>
                </c:pt>
                <c:pt idx="349">
                  <c:v>7030.3342890818167</c:v>
                </c:pt>
                <c:pt idx="350">
                  <c:v>13423.407947576217</c:v>
                </c:pt>
                <c:pt idx="351">
                  <c:v>2806.5933741277308</c:v>
                </c:pt>
                <c:pt idx="352">
                  <c:v>13677.594483264145</c:v>
                </c:pt>
                <c:pt idx="353">
                  <c:v>9416.7867874048916</c:v>
                </c:pt>
                <c:pt idx="354">
                  <c:v>12679.628015607273</c:v>
                </c:pt>
                <c:pt idx="355">
                  <c:v>16096.001967885808</c:v>
                </c:pt>
                <c:pt idx="356">
                  <c:v>19171.261568330174</c:v>
                </c:pt>
                <c:pt idx="357">
                  <c:v>18585.341004393078</c:v>
                </c:pt>
                <c:pt idx="358">
                  <c:v>14722.294693728865</c:v>
                </c:pt>
                <c:pt idx="359">
                  <c:v>5218.9524886808895</c:v>
                </c:pt>
                <c:pt idx="360">
                  <c:v>12647.138813385211</c:v>
                </c:pt>
                <c:pt idx="361">
                  <c:v>8023.7296119112425</c:v>
                </c:pt>
                <c:pt idx="362">
                  <c:v>16241.06793636773</c:v>
                </c:pt>
                <c:pt idx="363">
                  <c:v>14312.679599904674</c:v>
                </c:pt>
                <c:pt idx="364">
                  <c:v>11423.775586218999</c:v>
                </c:pt>
                <c:pt idx="365">
                  <c:v>19121.549663934155</c:v>
                </c:pt>
                <c:pt idx="366">
                  <c:v>16966.386282277603</c:v>
                </c:pt>
                <c:pt idx="367">
                  <c:v>16993.748128235999</c:v>
                </c:pt>
                <c:pt idx="368">
                  <c:v>1216.3516009289403</c:v>
                </c:pt>
                <c:pt idx="369">
                  <c:v>9132.1901744284387</c:v>
                </c:pt>
                <c:pt idx="370">
                  <c:v>10188.924272315642</c:v>
                </c:pt>
                <c:pt idx="371">
                  <c:v>19500.92276250061</c:v>
                </c:pt>
                <c:pt idx="372">
                  <c:v>9611.7851508146105</c:v>
                </c:pt>
                <c:pt idx="373">
                  <c:v>5110.1885702572235</c:v>
                </c:pt>
                <c:pt idx="374">
                  <c:v>5373.7332077411447</c:v>
                </c:pt>
                <c:pt idx="375">
                  <c:v>20022.604360549412</c:v>
                </c:pt>
                <c:pt idx="376">
                  <c:v>14335.521141328518</c:v>
                </c:pt>
                <c:pt idx="377">
                  <c:v>4270.0700505916766</c:v>
                </c:pt>
                <c:pt idx="378">
                  <c:v>19471.910452634394</c:v>
                </c:pt>
                <c:pt idx="379">
                  <c:v>8319.5897276456981</c:v>
                </c:pt>
                <c:pt idx="380">
                  <c:v>16364.372292298565</c:v>
                </c:pt>
                <c:pt idx="381">
                  <c:v>18418.541664633049</c:v>
                </c:pt>
                <c:pt idx="382">
                  <c:v>13441.573914766874</c:v>
                </c:pt>
                <c:pt idx="383">
                  <c:v>7615.6451806113828</c:v>
                </c:pt>
                <c:pt idx="384">
                  <c:v>5111.7233140687858</c:v>
                </c:pt>
                <c:pt idx="385">
                  <c:v>16645.358181561987</c:v>
                </c:pt>
                <c:pt idx="386">
                  <c:v>6369.9765586049034</c:v>
                </c:pt>
                <c:pt idx="387">
                  <c:v>18358.764961292916</c:v>
                </c:pt>
                <c:pt idx="388">
                  <c:v>15746.016057149465</c:v>
                </c:pt>
                <c:pt idx="389">
                  <c:v>8134.38421012862</c:v>
                </c:pt>
                <c:pt idx="390">
                  <c:v>5304.8156502293286</c:v>
                </c:pt>
                <c:pt idx="391">
                  <c:v>3753.5537320391932</c:v>
                </c:pt>
                <c:pt idx="392">
                  <c:v>17381.965354801316</c:v>
                </c:pt>
                <c:pt idx="393">
                  <c:v>7410.8241118489677</c:v>
                </c:pt>
                <c:pt idx="394">
                  <c:v>17359.226581519521</c:v>
                </c:pt>
                <c:pt idx="395">
                  <c:v>21624.30220745863</c:v>
                </c:pt>
                <c:pt idx="396">
                  <c:v>16791.56870600862</c:v>
                </c:pt>
                <c:pt idx="397">
                  <c:v>13525.478179161111</c:v>
                </c:pt>
                <c:pt idx="398">
                  <c:v>15537.743404690182</c:v>
                </c:pt>
                <c:pt idx="399">
                  <c:v>13367.572612393287</c:v>
                </c:pt>
                <c:pt idx="400">
                  <c:v>773.76243950946252</c:v>
                </c:pt>
                <c:pt idx="401">
                  <c:v>1282.8590733585308</c:v>
                </c:pt>
                <c:pt idx="402">
                  <c:v>889.93056879589039</c:v>
                </c:pt>
                <c:pt idx="403">
                  <c:v>1682.2966839245557</c:v>
                </c:pt>
                <c:pt idx="404">
                  <c:v>703.69103214447557</c:v>
                </c:pt>
                <c:pt idx="405">
                  <c:v>1046.2658827564085</c:v>
                </c:pt>
                <c:pt idx="406">
                  <c:v>897.79918591358103</c:v>
                </c:pt>
                <c:pt idx="407">
                  <c:v>622.92869741844481</c:v>
                </c:pt>
                <c:pt idx="408">
                  <c:v>1416.5661404875525</c:v>
                </c:pt>
                <c:pt idx="409">
                  <c:v>2202.5966509223781</c:v>
                </c:pt>
                <c:pt idx="410">
                  <c:v>284.74299027087125</c:v>
                </c:pt>
                <c:pt idx="411">
                  <c:v>1489.0884742444073</c:v>
                </c:pt>
                <c:pt idx="412">
                  <c:v>1375.0655408814928</c:v>
                </c:pt>
                <c:pt idx="413">
                  <c:v>1194.986112078677</c:v>
                </c:pt>
                <c:pt idx="414">
                  <c:v>414.61903108092849</c:v>
                </c:pt>
                <c:pt idx="415">
                  <c:v>1636.910936623452</c:v>
                </c:pt>
                <c:pt idx="416">
                  <c:v>285.51825579657816</c:v>
                </c:pt>
                <c:pt idx="417">
                  <c:v>2194.964077187688</c:v>
                </c:pt>
                <c:pt idx="418">
                  <c:v>2192.5590771687816</c:v>
                </c:pt>
                <c:pt idx="419">
                  <c:v>1873.5486123458313</c:v>
                </c:pt>
                <c:pt idx="420">
                  <c:v>1320.0921835107874</c:v>
                </c:pt>
                <c:pt idx="421">
                  <c:v>1826.924121623674</c:v>
                </c:pt>
                <c:pt idx="422">
                  <c:v>1729.9818977534453</c:v>
                </c:pt>
                <c:pt idx="423">
                  <c:v>1401.3513497014189</c:v>
                </c:pt>
                <c:pt idx="424">
                  <c:v>1564.7206625081872</c:v>
                </c:pt>
                <c:pt idx="425">
                  <c:v>1046.3437247757508</c:v>
                </c:pt>
                <c:pt idx="426">
                  <c:v>1700.0996566675619</c:v>
                </c:pt>
                <c:pt idx="427">
                  <c:v>1679.6260554904886</c:v>
                </c:pt>
                <c:pt idx="428">
                  <c:v>2099.3567787241191</c:v>
                </c:pt>
                <c:pt idx="429">
                  <c:v>1223.8940905964896</c:v>
                </c:pt>
                <c:pt idx="430">
                  <c:v>1663.2604008937828</c:v>
                </c:pt>
                <c:pt idx="431">
                  <c:v>1545.7427769674052</c:v>
                </c:pt>
                <c:pt idx="432">
                  <c:v>678.00785546913835</c:v>
                </c:pt>
                <c:pt idx="433">
                  <c:v>627.45069884408872</c:v>
                </c:pt>
                <c:pt idx="434">
                  <c:v>1617.617367296863</c:v>
                </c:pt>
                <c:pt idx="435">
                  <c:v>986.15003575423862</c:v>
                </c:pt>
                <c:pt idx="436">
                  <c:v>1730.156763548981</c:v>
                </c:pt>
                <c:pt idx="437">
                  <c:v>1542.8445928081583</c:v>
                </c:pt>
                <c:pt idx="438">
                  <c:v>1977.2023915254706</c:v>
                </c:pt>
                <c:pt idx="439">
                  <c:v>322.73560226345552</c:v>
                </c:pt>
                <c:pt idx="440">
                  <c:v>1275.4025039341022</c:v>
                </c:pt>
                <c:pt idx="441">
                  <c:v>691.85120459072812</c:v>
                </c:pt>
                <c:pt idx="442">
                  <c:v>1782.0986076342108</c:v>
                </c:pt>
                <c:pt idx="443">
                  <c:v>852.22369310285796</c:v>
                </c:pt>
                <c:pt idx="444">
                  <c:v>330.45781918839549</c:v>
                </c:pt>
                <c:pt idx="445">
                  <c:v>1422.9121221945563</c:v>
                </c:pt>
                <c:pt idx="446">
                  <c:v>1021.6566763765353</c:v>
                </c:pt>
                <c:pt idx="447">
                  <c:v>1277.8832118512678</c:v>
                </c:pt>
                <c:pt idx="448">
                  <c:v>1598.4409779325279</c:v>
                </c:pt>
                <c:pt idx="449">
                  <c:v>1527.5471658872866</c:v>
                </c:pt>
                <c:pt idx="450">
                  <c:v>101.33792754813719</c:v>
                </c:pt>
                <c:pt idx="451">
                  <c:v>1110.7086140046815</c:v>
                </c:pt>
                <c:pt idx="452">
                  <c:v>1723.1645398701785</c:v>
                </c:pt>
                <c:pt idx="453">
                  <c:v>524.23572800660338</c:v>
                </c:pt>
                <c:pt idx="454">
                  <c:v>1047.4275436786281</c:v>
                </c:pt>
                <c:pt idx="455">
                  <c:v>2338.1601293463773</c:v>
                </c:pt>
                <c:pt idx="456">
                  <c:v>305.55685174822042</c:v>
                </c:pt>
                <c:pt idx="457">
                  <c:v>651.16316285616847</c:v>
                </c:pt>
                <c:pt idx="458">
                  <c:v>1252.2038663446008</c:v>
                </c:pt>
                <c:pt idx="459">
                  <c:v>964.66340261952621</c:v>
                </c:pt>
                <c:pt idx="460">
                  <c:v>1822.3479191639349</c:v>
                </c:pt>
                <c:pt idx="461">
                  <c:v>1180.5165197936471</c:v>
                </c:pt>
                <c:pt idx="462">
                  <c:v>1481.7147052559023</c:v>
                </c:pt>
                <c:pt idx="463">
                  <c:v>1728.1659417101348</c:v>
                </c:pt>
                <c:pt idx="464">
                  <c:v>1743.7785213090879</c:v>
                </c:pt>
                <c:pt idx="465">
                  <c:v>1575.55178653197</c:v>
                </c:pt>
                <c:pt idx="466">
                  <c:v>870.30879423374176</c:v>
                </c:pt>
                <c:pt idx="467">
                  <c:v>1828.6776334392318</c:v>
                </c:pt>
                <c:pt idx="468">
                  <c:v>526.87047831147629</c:v>
                </c:pt>
                <c:pt idx="469">
                  <c:v>1058.38853532128</c:v>
                </c:pt>
                <c:pt idx="470">
                  <c:v>1388.3738990203485</c:v>
                </c:pt>
                <c:pt idx="471">
                  <c:v>555.78369360164152</c:v>
                </c:pt>
                <c:pt idx="472">
                  <c:v>1707.8287095081844</c:v>
                </c:pt>
                <c:pt idx="473">
                  <c:v>403.61098177567845</c:v>
                </c:pt>
                <c:pt idx="474">
                  <c:v>744.07987396848182</c:v>
                </c:pt>
                <c:pt idx="475">
                  <c:v>1602.3036094691488</c:v>
                </c:pt>
                <c:pt idx="476">
                  <c:v>514.3958247389503</c:v>
                </c:pt>
                <c:pt idx="477">
                  <c:v>223.66003667914177</c:v>
                </c:pt>
                <c:pt idx="478">
                  <c:v>1151.8165795103241</c:v>
                </c:pt>
                <c:pt idx="479">
                  <c:v>1547.306609313292</c:v>
                </c:pt>
                <c:pt idx="480">
                  <c:v>1376.5530011345966</c:v>
                </c:pt>
                <c:pt idx="481">
                  <c:v>1117.8525951574925</c:v>
                </c:pt>
                <c:pt idx="482">
                  <c:v>30.550827958870414</c:v>
                </c:pt>
                <c:pt idx="483">
                  <c:v>846.01321450494504</c:v>
                </c:pt>
                <c:pt idx="484">
                  <c:v>1774.1352398470931</c:v>
                </c:pt>
                <c:pt idx="485">
                  <c:v>1118.8372185283674</c:v>
                </c:pt>
                <c:pt idx="486">
                  <c:v>953.13649792518038</c:v>
                </c:pt>
                <c:pt idx="487">
                  <c:v>1634.9834791365904</c:v>
                </c:pt>
                <c:pt idx="488">
                  <c:v>1100.9882910084752</c:v>
                </c:pt>
                <c:pt idx="489">
                  <c:v>1513.205688662239</c:v>
                </c:pt>
                <c:pt idx="490">
                  <c:v>169.72266104841913</c:v>
                </c:pt>
                <c:pt idx="491">
                  <c:v>1976.1823918988071</c:v>
                </c:pt>
                <c:pt idx="492">
                  <c:v>521.40135860035559</c:v>
                </c:pt>
                <c:pt idx="493">
                  <c:v>1443.7030729977662</c:v>
                </c:pt>
                <c:pt idx="494">
                  <c:v>1907.0400851854045</c:v>
                </c:pt>
                <c:pt idx="495">
                  <c:v>632.98991543404759</c:v>
                </c:pt>
                <c:pt idx="496">
                  <c:v>1321.7709160319341</c:v>
                </c:pt>
                <c:pt idx="497">
                  <c:v>1604.2781018127905</c:v>
                </c:pt>
                <c:pt idx="498">
                  <c:v>568.4785467566478</c:v>
                </c:pt>
                <c:pt idx="499">
                  <c:v>1110.3506525773789</c:v>
                </c:pt>
                <c:pt idx="500">
                  <c:v>128.25594655189292</c:v>
                </c:pt>
                <c:pt idx="501">
                  <c:v>56.445203403080214</c:v>
                </c:pt>
                <c:pt idx="502">
                  <c:v>208.23185374299331</c:v>
                </c:pt>
                <c:pt idx="503">
                  <c:v>137.68963072389778</c:v>
                </c:pt>
                <c:pt idx="504">
                  <c:v>102.75426927187726</c:v>
                </c:pt>
                <c:pt idx="505">
                  <c:v>135.12010920634197</c:v>
                </c:pt>
                <c:pt idx="506">
                  <c:v>138.217683776748</c:v>
                </c:pt>
                <c:pt idx="507">
                  <c:v>173.28412246759157</c:v>
                </c:pt>
                <c:pt idx="508">
                  <c:v>159.47807210043376</c:v>
                </c:pt>
                <c:pt idx="509">
                  <c:v>38.650444010383652</c:v>
                </c:pt>
                <c:pt idx="510">
                  <c:v>81.804376045487473</c:v>
                </c:pt>
                <c:pt idx="511">
                  <c:v>68.463378375360278</c:v>
                </c:pt>
                <c:pt idx="512">
                  <c:v>100.39078699400766</c:v>
                </c:pt>
                <c:pt idx="513">
                  <c:v>134.75266081842256</c:v>
                </c:pt>
                <c:pt idx="514">
                  <c:v>184.39873125004331</c:v>
                </c:pt>
                <c:pt idx="515">
                  <c:v>126.47559905326834</c:v>
                </c:pt>
                <c:pt idx="516">
                  <c:v>120.60303946283211</c:v>
                </c:pt>
                <c:pt idx="517">
                  <c:v>184.64984362951495</c:v>
                </c:pt>
                <c:pt idx="518">
                  <c:v>143.60510107138953</c:v>
                </c:pt>
                <c:pt idx="519">
                  <c:v>190.47134075402033</c:v>
                </c:pt>
                <c:pt idx="520">
                  <c:v>139.57512820071713</c:v>
                </c:pt>
                <c:pt idx="521">
                  <c:v>73.100761595006517</c:v>
                </c:pt>
                <c:pt idx="522">
                  <c:v>59.967693802533695</c:v>
                </c:pt>
                <c:pt idx="523">
                  <c:v>196.26480702375881</c:v>
                </c:pt>
                <c:pt idx="524">
                  <c:v>113.16595827180572</c:v>
                </c:pt>
                <c:pt idx="525">
                  <c:v>25.694169192773785</c:v>
                </c:pt>
                <c:pt idx="526">
                  <c:v>34.408548250924255</c:v>
                </c:pt>
                <c:pt idx="527">
                  <c:v>157.66752088197973</c:v>
                </c:pt>
                <c:pt idx="528">
                  <c:v>106.74447548968408</c:v>
                </c:pt>
                <c:pt idx="529">
                  <c:v>196.75462940148694</c:v>
                </c:pt>
                <c:pt idx="530">
                  <c:v>167.52107704563099</c:v>
                </c:pt>
                <c:pt idx="531">
                  <c:v>70.062401634028944</c:v>
                </c:pt>
                <c:pt idx="532">
                  <c:v>77.558266900219024</c:v>
                </c:pt>
                <c:pt idx="533">
                  <c:v>73.722182870661555</c:v>
                </c:pt>
                <c:pt idx="534">
                  <c:v>165.81532545260799</c:v>
                </c:pt>
                <c:pt idx="535">
                  <c:v>252.98217913313314</c:v>
                </c:pt>
                <c:pt idx="536">
                  <c:v>82.638110836408856</c:v>
                </c:pt>
                <c:pt idx="537">
                  <c:v>26.537332232718139</c:v>
                </c:pt>
                <c:pt idx="538">
                  <c:v>187.28903029419109</c:v>
                </c:pt>
                <c:pt idx="539">
                  <c:v>206.36354689335883</c:v>
                </c:pt>
                <c:pt idx="540">
                  <c:v>208.88065649655363</c:v>
                </c:pt>
                <c:pt idx="541">
                  <c:v>159.93204219708349</c:v>
                </c:pt>
                <c:pt idx="542">
                  <c:v>165.51477200555357</c:v>
                </c:pt>
                <c:pt idx="543">
                  <c:v>19.990109794983621</c:v>
                </c:pt>
                <c:pt idx="544">
                  <c:v>115.4195504179952</c:v>
                </c:pt>
                <c:pt idx="545">
                  <c:v>46.035839242573068</c:v>
                </c:pt>
                <c:pt idx="546">
                  <c:v>172.08215695842966</c:v>
                </c:pt>
                <c:pt idx="547">
                  <c:v>139.00373811107798</c:v>
                </c:pt>
                <c:pt idx="548">
                  <c:v>182.30283366513373</c:v>
                </c:pt>
                <c:pt idx="549">
                  <c:v>58.570633741418384</c:v>
                </c:pt>
                <c:pt idx="550">
                  <c:v>161.74106371125316</c:v>
                </c:pt>
                <c:pt idx="551">
                  <c:v>132.12990703359623</c:v>
                </c:pt>
                <c:pt idx="552">
                  <c:v>91.931713414637457</c:v>
                </c:pt>
                <c:pt idx="553">
                  <c:v>124.88485388161463</c:v>
                </c:pt>
                <c:pt idx="554">
                  <c:v>84.135672707294503</c:v>
                </c:pt>
                <c:pt idx="555">
                  <c:v>75.547929214841901</c:v>
                </c:pt>
                <c:pt idx="556">
                  <c:v>120.34492456169227</c:v>
                </c:pt>
                <c:pt idx="557">
                  <c:v>167.63816688060908</c:v>
                </c:pt>
                <c:pt idx="558">
                  <c:v>166.39954424068105</c:v>
                </c:pt>
                <c:pt idx="559">
                  <c:v>165.61123901208748</c:v>
                </c:pt>
                <c:pt idx="560">
                  <c:v>97.155290869190623</c:v>
                </c:pt>
                <c:pt idx="561">
                  <c:v>73.626350988676307</c:v>
                </c:pt>
                <c:pt idx="562">
                  <c:v>169.80240877546649</c:v>
                </c:pt>
                <c:pt idx="563">
                  <c:v>176.58380303743425</c:v>
                </c:pt>
                <c:pt idx="564">
                  <c:v>14.683644895504811</c:v>
                </c:pt>
                <c:pt idx="565">
                  <c:v>107.22667329992846</c:v>
                </c:pt>
                <c:pt idx="566">
                  <c:v>69.349802458496697</c:v>
                </c:pt>
                <c:pt idx="567">
                  <c:v>170.33683732597243</c:v>
                </c:pt>
                <c:pt idx="568">
                  <c:v>176.43302911577695</c:v>
                </c:pt>
                <c:pt idx="569">
                  <c:v>188.32960999638323</c:v>
                </c:pt>
                <c:pt idx="570">
                  <c:v>156.45400630144141</c:v>
                </c:pt>
                <c:pt idx="571">
                  <c:v>30.117025018583089</c:v>
                </c:pt>
                <c:pt idx="572">
                  <c:v>18.320888150148178</c:v>
                </c:pt>
                <c:pt idx="573">
                  <c:v>103.27112550698125</c:v>
                </c:pt>
                <c:pt idx="574">
                  <c:v>121.69186981889999</c:v>
                </c:pt>
                <c:pt idx="575">
                  <c:v>149.51739437906389</c:v>
                </c:pt>
                <c:pt idx="576">
                  <c:v>139.51793737524022</c:v>
                </c:pt>
                <c:pt idx="577">
                  <c:v>61.272036702976337</c:v>
                </c:pt>
                <c:pt idx="578">
                  <c:v>199.1089054685655</c:v>
                </c:pt>
                <c:pt idx="579">
                  <c:v>44.5652603052187</c:v>
                </c:pt>
                <c:pt idx="580">
                  <c:v>104.18029509837301</c:v>
                </c:pt>
                <c:pt idx="581">
                  <c:v>171.30354317168602</c:v>
                </c:pt>
                <c:pt idx="582">
                  <c:v>104.76073571270263</c:v>
                </c:pt>
                <c:pt idx="583">
                  <c:v>104.86770920542324</c:v>
                </c:pt>
                <c:pt idx="584">
                  <c:v>114.43493859394981</c:v>
                </c:pt>
                <c:pt idx="585">
                  <c:v>151.93178204365532</c:v>
                </c:pt>
                <c:pt idx="586">
                  <c:v>189.52997083389965</c:v>
                </c:pt>
                <c:pt idx="587">
                  <c:v>64.937933374724224</c:v>
                </c:pt>
                <c:pt idx="588">
                  <c:v>83.126880667105482</c:v>
                </c:pt>
                <c:pt idx="589">
                  <c:v>69.30472601103088</c:v>
                </c:pt>
                <c:pt idx="590">
                  <c:v>54.736562173851482</c:v>
                </c:pt>
                <c:pt idx="591">
                  <c:v>105.5633608772051</c:v>
                </c:pt>
                <c:pt idx="592">
                  <c:v>102.74428044163758</c:v>
                </c:pt>
                <c:pt idx="593">
                  <c:v>172.65115033582131</c:v>
                </c:pt>
                <c:pt idx="594">
                  <c:v>127.52767422827702</c:v>
                </c:pt>
                <c:pt idx="595">
                  <c:v>23.987302050740908</c:v>
                </c:pt>
                <c:pt idx="596">
                  <c:v>228.92156304120161</c:v>
                </c:pt>
                <c:pt idx="597">
                  <c:v>119.53929249529321</c:v>
                </c:pt>
                <c:pt idx="598">
                  <c:v>24.30250794273762</c:v>
                </c:pt>
                <c:pt idx="599">
                  <c:v>87.073914006705095</c:v>
                </c:pt>
              </c:numCache>
            </c:numRef>
          </c:xVal>
          <c:yVal>
            <c:numRef>
              <c:f>Inverse!$X$3:$X$602</c:f>
              <c:numCache>
                <c:formatCode>0.00000000</c:formatCode>
                <c:ptCount val="600"/>
                <c:pt idx="0">
                  <c:v>1.7027798548951978E-7</c:v>
                </c:pt>
                <c:pt idx="1">
                  <c:v>4.9271307034359779E-7</c:v>
                </c:pt>
                <c:pt idx="2">
                  <c:v>3.3193077797477599E-7</c:v>
                </c:pt>
                <c:pt idx="3">
                  <c:v>1.3654998509693428E-7</c:v>
                </c:pt>
                <c:pt idx="4">
                  <c:v>1.3881816585126217E-8</c:v>
                </c:pt>
                <c:pt idx="5">
                  <c:v>2.1696642704682745E-7</c:v>
                </c:pt>
                <c:pt idx="6">
                  <c:v>6.3570666952728061E-8</c:v>
                </c:pt>
                <c:pt idx="7">
                  <c:v>1.9001294049303397E-7</c:v>
                </c:pt>
                <c:pt idx="8">
                  <c:v>4.5003119453213003E-7</c:v>
                </c:pt>
                <c:pt idx="9">
                  <c:v>1.3781496477349719E-7</c:v>
                </c:pt>
                <c:pt idx="10">
                  <c:v>3.8628229503956391E-8</c:v>
                </c:pt>
                <c:pt idx="11">
                  <c:v>1.294387743655534E-7</c:v>
                </c:pt>
                <c:pt idx="12">
                  <c:v>3.750611199393461E-8</c:v>
                </c:pt>
                <c:pt idx="13">
                  <c:v>3.1266267797036562E-8</c:v>
                </c:pt>
                <c:pt idx="14">
                  <c:v>2.7310131223146072E-7</c:v>
                </c:pt>
                <c:pt idx="15">
                  <c:v>3.1912193776406639E-7</c:v>
                </c:pt>
                <c:pt idx="16">
                  <c:v>2.8435728438580554E-7</c:v>
                </c:pt>
                <c:pt idx="17">
                  <c:v>4.4832995382826368E-7</c:v>
                </c:pt>
                <c:pt idx="18">
                  <c:v>1.0803009331539215E-7</c:v>
                </c:pt>
                <c:pt idx="19">
                  <c:v>9.0297234578429197E-8</c:v>
                </c:pt>
                <c:pt idx="20">
                  <c:v>4.4379049768394907E-7</c:v>
                </c:pt>
                <c:pt idx="21">
                  <c:v>1.4065244635652618E-7</c:v>
                </c:pt>
                <c:pt idx="22">
                  <c:v>4.0237526377495669E-7</c:v>
                </c:pt>
                <c:pt idx="23">
                  <c:v>3.9279512975554098E-9</c:v>
                </c:pt>
                <c:pt idx="24">
                  <c:v>1.4354856148202089E-7</c:v>
                </c:pt>
                <c:pt idx="25">
                  <c:v>1.0786976645249524E-8</c:v>
                </c:pt>
                <c:pt idx="26">
                  <c:v>1.589582154792879E-7</c:v>
                </c:pt>
                <c:pt idx="27">
                  <c:v>1.9781447235800442E-7</c:v>
                </c:pt>
                <c:pt idx="28">
                  <c:v>3.2181344522541622E-7</c:v>
                </c:pt>
                <c:pt idx="29">
                  <c:v>4.3724219267460285E-7</c:v>
                </c:pt>
                <c:pt idx="30">
                  <c:v>4.8181379952438874E-7</c:v>
                </c:pt>
                <c:pt idx="31">
                  <c:v>3.5137247778038727E-7</c:v>
                </c:pt>
                <c:pt idx="32">
                  <c:v>4.963953585956915E-7</c:v>
                </c:pt>
                <c:pt idx="33">
                  <c:v>4.2913971753932856E-7</c:v>
                </c:pt>
                <c:pt idx="34">
                  <c:v>1.0069055633721291E-7</c:v>
                </c:pt>
                <c:pt idx="35">
                  <c:v>1.2867076293332502E-8</c:v>
                </c:pt>
                <c:pt idx="36">
                  <c:v>1.0373270242780563E-8</c:v>
                </c:pt>
                <c:pt idx="37">
                  <c:v>3.3292002399321063E-7</c:v>
                </c:pt>
                <c:pt idx="38">
                  <c:v>1.6990229312341398E-7</c:v>
                </c:pt>
                <c:pt idx="39">
                  <c:v>4.3640692126700742E-7</c:v>
                </c:pt>
                <c:pt idx="40">
                  <c:v>1.041240693666623E-8</c:v>
                </c:pt>
                <c:pt idx="41">
                  <c:v>1.6373829225813097E-7</c:v>
                </c:pt>
                <c:pt idx="42">
                  <c:v>1.9650644844659837E-7</c:v>
                </c:pt>
                <c:pt idx="43">
                  <c:v>2.8767072990376619E-7</c:v>
                </c:pt>
                <c:pt idx="44">
                  <c:v>8.8064666670106817E-10</c:v>
                </c:pt>
                <c:pt idx="45">
                  <c:v>2.5868286002150853E-7</c:v>
                </c:pt>
                <c:pt idx="46">
                  <c:v>4.0071205376079888E-7</c:v>
                </c:pt>
                <c:pt idx="47">
                  <c:v>3.9652277905588562E-7</c:v>
                </c:pt>
                <c:pt idx="48">
                  <c:v>3.6372355793901079E-7</c:v>
                </c:pt>
                <c:pt idx="49">
                  <c:v>4.7260996893783158E-7</c:v>
                </c:pt>
                <c:pt idx="50">
                  <c:v>4.2213127926515881E-7</c:v>
                </c:pt>
                <c:pt idx="51">
                  <c:v>9.6172243502223864E-8</c:v>
                </c:pt>
                <c:pt idx="52">
                  <c:v>2.9164107218093704E-7</c:v>
                </c:pt>
                <c:pt idx="53">
                  <c:v>4.8485003389941994E-7</c:v>
                </c:pt>
                <c:pt idx="54">
                  <c:v>1.5158030630679775E-7</c:v>
                </c:pt>
                <c:pt idx="55">
                  <c:v>7.0923995565408404E-9</c:v>
                </c:pt>
                <c:pt idx="56">
                  <c:v>2.6552973508842115E-7</c:v>
                </c:pt>
                <c:pt idx="57">
                  <c:v>4.9036549398806528E-7</c:v>
                </c:pt>
                <c:pt idx="58">
                  <c:v>4.3750085865212895E-7</c:v>
                </c:pt>
                <c:pt idx="59">
                  <c:v>2.4357564143429045E-7</c:v>
                </c:pt>
                <c:pt idx="60">
                  <c:v>3.3170130109283491E-7</c:v>
                </c:pt>
                <c:pt idx="61">
                  <c:v>1.8212404029327445E-8</c:v>
                </c:pt>
                <c:pt idx="62">
                  <c:v>1.5933574104565196E-7</c:v>
                </c:pt>
                <c:pt idx="63">
                  <c:v>1.6894919241394746E-7</c:v>
                </c:pt>
                <c:pt idx="64">
                  <c:v>3.1914612463879166E-7</c:v>
                </c:pt>
                <c:pt idx="65">
                  <c:v>3.5520480423656409E-7</c:v>
                </c:pt>
                <c:pt idx="66">
                  <c:v>8.7724345121387159E-8</c:v>
                </c:pt>
                <c:pt idx="67">
                  <c:v>1.6211498632401344E-7</c:v>
                </c:pt>
                <c:pt idx="68">
                  <c:v>1.4445174656430027E-7</c:v>
                </c:pt>
                <c:pt idx="69">
                  <c:v>1.92860568404285E-7</c:v>
                </c:pt>
                <c:pt idx="70">
                  <c:v>3.4468822462940807E-7</c:v>
                </c:pt>
                <c:pt idx="71">
                  <c:v>4.7337124442492495E-8</c:v>
                </c:pt>
                <c:pt idx="72">
                  <c:v>3.5962509059572767E-7</c:v>
                </c:pt>
                <c:pt idx="73">
                  <c:v>4.641877069389011E-7</c:v>
                </c:pt>
                <c:pt idx="74">
                  <c:v>3.7465312630047265E-7</c:v>
                </c:pt>
                <c:pt idx="75">
                  <c:v>3.310080387564085E-7</c:v>
                </c:pt>
                <c:pt idx="76">
                  <c:v>1.0498905567146721E-7</c:v>
                </c:pt>
                <c:pt idx="77">
                  <c:v>4.5358323319533156E-7</c:v>
                </c:pt>
                <c:pt idx="78">
                  <c:v>1.1457497350875201E-7</c:v>
                </c:pt>
                <c:pt idx="79">
                  <c:v>4.973721274836862E-7</c:v>
                </c:pt>
                <c:pt idx="80">
                  <c:v>4.565086868524304E-7</c:v>
                </c:pt>
                <c:pt idx="81">
                  <c:v>2.6787412821249745E-7</c:v>
                </c:pt>
                <c:pt idx="82">
                  <c:v>1.5468625846892792E-7</c:v>
                </c:pt>
                <c:pt idx="83">
                  <c:v>4.8879957148528774E-7</c:v>
                </c:pt>
                <c:pt idx="84">
                  <c:v>4.4520007591586364E-7</c:v>
                </c:pt>
                <c:pt idx="85">
                  <c:v>1.6594344742770772E-7</c:v>
                </c:pt>
                <c:pt idx="86">
                  <c:v>2.3826373762858566E-8</c:v>
                </c:pt>
                <c:pt idx="87">
                  <c:v>2.3867502818575304E-7</c:v>
                </c:pt>
                <c:pt idx="88">
                  <c:v>3.7007833952884539E-7</c:v>
                </c:pt>
                <c:pt idx="89">
                  <c:v>4.0664150446900749E-7</c:v>
                </c:pt>
                <c:pt idx="90">
                  <c:v>2.6652799078874523E-8</c:v>
                </c:pt>
                <c:pt idx="91">
                  <c:v>1.0937469596683513E-7</c:v>
                </c:pt>
                <c:pt idx="92">
                  <c:v>1.5706967815276585E-7</c:v>
                </c:pt>
                <c:pt idx="93">
                  <c:v>2.97518312208922E-7</c:v>
                </c:pt>
                <c:pt idx="94">
                  <c:v>3.9873748391983099E-7</c:v>
                </c:pt>
                <c:pt idx="95">
                  <c:v>1.6808135683277214E-7</c:v>
                </c:pt>
                <c:pt idx="96">
                  <c:v>1.2668630233747535E-7</c:v>
                </c:pt>
                <c:pt idx="97">
                  <c:v>4.6726813707209658E-7</c:v>
                </c:pt>
                <c:pt idx="98">
                  <c:v>2.6777229322760832E-9</c:v>
                </c:pt>
                <c:pt idx="99">
                  <c:v>1.7101746507819371E-7</c:v>
                </c:pt>
                <c:pt idx="100">
                  <c:v>1.812461132288945E-7</c:v>
                </c:pt>
                <c:pt idx="101">
                  <c:v>2.900639231029345E-7</c:v>
                </c:pt>
                <c:pt idx="102">
                  <c:v>1.6062330132626812E-7</c:v>
                </c:pt>
                <c:pt idx="103">
                  <c:v>2.3370731128125044E-7</c:v>
                </c:pt>
                <c:pt idx="104">
                  <c:v>4.9220739128941204E-7</c:v>
                </c:pt>
                <c:pt idx="105">
                  <c:v>1.9637604964373168E-7</c:v>
                </c:pt>
                <c:pt idx="106">
                  <c:v>4.2136708700013514E-7</c:v>
                </c:pt>
                <c:pt idx="107">
                  <c:v>2.1399387151177507E-8</c:v>
                </c:pt>
                <c:pt idx="108">
                  <c:v>9.9819445154025743E-8</c:v>
                </c:pt>
                <c:pt idx="109">
                  <c:v>4.447862806955527E-7</c:v>
                </c:pt>
                <c:pt idx="110">
                  <c:v>4.1678171669445874E-7</c:v>
                </c:pt>
                <c:pt idx="111">
                  <c:v>3.8702328453155133E-7</c:v>
                </c:pt>
                <c:pt idx="112">
                  <c:v>3.2103019975693314E-7</c:v>
                </c:pt>
                <c:pt idx="113">
                  <c:v>2.3754878952786385E-7</c:v>
                </c:pt>
                <c:pt idx="114">
                  <c:v>3.3750632155715721E-7</c:v>
                </c:pt>
                <c:pt idx="115">
                  <c:v>5.2453145826802938E-8</c:v>
                </c:pt>
                <c:pt idx="116">
                  <c:v>2.300657513387705E-7</c:v>
                </c:pt>
                <c:pt idx="117">
                  <c:v>7.2311650001211092E-9</c:v>
                </c:pt>
                <c:pt idx="118">
                  <c:v>2.9883482000059303E-7</c:v>
                </c:pt>
                <c:pt idx="119">
                  <c:v>2.0663830468947708E-7</c:v>
                </c:pt>
                <c:pt idx="120">
                  <c:v>2.847317261966964E-7</c:v>
                </c:pt>
                <c:pt idx="121">
                  <c:v>2.7919691092392895E-7</c:v>
                </c:pt>
                <c:pt idx="122">
                  <c:v>4.2463790350666386E-7</c:v>
                </c:pt>
                <c:pt idx="123">
                  <c:v>3.8672808955197979E-7</c:v>
                </c:pt>
                <c:pt idx="124">
                  <c:v>2.7574819361220193E-7</c:v>
                </c:pt>
                <c:pt idx="125">
                  <c:v>4.6240143092290964E-7</c:v>
                </c:pt>
                <c:pt idx="126">
                  <c:v>4.4970846602154779E-8</c:v>
                </c:pt>
                <c:pt idx="127">
                  <c:v>5.9619992498483043E-8</c:v>
                </c:pt>
                <c:pt idx="128">
                  <c:v>1.5626238791810465E-7</c:v>
                </c:pt>
                <c:pt idx="129">
                  <c:v>2.7883947950613219E-7</c:v>
                </c:pt>
                <c:pt idx="130">
                  <c:v>8.8120764019095077E-9</c:v>
                </c:pt>
                <c:pt idx="131">
                  <c:v>1.480100522144312E-7</c:v>
                </c:pt>
                <c:pt idx="132">
                  <c:v>3.5234603501521633E-7</c:v>
                </c:pt>
                <c:pt idx="133">
                  <c:v>2.7736035690395511E-7</c:v>
                </c:pt>
                <c:pt idx="134">
                  <c:v>4.6074922011030139E-7</c:v>
                </c:pt>
                <c:pt idx="135">
                  <c:v>4.9621763764662319E-7</c:v>
                </c:pt>
                <c:pt idx="136">
                  <c:v>1.7155574028038245E-7</c:v>
                </c:pt>
                <c:pt idx="137">
                  <c:v>2.1224849433565396E-7</c:v>
                </c:pt>
                <c:pt idx="138">
                  <c:v>9.4721769983152626E-8</c:v>
                </c:pt>
                <c:pt idx="139">
                  <c:v>3.9837448184698587E-7</c:v>
                </c:pt>
                <c:pt idx="140">
                  <c:v>2.9046171334812243E-7</c:v>
                </c:pt>
                <c:pt idx="141">
                  <c:v>3.1678047207606141E-7</c:v>
                </c:pt>
                <c:pt idx="142">
                  <c:v>5.4801098769985401E-8</c:v>
                </c:pt>
                <c:pt idx="143">
                  <c:v>4.0173014781430538E-7</c:v>
                </c:pt>
                <c:pt idx="144">
                  <c:v>3.9537218299301458E-7</c:v>
                </c:pt>
                <c:pt idx="145">
                  <c:v>3.6847370665782364E-7</c:v>
                </c:pt>
                <c:pt idx="146">
                  <c:v>6.4518076214881148E-8</c:v>
                </c:pt>
                <c:pt idx="147">
                  <c:v>6.8085853399679763E-8</c:v>
                </c:pt>
                <c:pt idx="148">
                  <c:v>8.3039765286230249E-8</c:v>
                </c:pt>
                <c:pt idx="149">
                  <c:v>1.3556638123191078E-7</c:v>
                </c:pt>
                <c:pt idx="150">
                  <c:v>3.8583033301620162E-7</c:v>
                </c:pt>
                <c:pt idx="151">
                  <c:v>2.4744331028614397E-8</c:v>
                </c:pt>
                <c:pt idx="152">
                  <c:v>3.4258161463185388E-7</c:v>
                </c:pt>
                <c:pt idx="153">
                  <c:v>4.9270156443625979E-7</c:v>
                </c:pt>
                <c:pt idx="154">
                  <c:v>4.8558926835085003E-7</c:v>
                </c:pt>
                <c:pt idx="155">
                  <c:v>6.1386913330352399E-8</c:v>
                </c:pt>
                <c:pt idx="156">
                  <c:v>1.0813903372763889E-7</c:v>
                </c:pt>
                <c:pt idx="157">
                  <c:v>2.3248918523677276E-7</c:v>
                </c:pt>
                <c:pt idx="158">
                  <c:v>2.7275464553611073E-7</c:v>
                </c:pt>
                <c:pt idx="159">
                  <c:v>2.692678311433383E-7</c:v>
                </c:pt>
                <c:pt idx="160">
                  <c:v>6.1105424720153678E-8</c:v>
                </c:pt>
                <c:pt idx="161">
                  <c:v>4.0680318136310234E-7</c:v>
                </c:pt>
                <c:pt idx="162">
                  <c:v>4.1063799471885432E-7</c:v>
                </c:pt>
                <c:pt idx="163">
                  <c:v>9.5946845135586045E-8</c:v>
                </c:pt>
                <c:pt idx="164">
                  <c:v>1.1148281942041649E-7</c:v>
                </c:pt>
                <c:pt idx="165">
                  <c:v>4.6416118948400253E-8</c:v>
                </c:pt>
                <c:pt idx="166">
                  <c:v>2.6851927259485819E-7</c:v>
                </c:pt>
                <c:pt idx="167">
                  <c:v>3.687160585741367E-7</c:v>
                </c:pt>
                <c:pt idx="168">
                  <c:v>3.4916834579235001E-7</c:v>
                </c:pt>
                <c:pt idx="169">
                  <c:v>4.9675014679451124E-7</c:v>
                </c:pt>
                <c:pt idx="170">
                  <c:v>2.4604418769058611E-7</c:v>
                </c:pt>
                <c:pt idx="171">
                  <c:v>3.4115345215468551E-7</c:v>
                </c:pt>
                <c:pt idx="172">
                  <c:v>2.3041248198296671E-7</c:v>
                </c:pt>
                <c:pt idx="173">
                  <c:v>1.3348057592565965E-7</c:v>
                </c:pt>
                <c:pt idx="174">
                  <c:v>1.2386522030283231E-7</c:v>
                </c:pt>
                <c:pt idx="175">
                  <c:v>1.8873868157243123E-7</c:v>
                </c:pt>
                <c:pt idx="176">
                  <c:v>1.7444364175389637E-7</c:v>
                </c:pt>
                <c:pt idx="177">
                  <c:v>4.5391306002784404E-7</c:v>
                </c:pt>
                <c:pt idx="178">
                  <c:v>4.0024104919211823E-7</c:v>
                </c:pt>
                <c:pt idx="179">
                  <c:v>1.2164230867028891E-7</c:v>
                </c:pt>
                <c:pt idx="180">
                  <c:v>2.6799996422077754E-7</c:v>
                </c:pt>
                <c:pt idx="181">
                  <c:v>3.225639773063449E-7</c:v>
                </c:pt>
                <c:pt idx="182">
                  <c:v>1.1266246247032541E-7</c:v>
                </c:pt>
                <c:pt idx="183">
                  <c:v>1.04363095942972E-7</c:v>
                </c:pt>
                <c:pt idx="184">
                  <c:v>2.9436196768983791E-7</c:v>
                </c:pt>
                <c:pt idx="185">
                  <c:v>8.6285240286088083E-8</c:v>
                </c:pt>
                <c:pt idx="186">
                  <c:v>2.1679083772596641E-7</c:v>
                </c:pt>
                <c:pt idx="187">
                  <c:v>4.4851489633401798E-8</c:v>
                </c:pt>
                <c:pt idx="188">
                  <c:v>3.7715938461246878E-7</c:v>
                </c:pt>
                <c:pt idx="189">
                  <c:v>1.7811777297538356E-7</c:v>
                </c:pt>
                <c:pt idx="190">
                  <c:v>4.5090885336662723E-7</c:v>
                </c:pt>
                <c:pt idx="191">
                  <c:v>3.0956013574723329E-7</c:v>
                </c:pt>
                <c:pt idx="192">
                  <c:v>4.7786342349809274E-7</c:v>
                </c:pt>
                <c:pt idx="193">
                  <c:v>3.0894901215106074E-7</c:v>
                </c:pt>
                <c:pt idx="194">
                  <c:v>3.9256469364090663E-7</c:v>
                </c:pt>
                <c:pt idx="195">
                  <c:v>1.4359041244915716E-7</c:v>
                </c:pt>
                <c:pt idx="196">
                  <c:v>1.5205114323180169E-7</c:v>
                </c:pt>
                <c:pt idx="197">
                  <c:v>4.9247199740420911E-7</c:v>
                </c:pt>
                <c:pt idx="198">
                  <c:v>9.2338808599379263E-8</c:v>
                </c:pt>
                <c:pt idx="199">
                  <c:v>2.9436196768983791E-7</c:v>
                </c:pt>
                <c:pt idx="200">
                  <c:v>1.0318605347947596E-7</c:v>
                </c:pt>
                <c:pt idx="201">
                  <c:v>3.7383122730716423E-7</c:v>
                </c:pt>
                <c:pt idx="202">
                  <c:v>1.4767076805810575E-7</c:v>
                </c:pt>
                <c:pt idx="203">
                  <c:v>7.4709873842948582E-8</c:v>
                </c:pt>
                <c:pt idx="204">
                  <c:v>4.2947772271872964E-7</c:v>
                </c:pt>
                <c:pt idx="205">
                  <c:v>8.9446274387228186E-8</c:v>
                </c:pt>
                <c:pt idx="206">
                  <c:v>2.6626857163591922E-7</c:v>
                </c:pt>
                <c:pt idx="207">
                  <c:v>2.5777396217563364E-7</c:v>
                </c:pt>
                <c:pt idx="208">
                  <c:v>4.7302059158482734E-8</c:v>
                </c:pt>
                <c:pt idx="209">
                  <c:v>3.0803676054347306E-8</c:v>
                </c:pt>
                <c:pt idx="210">
                  <c:v>2.7700500027094677E-7</c:v>
                </c:pt>
                <c:pt idx="211">
                  <c:v>4.0667202938493574E-8</c:v>
                </c:pt>
                <c:pt idx="212">
                  <c:v>2.1704579467041185E-8</c:v>
                </c:pt>
                <c:pt idx="213">
                  <c:v>4.5204114940133877E-7</c:v>
                </c:pt>
                <c:pt idx="214">
                  <c:v>5.4497348855875316E-8</c:v>
                </c:pt>
                <c:pt idx="215">
                  <c:v>3.3495811635475548E-7</c:v>
                </c:pt>
                <c:pt idx="216">
                  <c:v>2.8058249768037058E-7</c:v>
                </c:pt>
                <c:pt idx="217">
                  <c:v>3.2874527278181631E-7</c:v>
                </c:pt>
                <c:pt idx="218">
                  <c:v>1.7895069959195098E-7</c:v>
                </c:pt>
                <c:pt idx="219">
                  <c:v>5.2153694696244202E-8</c:v>
                </c:pt>
                <c:pt idx="220">
                  <c:v>7.7900040196254849E-8</c:v>
                </c:pt>
                <c:pt idx="221">
                  <c:v>4.851540893469064E-7</c:v>
                </c:pt>
                <c:pt idx="222">
                  <c:v>3.947309457075221E-7</c:v>
                </c:pt>
                <c:pt idx="223">
                  <c:v>2.3420690098419072E-7</c:v>
                </c:pt>
                <c:pt idx="224">
                  <c:v>4.1069418488248743E-7</c:v>
                </c:pt>
                <c:pt idx="225">
                  <c:v>2.9927750233582628E-7</c:v>
                </c:pt>
                <c:pt idx="226">
                  <c:v>5.4596512200077996E-8</c:v>
                </c:pt>
                <c:pt idx="227">
                  <c:v>2.0959959101674031E-7</c:v>
                </c:pt>
                <c:pt idx="228">
                  <c:v>1.658799533288402E-7</c:v>
                </c:pt>
                <c:pt idx="229">
                  <c:v>1.6986422224363196E-7</c:v>
                </c:pt>
                <c:pt idx="230">
                  <c:v>1.5517971974077227E-7</c:v>
                </c:pt>
                <c:pt idx="231">
                  <c:v>3.9344456581602572E-9</c:v>
                </c:pt>
                <c:pt idx="232">
                  <c:v>8.3553459262475371E-8</c:v>
                </c:pt>
                <c:pt idx="233">
                  <c:v>2.0219245300268085E-7</c:v>
                </c:pt>
                <c:pt idx="234">
                  <c:v>1.9960747010827617E-7</c:v>
                </c:pt>
                <c:pt idx="235">
                  <c:v>1.1381706599422614E-7</c:v>
                </c:pt>
                <c:pt idx="236">
                  <c:v>4.0631559272696904E-7</c:v>
                </c:pt>
                <c:pt idx="237">
                  <c:v>7.6525130232596439E-8</c:v>
                </c:pt>
                <c:pt idx="238">
                  <c:v>9.1613056252271008E-8</c:v>
                </c:pt>
                <c:pt idx="239">
                  <c:v>2.5829677952060592E-7</c:v>
                </c:pt>
                <c:pt idx="240">
                  <c:v>8.9851141638064291E-8</c:v>
                </c:pt>
                <c:pt idx="241">
                  <c:v>4.0123538269654091E-7</c:v>
                </c:pt>
                <c:pt idx="242">
                  <c:v>2.5552871041334413E-7</c:v>
                </c:pt>
                <c:pt idx="243">
                  <c:v>2.6212764936417443E-7</c:v>
                </c:pt>
                <c:pt idx="244">
                  <c:v>1.6969165539393316E-7</c:v>
                </c:pt>
                <c:pt idx="245">
                  <c:v>4.6815571863589867E-7</c:v>
                </c:pt>
                <c:pt idx="246">
                  <c:v>2.2350076278598863E-7</c:v>
                </c:pt>
                <c:pt idx="247">
                  <c:v>4.5907072632189738E-7</c:v>
                </c:pt>
                <c:pt idx="248">
                  <c:v>1.530765416646318E-7</c:v>
                </c:pt>
                <c:pt idx="249">
                  <c:v>3.32832684080131E-7</c:v>
                </c:pt>
                <c:pt idx="250">
                  <c:v>1.9484443214423663E-7</c:v>
                </c:pt>
                <c:pt idx="251">
                  <c:v>1.8363380149821751E-7</c:v>
                </c:pt>
                <c:pt idx="252">
                  <c:v>5.0540791107778205E-8</c:v>
                </c:pt>
                <c:pt idx="253">
                  <c:v>4.1957889607147081E-8</c:v>
                </c:pt>
                <c:pt idx="254">
                  <c:v>2.6530827312853944E-7</c:v>
                </c:pt>
                <c:pt idx="255">
                  <c:v>3.5341332704774686E-7</c:v>
                </c:pt>
                <c:pt idx="256">
                  <c:v>4.4645727825809445E-7</c:v>
                </c:pt>
                <c:pt idx="257">
                  <c:v>4.173525667283684E-7</c:v>
                </c:pt>
                <c:pt idx="258">
                  <c:v>3.2667202276570606E-8</c:v>
                </c:pt>
                <c:pt idx="259">
                  <c:v>1.4796057712374022E-8</c:v>
                </c:pt>
                <c:pt idx="260">
                  <c:v>3.2735584909460158E-7</c:v>
                </c:pt>
                <c:pt idx="261">
                  <c:v>7.3759537144724163E-8</c:v>
                </c:pt>
                <c:pt idx="262">
                  <c:v>1.1443285075074527E-7</c:v>
                </c:pt>
                <c:pt idx="263">
                  <c:v>1.8907556409430981E-7</c:v>
                </c:pt>
                <c:pt idx="264">
                  <c:v>2.5445627471754051E-7</c:v>
                </c:pt>
                <c:pt idx="265">
                  <c:v>4.0436961512568814E-7</c:v>
                </c:pt>
                <c:pt idx="266">
                  <c:v>2.9234141152301163E-7</c:v>
                </c:pt>
                <c:pt idx="267">
                  <c:v>2.4528260311740269E-7</c:v>
                </c:pt>
                <c:pt idx="268">
                  <c:v>1.7370982163811277E-7</c:v>
                </c:pt>
                <c:pt idx="269">
                  <c:v>3.5724798408409697E-7</c:v>
                </c:pt>
                <c:pt idx="270">
                  <c:v>2.0394848831983836E-7</c:v>
                </c:pt>
                <c:pt idx="271">
                  <c:v>9.7377323982072994E-9</c:v>
                </c:pt>
                <c:pt idx="272">
                  <c:v>1.2937340443386347E-7</c:v>
                </c:pt>
                <c:pt idx="273">
                  <c:v>4.4139483179606032E-8</c:v>
                </c:pt>
                <c:pt idx="274">
                  <c:v>3.7454577750395401E-7</c:v>
                </c:pt>
                <c:pt idx="275">
                  <c:v>1.7660298112787132E-7</c:v>
                </c:pt>
                <c:pt idx="276">
                  <c:v>4.7934463509591296E-8</c:v>
                </c:pt>
                <c:pt idx="277">
                  <c:v>1.2524645853773109E-7</c:v>
                </c:pt>
                <c:pt idx="278">
                  <c:v>2.3530088810730376E-7</c:v>
                </c:pt>
                <c:pt idx="279">
                  <c:v>4.5968334916324238E-7</c:v>
                </c:pt>
                <c:pt idx="280">
                  <c:v>4.5024580686003901E-7</c:v>
                </c:pt>
                <c:pt idx="281">
                  <c:v>3.5630779393613921E-7</c:v>
                </c:pt>
                <c:pt idx="282">
                  <c:v>2.0506436726464017E-7</c:v>
                </c:pt>
                <c:pt idx="283">
                  <c:v>3.7632084115557518E-9</c:v>
                </c:pt>
                <c:pt idx="284">
                  <c:v>1.2652122904910357E-7</c:v>
                </c:pt>
                <c:pt idx="285">
                  <c:v>2.013256619193271E-7</c:v>
                </c:pt>
                <c:pt idx="286">
                  <c:v>4.1419309582124697E-7</c:v>
                </c:pt>
                <c:pt idx="287">
                  <c:v>1.8371316912180191E-7</c:v>
                </c:pt>
                <c:pt idx="288">
                  <c:v>4.7789730217573378E-7</c:v>
                </c:pt>
                <c:pt idx="289">
                  <c:v>3.5815453713894385E-7</c:v>
                </c:pt>
                <c:pt idx="290">
                  <c:v>2.1286172113832436E-7</c:v>
                </c:pt>
                <c:pt idx="291">
                  <c:v>2.7524203005668824E-7</c:v>
                </c:pt>
                <c:pt idx="292">
                  <c:v>4.5388827629722073E-7</c:v>
                </c:pt>
                <c:pt idx="293">
                  <c:v>2.7959841020219756E-7</c:v>
                </c:pt>
                <c:pt idx="294">
                  <c:v>4.3252128989479388E-7</c:v>
                </c:pt>
                <c:pt idx="295">
                  <c:v>3.2781605341369868E-7</c:v>
                </c:pt>
                <c:pt idx="296">
                  <c:v>7.2329441991314525E-8</c:v>
                </c:pt>
                <c:pt idx="297">
                  <c:v>2.5696584771139896E-7</c:v>
                </c:pt>
                <c:pt idx="298">
                  <c:v>2.8617019154353329E-7</c:v>
                </c:pt>
                <c:pt idx="299">
                  <c:v>1.1149828083034663E-7</c:v>
                </c:pt>
                <c:pt idx="300">
                  <c:v>1.341919642072753E-8</c:v>
                </c:pt>
                <c:pt idx="301">
                  <c:v>2.9530539791267074E-7</c:v>
                </c:pt>
                <c:pt idx="302">
                  <c:v>1.1152425827276602E-7</c:v>
                </c:pt>
                <c:pt idx="303">
                  <c:v>3.9861251366346551E-7</c:v>
                </c:pt>
                <c:pt idx="304">
                  <c:v>8.1503344517841469E-8</c:v>
                </c:pt>
                <c:pt idx="305">
                  <c:v>4.1402684303193382E-7</c:v>
                </c:pt>
                <c:pt idx="306">
                  <c:v>2.0073076711923932E-7</c:v>
                </c:pt>
                <c:pt idx="307">
                  <c:v>4.5082572341925697E-8</c:v>
                </c:pt>
                <c:pt idx="308">
                  <c:v>6.3281817119786865E-8</c:v>
                </c:pt>
                <c:pt idx="309">
                  <c:v>1.6403387803620717E-7</c:v>
                </c:pt>
                <c:pt idx="310">
                  <c:v>2.5654327373558772E-7</c:v>
                </c:pt>
                <c:pt idx="311">
                  <c:v>2.190188297390705E-8</c:v>
                </c:pt>
                <c:pt idx="312">
                  <c:v>2.804820269375341E-7</c:v>
                </c:pt>
                <c:pt idx="313">
                  <c:v>3.5228998740421957E-7</c:v>
                </c:pt>
                <c:pt idx="314">
                  <c:v>1.8805133095156634E-7</c:v>
                </c:pt>
                <c:pt idx="315">
                  <c:v>3.4127996784150127E-7</c:v>
                </c:pt>
                <c:pt idx="316">
                  <c:v>5.1036953863103918E-7</c:v>
                </c:pt>
                <c:pt idx="317">
                  <c:v>3.9416781305590121E-7</c:v>
                </c:pt>
                <c:pt idx="318">
                  <c:v>2.1885881551497732E-8</c:v>
                </c:pt>
                <c:pt idx="319">
                  <c:v>1.9822624608423212E-7</c:v>
                </c:pt>
                <c:pt idx="320">
                  <c:v>1.2563782547658775E-7</c:v>
                </c:pt>
                <c:pt idx="321">
                  <c:v>7.118248745996425E-8</c:v>
                </c:pt>
                <c:pt idx="322">
                  <c:v>1.6566497151870863E-7</c:v>
                </c:pt>
                <c:pt idx="323">
                  <c:v>3.5754737837123685E-7</c:v>
                </c:pt>
                <c:pt idx="324">
                  <c:v>2.5262951908189279E-7</c:v>
                </c:pt>
                <c:pt idx="325">
                  <c:v>3.8971415960986633E-7</c:v>
                </c:pt>
                <c:pt idx="326">
                  <c:v>1.2781069358425157E-7</c:v>
                </c:pt>
                <c:pt idx="327">
                  <c:v>1.7988992340178811E-7</c:v>
                </c:pt>
                <c:pt idx="328">
                  <c:v>9.9320004665059969E-8</c:v>
                </c:pt>
                <c:pt idx="329">
                  <c:v>2.9973531923133123E-7</c:v>
                </c:pt>
                <c:pt idx="330">
                  <c:v>3.2647011494191247E-7</c:v>
                </c:pt>
                <c:pt idx="331">
                  <c:v>2.721753844525665E-7</c:v>
                </c:pt>
                <c:pt idx="332">
                  <c:v>4.3027969809372735E-7</c:v>
                </c:pt>
                <c:pt idx="333">
                  <c:v>1.1607602345975465E-7</c:v>
                </c:pt>
                <c:pt idx="334">
                  <c:v>1.0652939863575739E-8</c:v>
                </c:pt>
                <c:pt idx="335">
                  <c:v>9.3046878646418918E-8</c:v>
                </c:pt>
                <c:pt idx="336">
                  <c:v>4.2226133700751234E-7</c:v>
                </c:pt>
                <c:pt idx="337">
                  <c:v>2.1157511298497411E-7</c:v>
                </c:pt>
                <c:pt idx="338">
                  <c:v>5.2341269451972039E-7</c:v>
                </c:pt>
                <c:pt idx="339">
                  <c:v>1.6318836060236208E-7</c:v>
                </c:pt>
                <c:pt idx="340">
                  <c:v>1.9488396674205433E-7</c:v>
                </c:pt>
                <c:pt idx="341">
                  <c:v>1.1622518059084541E-7</c:v>
                </c:pt>
                <c:pt idx="342">
                  <c:v>4.517685852079012E-7</c:v>
                </c:pt>
                <c:pt idx="343">
                  <c:v>4.4881431904286728E-7</c:v>
                </c:pt>
                <c:pt idx="344">
                  <c:v>3.465372486743945E-7</c:v>
                </c:pt>
                <c:pt idx="345">
                  <c:v>2.478254828019999E-7</c:v>
                </c:pt>
                <c:pt idx="346">
                  <c:v>4.1259690419792605E-7</c:v>
                </c:pt>
                <c:pt idx="347">
                  <c:v>4.4350078098887025E-7</c:v>
                </c:pt>
                <c:pt idx="348">
                  <c:v>1.3286680200508272E-7</c:v>
                </c:pt>
                <c:pt idx="349">
                  <c:v>1.2390785286697792E-8</c:v>
                </c:pt>
                <c:pt idx="350">
                  <c:v>3.6312769680080237E-7</c:v>
                </c:pt>
                <c:pt idx="351">
                  <c:v>2.9461011763487477E-7</c:v>
                </c:pt>
                <c:pt idx="352">
                  <c:v>4.3014932771257008E-7</c:v>
                </c:pt>
                <c:pt idx="353">
                  <c:v>6.6900099682243308E-8</c:v>
                </c:pt>
                <c:pt idx="354">
                  <c:v>2.4483296101607266E-7</c:v>
                </c:pt>
                <c:pt idx="355">
                  <c:v>4.7029450911395543E-7</c:v>
                </c:pt>
                <c:pt idx="356">
                  <c:v>1.1730605820048368E-8</c:v>
                </c:pt>
                <c:pt idx="357">
                  <c:v>4.526705765783845E-8</c:v>
                </c:pt>
                <c:pt idx="358">
                  <c:v>1.6005465397483931E-7</c:v>
                </c:pt>
                <c:pt idx="359">
                  <c:v>4.7884927312225045E-7</c:v>
                </c:pt>
                <c:pt idx="360">
                  <c:v>2.3699860207671009E-7</c:v>
                </c:pt>
                <c:pt idx="361">
                  <c:v>3.2521928972073511E-7</c:v>
                </c:pt>
                <c:pt idx="362">
                  <c:v>2.1995029442223313E-7</c:v>
                </c:pt>
                <c:pt idx="363">
                  <c:v>1.1123156440362436E-7</c:v>
                </c:pt>
                <c:pt idx="364">
                  <c:v>1.0236507819172402E-7</c:v>
                </c:pt>
                <c:pt idx="365">
                  <c:v>1.3217256622510831E-7</c:v>
                </c:pt>
                <c:pt idx="366">
                  <c:v>1.6527857837900228E-7</c:v>
                </c:pt>
                <c:pt idx="367">
                  <c:v>1.6686732351445244E-7</c:v>
                </c:pt>
                <c:pt idx="368">
                  <c:v>1.5967771105351858E-7</c:v>
                </c:pt>
                <c:pt idx="369">
                  <c:v>2.9799697737198372E-8</c:v>
                </c:pt>
                <c:pt idx="370">
                  <c:v>3.3389972031727666E-7</c:v>
                </c:pt>
                <c:pt idx="371">
                  <c:v>9.4935728611744707E-8</c:v>
                </c:pt>
                <c:pt idx="372">
                  <c:v>1.8523962808103533E-8</c:v>
                </c:pt>
                <c:pt idx="373">
                  <c:v>4.5053576824827246E-7</c:v>
                </c:pt>
                <c:pt idx="374">
                  <c:v>2.3757246880862226E-7</c:v>
                </c:pt>
                <c:pt idx="375">
                  <c:v>2.773066967165505E-7</c:v>
                </c:pt>
                <c:pt idx="376">
                  <c:v>4.4919755737282685E-7</c:v>
                </c:pt>
                <c:pt idx="377">
                  <c:v>4.7720262230654953E-7</c:v>
                </c:pt>
                <c:pt idx="378">
                  <c:v>4.4993094405754164E-7</c:v>
                </c:pt>
                <c:pt idx="379">
                  <c:v>2.1616133949464711E-7</c:v>
                </c:pt>
                <c:pt idx="380">
                  <c:v>3.7921427065157332E-7</c:v>
                </c:pt>
                <c:pt idx="381">
                  <c:v>3.8690359360771254E-7</c:v>
                </c:pt>
                <c:pt idx="382">
                  <c:v>5.8021328186441679E-8</c:v>
                </c:pt>
                <c:pt idx="383">
                  <c:v>2.3596271603310015E-8</c:v>
                </c:pt>
                <c:pt idx="384">
                  <c:v>2.6483809278943227E-7</c:v>
                </c:pt>
                <c:pt idx="385">
                  <c:v>2.0159660607532714E-7</c:v>
                </c:pt>
                <c:pt idx="386">
                  <c:v>2.1456307308653777E-7</c:v>
                </c:pt>
                <c:pt idx="387">
                  <c:v>4.4812587418618932E-7</c:v>
                </c:pt>
                <c:pt idx="388">
                  <c:v>8.7296427864202997E-8</c:v>
                </c:pt>
                <c:pt idx="389">
                  <c:v>4.4347953576107102E-7</c:v>
                </c:pt>
                <c:pt idx="390">
                  <c:v>2.9503550535991963E-7</c:v>
                </c:pt>
                <c:pt idx="391">
                  <c:v>2.0269020239993552E-7</c:v>
                </c:pt>
                <c:pt idx="392">
                  <c:v>2.1712337322510322E-7</c:v>
                </c:pt>
                <c:pt idx="393">
                  <c:v>5.0278970320505323E-7</c:v>
                </c:pt>
                <c:pt idx="394">
                  <c:v>1.8440636040395475E-7</c:v>
                </c:pt>
                <c:pt idx="395">
                  <c:v>4.3531275650821044E-7</c:v>
                </c:pt>
                <c:pt idx="396">
                  <c:v>2.9488285235856893E-7</c:v>
                </c:pt>
                <c:pt idx="397">
                  <c:v>4.9605563390286989E-7</c:v>
                </c:pt>
                <c:pt idx="398">
                  <c:v>1.289200994847306E-7</c:v>
                </c:pt>
                <c:pt idx="399">
                  <c:v>1.0827611163222173E-7</c:v>
                </c:pt>
                <c:pt idx="400">
                  <c:v>6.0000161283824127E-8</c:v>
                </c:pt>
                <c:pt idx="401">
                  <c:v>4.8220783810393186E-8</c:v>
                </c:pt>
                <c:pt idx="402">
                  <c:v>6.1220873703859979E-8</c:v>
                </c:pt>
                <c:pt idx="403">
                  <c:v>1.3191448999805289E-7</c:v>
                </c:pt>
                <c:pt idx="404">
                  <c:v>4.0516957255931629E-7</c:v>
                </c:pt>
                <c:pt idx="405">
                  <c:v>3.7026794075245562E-7</c:v>
                </c:pt>
                <c:pt idx="406">
                  <c:v>1.8138382529286901E-7</c:v>
                </c:pt>
                <c:pt idx="407">
                  <c:v>3.6679816162177303E-7</c:v>
                </c:pt>
                <c:pt idx="408">
                  <c:v>2.3913531776997843E-7</c:v>
                </c:pt>
                <c:pt idx="409">
                  <c:v>3.7868442603894437E-7</c:v>
                </c:pt>
                <c:pt idx="410">
                  <c:v>1.617684119992191E-7</c:v>
                </c:pt>
                <c:pt idx="411">
                  <c:v>1.4221029687178088E-7</c:v>
                </c:pt>
                <c:pt idx="412">
                  <c:v>2.7169775762558857E-7</c:v>
                </c:pt>
                <c:pt idx="413">
                  <c:v>5.1380570198489295E-7</c:v>
                </c:pt>
                <c:pt idx="414">
                  <c:v>7.075470875861356E-9</c:v>
                </c:pt>
                <c:pt idx="415">
                  <c:v>4.5263290004982082E-8</c:v>
                </c:pt>
                <c:pt idx="416">
                  <c:v>2.9329203243833035E-7</c:v>
                </c:pt>
                <c:pt idx="417">
                  <c:v>4.725318376586074E-7</c:v>
                </c:pt>
                <c:pt idx="418">
                  <c:v>4.5930141823191661E-7</c:v>
                </c:pt>
                <c:pt idx="419">
                  <c:v>1.5837943578844715E-7</c:v>
                </c:pt>
                <c:pt idx="420">
                  <c:v>4.4618101924243092E-7</c:v>
                </c:pt>
                <c:pt idx="421">
                  <c:v>1.9315388044560677E-7</c:v>
                </c:pt>
                <c:pt idx="422">
                  <c:v>2.3763509204854927E-7</c:v>
                </c:pt>
                <c:pt idx="423">
                  <c:v>1.4974291673297557E-7</c:v>
                </c:pt>
                <c:pt idx="424">
                  <c:v>2.7378618483453465E-7</c:v>
                </c:pt>
                <c:pt idx="425">
                  <c:v>3.0196954980965529E-7</c:v>
                </c:pt>
                <c:pt idx="426">
                  <c:v>2.8377672833812539E-7</c:v>
                </c:pt>
                <c:pt idx="427">
                  <c:v>1.2743032584694447E-7</c:v>
                </c:pt>
                <c:pt idx="428">
                  <c:v>3.5409715337664238E-7</c:v>
                </c:pt>
                <c:pt idx="429">
                  <c:v>1.6519523882152498E-7</c:v>
                </c:pt>
                <c:pt idx="430">
                  <c:v>4.7327108632089221E-7</c:v>
                </c:pt>
                <c:pt idx="431">
                  <c:v>4.1052433630284213E-7</c:v>
                </c:pt>
                <c:pt idx="432">
                  <c:v>4.9368384225090267E-7</c:v>
                </c:pt>
                <c:pt idx="433">
                  <c:v>1.0015727980317024E-7</c:v>
                </c:pt>
                <c:pt idx="434">
                  <c:v>2.9592126793431817E-7</c:v>
                </c:pt>
                <c:pt idx="435">
                  <c:v>3.6661084390487986E-7</c:v>
                </c:pt>
                <c:pt idx="436">
                  <c:v>3.8702307847415796E-7</c:v>
                </c:pt>
                <c:pt idx="437">
                  <c:v>7.3473714223837305E-8</c:v>
                </c:pt>
                <c:pt idx="438">
                  <c:v>3.5087353467133653E-7</c:v>
                </c:pt>
                <c:pt idx="439">
                  <c:v>1.4227907740860246E-9</c:v>
                </c:pt>
                <c:pt idx="440">
                  <c:v>1.8885296171333721E-7</c:v>
                </c:pt>
                <c:pt idx="441">
                  <c:v>3.9373810523102293E-7</c:v>
                </c:pt>
                <c:pt idx="442">
                  <c:v>4.207514052723127E-7</c:v>
                </c:pt>
                <c:pt idx="443">
                  <c:v>1.7741200109000488E-7</c:v>
                </c:pt>
                <c:pt idx="444">
                  <c:v>4.299253646422585E-7</c:v>
                </c:pt>
                <c:pt idx="445">
                  <c:v>4.9925915845960844E-7</c:v>
                </c:pt>
                <c:pt idx="446">
                  <c:v>8.2416306668164907E-8</c:v>
                </c:pt>
                <c:pt idx="447">
                  <c:v>2.0454388049984118E-7</c:v>
                </c:pt>
                <c:pt idx="448">
                  <c:v>7.0102119664738893E-8</c:v>
                </c:pt>
                <c:pt idx="449">
                  <c:v>4.0246504795504734E-7</c:v>
                </c:pt>
                <c:pt idx="450">
                  <c:v>1.5882562820479507E-8</c:v>
                </c:pt>
                <c:pt idx="451">
                  <c:v>7.5124489740119316E-8</c:v>
                </c:pt>
                <c:pt idx="452">
                  <c:v>4.385091756375914E-7</c:v>
                </c:pt>
                <c:pt idx="453">
                  <c:v>1.4555988059328229E-7</c:v>
                </c:pt>
                <c:pt idx="454">
                  <c:v>1.8050030803351547E-7</c:v>
                </c:pt>
                <c:pt idx="455">
                  <c:v>4.1220502566829964E-8</c:v>
                </c:pt>
                <c:pt idx="456">
                  <c:v>4.4001131982440711E-7</c:v>
                </c:pt>
                <c:pt idx="457">
                  <c:v>1.5738801550924109E-7</c:v>
                </c:pt>
                <c:pt idx="458">
                  <c:v>2.8283038489007595E-7</c:v>
                </c:pt>
                <c:pt idx="459">
                  <c:v>4.7082623666483414E-7</c:v>
                </c:pt>
                <c:pt idx="460">
                  <c:v>5.6156525829464954E-7</c:v>
                </c:pt>
                <c:pt idx="461">
                  <c:v>3.3243645702896174E-7</c:v>
                </c:pt>
                <c:pt idx="462">
                  <c:v>2.3126671067075222E-7</c:v>
                </c:pt>
                <c:pt idx="463">
                  <c:v>4.0415002899862884E-7</c:v>
                </c:pt>
                <c:pt idx="464">
                  <c:v>1.3603215620605624E-7</c:v>
                </c:pt>
                <c:pt idx="465">
                  <c:v>3.1521415166935185E-7</c:v>
                </c:pt>
                <c:pt idx="466">
                  <c:v>3.3092928219957685E-7</c:v>
                </c:pt>
                <c:pt idx="467">
                  <c:v>3.3849528335849755E-7</c:v>
                </c:pt>
                <c:pt idx="468">
                  <c:v>3.5441786394585506E-7</c:v>
                </c:pt>
                <c:pt idx="469">
                  <c:v>1.9865554889975101E-7</c:v>
                </c:pt>
                <c:pt idx="470">
                  <c:v>4.9836472726383363E-8</c:v>
                </c:pt>
                <c:pt idx="471">
                  <c:v>2.7577175387705211E-7</c:v>
                </c:pt>
                <c:pt idx="472">
                  <c:v>4.7484189735769178E-7</c:v>
                </c:pt>
                <c:pt idx="473">
                  <c:v>1.9465522882455844E-7</c:v>
                </c:pt>
                <c:pt idx="474">
                  <c:v>1.407300516120813E-7</c:v>
                </c:pt>
                <c:pt idx="475">
                  <c:v>3.3855113201752829E-7</c:v>
                </c:pt>
                <c:pt idx="476">
                  <c:v>2.7481976871968072E-7</c:v>
                </c:pt>
                <c:pt idx="477">
                  <c:v>3.2674026329004846E-7</c:v>
                </c:pt>
                <c:pt idx="478">
                  <c:v>3.3846463054487685E-7</c:v>
                </c:pt>
                <c:pt idx="479">
                  <c:v>2.7686076009558747E-7</c:v>
                </c:pt>
                <c:pt idx="480">
                  <c:v>1.0109450498951844E-7</c:v>
                </c:pt>
                <c:pt idx="481">
                  <c:v>3.9334793200396234E-9</c:v>
                </c:pt>
                <c:pt idx="482">
                  <c:v>1.6432737481864024E-7</c:v>
                </c:pt>
                <c:pt idx="483">
                  <c:v>4.5248768287819985E-8</c:v>
                </c:pt>
                <c:pt idx="484">
                  <c:v>4.0530380829295609E-7</c:v>
                </c:pt>
                <c:pt idx="485">
                  <c:v>3.7105417050042888E-7</c:v>
                </c:pt>
                <c:pt idx="486">
                  <c:v>2.4761953909546719E-7</c:v>
                </c:pt>
                <c:pt idx="487">
                  <c:v>2.003518364546153E-7</c:v>
                </c:pt>
                <c:pt idx="488">
                  <c:v>4.4359416051520384E-7</c:v>
                </c:pt>
                <c:pt idx="489">
                  <c:v>8.7519428149107625E-8</c:v>
                </c:pt>
                <c:pt idx="490">
                  <c:v>3.2837239416494413E-7</c:v>
                </c:pt>
                <c:pt idx="491">
                  <c:v>3.5165824385785527E-7</c:v>
                </c:pt>
                <c:pt idx="492">
                  <c:v>4.4718001390720019E-7</c:v>
                </c:pt>
                <c:pt idx="493">
                  <c:v>4.6349748572538374E-7</c:v>
                </c:pt>
                <c:pt idx="494">
                  <c:v>3.5047466440119024E-7</c:v>
                </c:pt>
                <c:pt idx="495">
                  <c:v>3.2937680316535989E-7</c:v>
                </c:pt>
                <c:pt idx="496">
                  <c:v>6.9357326992758317E-8</c:v>
                </c:pt>
                <c:pt idx="497">
                  <c:v>7.8508378464903217E-8</c:v>
                </c:pt>
                <c:pt idx="498">
                  <c:v>3.2383616144215921E-7</c:v>
                </c:pt>
                <c:pt idx="499">
                  <c:v>2.9576568749689613E-8</c:v>
                </c:pt>
                <c:pt idx="500">
                  <c:v>1.0299974917415966E-7</c:v>
                </c:pt>
                <c:pt idx="501">
                  <c:v>3.2674557814971195E-7</c:v>
                </c:pt>
                <c:pt idx="502">
                  <c:v>1.4624642403759935E-6</c:v>
                </c:pt>
                <c:pt idx="503">
                  <c:v>1.4858727581668063E-8</c:v>
                </c:pt>
                <c:pt idx="504">
                  <c:v>3.0508195436595997E-7</c:v>
                </c:pt>
                <c:pt idx="505">
                  <c:v>1.582421589318983E-7</c:v>
                </c:pt>
                <c:pt idx="506">
                  <c:v>4.7889335519357701E-7</c:v>
                </c:pt>
                <c:pt idx="507">
                  <c:v>7.5037178248749115E-8</c:v>
                </c:pt>
                <c:pt idx="508">
                  <c:v>2.4969551759568276E-8</c:v>
                </c:pt>
                <c:pt idx="509">
                  <c:v>2.8558257980648705E-7</c:v>
                </c:pt>
                <c:pt idx="510">
                  <c:v>3.8660101608911646E-7</c:v>
                </c:pt>
                <c:pt idx="511">
                  <c:v>6.3976543174248945E-8</c:v>
                </c:pt>
                <c:pt idx="512">
                  <c:v>8.9060974062249443E-7</c:v>
                </c:pt>
                <c:pt idx="513">
                  <c:v>4.1428129105014477E-7</c:v>
                </c:pt>
                <c:pt idx="514">
                  <c:v>3.5651970797800914E-7</c:v>
                </c:pt>
                <c:pt idx="515">
                  <c:v>1.9058836642216193E-7</c:v>
                </c:pt>
                <c:pt idx="516">
                  <c:v>4.0856053473703469E-7</c:v>
                </c:pt>
                <c:pt idx="517">
                  <c:v>4.1293915842288698E-7</c:v>
                </c:pt>
                <c:pt idx="518">
                  <c:v>1.4949142723708064E-7</c:v>
                </c:pt>
                <c:pt idx="519">
                  <c:v>4.0857159433471679E-7</c:v>
                </c:pt>
                <c:pt idx="520">
                  <c:v>2.8257207418391772E-7</c:v>
                </c:pt>
                <c:pt idx="521">
                  <c:v>3.1524672294835909E-7</c:v>
                </c:pt>
                <c:pt idx="522">
                  <c:v>1.2313271895436628E-6</c:v>
                </c:pt>
                <c:pt idx="523">
                  <c:v>1.3361194817207434E-6</c:v>
                </c:pt>
                <c:pt idx="524">
                  <c:v>6.5663076043165347E-7</c:v>
                </c:pt>
                <c:pt idx="525">
                  <c:v>3.6472012565624823E-7</c:v>
                </c:pt>
                <c:pt idx="526">
                  <c:v>3.386888351997186E-7</c:v>
                </c:pt>
                <c:pt idx="527">
                  <c:v>8.3426991182022903E-7</c:v>
                </c:pt>
                <c:pt idx="528">
                  <c:v>2.2948495370656019E-7</c:v>
                </c:pt>
                <c:pt idx="529">
                  <c:v>3.2092214041767875E-7</c:v>
                </c:pt>
                <c:pt idx="530">
                  <c:v>9.2467047352329246E-9</c:v>
                </c:pt>
                <c:pt idx="531">
                  <c:v>2.8790310580006917E-8</c:v>
                </c:pt>
                <c:pt idx="532">
                  <c:v>1.5838459965777929E-7</c:v>
                </c:pt>
                <c:pt idx="533">
                  <c:v>1.5226569871629181E-7</c:v>
                </c:pt>
                <c:pt idx="534">
                  <c:v>4.4843850588449641E-7</c:v>
                </c:pt>
                <c:pt idx="535">
                  <c:v>1.6735901908759843E-7</c:v>
                </c:pt>
                <c:pt idx="536">
                  <c:v>1.1737462477512395E-6</c:v>
                </c:pt>
                <c:pt idx="537">
                  <c:v>1.2563452855829382E-7</c:v>
                </c:pt>
                <c:pt idx="538">
                  <c:v>1.3713366229239909E-6</c:v>
                </c:pt>
                <c:pt idx="539">
                  <c:v>1.1182062280568061E-6</c:v>
                </c:pt>
                <c:pt idx="540">
                  <c:v>9.7092339501614333E-7</c:v>
                </c:pt>
                <c:pt idx="541">
                  <c:v>6.3691757645756297E-7</c:v>
                </c:pt>
                <c:pt idx="542">
                  <c:v>1.7331123558506079E-7</c:v>
                </c:pt>
                <c:pt idx="543">
                  <c:v>1.9287011809865362E-7</c:v>
                </c:pt>
                <c:pt idx="544">
                  <c:v>1.1699526680786221E-7</c:v>
                </c:pt>
                <c:pt idx="545">
                  <c:v>3.1154990054460541E-7</c:v>
                </c:pt>
                <c:pt idx="546">
                  <c:v>2.8852254896349905E-7</c:v>
                </c:pt>
                <c:pt idx="547">
                  <c:v>2.0291494706725643E-7</c:v>
                </c:pt>
                <c:pt idx="548">
                  <c:v>7.595012903038878E-7</c:v>
                </c:pt>
                <c:pt idx="549">
                  <c:v>2.3358450107480166E-7</c:v>
                </c:pt>
                <c:pt idx="550">
                  <c:v>3.5263610698166303E-8</c:v>
                </c:pt>
                <c:pt idx="551">
                  <c:v>1.0582412913739958E-6</c:v>
                </c:pt>
                <c:pt idx="552">
                  <c:v>9.4009010354056954E-8</c:v>
                </c:pt>
                <c:pt idx="553">
                  <c:v>1.6099644994937989E-7</c:v>
                </c:pt>
                <c:pt idx="554">
                  <c:v>1.0417892895020486E-6</c:v>
                </c:pt>
                <c:pt idx="555">
                  <c:v>2.6962139543229569E-7</c:v>
                </c:pt>
                <c:pt idx="556">
                  <c:v>2.6416046239319257E-7</c:v>
                </c:pt>
                <c:pt idx="557">
                  <c:v>2.813035280269105E-7</c:v>
                </c:pt>
                <c:pt idx="558">
                  <c:v>1.4739538585217815E-6</c:v>
                </c:pt>
                <c:pt idx="559">
                  <c:v>4.1033382558453013E-7</c:v>
                </c:pt>
                <c:pt idx="560">
                  <c:v>3.7340364400506587E-7</c:v>
                </c:pt>
                <c:pt idx="561">
                  <c:v>4.5345774424276897E-7</c:v>
                </c:pt>
                <c:pt idx="562">
                  <c:v>1.564643525853171E-7</c:v>
                </c:pt>
                <c:pt idx="563">
                  <c:v>6.8080936443948303E-8</c:v>
                </c:pt>
                <c:pt idx="564">
                  <c:v>4.9418451908422867E-7</c:v>
                </c:pt>
                <c:pt idx="565">
                  <c:v>1.249364913746831E-7</c:v>
                </c:pt>
                <c:pt idx="566">
                  <c:v>1.9179793753210106E-7</c:v>
                </c:pt>
                <c:pt idx="567">
                  <c:v>3.6013381077282247E-7</c:v>
                </c:pt>
                <c:pt idx="568">
                  <c:v>5.3746176931213085E-7</c:v>
                </c:pt>
                <c:pt idx="569">
                  <c:v>1.6043998130044201E-8</c:v>
                </c:pt>
                <c:pt idx="570">
                  <c:v>5.2464606881130749E-7</c:v>
                </c:pt>
                <c:pt idx="571">
                  <c:v>1.4590429486815992E-7</c:v>
                </c:pt>
                <c:pt idx="572">
                  <c:v>9.2934106987740961E-7</c:v>
                </c:pt>
                <c:pt idx="573">
                  <c:v>1.2478357547252017E-7</c:v>
                </c:pt>
                <c:pt idx="574">
                  <c:v>7.828913339835708E-8</c:v>
                </c:pt>
                <c:pt idx="575">
                  <c:v>1.016584434410106E-6</c:v>
                </c:pt>
                <c:pt idx="576">
                  <c:v>9.8521880431690079E-8</c:v>
                </c:pt>
                <c:pt idx="577">
                  <c:v>4.2646232145671092E-7</c:v>
                </c:pt>
                <c:pt idx="578">
                  <c:v>9.9864814728789497E-7</c:v>
                </c:pt>
                <c:pt idx="579">
                  <c:v>1.4999903896750766E-7</c:v>
                </c:pt>
                <c:pt idx="580">
                  <c:v>7.4996401622229314E-7</c:v>
                </c:pt>
                <c:pt idx="581">
                  <c:v>2.7604886554399855E-7</c:v>
                </c:pt>
                <c:pt idx="582">
                  <c:v>3.555025003265655E-7</c:v>
                </c:pt>
                <c:pt idx="583">
                  <c:v>1.0375066494816565E-7</c:v>
                </c:pt>
                <c:pt idx="584">
                  <c:v>3.9353906799988181E-7</c:v>
                </c:pt>
                <c:pt idx="585">
                  <c:v>3.7196090829638706E-7</c:v>
                </c:pt>
                <c:pt idx="586">
                  <c:v>1.1294940236439288E-6</c:v>
                </c:pt>
                <c:pt idx="587">
                  <c:v>3.6141190662419831E-7</c:v>
                </c:pt>
                <c:pt idx="588">
                  <c:v>1.037325745301132E-7</c:v>
                </c:pt>
                <c:pt idx="589">
                  <c:v>9.9828355359932175E-8</c:v>
                </c:pt>
                <c:pt idx="590">
                  <c:v>3.7982658795954194E-8</c:v>
                </c:pt>
                <c:pt idx="591">
                  <c:v>4.7468375896642101E-8</c:v>
                </c:pt>
                <c:pt idx="592">
                  <c:v>2.2375502339855302E-7</c:v>
                </c:pt>
                <c:pt idx="593">
                  <c:v>4.6059426495048683E-8</c:v>
                </c:pt>
                <c:pt idx="594">
                  <c:v>1.7837948007581872E-8</c:v>
                </c:pt>
                <c:pt idx="595">
                  <c:v>4.2827409707513198E-7</c:v>
                </c:pt>
                <c:pt idx="596">
                  <c:v>1.1818035545729799E-6</c:v>
                </c:pt>
                <c:pt idx="597">
                  <c:v>2.9693438818867435E-7</c:v>
                </c:pt>
                <c:pt idx="598">
                  <c:v>3.7508107197936624E-7</c:v>
                </c:pt>
                <c:pt idx="599">
                  <c:v>1.9009894458577037E-7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814-4FE5-8EE2-4178836413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3711320"/>
        <c:axId val="513711648"/>
      </c:scatterChart>
      <c:valAx>
        <c:axId val="513711320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  <a:r>
                  <a:rPr lang="en-US" baseline="0"/>
                  <a:t> [m]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711648"/>
        <c:crosses val="autoZero"/>
        <c:crossBetween val="midCat"/>
      </c:valAx>
      <c:valAx>
        <c:axId val="51371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/>
                  <a:t>Δ </a:t>
                </a:r>
                <a:r>
                  <a:rPr lang="en-US"/>
                  <a:t>azimuth [degrees]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7113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Direct</a:t>
            </a:r>
            <a:r>
              <a:rPr lang="en-US" baseline="0"/>
              <a:t> Results Comparison - Latitude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Direct!$O$2</c:f>
              <c:strCache>
                <c:ptCount val="1"/>
                <c:pt idx="0">
                  <c:v>Latitude GL Δ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Direct!$D$3:$D$602</c:f>
              <c:numCache>
                <c:formatCode>General</c:formatCode>
                <c:ptCount val="600"/>
                <c:pt idx="0">
                  <c:v>22085892.740699999</c:v>
                </c:pt>
                <c:pt idx="1">
                  <c:v>19786754.972199999</c:v>
                </c:pt>
                <c:pt idx="2">
                  <c:v>13647633.196599999</c:v>
                </c:pt>
                <c:pt idx="3">
                  <c:v>5057004.3572000004</c:v>
                </c:pt>
                <c:pt idx="4">
                  <c:v>26211926.041299999</c:v>
                </c:pt>
                <c:pt idx="5">
                  <c:v>5877843.3947999999</c:v>
                </c:pt>
                <c:pt idx="6">
                  <c:v>17353851.458700001</c:v>
                </c:pt>
                <c:pt idx="7">
                  <c:v>11211606.7816</c:v>
                </c:pt>
                <c:pt idx="8">
                  <c:v>13413100.6866</c:v>
                </c:pt>
                <c:pt idx="9">
                  <c:v>10061299.773</c:v>
                </c:pt>
                <c:pt idx="10">
                  <c:v>13574546.633099999</c:v>
                </c:pt>
                <c:pt idx="11">
                  <c:v>5397158.5284000002</c:v>
                </c:pt>
                <c:pt idx="12">
                  <c:v>1974293.5207</c:v>
                </c:pt>
                <c:pt idx="13">
                  <c:v>15153458.335000001</c:v>
                </c:pt>
                <c:pt idx="14">
                  <c:v>11924411.2316</c:v>
                </c:pt>
                <c:pt idx="15">
                  <c:v>24906146.8686</c:v>
                </c:pt>
                <c:pt idx="16">
                  <c:v>22990024.524300002</c:v>
                </c:pt>
                <c:pt idx="17">
                  <c:v>6642422.8748000003</c:v>
                </c:pt>
                <c:pt idx="18">
                  <c:v>12967928.029999999</c:v>
                </c:pt>
                <c:pt idx="19">
                  <c:v>28559805.6105</c:v>
                </c:pt>
                <c:pt idx="20">
                  <c:v>19798139.985599998</c:v>
                </c:pt>
                <c:pt idx="21">
                  <c:v>29611069.5645</c:v>
                </c:pt>
                <c:pt idx="22">
                  <c:v>23819608.177900001</c:v>
                </c:pt>
                <c:pt idx="23">
                  <c:v>9694952.3359999992</c:v>
                </c:pt>
                <c:pt idx="24">
                  <c:v>792391.58459999994</c:v>
                </c:pt>
                <c:pt idx="25">
                  <c:v>29956582.733399998</c:v>
                </c:pt>
                <c:pt idx="26">
                  <c:v>110882.5068</c:v>
                </c:pt>
                <c:pt idx="27">
                  <c:v>6349519.3638000004</c:v>
                </c:pt>
                <c:pt idx="28">
                  <c:v>10318810.0272</c:v>
                </c:pt>
                <c:pt idx="29">
                  <c:v>4453734.6876999997</c:v>
                </c:pt>
                <c:pt idx="30">
                  <c:v>16192411.1173</c:v>
                </c:pt>
                <c:pt idx="31">
                  <c:v>47791.921600000001</c:v>
                </c:pt>
                <c:pt idx="32">
                  <c:v>16379592.8594</c:v>
                </c:pt>
                <c:pt idx="33">
                  <c:v>25941909.833799999</c:v>
                </c:pt>
                <c:pt idx="34">
                  <c:v>19983063.0561</c:v>
                </c:pt>
                <c:pt idx="35">
                  <c:v>14969044.283500001</c:v>
                </c:pt>
                <c:pt idx="36">
                  <c:v>20971884.737199999</c:v>
                </c:pt>
                <c:pt idx="37">
                  <c:v>5018737.5745999999</c:v>
                </c:pt>
                <c:pt idx="38">
                  <c:v>5688651.0158000002</c:v>
                </c:pt>
                <c:pt idx="39">
                  <c:v>24475326.5867</c:v>
                </c:pt>
                <c:pt idx="40">
                  <c:v>11418445.4695</c:v>
                </c:pt>
                <c:pt idx="41">
                  <c:v>21962851.263599999</c:v>
                </c:pt>
                <c:pt idx="42">
                  <c:v>23153552.507599998</c:v>
                </c:pt>
                <c:pt idx="43">
                  <c:v>27457648.3748</c:v>
                </c:pt>
                <c:pt idx="44">
                  <c:v>1594501.6647000001</c:v>
                </c:pt>
                <c:pt idx="45">
                  <c:v>7281691.9382999996</c:v>
                </c:pt>
                <c:pt idx="46">
                  <c:v>23518265.962400001</c:v>
                </c:pt>
                <c:pt idx="47">
                  <c:v>3921469.0978999999</c:v>
                </c:pt>
                <c:pt idx="48">
                  <c:v>8374879.0009000003</c:v>
                </c:pt>
                <c:pt idx="49">
                  <c:v>2583078.8037999999</c:v>
                </c:pt>
                <c:pt idx="50">
                  <c:v>14011974.0339</c:v>
                </c:pt>
                <c:pt idx="51">
                  <c:v>18934734.430599999</c:v>
                </c:pt>
                <c:pt idx="52">
                  <c:v>77993.078200000004</c:v>
                </c:pt>
                <c:pt idx="53">
                  <c:v>12601924.446699999</c:v>
                </c:pt>
                <c:pt idx="54">
                  <c:v>12336200.919199999</c:v>
                </c:pt>
                <c:pt idx="55">
                  <c:v>12949182.965299999</c:v>
                </c:pt>
                <c:pt idx="56">
                  <c:v>3218075.0106000002</c:v>
                </c:pt>
                <c:pt idx="57">
                  <c:v>14250505.172800001</c:v>
                </c:pt>
                <c:pt idx="58">
                  <c:v>29644160.633699998</c:v>
                </c:pt>
                <c:pt idx="59">
                  <c:v>2846281.0967000001</c:v>
                </c:pt>
                <c:pt idx="60">
                  <c:v>24776891.9844</c:v>
                </c:pt>
                <c:pt idx="61">
                  <c:v>21636948.2696</c:v>
                </c:pt>
                <c:pt idx="62">
                  <c:v>5257481.7813999997</c:v>
                </c:pt>
                <c:pt idx="63">
                  <c:v>21811258.481699999</c:v>
                </c:pt>
                <c:pt idx="64">
                  <c:v>27630061.0777</c:v>
                </c:pt>
                <c:pt idx="65">
                  <c:v>27449795.258000001</c:v>
                </c:pt>
                <c:pt idx="66">
                  <c:v>15896057.1261</c:v>
                </c:pt>
                <c:pt idx="67">
                  <c:v>27915776.059</c:v>
                </c:pt>
                <c:pt idx="68">
                  <c:v>27388054.564300001</c:v>
                </c:pt>
                <c:pt idx="69">
                  <c:v>15232450.550100001</c:v>
                </c:pt>
                <c:pt idx="70">
                  <c:v>19523196.9932</c:v>
                </c:pt>
                <c:pt idx="71">
                  <c:v>19262446.867899999</c:v>
                </c:pt>
                <c:pt idx="72">
                  <c:v>12572332.933800001</c:v>
                </c:pt>
                <c:pt idx="73">
                  <c:v>15827008.977499999</c:v>
                </c:pt>
                <c:pt idx="74">
                  <c:v>12061587.573100001</c:v>
                </c:pt>
                <c:pt idx="75">
                  <c:v>15839191.948000001</c:v>
                </c:pt>
                <c:pt idx="76">
                  <c:v>14247699.163000001</c:v>
                </c:pt>
                <c:pt idx="77">
                  <c:v>10751079.3026</c:v>
                </c:pt>
                <c:pt idx="78">
                  <c:v>7288327.9888000004</c:v>
                </c:pt>
                <c:pt idx="79">
                  <c:v>12223215.5745</c:v>
                </c:pt>
                <c:pt idx="80">
                  <c:v>27794550.9263</c:v>
                </c:pt>
                <c:pt idx="81">
                  <c:v>21855867.1241</c:v>
                </c:pt>
                <c:pt idx="82">
                  <c:v>11149450.6668</c:v>
                </c:pt>
                <c:pt idx="83">
                  <c:v>13419455.063300001</c:v>
                </c:pt>
                <c:pt idx="84">
                  <c:v>15406147.542099999</c:v>
                </c:pt>
                <c:pt idx="85">
                  <c:v>12387170.2107</c:v>
                </c:pt>
                <c:pt idx="86">
                  <c:v>2739129.8221</c:v>
                </c:pt>
                <c:pt idx="87">
                  <c:v>10992541.662900001</c:v>
                </c:pt>
                <c:pt idx="88">
                  <c:v>26809519.5977</c:v>
                </c:pt>
                <c:pt idx="89">
                  <c:v>16426525.8873</c:v>
                </c:pt>
                <c:pt idx="90">
                  <c:v>3009187.4501999998</c:v>
                </c:pt>
                <c:pt idx="91">
                  <c:v>14766525.0417</c:v>
                </c:pt>
                <c:pt idx="92">
                  <c:v>11388563.956800001</c:v>
                </c:pt>
                <c:pt idx="93">
                  <c:v>11341171.712300001</c:v>
                </c:pt>
                <c:pt idx="94">
                  <c:v>8308069.4910000004</c:v>
                </c:pt>
                <c:pt idx="95">
                  <c:v>4874355.4786</c:v>
                </c:pt>
                <c:pt idx="96">
                  <c:v>20547852.623500001</c:v>
                </c:pt>
                <c:pt idx="97">
                  <c:v>2696126.9289000002</c:v>
                </c:pt>
                <c:pt idx="98">
                  <c:v>4461921.0270999996</c:v>
                </c:pt>
                <c:pt idx="99">
                  <c:v>8938931.9945999999</c:v>
                </c:pt>
                <c:pt idx="100">
                  <c:v>736539.3763</c:v>
                </c:pt>
                <c:pt idx="101">
                  <c:v>2680862.1616000002</c:v>
                </c:pt>
                <c:pt idx="102">
                  <c:v>2593134.8231000002</c:v>
                </c:pt>
                <c:pt idx="103">
                  <c:v>1124977.1808</c:v>
                </c:pt>
                <c:pt idx="104">
                  <c:v>8704.3340000000007</c:v>
                </c:pt>
                <c:pt idx="105">
                  <c:v>13395.294099999999</c:v>
                </c:pt>
                <c:pt idx="106">
                  <c:v>2002954.9594000001</c:v>
                </c:pt>
                <c:pt idx="107">
                  <c:v>2686520.6908999998</c:v>
                </c:pt>
                <c:pt idx="108">
                  <c:v>798705.37609999999</c:v>
                </c:pt>
                <c:pt idx="109">
                  <c:v>665017.86780000001</c:v>
                </c:pt>
                <c:pt idx="110">
                  <c:v>1950926.7751</c:v>
                </c:pt>
                <c:pt idx="111">
                  <c:v>2303142.2283000001</c:v>
                </c:pt>
                <c:pt idx="112">
                  <c:v>2125350.6011000001</c:v>
                </c:pt>
                <c:pt idx="113">
                  <c:v>1313369.7516000001</c:v>
                </c:pt>
                <c:pt idx="114">
                  <c:v>1139720.7165999999</c:v>
                </c:pt>
                <c:pt idx="115">
                  <c:v>783546.70979999995</c:v>
                </c:pt>
                <c:pt idx="116">
                  <c:v>963166.20239999995</c:v>
                </c:pt>
                <c:pt idx="117">
                  <c:v>2610595.4756999998</c:v>
                </c:pt>
                <c:pt idx="118">
                  <c:v>2662309.7689</c:v>
                </c:pt>
                <c:pt idx="119">
                  <c:v>1821170.4897</c:v>
                </c:pt>
                <c:pt idx="120">
                  <c:v>2787665.4001000002</c:v>
                </c:pt>
                <c:pt idx="121">
                  <c:v>2445529.3056000001</c:v>
                </c:pt>
                <c:pt idx="122">
                  <c:v>344966.30699999997</c:v>
                </c:pt>
                <c:pt idx="123">
                  <c:v>2319961.3678000001</c:v>
                </c:pt>
                <c:pt idx="124">
                  <c:v>181575.44039999999</c:v>
                </c:pt>
                <c:pt idx="125">
                  <c:v>2189603.9449</c:v>
                </c:pt>
                <c:pt idx="126">
                  <c:v>428196.28370000003</c:v>
                </c:pt>
                <c:pt idx="127">
                  <c:v>1626173.7615</c:v>
                </c:pt>
                <c:pt idx="128">
                  <c:v>52780.7088</c:v>
                </c:pt>
                <c:pt idx="129">
                  <c:v>873745.98479999998</c:v>
                </c:pt>
                <c:pt idx="130">
                  <c:v>1467787.2390000001</c:v>
                </c:pt>
                <c:pt idx="131">
                  <c:v>633511.36100000003</c:v>
                </c:pt>
                <c:pt idx="132">
                  <c:v>77703.400999999998</c:v>
                </c:pt>
                <c:pt idx="133">
                  <c:v>2618918.1118000001</c:v>
                </c:pt>
                <c:pt idx="134">
                  <c:v>1139643.1462999999</c:v>
                </c:pt>
                <c:pt idx="135">
                  <c:v>1149778.3717</c:v>
                </c:pt>
                <c:pt idx="136">
                  <c:v>617458.06770000001</c:v>
                </c:pt>
                <c:pt idx="137">
                  <c:v>2770816.5970000001</c:v>
                </c:pt>
                <c:pt idx="138">
                  <c:v>1509940.1052999999</c:v>
                </c:pt>
                <c:pt idx="139">
                  <c:v>2044625.3829000001</c:v>
                </c:pt>
                <c:pt idx="140">
                  <c:v>81952.523000000001</c:v>
                </c:pt>
                <c:pt idx="141">
                  <c:v>1367935.1714999999</c:v>
                </c:pt>
                <c:pt idx="142">
                  <c:v>497647.92460000003</c:v>
                </c:pt>
                <c:pt idx="143">
                  <c:v>2549616.412</c:v>
                </c:pt>
                <c:pt idx="144">
                  <c:v>923961.64540000004</c:v>
                </c:pt>
                <c:pt idx="145">
                  <c:v>436314.18910000002</c:v>
                </c:pt>
                <c:pt idx="146">
                  <c:v>235621.66570000001</c:v>
                </c:pt>
                <c:pt idx="147">
                  <c:v>1297329.2392</c:v>
                </c:pt>
                <c:pt idx="148">
                  <c:v>487865.03379999998</c:v>
                </c:pt>
                <c:pt idx="149">
                  <c:v>2107759.4114999999</c:v>
                </c:pt>
                <c:pt idx="150">
                  <c:v>932904.55359999998</c:v>
                </c:pt>
                <c:pt idx="151">
                  <c:v>1885709.7080000001</c:v>
                </c:pt>
                <c:pt idx="152">
                  <c:v>1874375.6106</c:v>
                </c:pt>
                <c:pt idx="153">
                  <c:v>1483495.4898999999</c:v>
                </c:pt>
                <c:pt idx="154">
                  <c:v>2689115.5479000001</c:v>
                </c:pt>
                <c:pt idx="155">
                  <c:v>1829661.7711</c:v>
                </c:pt>
                <c:pt idx="156">
                  <c:v>734948.68389999995</c:v>
                </c:pt>
                <c:pt idx="157">
                  <c:v>290204.74209999997</c:v>
                </c:pt>
                <c:pt idx="158">
                  <c:v>2348678.6216000002</c:v>
                </c:pt>
                <c:pt idx="159">
                  <c:v>2636.9313999999999</c:v>
                </c:pt>
                <c:pt idx="160">
                  <c:v>1868677.4461000001</c:v>
                </c:pt>
                <c:pt idx="161">
                  <c:v>1326845.2703</c:v>
                </c:pt>
                <c:pt idx="162">
                  <c:v>2618896.7393999998</c:v>
                </c:pt>
                <c:pt idx="163">
                  <c:v>870222.554</c:v>
                </c:pt>
                <c:pt idx="164">
                  <c:v>181242.50839999999</c:v>
                </c:pt>
                <c:pt idx="165">
                  <c:v>2847014.2115000002</c:v>
                </c:pt>
                <c:pt idx="166">
                  <c:v>2605914.9846000001</c:v>
                </c:pt>
                <c:pt idx="167">
                  <c:v>2164002.2919000001</c:v>
                </c:pt>
                <c:pt idx="168">
                  <c:v>2374062.4010000001</c:v>
                </c:pt>
                <c:pt idx="169">
                  <c:v>1445060.1989</c:v>
                </c:pt>
                <c:pt idx="170">
                  <c:v>371706.70150000002</c:v>
                </c:pt>
                <c:pt idx="171">
                  <c:v>473620.68780000001</c:v>
                </c:pt>
                <c:pt idx="172">
                  <c:v>1869949.3873000001</c:v>
                </c:pt>
                <c:pt idx="173">
                  <c:v>1165528.9177999999</c:v>
                </c:pt>
                <c:pt idx="174">
                  <c:v>2133546.6453</c:v>
                </c:pt>
                <c:pt idx="175">
                  <c:v>1948522.8914000001</c:v>
                </c:pt>
                <c:pt idx="176">
                  <c:v>2987346.8437999999</c:v>
                </c:pt>
                <c:pt idx="177">
                  <c:v>2388158.3117999998</c:v>
                </c:pt>
                <c:pt idx="178">
                  <c:v>1516703.9686</c:v>
                </c:pt>
                <c:pt idx="179">
                  <c:v>1158783.3785999999</c:v>
                </c:pt>
                <c:pt idx="180">
                  <c:v>1704611.0134999999</c:v>
                </c:pt>
                <c:pt idx="181">
                  <c:v>1416256.8084</c:v>
                </c:pt>
                <c:pt idx="182">
                  <c:v>37084.650699999998</c:v>
                </c:pt>
                <c:pt idx="183">
                  <c:v>2760978.3983</c:v>
                </c:pt>
                <c:pt idx="184">
                  <c:v>2197247.2039999999</c:v>
                </c:pt>
                <c:pt idx="185">
                  <c:v>2332316.2525999998</c:v>
                </c:pt>
                <c:pt idx="186">
                  <c:v>934757.1679</c:v>
                </c:pt>
                <c:pt idx="187">
                  <c:v>2202448.0323999999</c:v>
                </c:pt>
                <c:pt idx="188">
                  <c:v>1541236.2863</c:v>
                </c:pt>
                <c:pt idx="189">
                  <c:v>2847786.9182000002</c:v>
                </c:pt>
                <c:pt idx="190">
                  <c:v>2278616.4051999999</c:v>
                </c:pt>
                <c:pt idx="191">
                  <c:v>2226010.7078</c:v>
                </c:pt>
                <c:pt idx="192">
                  <c:v>165961.9748</c:v>
                </c:pt>
                <c:pt idx="193">
                  <c:v>176432.5575</c:v>
                </c:pt>
                <c:pt idx="194">
                  <c:v>2913012.5767000001</c:v>
                </c:pt>
                <c:pt idx="195">
                  <c:v>55334.114500000003</c:v>
                </c:pt>
                <c:pt idx="196">
                  <c:v>1237165.5629</c:v>
                </c:pt>
                <c:pt idx="197">
                  <c:v>106597.6541</c:v>
                </c:pt>
                <c:pt idx="198">
                  <c:v>2806480.9803999998</c:v>
                </c:pt>
                <c:pt idx="199">
                  <c:v>2700547.5251000002</c:v>
                </c:pt>
                <c:pt idx="200">
                  <c:v>176914.5307</c:v>
                </c:pt>
                <c:pt idx="201">
                  <c:v>150372.09640000001</c:v>
                </c:pt>
                <c:pt idx="202">
                  <c:v>207159.9688</c:v>
                </c:pt>
                <c:pt idx="203">
                  <c:v>158829.51319999999</c:v>
                </c:pt>
                <c:pt idx="204">
                  <c:v>250931.2175</c:v>
                </c:pt>
                <c:pt idx="205">
                  <c:v>55238.374199999998</c:v>
                </c:pt>
                <c:pt idx="206">
                  <c:v>159268.535</c:v>
                </c:pt>
                <c:pt idx="207">
                  <c:v>239557.7653</c:v>
                </c:pt>
                <c:pt idx="208">
                  <c:v>60041.874300000003</c:v>
                </c:pt>
                <c:pt idx="209">
                  <c:v>155642.25839999999</c:v>
                </c:pt>
                <c:pt idx="210">
                  <c:v>135939.71830000001</c:v>
                </c:pt>
                <c:pt idx="211">
                  <c:v>181052.9467</c:v>
                </c:pt>
                <c:pt idx="212">
                  <c:v>229254.93650000001</c:v>
                </c:pt>
                <c:pt idx="213">
                  <c:v>269764.81349999999</c:v>
                </c:pt>
                <c:pt idx="214">
                  <c:v>109197.39780000001</c:v>
                </c:pt>
                <c:pt idx="215">
                  <c:v>239202.74900000001</c:v>
                </c:pt>
                <c:pt idx="216">
                  <c:v>261627.51920000001</c:v>
                </c:pt>
                <c:pt idx="217">
                  <c:v>288789.2316</c:v>
                </c:pt>
                <c:pt idx="218">
                  <c:v>223681.27929999999</c:v>
                </c:pt>
                <c:pt idx="219">
                  <c:v>250297.2035</c:v>
                </c:pt>
                <c:pt idx="220">
                  <c:v>117917.5376</c:v>
                </c:pt>
                <c:pt idx="221">
                  <c:v>236250.2966</c:v>
                </c:pt>
                <c:pt idx="222">
                  <c:v>152724.31289999999</c:v>
                </c:pt>
                <c:pt idx="223">
                  <c:v>140330.49110000001</c:v>
                </c:pt>
                <c:pt idx="224">
                  <c:v>108131.13069999999</c:v>
                </c:pt>
                <c:pt idx="225">
                  <c:v>234979.94039999999</c:v>
                </c:pt>
                <c:pt idx="226">
                  <c:v>221205.2267</c:v>
                </c:pt>
                <c:pt idx="227">
                  <c:v>77287.303799999994</c:v>
                </c:pt>
                <c:pt idx="228">
                  <c:v>206909.5417</c:v>
                </c:pt>
                <c:pt idx="229">
                  <c:v>55374.978499999997</c:v>
                </c:pt>
                <c:pt idx="230">
                  <c:v>19205.576300000001</c:v>
                </c:pt>
                <c:pt idx="231">
                  <c:v>287624.93400000001</c:v>
                </c:pt>
                <c:pt idx="232">
                  <c:v>28140.0406</c:v>
                </c:pt>
                <c:pt idx="233">
                  <c:v>174600.7726</c:v>
                </c:pt>
                <c:pt idx="234">
                  <c:v>118249.6508</c:v>
                </c:pt>
                <c:pt idx="235">
                  <c:v>199578.12959999999</c:v>
                </c:pt>
                <c:pt idx="236">
                  <c:v>12571.034600000001</c:v>
                </c:pt>
                <c:pt idx="237">
                  <c:v>207268.5889</c:v>
                </c:pt>
                <c:pt idx="238">
                  <c:v>45876.0173</c:v>
                </c:pt>
                <c:pt idx="239">
                  <c:v>97962.3079</c:v>
                </c:pt>
                <c:pt idx="240">
                  <c:v>183912.6581</c:v>
                </c:pt>
                <c:pt idx="241">
                  <c:v>182734.12549999999</c:v>
                </c:pt>
                <c:pt idx="242">
                  <c:v>25367.8884</c:v>
                </c:pt>
                <c:pt idx="243">
                  <c:v>159167.3683</c:v>
                </c:pt>
                <c:pt idx="244">
                  <c:v>292098.01140000002</c:v>
                </c:pt>
                <c:pt idx="245">
                  <c:v>136302.18700000001</c:v>
                </c:pt>
                <c:pt idx="246">
                  <c:v>90021.128100000002</c:v>
                </c:pt>
                <c:pt idx="247">
                  <c:v>34078.6319</c:v>
                </c:pt>
                <c:pt idx="248">
                  <c:v>72338.909400000004</c:v>
                </c:pt>
                <c:pt idx="249">
                  <c:v>114948.1189</c:v>
                </c:pt>
                <c:pt idx="250">
                  <c:v>12919.8554</c:v>
                </c:pt>
                <c:pt idx="251">
                  <c:v>266034.81579999998</c:v>
                </c:pt>
                <c:pt idx="252">
                  <c:v>36730.163999999997</c:v>
                </c:pt>
                <c:pt idx="253">
                  <c:v>195008.64120000001</c:v>
                </c:pt>
                <c:pt idx="254">
                  <c:v>253855.41510000001</c:v>
                </c:pt>
                <c:pt idx="255">
                  <c:v>132081.4932</c:v>
                </c:pt>
                <c:pt idx="256">
                  <c:v>170365.54819999999</c:v>
                </c:pt>
                <c:pt idx="257">
                  <c:v>169355.3083</c:v>
                </c:pt>
                <c:pt idx="258">
                  <c:v>34280.7667</c:v>
                </c:pt>
                <c:pt idx="259">
                  <c:v>95631.720499999996</c:v>
                </c:pt>
                <c:pt idx="260">
                  <c:v>103399.0039</c:v>
                </c:pt>
                <c:pt idx="261">
                  <c:v>198631.8469</c:v>
                </c:pt>
                <c:pt idx="262">
                  <c:v>165946.44219999999</c:v>
                </c:pt>
                <c:pt idx="263">
                  <c:v>177415.48389999999</c:v>
                </c:pt>
                <c:pt idx="264">
                  <c:v>100912.3855</c:v>
                </c:pt>
                <c:pt idx="265">
                  <c:v>165257.90979999999</c:v>
                </c:pt>
                <c:pt idx="266">
                  <c:v>104705.3213</c:v>
                </c:pt>
                <c:pt idx="267">
                  <c:v>186534.3131</c:v>
                </c:pt>
                <c:pt idx="268">
                  <c:v>144966.76180000001</c:v>
                </c:pt>
                <c:pt idx="269">
                  <c:v>130323.55349999999</c:v>
                </c:pt>
                <c:pt idx="270">
                  <c:v>204439.66</c:v>
                </c:pt>
                <c:pt idx="271">
                  <c:v>178801.56409999999</c:v>
                </c:pt>
                <c:pt idx="272">
                  <c:v>83198.181500000006</c:v>
                </c:pt>
                <c:pt idx="273">
                  <c:v>274779.46269999997</c:v>
                </c:pt>
                <c:pt idx="274">
                  <c:v>110341.4342</c:v>
                </c:pt>
                <c:pt idx="275">
                  <c:v>193300.0251</c:v>
                </c:pt>
                <c:pt idx="276">
                  <c:v>77243.746899999998</c:v>
                </c:pt>
                <c:pt idx="277">
                  <c:v>288295.25770000002</c:v>
                </c:pt>
                <c:pt idx="278">
                  <c:v>292025.33350000001</c:v>
                </c:pt>
                <c:pt idx="279">
                  <c:v>222200.34969999999</c:v>
                </c:pt>
                <c:pt idx="280">
                  <c:v>177401.35699999999</c:v>
                </c:pt>
                <c:pt idx="281">
                  <c:v>197105.63070000001</c:v>
                </c:pt>
                <c:pt idx="282">
                  <c:v>262201.39919999999</c:v>
                </c:pt>
                <c:pt idx="283">
                  <c:v>286129.73320000002</c:v>
                </c:pt>
                <c:pt idx="284">
                  <c:v>88781.474700000006</c:v>
                </c:pt>
                <c:pt idx="285">
                  <c:v>25934.422999999999</c:v>
                </c:pt>
                <c:pt idx="286">
                  <c:v>165847.5191</c:v>
                </c:pt>
                <c:pt idx="287">
                  <c:v>135935.63690000001</c:v>
                </c:pt>
                <c:pt idx="288">
                  <c:v>8165.8377</c:v>
                </c:pt>
                <c:pt idx="289">
                  <c:v>297038.68729999999</c:v>
                </c:pt>
                <c:pt idx="290">
                  <c:v>20162.4198</c:v>
                </c:pt>
                <c:pt idx="291">
                  <c:v>164584.4406</c:v>
                </c:pt>
                <c:pt idx="292">
                  <c:v>38397.614699999998</c:v>
                </c:pt>
                <c:pt idx="293">
                  <c:v>215099.4129</c:v>
                </c:pt>
                <c:pt idx="294">
                  <c:v>6297.3679000000002</c:v>
                </c:pt>
                <c:pt idx="295">
                  <c:v>187751.1091</c:v>
                </c:pt>
                <c:pt idx="296">
                  <c:v>152425.64629999999</c:v>
                </c:pt>
                <c:pt idx="297">
                  <c:v>110725.2023</c:v>
                </c:pt>
                <c:pt idx="298">
                  <c:v>71301.474900000001</c:v>
                </c:pt>
                <c:pt idx="299">
                  <c:v>147375.0055</c:v>
                </c:pt>
                <c:pt idx="300">
                  <c:v>7257.9587000000001</c:v>
                </c:pt>
                <c:pt idx="301">
                  <c:v>12132.3408</c:v>
                </c:pt>
                <c:pt idx="302">
                  <c:v>1942.0318</c:v>
                </c:pt>
                <c:pt idx="303">
                  <c:v>17871.3066</c:v>
                </c:pt>
                <c:pt idx="304">
                  <c:v>9537.8850000000002</c:v>
                </c:pt>
                <c:pt idx="305">
                  <c:v>22982.406299999999</c:v>
                </c:pt>
                <c:pt idx="306">
                  <c:v>20848.2294</c:v>
                </c:pt>
                <c:pt idx="307">
                  <c:v>13206.8264</c:v>
                </c:pt>
                <c:pt idx="308">
                  <c:v>7221.5405000000001</c:v>
                </c:pt>
                <c:pt idx="309">
                  <c:v>26715.8367</c:v>
                </c:pt>
                <c:pt idx="310">
                  <c:v>2268.5140000000001</c:v>
                </c:pt>
                <c:pt idx="311">
                  <c:v>3493.4261999999999</c:v>
                </c:pt>
                <c:pt idx="312">
                  <c:v>28650.026600000001</c:v>
                </c:pt>
                <c:pt idx="313">
                  <c:v>17881.781599999998</c:v>
                </c:pt>
                <c:pt idx="314">
                  <c:v>8602.7864000000009</c:v>
                </c:pt>
                <c:pt idx="315">
                  <c:v>4760.5142999999998</c:v>
                </c:pt>
                <c:pt idx="316">
                  <c:v>15629.453799999999</c:v>
                </c:pt>
                <c:pt idx="317">
                  <c:v>8482.1638000000003</c:v>
                </c:pt>
                <c:pt idx="318">
                  <c:v>5976.9780000000001</c:v>
                </c:pt>
                <c:pt idx="319">
                  <c:v>14930.198</c:v>
                </c:pt>
                <c:pt idx="320">
                  <c:v>4443.6885000000002</c:v>
                </c:pt>
                <c:pt idx="321">
                  <c:v>2152.6453000000001</c:v>
                </c:pt>
                <c:pt idx="322">
                  <c:v>15120.408799999999</c:v>
                </c:pt>
                <c:pt idx="323">
                  <c:v>25341.7575</c:v>
                </c:pt>
                <c:pt idx="324">
                  <c:v>3720.5039000000002</c:v>
                </c:pt>
                <c:pt idx="325">
                  <c:v>6894.2614999999996</c:v>
                </c:pt>
                <c:pt idx="326">
                  <c:v>19129.257399999999</c:v>
                </c:pt>
                <c:pt idx="327">
                  <c:v>8139.16</c:v>
                </c:pt>
                <c:pt idx="328">
                  <c:v>10194.331099999999</c:v>
                </c:pt>
                <c:pt idx="329">
                  <c:v>10382.603300000001</c:v>
                </c:pt>
                <c:pt idx="330">
                  <c:v>3685.6846999999998</c:v>
                </c:pt>
                <c:pt idx="331">
                  <c:v>415.12889999999999</c:v>
                </c:pt>
                <c:pt idx="332">
                  <c:v>21589.996299999999</c:v>
                </c:pt>
                <c:pt idx="333">
                  <c:v>6650.0622000000003</c:v>
                </c:pt>
                <c:pt idx="334">
                  <c:v>29162.233</c:v>
                </c:pt>
                <c:pt idx="335">
                  <c:v>23801.801100000001</c:v>
                </c:pt>
                <c:pt idx="336">
                  <c:v>19883.556799999998</c:v>
                </c:pt>
                <c:pt idx="337">
                  <c:v>28786.854500000001</c:v>
                </c:pt>
                <c:pt idx="338">
                  <c:v>20321.9139</c:v>
                </c:pt>
                <c:pt idx="339">
                  <c:v>19106.947899999999</c:v>
                </c:pt>
                <c:pt idx="340">
                  <c:v>19978.191999999999</c:v>
                </c:pt>
                <c:pt idx="341">
                  <c:v>22287.987400000002</c:v>
                </c:pt>
                <c:pt idx="342">
                  <c:v>21229.444200000002</c:v>
                </c:pt>
                <c:pt idx="343">
                  <c:v>5761.8068000000003</c:v>
                </c:pt>
                <c:pt idx="344">
                  <c:v>22381.129499999999</c:v>
                </c:pt>
                <c:pt idx="345">
                  <c:v>20614.375899999999</c:v>
                </c:pt>
                <c:pt idx="346">
                  <c:v>13877.534299999999</c:v>
                </c:pt>
                <c:pt idx="347">
                  <c:v>24868.251799999998</c:v>
                </c:pt>
                <c:pt idx="348">
                  <c:v>7600.4764999999998</c:v>
                </c:pt>
                <c:pt idx="349">
                  <c:v>16591.260399999999</c:v>
                </c:pt>
                <c:pt idx="350">
                  <c:v>9391.4030000000002</c:v>
                </c:pt>
                <c:pt idx="351">
                  <c:v>2792.5965999999999</c:v>
                </c:pt>
                <c:pt idx="352">
                  <c:v>28192.577000000001</c:v>
                </c:pt>
                <c:pt idx="353">
                  <c:v>27140.077000000001</c:v>
                </c:pt>
                <c:pt idx="354">
                  <c:v>11706.651400000001</c:v>
                </c:pt>
                <c:pt idx="355">
                  <c:v>8158.5919000000004</c:v>
                </c:pt>
                <c:pt idx="356">
                  <c:v>1874.9798000000001</c:v>
                </c:pt>
                <c:pt idx="357">
                  <c:v>13484.368700000001</c:v>
                </c:pt>
                <c:pt idx="358">
                  <c:v>23242.379099999998</c:v>
                </c:pt>
                <c:pt idx="359">
                  <c:v>4824.5838999999996</c:v>
                </c:pt>
                <c:pt idx="360">
                  <c:v>11868.7088</c:v>
                </c:pt>
                <c:pt idx="361">
                  <c:v>24911.404200000001</c:v>
                </c:pt>
                <c:pt idx="362">
                  <c:v>501.83679999999998</c:v>
                </c:pt>
                <c:pt idx="363">
                  <c:v>5521.8651</c:v>
                </c:pt>
                <c:pt idx="364">
                  <c:v>2561.4078</c:v>
                </c:pt>
                <c:pt idx="365">
                  <c:v>18639.528399999999</c:v>
                </c:pt>
                <c:pt idx="366">
                  <c:v>4096.0942999999997</c:v>
                </c:pt>
                <c:pt idx="367">
                  <c:v>11243.4959</c:v>
                </c:pt>
                <c:pt idx="368">
                  <c:v>9933.9928</c:v>
                </c:pt>
                <c:pt idx="369">
                  <c:v>8854.6332000000002</c:v>
                </c:pt>
                <c:pt idx="370">
                  <c:v>13118.181200000001</c:v>
                </c:pt>
                <c:pt idx="371">
                  <c:v>19251.567299999999</c:v>
                </c:pt>
                <c:pt idx="372">
                  <c:v>6324.0820000000003</c:v>
                </c:pt>
                <c:pt idx="373">
                  <c:v>17659.712500000001</c:v>
                </c:pt>
                <c:pt idx="374">
                  <c:v>24197.2647</c:v>
                </c:pt>
                <c:pt idx="375">
                  <c:v>11984.5826</c:v>
                </c:pt>
                <c:pt idx="376">
                  <c:v>22940.981500000002</c:v>
                </c:pt>
                <c:pt idx="377">
                  <c:v>1283.5830000000001</c:v>
                </c:pt>
                <c:pt idx="378">
                  <c:v>18201.4208</c:v>
                </c:pt>
                <c:pt idx="379">
                  <c:v>22871.2582</c:v>
                </c:pt>
                <c:pt idx="380">
                  <c:v>23273.973000000002</c:v>
                </c:pt>
                <c:pt idx="381">
                  <c:v>8216.3669000000009</c:v>
                </c:pt>
                <c:pt idx="382">
                  <c:v>13182.615400000001</c:v>
                </c:pt>
                <c:pt idx="383">
                  <c:v>8746.3081999999995</c:v>
                </c:pt>
                <c:pt idx="384">
                  <c:v>14926.705900000001</c:v>
                </c:pt>
                <c:pt idx="385">
                  <c:v>22339.502799999998</c:v>
                </c:pt>
                <c:pt idx="386">
                  <c:v>12379.651</c:v>
                </c:pt>
                <c:pt idx="387">
                  <c:v>9394.1258999999991</c:v>
                </c:pt>
                <c:pt idx="388">
                  <c:v>15742.0088</c:v>
                </c:pt>
                <c:pt idx="389">
                  <c:v>2455.7743</c:v>
                </c:pt>
                <c:pt idx="390">
                  <c:v>8116.2794999999996</c:v>
                </c:pt>
                <c:pt idx="391">
                  <c:v>21432.472000000002</c:v>
                </c:pt>
                <c:pt idx="392">
                  <c:v>13205.754800000001</c:v>
                </c:pt>
                <c:pt idx="393">
                  <c:v>29222.171399999999</c:v>
                </c:pt>
                <c:pt idx="394">
                  <c:v>25749.614000000001</c:v>
                </c:pt>
                <c:pt idx="395">
                  <c:v>13669.7415</c:v>
                </c:pt>
                <c:pt idx="396">
                  <c:v>29773.488300000001</c:v>
                </c:pt>
                <c:pt idx="397">
                  <c:v>29052.516299999999</c:v>
                </c:pt>
                <c:pt idx="398">
                  <c:v>3862.9740000000002</c:v>
                </c:pt>
                <c:pt idx="399">
                  <c:v>26818.222600000001</c:v>
                </c:pt>
                <c:pt idx="400">
                  <c:v>127.5797</c:v>
                </c:pt>
                <c:pt idx="401">
                  <c:v>926.50239999999997</c:v>
                </c:pt>
                <c:pt idx="402">
                  <c:v>2066.0987</c:v>
                </c:pt>
                <c:pt idx="403">
                  <c:v>2378.8726000000001</c:v>
                </c:pt>
                <c:pt idx="404">
                  <c:v>598.16459999999995</c:v>
                </c:pt>
                <c:pt idx="405">
                  <c:v>2658.8733999999999</c:v>
                </c:pt>
                <c:pt idx="406">
                  <c:v>1865.2722000000001</c:v>
                </c:pt>
                <c:pt idx="407">
                  <c:v>2963.6988000000001</c:v>
                </c:pt>
                <c:pt idx="408">
                  <c:v>1864.1994</c:v>
                </c:pt>
                <c:pt idx="409">
                  <c:v>434.13080000000002</c:v>
                </c:pt>
                <c:pt idx="410">
                  <c:v>2755.375</c:v>
                </c:pt>
                <c:pt idx="411">
                  <c:v>551.63620000000003</c:v>
                </c:pt>
                <c:pt idx="412">
                  <c:v>1356.1890000000001</c:v>
                </c:pt>
                <c:pt idx="413">
                  <c:v>914.31590000000006</c:v>
                </c:pt>
                <c:pt idx="414">
                  <c:v>543.87559999999996</c:v>
                </c:pt>
                <c:pt idx="415">
                  <c:v>2619.2867999999999</c:v>
                </c:pt>
                <c:pt idx="416">
                  <c:v>500.95839999999998</c:v>
                </c:pt>
                <c:pt idx="417">
                  <c:v>612.99509999999998</c:v>
                </c:pt>
                <c:pt idx="418">
                  <c:v>2206.3631999999998</c:v>
                </c:pt>
                <c:pt idx="419">
                  <c:v>373.10430000000002</c:v>
                </c:pt>
                <c:pt idx="420">
                  <c:v>968.30229999999995</c:v>
                </c:pt>
                <c:pt idx="421">
                  <c:v>526.63610000000006</c:v>
                </c:pt>
                <c:pt idx="422">
                  <c:v>2120.3481999999999</c:v>
                </c:pt>
                <c:pt idx="423">
                  <c:v>2285.7537000000002</c:v>
                </c:pt>
                <c:pt idx="424">
                  <c:v>1122.5577000000001</c:v>
                </c:pt>
                <c:pt idx="425">
                  <c:v>2974.0944</c:v>
                </c:pt>
                <c:pt idx="426">
                  <c:v>581.15200000000004</c:v>
                </c:pt>
                <c:pt idx="427">
                  <c:v>1778.7229</c:v>
                </c:pt>
                <c:pt idx="428">
                  <c:v>2334.7959999999998</c:v>
                </c:pt>
                <c:pt idx="429">
                  <c:v>2644.8265000000001</c:v>
                </c:pt>
                <c:pt idx="430">
                  <c:v>2982.7921000000001</c:v>
                </c:pt>
                <c:pt idx="431">
                  <c:v>1329.8941</c:v>
                </c:pt>
                <c:pt idx="432">
                  <c:v>270.02050000000003</c:v>
                </c:pt>
                <c:pt idx="433">
                  <c:v>1791.4936</c:v>
                </c:pt>
                <c:pt idx="434">
                  <c:v>1454.0617</c:v>
                </c:pt>
                <c:pt idx="435">
                  <c:v>1584.9976999999999</c:v>
                </c:pt>
                <c:pt idx="436">
                  <c:v>1250.5150000000001</c:v>
                </c:pt>
                <c:pt idx="437">
                  <c:v>2712.2029000000002</c:v>
                </c:pt>
                <c:pt idx="438">
                  <c:v>2240.8114</c:v>
                </c:pt>
                <c:pt idx="439">
                  <c:v>606.53039999999999</c:v>
                </c:pt>
                <c:pt idx="440">
                  <c:v>2875.1604000000002</c:v>
                </c:pt>
                <c:pt idx="441">
                  <c:v>1967.2678000000001</c:v>
                </c:pt>
                <c:pt idx="442">
                  <c:v>1943.4681</c:v>
                </c:pt>
                <c:pt idx="443">
                  <c:v>2836.5140000000001</c:v>
                </c:pt>
                <c:pt idx="444">
                  <c:v>1327.5139999999999</c:v>
                </c:pt>
                <c:pt idx="445">
                  <c:v>509.322</c:v>
                </c:pt>
                <c:pt idx="446">
                  <c:v>1593.0436999999999</c:v>
                </c:pt>
                <c:pt idx="447">
                  <c:v>2276.5025999999998</c:v>
                </c:pt>
                <c:pt idx="448">
                  <c:v>1491.5641000000001</c:v>
                </c:pt>
                <c:pt idx="449">
                  <c:v>2384.1579000000002</c:v>
                </c:pt>
                <c:pt idx="450">
                  <c:v>900.21310000000005</c:v>
                </c:pt>
                <c:pt idx="451">
                  <c:v>1913.3998999999999</c:v>
                </c:pt>
                <c:pt idx="452">
                  <c:v>1380.5322000000001</c:v>
                </c:pt>
                <c:pt idx="453">
                  <c:v>1735.1509000000001</c:v>
                </c:pt>
                <c:pt idx="454">
                  <c:v>2539.4928</c:v>
                </c:pt>
                <c:pt idx="455">
                  <c:v>880.4864</c:v>
                </c:pt>
                <c:pt idx="456">
                  <c:v>1238.2325000000001</c:v>
                </c:pt>
                <c:pt idx="457">
                  <c:v>1481.5454</c:v>
                </c:pt>
                <c:pt idx="458">
                  <c:v>170.26910000000001</c:v>
                </c:pt>
                <c:pt idx="459">
                  <c:v>1191.329</c:v>
                </c:pt>
                <c:pt idx="460">
                  <c:v>952.34939999999995</c:v>
                </c:pt>
                <c:pt idx="461">
                  <c:v>2320.2631999999999</c:v>
                </c:pt>
                <c:pt idx="462">
                  <c:v>1113.6715999999999</c:v>
                </c:pt>
                <c:pt idx="463">
                  <c:v>2897.2872000000002</c:v>
                </c:pt>
                <c:pt idx="464">
                  <c:v>2001.7566999999999</c:v>
                </c:pt>
                <c:pt idx="465">
                  <c:v>167.43340000000001</c:v>
                </c:pt>
                <c:pt idx="466">
                  <c:v>1155.6850999999999</c:v>
                </c:pt>
                <c:pt idx="467">
                  <c:v>2369.3285999999998</c:v>
                </c:pt>
                <c:pt idx="468">
                  <c:v>2099.6320000000001</c:v>
                </c:pt>
                <c:pt idx="469">
                  <c:v>1566.3607999999999</c:v>
                </c:pt>
                <c:pt idx="470">
                  <c:v>1913.6427000000001</c:v>
                </c:pt>
                <c:pt idx="471">
                  <c:v>2141.8692999999998</c:v>
                </c:pt>
                <c:pt idx="472">
                  <c:v>283.83530000000002</c:v>
                </c:pt>
                <c:pt idx="473">
                  <c:v>706.19870000000003</c:v>
                </c:pt>
                <c:pt idx="474">
                  <c:v>1764.5993000000001</c:v>
                </c:pt>
                <c:pt idx="475">
                  <c:v>1206.1131</c:v>
                </c:pt>
                <c:pt idx="476">
                  <c:v>667.92190000000005</c:v>
                </c:pt>
                <c:pt idx="477">
                  <c:v>785.29570000000001</c:v>
                </c:pt>
                <c:pt idx="478">
                  <c:v>1268.9889000000001</c:v>
                </c:pt>
                <c:pt idx="479">
                  <c:v>1835.7257</c:v>
                </c:pt>
                <c:pt idx="480">
                  <c:v>1166.6110000000001</c:v>
                </c:pt>
                <c:pt idx="481">
                  <c:v>662.86389999999994</c:v>
                </c:pt>
                <c:pt idx="482">
                  <c:v>470.29559999999998</c:v>
                </c:pt>
                <c:pt idx="483">
                  <c:v>566.70489999999995</c:v>
                </c:pt>
                <c:pt idx="484">
                  <c:v>2049.8571999999999</c:v>
                </c:pt>
                <c:pt idx="485">
                  <c:v>2794.4827</c:v>
                </c:pt>
                <c:pt idx="486">
                  <c:v>2940.1424000000002</c:v>
                </c:pt>
                <c:pt idx="487">
                  <c:v>1283.4010000000001</c:v>
                </c:pt>
                <c:pt idx="488">
                  <c:v>2161.7483000000002</c:v>
                </c:pt>
                <c:pt idx="489">
                  <c:v>574.19349999999997</c:v>
                </c:pt>
                <c:pt idx="490">
                  <c:v>2322.3270000000002</c:v>
                </c:pt>
                <c:pt idx="491">
                  <c:v>214.89680000000001</c:v>
                </c:pt>
                <c:pt idx="492">
                  <c:v>1289.5731000000001</c:v>
                </c:pt>
                <c:pt idx="493">
                  <c:v>1929.104</c:v>
                </c:pt>
                <c:pt idx="494">
                  <c:v>2028.0549000000001</c:v>
                </c:pt>
                <c:pt idx="495">
                  <c:v>954.67409999999995</c:v>
                </c:pt>
                <c:pt idx="496">
                  <c:v>2645.9000999999998</c:v>
                </c:pt>
                <c:pt idx="497">
                  <c:v>1037.9902</c:v>
                </c:pt>
                <c:pt idx="498">
                  <c:v>2665.431</c:v>
                </c:pt>
                <c:pt idx="499">
                  <c:v>2753.4184</c:v>
                </c:pt>
                <c:pt idx="500">
                  <c:v>264.5086</c:v>
                </c:pt>
                <c:pt idx="501">
                  <c:v>6.3822000000000001</c:v>
                </c:pt>
                <c:pt idx="502">
                  <c:v>131.6283</c:v>
                </c:pt>
                <c:pt idx="503">
                  <c:v>173.012</c:v>
                </c:pt>
                <c:pt idx="504">
                  <c:v>188.12110000000001</c:v>
                </c:pt>
                <c:pt idx="505">
                  <c:v>101.82980000000001</c:v>
                </c:pt>
                <c:pt idx="506">
                  <c:v>65.089699999999993</c:v>
                </c:pt>
                <c:pt idx="507">
                  <c:v>152.2518</c:v>
                </c:pt>
                <c:pt idx="508">
                  <c:v>49.255200000000002</c:v>
                </c:pt>
                <c:pt idx="509">
                  <c:v>232.5444</c:v>
                </c:pt>
                <c:pt idx="510">
                  <c:v>107.157</c:v>
                </c:pt>
                <c:pt idx="511">
                  <c:v>74.548699999999997</c:v>
                </c:pt>
                <c:pt idx="512">
                  <c:v>75.305599999999998</c:v>
                </c:pt>
                <c:pt idx="513">
                  <c:v>194.6788</c:v>
                </c:pt>
                <c:pt idx="514">
                  <c:v>66.631600000000006</c:v>
                </c:pt>
                <c:pt idx="515">
                  <c:v>85.505399999999995</c:v>
                </c:pt>
                <c:pt idx="516">
                  <c:v>92.513499999999993</c:v>
                </c:pt>
                <c:pt idx="517">
                  <c:v>198.68539999999999</c:v>
                </c:pt>
                <c:pt idx="518">
                  <c:v>16.641500000000001</c:v>
                </c:pt>
                <c:pt idx="519">
                  <c:v>22.802299999999999</c:v>
                </c:pt>
                <c:pt idx="520">
                  <c:v>54.732100000000003</c:v>
                </c:pt>
                <c:pt idx="521">
                  <c:v>26.3157</c:v>
                </c:pt>
                <c:pt idx="522">
                  <c:v>287.31920000000002</c:v>
                </c:pt>
                <c:pt idx="523">
                  <c:v>249.56829999999999</c:v>
                </c:pt>
                <c:pt idx="524">
                  <c:v>102.48309999999999</c:v>
                </c:pt>
                <c:pt idx="525">
                  <c:v>112.4393</c:v>
                </c:pt>
                <c:pt idx="526">
                  <c:v>188.01929999999999</c:v>
                </c:pt>
                <c:pt idx="527">
                  <c:v>114.4122</c:v>
                </c:pt>
                <c:pt idx="528">
                  <c:v>125.02719999999999</c:v>
                </c:pt>
                <c:pt idx="529">
                  <c:v>69.067899999999995</c:v>
                </c:pt>
                <c:pt idx="530">
                  <c:v>7.2950999999999997</c:v>
                </c:pt>
                <c:pt idx="531">
                  <c:v>42.905700000000003</c:v>
                </c:pt>
                <c:pt idx="532">
                  <c:v>294.95620000000002</c:v>
                </c:pt>
                <c:pt idx="533">
                  <c:v>219.79079999999999</c:v>
                </c:pt>
                <c:pt idx="534">
                  <c:v>75.439899999999994</c:v>
                </c:pt>
                <c:pt idx="535">
                  <c:v>153.09970000000001</c:v>
                </c:pt>
                <c:pt idx="536">
                  <c:v>275.0976</c:v>
                </c:pt>
                <c:pt idx="537">
                  <c:v>117.9924</c:v>
                </c:pt>
                <c:pt idx="538">
                  <c:v>230.8272</c:v>
                </c:pt>
                <c:pt idx="539">
                  <c:v>50.645099999999999</c:v>
                </c:pt>
                <c:pt idx="540">
                  <c:v>199.2944</c:v>
                </c:pt>
                <c:pt idx="541">
                  <c:v>159.47839999999999</c:v>
                </c:pt>
                <c:pt idx="542">
                  <c:v>65.087299999999999</c:v>
                </c:pt>
                <c:pt idx="543">
                  <c:v>179.26079999999999</c:v>
                </c:pt>
                <c:pt idx="544">
                  <c:v>18.3111</c:v>
                </c:pt>
                <c:pt idx="545">
                  <c:v>2.7016</c:v>
                </c:pt>
                <c:pt idx="546">
                  <c:v>289.99310000000003</c:v>
                </c:pt>
                <c:pt idx="547">
                  <c:v>191.5222</c:v>
                </c:pt>
                <c:pt idx="548">
                  <c:v>288.79849999999999</c:v>
                </c:pt>
                <c:pt idx="549">
                  <c:v>181.3706</c:v>
                </c:pt>
                <c:pt idx="550">
                  <c:v>238.00460000000001</c:v>
                </c:pt>
                <c:pt idx="551">
                  <c:v>230.9863</c:v>
                </c:pt>
                <c:pt idx="552">
                  <c:v>190.0778</c:v>
                </c:pt>
                <c:pt idx="553">
                  <c:v>99.565399999999997</c:v>
                </c:pt>
                <c:pt idx="554">
                  <c:v>29.6218</c:v>
                </c:pt>
                <c:pt idx="555">
                  <c:v>162.2439</c:v>
                </c:pt>
                <c:pt idx="556">
                  <c:v>56.786299999999997</c:v>
                </c:pt>
                <c:pt idx="557">
                  <c:v>144.6337</c:v>
                </c:pt>
                <c:pt idx="558">
                  <c:v>173.5181</c:v>
                </c:pt>
                <c:pt idx="559">
                  <c:v>53.187399999999997</c:v>
                </c:pt>
                <c:pt idx="560">
                  <c:v>147.19309999999999</c:v>
                </c:pt>
                <c:pt idx="561">
                  <c:v>286.26080000000002</c:v>
                </c:pt>
                <c:pt idx="562">
                  <c:v>15.910600000000001</c:v>
                </c:pt>
                <c:pt idx="563">
                  <c:v>1.7715000000000001</c:v>
                </c:pt>
                <c:pt idx="564">
                  <c:v>17.602499999999999</c:v>
                </c:pt>
                <c:pt idx="565">
                  <c:v>41.176900000000003</c:v>
                </c:pt>
                <c:pt idx="566">
                  <c:v>213.721</c:v>
                </c:pt>
                <c:pt idx="567">
                  <c:v>299.5917</c:v>
                </c:pt>
                <c:pt idx="568">
                  <c:v>26.440300000000001</c:v>
                </c:pt>
                <c:pt idx="569">
                  <c:v>113.30110000000001</c:v>
                </c:pt>
                <c:pt idx="570">
                  <c:v>216.56450000000001</c:v>
                </c:pt>
                <c:pt idx="571">
                  <c:v>139.32480000000001</c:v>
                </c:pt>
                <c:pt idx="572">
                  <c:v>131.84719999999999</c:v>
                </c:pt>
                <c:pt idx="573">
                  <c:v>211.75059999999999</c:v>
                </c:pt>
                <c:pt idx="574">
                  <c:v>1.5274000000000001</c:v>
                </c:pt>
                <c:pt idx="575">
                  <c:v>145.38300000000001</c:v>
                </c:pt>
                <c:pt idx="576">
                  <c:v>298.60430000000002</c:v>
                </c:pt>
                <c:pt idx="577">
                  <c:v>134.36859999999999</c:v>
                </c:pt>
                <c:pt idx="578">
                  <c:v>113.09690000000001</c:v>
                </c:pt>
                <c:pt idx="579">
                  <c:v>258.26159999999999</c:v>
                </c:pt>
                <c:pt idx="580">
                  <c:v>245.2526</c:v>
                </c:pt>
                <c:pt idx="581">
                  <c:v>232.00069999999999</c:v>
                </c:pt>
                <c:pt idx="582">
                  <c:v>154.26689999999999</c:v>
                </c:pt>
                <c:pt idx="583">
                  <c:v>133.05260000000001</c:v>
                </c:pt>
                <c:pt idx="584">
                  <c:v>161.2106</c:v>
                </c:pt>
                <c:pt idx="585">
                  <c:v>106.81950000000001</c:v>
                </c:pt>
                <c:pt idx="586">
                  <c:v>46.385199999999998</c:v>
                </c:pt>
                <c:pt idx="587">
                  <c:v>169.67699999999999</c:v>
                </c:pt>
                <c:pt idx="588">
                  <c:v>82.587900000000005</c:v>
                </c:pt>
                <c:pt idx="589">
                  <c:v>90.400300000000001</c:v>
                </c:pt>
                <c:pt idx="590">
                  <c:v>239.33629999999999</c:v>
                </c:pt>
                <c:pt idx="591">
                  <c:v>6.0903</c:v>
                </c:pt>
                <c:pt idx="592">
                  <c:v>133.09180000000001</c:v>
                </c:pt>
                <c:pt idx="593">
                  <c:v>62.752699999999997</c:v>
                </c:pt>
                <c:pt idx="594">
                  <c:v>164.04509999999999</c:v>
                </c:pt>
                <c:pt idx="595">
                  <c:v>165.18979999999999</c:v>
                </c:pt>
                <c:pt idx="596">
                  <c:v>256.2978</c:v>
                </c:pt>
                <c:pt idx="597">
                  <c:v>28.553999999999998</c:v>
                </c:pt>
                <c:pt idx="598">
                  <c:v>8.3794000000000004</c:v>
                </c:pt>
                <c:pt idx="599">
                  <c:v>123.89790000000001</c:v>
                </c:pt>
              </c:numCache>
            </c:numRef>
          </c:xVal>
          <c:yVal>
            <c:numRef>
              <c:f>Direct!$O$3:$O$602</c:f>
              <c:numCache>
                <c:formatCode>0.00000000</c:formatCode>
                <c:ptCount val="600"/>
                <c:pt idx="0">
                  <c:v>7.1646155674898182E-10</c:v>
                </c:pt>
                <c:pt idx="1">
                  <c:v>5.2592241672755335E-10</c:v>
                </c:pt>
                <c:pt idx="2">
                  <c:v>4.3726799958676565E-10</c:v>
                </c:pt>
                <c:pt idx="3">
                  <c:v>1.6567369698350376E-10</c:v>
                </c:pt>
                <c:pt idx="4">
                  <c:v>8.9003115988361969E-10</c:v>
                </c:pt>
                <c:pt idx="5">
                  <c:v>8.5861984189250506E-11</c:v>
                </c:pt>
                <c:pt idx="6">
                  <c:v>5.4443916042146157E-10</c:v>
                </c:pt>
                <c:pt idx="7">
                  <c:v>2.7007374114873528E-10</c:v>
                </c:pt>
                <c:pt idx="8">
                  <c:v>5.0109250082641665E-10</c:v>
                </c:pt>
                <c:pt idx="9">
                  <c:v>3.6268854586296584E-10</c:v>
                </c:pt>
                <c:pt idx="10">
                  <c:v>4.6392045760512701E-10</c:v>
                </c:pt>
                <c:pt idx="11">
                  <c:v>1.1070255823142361E-11</c:v>
                </c:pt>
                <c:pt idx="12">
                  <c:v>3.6962433114240412E-11</c:v>
                </c:pt>
                <c:pt idx="13">
                  <c:v>1.4003376236360054E-10</c:v>
                </c:pt>
                <c:pt idx="14">
                  <c:v>3.6207303821811365E-10</c:v>
                </c:pt>
                <c:pt idx="15">
                  <c:v>8.0124351597987697E-10</c:v>
                </c:pt>
                <c:pt idx="16">
                  <c:v>6.6283689648116706E-10</c:v>
                </c:pt>
                <c:pt idx="17">
                  <c:v>6.9473315988943796E-11</c:v>
                </c:pt>
                <c:pt idx="18">
                  <c:v>5.0695803111011628E-10</c:v>
                </c:pt>
                <c:pt idx="19">
                  <c:v>1.1058602922275895E-9</c:v>
                </c:pt>
                <c:pt idx="20">
                  <c:v>1.7260504137084354E-10</c:v>
                </c:pt>
                <c:pt idx="21">
                  <c:v>7.127809453777445E-10</c:v>
                </c:pt>
                <c:pt idx="22">
                  <c:v>6.6945204935109359E-10</c:v>
                </c:pt>
                <c:pt idx="23">
                  <c:v>4.2221159901600913E-10</c:v>
                </c:pt>
                <c:pt idx="24">
                  <c:v>4.9837467486213427E-11</c:v>
                </c:pt>
                <c:pt idx="25">
                  <c:v>3.4448710550805117E-10</c:v>
                </c:pt>
                <c:pt idx="26">
                  <c:v>9.9475983006414026E-14</c:v>
                </c:pt>
                <c:pt idx="27">
                  <c:v>5.6047610996756703E-11</c:v>
                </c:pt>
                <c:pt idx="28">
                  <c:v>1.5806023156983429E-10</c:v>
                </c:pt>
                <c:pt idx="29">
                  <c:v>9.3983487658988452E-11</c:v>
                </c:pt>
                <c:pt idx="30">
                  <c:v>5.7735149994186941E-10</c:v>
                </c:pt>
                <c:pt idx="31">
                  <c:v>1.2079226507921703E-12</c:v>
                </c:pt>
                <c:pt idx="32">
                  <c:v>6.1607607904079487E-10</c:v>
                </c:pt>
                <c:pt idx="33">
                  <c:v>7.8163964190025581E-10</c:v>
                </c:pt>
                <c:pt idx="34">
                  <c:v>1.6655121726216748E-11</c:v>
                </c:pt>
                <c:pt idx="35">
                  <c:v>5.0875215151791053E-10</c:v>
                </c:pt>
                <c:pt idx="36">
                  <c:v>4.9354298425896559E-11</c:v>
                </c:pt>
                <c:pt idx="37">
                  <c:v>2.4174084956030129E-10</c:v>
                </c:pt>
                <c:pt idx="38">
                  <c:v>2.4873436643702007E-10</c:v>
                </c:pt>
                <c:pt idx="39">
                  <c:v>7.9776896200201008E-10</c:v>
                </c:pt>
                <c:pt idx="40">
                  <c:v>1.5226220284603187E-10</c:v>
                </c:pt>
                <c:pt idx="41">
                  <c:v>5.7696070143720135E-10</c:v>
                </c:pt>
                <c:pt idx="42">
                  <c:v>7.0413364028354408E-10</c:v>
                </c:pt>
                <c:pt idx="43">
                  <c:v>8.5040596786711831E-10</c:v>
                </c:pt>
                <c:pt idx="44">
                  <c:v>2.8421709430404007E-13</c:v>
                </c:pt>
                <c:pt idx="45">
                  <c:v>4.4593662096303888E-11</c:v>
                </c:pt>
                <c:pt idx="46">
                  <c:v>2.8259705686650705E-10</c:v>
                </c:pt>
                <c:pt idx="47">
                  <c:v>6.7863936692447169E-11</c:v>
                </c:pt>
                <c:pt idx="48">
                  <c:v>2.7062529994736906E-10</c:v>
                </c:pt>
                <c:pt idx="49">
                  <c:v>9.7912788987741806E-12</c:v>
                </c:pt>
                <c:pt idx="50">
                  <c:v>5.7745808135223342E-10</c:v>
                </c:pt>
                <c:pt idx="51">
                  <c:v>1.2899192824988859E-10</c:v>
                </c:pt>
                <c:pt idx="52">
                  <c:v>3.1974423109204508E-14</c:v>
                </c:pt>
                <c:pt idx="53">
                  <c:v>3.9171510479718563E-10</c:v>
                </c:pt>
                <c:pt idx="54">
                  <c:v>2.7686297698892304E-10</c:v>
                </c:pt>
                <c:pt idx="55">
                  <c:v>3.0598101830037194E-10</c:v>
                </c:pt>
                <c:pt idx="56">
                  <c:v>7.9296569310827181E-12</c:v>
                </c:pt>
                <c:pt idx="57">
                  <c:v>3.5468161740936921E-10</c:v>
                </c:pt>
                <c:pt idx="58">
                  <c:v>1.0262111160841414E-9</c:v>
                </c:pt>
                <c:pt idx="59">
                  <c:v>1.0253131677018246E-11</c:v>
                </c:pt>
                <c:pt idx="60">
                  <c:v>9.3503249587456594E-10</c:v>
                </c:pt>
                <c:pt idx="61">
                  <c:v>2.1451285192597425E-11</c:v>
                </c:pt>
                <c:pt idx="62">
                  <c:v>1.2250822578607767E-10</c:v>
                </c:pt>
                <c:pt idx="63">
                  <c:v>6.4180483150266809E-10</c:v>
                </c:pt>
                <c:pt idx="64">
                  <c:v>7.3037575987200398E-10</c:v>
                </c:pt>
                <c:pt idx="65">
                  <c:v>9.0773255578824319E-10</c:v>
                </c:pt>
                <c:pt idx="66">
                  <c:v>4.8486725745533477E-10</c:v>
                </c:pt>
                <c:pt idx="67">
                  <c:v>3.6972380712541053E-10</c:v>
                </c:pt>
                <c:pt idx="68">
                  <c:v>9.0394181029296305E-10</c:v>
                </c:pt>
                <c:pt idx="69">
                  <c:v>5.0855675226557651E-10</c:v>
                </c:pt>
                <c:pt idx="70">
                  <c:v>5.2529003369272687E-10</c:v>
                </c:pt>
                <c:pt idx="71">
                  <c:v>1.7433166021874058E-10</c:v>
                </c:pt>
                <c:pt idx="72">
                  <c:v>3.0978064557984908E-10</c:v>
                </c:pt>
                <c:pt idx="73">
                  <c:v>3.4638603096937004E-10</c:v>
                </c:pt>
                <c:pt idx="74">
                  <c:v>3.1329783212186157E-10</c:v>
                </c:pt>
                <c:pt idx="75">
                  <c:v>4.8608228553348454E-10</c:v>
                </c:pt>
                <c:pt idx="76">
                  <c:v>4.3078429712295474E-10</c:v>
                </c:pt>
                <c:pt idx="77">
                  <c:v>4.4428816181607544E-10</c:v>
                </c:pt>
                <c:pt idx="78">
                  <c:v>2.0290258362365421E-10</c:v>
                </c:pt>
                <c:pt idx="79">
                  <c:v>4.6501469341819757E-10</c:v>
                </c:pt>
                <c:pt idx="80">
                  <c:v>6.3018568141615106E-10</c:v>
                </c:pt>
                <c:pt idx="81">
                  <c:v>6.4563820956209383E-10</c:v>
                </c:pt>
                <c:pt idx="82">
                  <c:v>2.9934632550521201E-10</c:v>
                </c:pt>
                <c:pt idx="83">
                  <c:v>3.3558933409949532E-11</c:v>
                </c:pt>
                <c:pt idx="84">
                  <c:v>4.2827963397940039E-10</c:v>
                </c:pt>
                <c:pt idx="85">
                  <c:v>4.8095216698129661E-10</c:v>
                </c:pt>
                <c:pt idx="86">
                  <c:v>1.1532463872754306E-10</c:v>
                </c:pt>
                <c:pt idx="87">
                  <c:v>3.2280844664001052E-10</c:v>
                </c:pt>
                <c:pt idx="88">
                  <c:v>3.2736835464675096E-10</c:v>
                </c:pt>
                <c:pt idx="89">
                  <c:v>5.1573678661043232E-10</c:v>
                </c:pt>
                <c:pt idx="90">
                  <c:v>1.5919354723337165E-10</c:v>
                </c:pt>
                <c:pt idx="91">
                  <c:v>6.0207838714632089E-10</c:v>
                </c:pt>
                <c:pt idx="92">
                  <c:v>2.1746870970673626E-10</c:v>
                </c:pt>
                <c:pt idx="93">
                  <c:v>3.8690650683292915E-10</c:v>
                </c:pt>
                <c:pt idx="94">
                  <c:v>1.9904433656847687E-10</c:v>
                </c:pt>
                <c:pt idx="95">
                  <c:v>1.8057910722291126E-10</c:v>
                </c:pt>
                <c:pt idx="96">
                  <c:v>1.818244443896333E-10</c:v>
                </c:pt>
                <c:pt idx="97">
                  <c:v>1.0229683766738162E-10</c:v>
                </c:pt>
                <c:pt idx="98">
                  <c:v>8.9315221885044593E-11</c:v>
                </c:pt>
                <c:pt idx="99">
                  <c:v>2.4848390012266464E-10</c:v>
                </c:pt>
                <c:pt idx="100">
                  <c:v>3.1597835459251655E-11</c:v>
                </c:pt>
                <c:pt idx="101">
                  <c:v>1.2104806046409067E-10</c:v>
                </c:pt>
                <c:pt idx="102">
                  <c:v>6.4944938316102707E-11</c:v>
                </c:pt>
                <c:pt idx="103">
                  <c:v>1.4921397450962104E-12</c:v>
                </c:pt>
                <c:pt idx="104">
                  <c:v>3.6060043839825084E-13</c:v>
                </c:pt>
                <c:pt idx="105">
                  <c:v>7.1054273576010019E-14</c:v>
                </c:pt>
                <c:pt idx="106">
                  <c:v>2.2666313270747196E-11</c:v>
                </c:pt>
                <c:pt idx="107">
                  <c:v>7.6219919264985947E-11</c:v>
                </c:pt>
                <c:pt idx="108">
                  <c:v>3.4436453688613256E-11</c:v>
                </c:pt>
                <c:pt idx="109">
                  <c:v>1.9539925233402755E-11</c:v>
                </c:pt>
                <c:pt idx="110">
                  <c:v>4.0500935938325711E-13</c:v>
                </c:pt>
                <c:pt idx="111">
                  <c:v>6.9690031523350626E-11</c:v>
                </c:pt>
                <c:pt idx="112">
                  <c:v>8.5011109263177786E-11</c:v>
                </c:pt>
                <c:pt idx="113">
                  <c:v>3.979039320256561E-13</c:v>
                </c:pt>
                <c:pt idx="114">
                  <c:v>3.8703262816852657E-11</c:v>
                </c:pt>
                <c:pt idx="115">
                  <c:v>3.4262370718352031E-11</c:v>
                </c:pt>
                <c:pt idx="116">
                  <c:v>1.4139800441625994E-11</c:v>
                </c:pt>
                <c:pt idx="117">
                  <c:v>1.1147704981340212E-10</c:v>
                </c:pt>
                <c:pt idx="118">
                  <c:v>2.0548895918182097E-11</c:v>
                </c:pt>
                <c:pt idx="119">
                  <c:v>1.9895196601282805E-12</c:v>
                </c:pt>
                <c:pt idx="120">
                  <c:v>1.1830536550405668E-11</c:v>
                </c:pt>
                <c:pt idx="121">
                  <c:v>9.652367793933081E-11</c:v>
                </c:pt>
                <c:pt idx="122">
                  <c:v>3.2684965844964609E-13</c:v>
                </c:pt>
                <c:pt idx="123">
                  <c:v>8.4135365341353463E-11</c:v>
                </c:pt>
                <c:pt idx="124">
                  <c:v>1.7905676941154525E-12</c:v>
                </c:pt>
                <c:pt idx="125">
                  <c:v>4.0785153032629751E-12</c:v>
                </c:pt>
                <c:pt idx="126">
                  <c:v>8.3630879998963792E-12</c:v>
                </c:pt>
                <c:pt idx="127">
                  <c:v>9.4026120223134058E-11</c:v>
                </c:pt>
                <c:pt idx="128">
                  <c:v>4.2561509872030001E-12</c:v>
                </c:pt>
                <c:pt idx="129">
                  <c:v>1.2949641359227826E-11</c:v>
                </c:pt>
                <c:pt idx="130">
                  <c:v>7.5998762838480616E-11</c:v>
                </c:pt>
                <c:pt idx="131">
                  <c:v>3.8760106235713465E-11</c:v>
                </c:pt>
                <c:pt idx="132">
                  <c:v>3.986144747614162E-12</c:v>
                </c:pt>
                <c:pt idx="133">
                  <c:v>7.6553874350793194E-11</c:v>
                </c:pt>
                <c:pt idx="134">
                  <c:v>8.5265128291212022E-13</c:v>
                </c:pt>
                <c:pt idx="135">
                  <c:v>5.0757620329022757E-11</c:v>
                </c:pt>
                <c:pt idx="136">
                  <c:v>2.4748203486524289E-11</c:v>
                </c:pt>
                <c:pt idx="137">
                  <c:v>9.1375795818748884E-12</c:v>
                </c:pt>
                <c:pt idx="138">
                  <c:v>3.844036200462142E-11</c:v>
                </c:pt>
                <c:pt idx="139">
                  <c:v>4.9595882956054993E-12</c:v>
                </c:pt>
                <c:pt idx="140">
                  <c:v>2.922107000813412E-12</c:v>
                </c:pt>
                <c:pt idx="141">
                  <c:v>2.8848035071860068E-12</c:v>
                </c:pt>
                <c:pt idx="142">
                  <c:v>1.0679457318474306E-11</c:v>
                </c:pt>
                <c:pt idx="143">
                  <c:v>4.2192027649434749E-11</c:v>
                </c:pt>
                <c:pt idx="144">
                  <c:v>1.0581757692307292E-11</c:v>
                </c:pt>
                <c:pt idx="145">
                  <c:v>6.3025140661920886E-12</c:v>
                </c:pt>
                <c:pt idx="146">
                  <c:v>9.9351638027656008E-12</c:v>
                </c:pt>
                <c:pt idx="147">
                  <c:v>2.3732127374387346E-12</c:v>
                </c:pt>
                <c:pt idx="148">
                  <c:v>6.6364691519993357E-12</c:v>
                </c:pt>
                <c:pt idx="149">
                  <c:v>3.5669245335157029E-12</c:v>
                </c:pt>
                <c:pt idx="150">
                  <c:v>1.723066134218243E-11</c:v>
                </c:pt>
                <c:pt idx="151">
                  <c:v>6.0161653436807683E-11</c:v>
                </c:pt>
                <c:pt idx="152">
                  <c:v>3.8127723200886976E-11</c:v>
                </c:pt>
                <c:pt idx="153">
                  <c:v>7.7415407417902316E-11</c:v>
                </c:pt>
                <c:pt idx="154">
                  <c:v>1.1368683772161603E-13</c:v>
                </c:pt>
                <c:pt idx="155">
                  <c:v>2.7711166694643907E-11</c:v>
                </c:pt>
                <c:pt idx="156">
                  <c:v>3.1057822980073979E-11</c:v>
                </c:pt>
                <c:pt idx="157">
                  <c:v>7.702283255639486E-12</c:v>
                </c:pt>
                <c:pt idx="158">
                  <c:v>4.3357317736081313E-11</c:v>
                </c:pt>
                <c:pt idx="159">
                  <c:v>2.4158453015843406E-13</c:v>
                </c:pt>
                <c:pt idx="160">
                  <c:v>1.1993961379630491E-11</c:v>
                </c:pt>
                <c:pt idx="161">
                  <c:v>2.1458390619955026E-12</c:v>
                </c:pt>
                <c:pt idx="162">
                  <c:v>1.1411316336307209E-11</c:v>
                </c:pt>
                <c:pt idx="163">
                  <c:v>2.9579894089692971E-11</c:v>
                </c:pt>
                <c:pt idx="164">
                  <c:v>8.5265128291212022E-14</c:v>
                </c:pt>
                <c:pt idx="165">
                  <c:v>2.5892177291098051E-11</c:v>
                </c:pt>
                <c:pt idx="166">
                  <c:v>5.8264504332328215E-13</c:v>
                </c:pt>
                <c:pt idx="167">
                  <c:v>5.5809579180277069E-11</c:v>
                </c:pt>
                <c:pt idx="168">
                  <c:v>2.1636026303895051E-11</c:v>
                </c:pt>
                <c:pt idx="169">
                  <c:v>1.7898571513796924E-11</c:v>
                </c:pt>
                <c:pt idx="170">
                  <c:v>4.8849813083506888E-12</c:v>
                </c:pt>
                <c:pt idx="171">
                  <c:v>2.0698109892691718E-11</c:v>
                </c:pt>
                <c:pt idx="172">
                  <c:v>9.7475805205249344E-11</c:v>
                </c:pt>
                <c:pt idx="173">
                  <c:v>5.7809756981441751E-11</c:v>
                </c:pt>
                <c:pt idx="174">
                  <c:v>8.5710105679481785E-11</c:v>
                </c:pt>
                <c:pt idx="175">
                  <c:v>4.9659831802273402E-11</c:v>
                </c:pt>
                <c:pt idx="176">
                  <c:v>2.879119165299926E-11</c:v>
                </c:pt>
                <c:pt idx="177">
                  <c:v>9.6207486421917565E-12</c:v>
                </c:pt>
                <c:pt idx="178">
                  <c:v>5.5585758218512638E-11</c:v>
                </c:pt>
                <c:pt idx="179">
                  <c:v>2.7995383788947947E-11</c:v>
                </c:pt>
                <c:pt idx="180">
                  <c:v>6.6343375237920554E-11</c:v>
                </c:pt>
                <c:pt idx="181">
                  <c:v>8.0575546235195361E-12</c:v>
                </c:pt>
                <c:pt idx="182">
                  <c:v>1.4210854715202004E-14</c:v>
                </c:pt>
                <c:pt idx="183">
                  <c:v>2.3113955194276059E-11</c:v>
                </c:pt>
                <c:pt idx="184">
                  <c:v>7.7427175781963342E-11</c:v>
                </c:pt>
                <c:pt idx="185">
                  <c:v>8.191491929210315E-11</c:v>
                </c:pt>
                <c:pt idx="186">
                  <c:v>5.730527163905208E-12</c:v>
                </c:pt>
                <c:pt idx="187">
                  <c:v>5.7482907322992105E-12</c:v>
                </c:pt>
                <c:pt idx="188">
                  <c:v>4.2380321474411176E-11</c:v>
                </c:pt>
                <c:pt idx="189">
                  <c:v>5.1159076974727213E-12</c:v>
                </c:pt>
                <c:pt idx="190">
                  <c:v>2.4520829811081057E-11</c:v>
                </c:pt>
                <c:pt idx="191">
                  <c:v>7.0865979751033592E-11</c:v>
                </c:pt>
                <c:pt idx="192">
                  <c:v>4.1637804315541871E-12</c:v>
                </c:pt>
                <c:pt idx="193">
                  <c:v>2.5721647034515627E-12</c:v>
                </c:pt>
                <c:pt idx="194">
                  <c:v>1.3354295447243203E-10</c:v>
                </c:pt>
                <c:pt idx="195">
                  <c:v>2.2879476091475226E-12</c:v>
                </c:pt>
                <c:pt idx="196">
                  <c:v>3.2684965844964609E-12</c:v>
                </c:pt>
                <c:pt idx="197">
                  <c:v>4.9311665861750953E-12</c:v>
                </c:pt>
                <c:pt idx="198">
                  <c:v>2.1653789872289053E-11</c:v>
                </c:pt>
                <c:pt idx="199">
                  <c:v>3.4745539778668899E-12</c:v>
                </c:pt>
                <c:pt idx="200">
                  <c:v>7.3931971655838424E-12</c:v>
                </c:pt>
                <c:pt idx="201">
                  <c:v>8.6686213762732223E-13</c:v>
                </c:pt>
                <c:pt idx="202">
                  <c:v>6.1675109463976696E-12</c:v>
                </c:pt>
                <c:pt idx="203">
                  <c:v>7.3896444519050419E-12</c:v>
                </c:pt>
                <c:pt idx="204">
                  <c:v>1.5418777365994174E-12</c:v>
                </c:pt>
                <c:pt idx="205">
                  <c:v>9.5923269327613525E-13</c:v>
                </c:pt>
                <c:pt idx="206">
                  <c:v>2.3376856006507296E-12</c:v>
                </c:pt>
                <c:pt idx="207">
                  <c:v>5.8193450058752205E-12</c:v>
                </c:pt>
                <c:pt idx="208">
                  <c:v>8.9528384705772623E-13</c:v>
                </c:pt>
                <c:pt idx="209">
                  <c:v>2.021494083237485E-12</c:v>
                </c:pt>
                <c:pt idx="210">
                  <c:v>7.2475359047530219E-13</c:v>
                </c:pt>
                <c:pt idx="211">
                  <c:v>7.7484685334638925E-12</c:v>
                </c:pt>
                <c:pt idx="212">
                  <c:v>6.5227823142777197E-12</c:v>
                </c:pt>
                <c:pt idx="213">
                  <c:v>2.3305801732931286E-12</c:v>
                </c:pt>
                <c:pt idx="214">
                  <c:v>1.4424017535930034E-12</c:v>
                </c:pt>
                <c:pt idx="215">
                  <c:v>1.9397816686250735E-12</c:v>
                </c:pt>
                <c:pt idx="216">
                  <c:v>4.6895820560166612E-12</c:v>
                </c:pt>
                <c:pt idx="217">
                  <c:v>5.1088022701151203E-12</c:v>
                </c:pt>
                <c:pt idx="218">
                  <c:v>2.3590018827235326E-12</c:v>
                </c:pt>
                <c:pt idx="219">
                  <c:v>3.3963942769332789E-12</c:v>
                </c:pt>
                <c:pt idx="220">
                  <c:v>7.3612227424746379E-12</c:v>
                </c:pt>
                <c:pt idx="221">
                  <c:v>1.1453948900452815E-11</c:v>
                </c:pt>
                <c:pt idx="222">
                  <c:v>6.1106675275368616E-13</c:v>
                </c:pt>
                <c:pt idx="223">
                  <c:v>2.4122925879055401E-11</c:v>
                </c:pt>
                <c:pt idx="224">
                  <c:v>2.0108359422010835E-12</c:v>
                </c:pt>
                <c:pt idx="225">
                  <c:v>1.3997691894473974E-12</c:v>
                </c:pt>
                <c:pt idx="226">
                  <c:v>5.6417093219351955E-12</c:v>
                </c:pt>
                <c:pt idx="227">
                  <c:v>3.1863400806741993E-12</c:v>
                </c:pt>
                <c:pt idx="228">
                  <c:v>1.3486101124726702E-11</c:v>
                </c:pt>
                <c:pt idx="229">
                  <c:v>2.2382096176443156E-12</c:v>
                </c:pt>
                <c:pt idx="230">
                  <c:v>2.922107000813412E-13</c:v>
                </c:pt>
                <c:pt idx="231">
                  <c:v>3.709033080667723E-12</c:v>
                </c:pt>
                <c:pt idx="232">
                  <c:v>8.6970430857036263E-12</c:v>
                </c:pt>
                <c:pt idx="233">
                  <c:v>7.680966973566683E-12</c:v>
                </c:pt>
                <c:pt idx="234">
                  <c:v>7.1196382123162039E-12</c:v>
                </c:pt>
                <c:pt idx="235">
                  <c:v>7.709388682997087E-12</c:v>
                </c:pt>
                <c:pt idx="236">
                  <c:v>1.0231815394945443E-12</c:v>
                </c:pt>
                <c:pt idx="237">
                  <c:v>1.3287149158713873E-12</c:v>
                </c:pt>
                <c:pt idx="238">
                  <c:v>3.1263880373444408E-12</c:v>
                </c:pt>
                <c:pt idx="239">
                  <c:v>5.2011728257639334E-12</c:v>
                </c:pt>
                <c:pt idx="240">
                  <c:v>8.2955864399991697E-12</c:v>
                </c:pt>
                <c:pt idx="241">
                  <c:v>4.8459014578838833E-12</c:v>
                </c:pt>
                <c:pt idx="242">
                  <c:v>7.1054273576010019E-13</c:v>
                </c:pt>
                <c:pt idx="243">
                  <c:v>6.4339644723077072E-12</c:v>
                </c:pt>
                <c:pt idx="244">
                  <c:v>4.2348347051301971E-12</c:v>
                </c:pt>
                <c:pt idx="245">
                  <c:v>1.1368683772161603E-13</c:v>
                </c:pt>
                <c:pt idx="246">
                  <c:v>4.7087667098821839E-11</c:v>
                </c:pt>
                <c:pt idx="247">
                  <c:v>6.1746163737552706E-12</c:v>
                </c:pt>
                <c:pt idx="248">
                  <c:v>3.4354741274000844E-12</c:v>
                </c:pt>
                <c:pt idx="249">
                  <c:v>3.6237679523765109E-13</c:v>
                </c:pt>
                <c:pt idx="250">
                  <c:v>1.1368683772161603E-13</c:v>
                </c:pt>
                <c:pt idx="251">
                  <c:v>1.0174971976084635E-11</c:v>
                </c:pt>
                <c:pt idx="252">
                  <c:v>2.8421709430404007E-14</c:v>
                </c:pt>
                <c:pt idx="253">
                  <c:v>1.4779288903810084E-11</c:v>
                </c:pt>
                <c:pt idx="254">
                  <c:v>1.1343814776409999E-11</c:v>
                </c:pt>
                <c:pt idx="255">
                  <c:v>1.0231815394945443E-12</c:v>
                </c:pt>
                <c:pt idx="256">
                  <c:v>5.2384763193913386E-12</c:v>
                </c:pt>
                <c:pt idx="257">
                  <c:v>5.3717030823463574E-12</c:v>
                </c:pt>
                <c:pt idx="258">
                  <c:v>4.0998315853357781E-12</c:v>
                </c:pt>
                <c:pt idx="259">
                  <c:v>2.1813661987835076E-12</c:v>
                </c:pt>
                <c:pt idx="260">
                  <c:v>4.4124703890702222E-12</c:v>
                </c:pt>
                <c:pt idx="261">
                  <c:v>3.1405988920596428E-12</c:v>
                </c:pt>
                <c:pt idx="262">
                  <c:v>2.9563018699718668E-12</c:v>
                </c:pt>
                <c:pt idx="263">
                  <c:v>9.8054897534893826E-13</c:v>
                </c:pt>
                <c:pt idx="264">
                  <c:v>1.3216094885137863E-12</c:v>
                </c:pt>
                <c:pt idx="265">
                  <c:v>3.666400516522117E-12</c:v>
                </c:pt>
                <c:pt idx="266">
                  <c:v>3.8262726320681395E-12</c:v>
                </c:pt>
                <c:pt idx="267">
                  <c:v>8.2849282989627682E-12</c:v>
                </c:pt>
                <c:pt idx="268">
                  <c:v>5.1443294069031253E-12</c:v>
                </c:pt>
                <c:pt idx="269">
                  <c:v>1.9824142327706795E-12</c:v>
                </c:pt>
                <c:pt idx="270">
                  <c:v>8.5904616753396112E-12</c:v>
                </c:pt>
                <c:pt idx="271">
                  <c:v>5.7632121297501726E-11</c:v>
                </c:pt>
                <c:pt idx="272">
                  <c:v>2.0037305148434825E-12</c:v>
                </c:pt>
                <c:pt idx="273">
                  <c:v>2.5153212845907547E-12</c:v>
                </c:pt>
                <c:pt idx="274">
                  <c:v>1.0942358130705543E-12</c:v>
                </c:pt>
                <c:pt idx="275">
                  <c:v>7.2652994731470244E-12</c:v>
                </c:pt>
                <c:pt idx="276">
                  <c:v>4.3911541069974191E-12</c:v>
                </c:pt>
                <c:pt idx="277">
                  <c:v>5.4072302191343624E-12</c:v>
                </c:pt>
                <c:pt idx="278">
                  <c:v>4.7482018317168695E-12</c:v>
                </c:pt>
                <c:pt idx="279">
                  <c:v>3.3821834222180769E-12</c:v>
                </c:pt>
                <c:pt idx="280">
                  <c:v>8.9883656073652674E-13</c:v>
                </c:pt>
                <c:pt idx="281">
                  <c:v>8.3311135767871747E-13</c:v>
                </c:pt>
                <c:pt idx="282">
                  <c:v>1.0084377777275222E-11</c:v>
                </c:pt>
                <c:pt idx="283">
                  <c:v>9.4786400950397365E-12</c:v>
                </c:pt>
                <c:pt idx="284">
                  <c:v>4.6895820560166612E-12</c:v>
                </c:pt>
                <c:pt idx="285">
                  <c:v>6.6791017161449417E-13</c:v>
                </c:pt>
                <c:pt idx="286">
                  <c:v>6.8176575496181613E-12</c:v>
                </c:pt>
                <c:pt idx="287">
                  <c:v>3.5385028240852989E-12</c:v>
                </c:pt>
                <c:pt idx="288">
                  <c:v>1.1546319456101628E-13</c:v>
                </c:pt>
                <c:pt idx="289">
                  <c:v>2.2239987629291136E-12</c:v>
                </c:pt>
                <c:pt idx="290">
                  <c:v>8.5265128291212022E-13</c:v>
                </c:pt>
                <c:pt idx="291">
                  <c:v>3.836930773104541E-13</c:v>
                </c:pt>
                <c:pt idx="292">
                  <c:v>1.8758328224066645E-12</c:v>
                </c:pt>
                <c:pt idx="293">
                  <c:v>9.3578478299605194E-12</c:v>
                </c:pt>
                <c:pt idx="294">
                  <c:v>2.2737367544323206E-13</c:v>
                </c:pt>
                <c:pt idx="295">
                  <c:v>4.0216718844021671E-12</c:v>
                </c:pt>
                <c:pt idx="296">
                  <c:v>5.8903992794512305E-12</c:v>
                </c:pt>
                <c:pt idx="297">
                  <c:v>4.7748471843078732E-12</c:v>
                </c:pt>
                <c:pt idx="298">
                  <c:v>7.815970093361102E-13</c:v>
                </c:pt>
                <c:pt idx="299">
                  <c:v>5.6843418860808015E-14</c:v>
                </c:pt>
                <c:pt idx="300">
                  <c:v>7.1054273576010019E-14</c:v>
                </c:pt>
                <c:pt idx="301">
                  <c:v>1.8715695659921039E-11</c:v>
                </c:pt>
                <c:pt idx="302">
                  <c:v>1.0601297617540695E-11</c:v>
                </c:pt>
                <c:pt idx="303">
                  <c:v>2.3064217202772852E-11</c:v>
                </c:pt>
                <c:pt idx="304">
                  <c:v>5.2935433814127464E-13</c:v>
                </c:pt>
                <c:pt idx="305">
                  <c:v>7.2262196226802189E-12</c:v>
                </c:pt>
                <c:pt idx="306">
                  <c:v>1.0516032489249483E-12</c:v>
                </c:pt>
                <c:pt idx="307">
                  <c:v>7.815970093361102E-14</c:v>
                </c:pt>
                <c:pt idx="308">
                  <c:v>4.0252245980809676E-11</c:v>
                </c:pt>
                <c:pt idx="309">
                  <c:v>1.5987211554602254E-14</c:v>
                </c:pt>
                <c:pt idx="310">
                  <c:v>3.1164404390437994E-11</c:v>
                </c:pt>
                <c:pt idx="311">
                  <c:v>2.7533531010703882E-14</c:v>
                </c:pt>
                <c:pt idx="312">
                  <c:v>7.2475359047530219E-13</c:v>
                </c:pt>
                <c:pt idx="313">
                  <c:v>7.503331289626658E-12</c:v>
                </c:pt>
                <c:pt idx="314">
                  <c:v>2.737365889515786E-12</c:v>
                </c:pt>
                <c:pt idx="315">
                  <c:v>1.5063505998114124E-12</c:v>
                </c:pt>
                <c:pt idx="316">
                  <c:v>1.8829382497642655E-13</c:v>
                </c:pt>
                <c:pt idx="317">
                  <c:v>3.836930773104541E-13</c:v>
                </c:pt>
                <c:pt idx="318">
                  <c:v>2.5579538487363607E-13</c:v>
                </c:pt>
                <c:pt idx="319">
                  <c:v>2.1316282072803006E-13</c:v>
                </c:pt>
                <c:pt idx="320">
                  <c:v>7.1054273576010019E-14</c:v>
                </c:pt>
                <c:pt idx="321">
                  <c:v>5.2224002899947664E-11</c:v>
                </c:pt>
                <c:pt idx="322">
                  <c:v>4.1211478674085811E-13</c:v>
                </c:pt>
                <c:pt idx="323">
                  <c:v>4.2632564145606011E-14</c:v>
                </c:pt>
                <c:pt idx="324">
                  <c:v>3.694822225952521E-13</c:v>
                </c:pt>
                <c:pt idx="325">
                  <c:v>2.6696866939346364E-11</c:v>
                </c:pt>
                <c:pt idx="326">
                  <c:v>6.2883032114768866E-13</c:v>
                </c:pt>
                <c:pt idx="327">
                  <c:v>2.4158453015843406E-13</c:v>
                </c:pt>
                <c:pt idx="328">
                  <c:v>1.8047785488306545E-12</c:v>
                </c:pt>
                <c:pt idx="329">
                  <c:v>1.3677947663381929E-13</c:v>
                </c:pt>
                <c:pt idx="330">
                  <c:v>1.4210854715202004E-14</c:v>
                </c:pt>
                <c:pt idx="331">
                  <c:v>4.9737991503207013E-13</c:v>
                </c:pt>
                <c:pt idx="332">
                  <c:v>4.8316906031686813E-13</c:v>
                </c:pt>
                <c:pt idx="333">
                  <c:v>2.8421709430404007E-14</c:v>
                </c:pt>
                <c:pt idx="334">
                  <c:v>8.7752027866372373E-13</c:v>
                </c:pt>
                <c:pt idx="335">
                  <c:v>1.7053025658242404E-13</c:v>
                </c:pt>
                <c:pt idx="336">
                  <c:v>2.1316282072803006E-14</c:v>
                </c:pt>
                <c:pt idx="337">
                  <c:v>1.1191048088221578E-12</c:v>
                </c:pt>
                <c:pt idx="338">
                  <c:v>7.2475359047530219E-12</c:v>
                </c:pt>
                <c:pt idx="339">
                  <c:v>5.1159076974727213E-13</c:v>
                </c:pt>
                <c:pt idx="340">
                  <c:v>9.2370555648813024E-13</c:v>
                </c:pt>
                <c:pt idx="341">
                  <c:v>6.3948846218409017E-14</c:v>
                </c:pt>
                <c:pt idx="342">
                  <c:v>6.4837024638109142E-12</c:v>
                </c:pt>
                <c:pt idx="343">
                  <c:v>2.7000623958883807E-13</c:v>
                </c:pt>
                <c:pt idx="344">
                  <c:v>9.3791641120333225E-13</c:v>
                </c:pt>
                <c:pt idx="345">
                  <c:v>2.2293278334473143E-13</c:v>
                </c:pt>
                <c:pt idx="346">
                  <c:v>1.4210854715202004E-14</c:v>
                </c:pt>
                <c:pt idx="347">
                  <c:v>2.9132252166164108E-13</c:v>
                </c:pt>
                <c:pt idx="348">
                  <c:v>2.6290081223123707E-13</c:v>
                </c:pt>
                <c:pt idx="349">
                  <c:v>6.5014660322049167E-13</c:v>
                </c:pt>
                <c:pt idx="350">
                  <c:v>4.2632564145606011E-14</c:v>
                </c:pt>
                <c:pt idx="351">
                  <c:v>1.2541079286165768E-11</c:v>
                </c:pt>
                <c:pt idx="352">
                  <c:v>3.7392311469375272E-13</c:v>
                </c:pt>
                <c:pt idx="353">
                  <c:v>6.9610983643997315E-14</c:v>
                </c:pt>
                <c:pt idx="354">
                  <c:v>5.638156608256395E-11</c:v>
                </c:pt>
                <c:pt idx="355">
                  <c:v>1.6342482922482304E-13</c:v>
                </c:pt>
                <c:pt idx="356">
                  <c:v>1.6022738691390259E-11</c:v>
                </c:pt>
                <c:pt idx="357">
                  <c:v>9.5212726591853425E-13</c:v>
                </c:pt>
                <c:pt idx="358">
                  <c:v>7.2475359047530219E-13</c:v>
                </c:pt>
                <c:pt idx="359">
                  <c:v>2.9679370072699385E-11</c:v>
                </c:pt>
                <c:pt idx="360">
                  <c:v>5.6843418860808015E-13</c:v>
                </c:pt>
                <c:pt idx="361">
                  <c:v>2.9842794901924208E-13</c:v>
                </c:pt>
                <c:pt idx="362">
                  <c:v>6.1106675275368616E-12</c:v>
                </c:pt>
                <c:pt idx="363">
                  <c:v>2.8421709430404007E-14</c:v>
                </c:pt>
                <c:pt idx="364">
                  <c:v>2.8421709430404007E-14</c:v>
                </c:pt>
                <c:pt idx="365">
                  <c:v>2.1316282072803006E-13</c:v>
                </c:pt>
                <c:pt idx="366">
                  <c:v>0</c:v>
                </c:pt>
                <c:pt idx="367">
                  <c:v>8.8107299234252423E-13</c:v>
                </c:pt>
                <c:pt idx="368">
                  <c:v>6.5369931689929217E-13</c:v>
                </c:pt>
                <c:pt idx="369">
                  <c:v>3.801403636316536E-13</c:v>
                </c:pt>
                <c:pt idx="370">
                  <c:v>8.9670493252924643E-12</c:v>
                </c:pt>
                <c:pt idx="371">
                  <c:v>7.9580786405131221E-13</c:v>
                </c:pt>
                <c:pt idx="372">
                  <c:v>2.4158453015843406E-13</c:v>
                </c:pt>
                <c:pt idx="373">
                  <c:v>7.9403150721191196E-13</c:v>
                </c:pt>
                <c:pt idx="374">
                  <c:v>4.2632564145606011E-14</c:v>
                </c:pt>
                <c:pt idx="375">
                  <c:v>2.0200729977659648E-11</c:v>
                </c:pt>
                <c:pt idx="376">
                  <c:v>1.2079226507921703E-13</c:v>
                </c:pt>
                <c:pt idx="377">
                  <c:v>2.0486723428803089E-11</c:v>
                </c:pt>
                <c:pt idx="378">
                  <c:v>2.3199220322567271E-12</c:v>
                </c:pt>
                <c:pt idx="379">
                  <c:v>2.9842794901924208E-13</c:v>
                </c:pt>
                <c:pt idx="380">
                  <c:v>2.2737367544323206E-13</c:v>
                </c:pt>
                <c:pt idx="381">
                  <c:v>3.2773783686934621E-13</c:v>
                </c:pt>
                <c:pt idx="382">
                  <c:v>2.2737367544323206E-13</c:v>
                </c:pt>
                <c:pt idx="383">
                  <c:v>1.3500311979441904E-13</c:v>
                </c:pt>
                <c:pt idx="384">
                  <c:v>2.3071322630130453E-11</c:v>
                </c:pt>
                <c:pt idx="385">
                  <c:v>9.5923269327613525E-13</c:v>
                </c:pt>
                <c:pt idx="386">
                  <c:v>8.5265128291212022E-14</c:v>
                </c:pt>
                <c:pt idx="387">
                  <c:v>6.6648908614297397E-12</c:v>
                </c:pt>
                <c:pt idx="388">
                  <c:v>3.2400748750660568E-12</c:v>
                </c:pt>
                <c:pt idx="389">
                  <c:v>5.3290705182007514E-15</c:v>
                </c:pt>
                <c:pt idx="390">
                  <c:v>5.1016968427575193E-12</c:v>
                </c:pt>
                <c:pt idx="391">
                  <c:v>9.0594198809412774E-13</c:v>
                </c:pt>
                <c:pt idx="392">
                  <c:v>6.5085714595625177E-12</c:v>
                </c:pt>
                <c:pt idx="393">
                  <c:v>1.6484591469634324E-12</c:v>
                </c:pt>
                <c:pt idx="394">
                  <c:v>1.1155520951433573E-12</c:v>
                </c:pt>
                <c:pt idx="395">
                  <c:v>1.2789769243681803E-13</c:v>
                </c:pt>
                <c:pt idx="396">
                  <c:v>7.1764816311770119E-13</c:v>
                </c:pt>
                <c:pt idx="397">
                  <c:v>2.8421709430404007E-14</c:v>
                </c:pt>
                <c:pt idx="398">
                  <c:v>2.8643754035329039E-13</c:v>
                </c:pt>
                <c:pt idx="399">
                  <c:v>3.0937030714994762E-11</c:v>
                </c:pt>
                <c:pt idx="400">
                  <c:v>1.6200374375330284E-12</c:v>
                </c:pt>
                <c:pt idx="401">
                  <c:v>1.8829382497642655E-11</c:v>
                </c:pt>
                <c:pt idx="402">
                  <c:v>2.9309887850104133E-14</c:v>
                </c:pt>
                <c:pt idx="403">
                  <c:v>2.2737367544323206E-13</c:v>
                </c:pt>
                <c:pt idx="404">
                  <c:v>2.6645352591003757E-14</c:v>
                </c:pt>
                <c:pt idx="405">
                  <c:v>1.9895196601282805E-13</c:v>
                </c:pt>
                <c:pt idx="406">
                  <c:v>6.4659388954169117E-13</c:v>
                </c:pt>
                <c:pt idx="407">
                  <c:v>7.1054273576010019E-13</c:v>
                </c:pt>
                <c:pt idx="408">
                  <c:v>1.5987211554602254E-14</c:v>
                </c:pt>
                <c:pt idx="409">
                  <c:v>2.4016344468691386E-12</c:v>
                </c:pt>
                <c:pt idx="410">
                  <c:v>1.8474111129762605E-13</c:v>
                </c:pt>
                <c:pt idx="411">
                  <c:v>6.5369931689929217E-13</c:v>
                </c:pt>
                <c:pt idx="412">
                  <c:v>1.3699263945454732E-11</c:v>
                </c:pt>
                <c:pt idx="413">
                  <c:v>2.6534330288541241E-14</c:v>
                </c:pt>
                <c:pt idx="414">
                  <c:v>9.7486463346285746E-12</c:v>
                </c:pt>
                <c:pt idx="415">
                  <c:v>2.2879476091475226E-12</c:v>
                </c:pt>
                <c:pt idx="416">
                  <c:v>3.680611371237319E-12</c:v>
                </c:pt>
                <c:pt idx="417">
                  <c:v>3.979039320256561E-13</c:v>
                </c:pt>
                <c:pt idx="418">
                  <c:v>5.6843418860808015E-14</c:v>
                </c:pt>
                <c:pt idx="419">
                  <c:v>1.4916956558863603E-11</c:v>
                </c:pt>
                <c:pt idx="420">
                  <c:v>2.0301538228295612E-11</c:v>
                </c:pt>
                <c:pt idx="421">
                  <c:v>2.7426949600339867E-12</c:v>
                </c:pt>
                <c:pt idx="422">
                  <c:v>7.688072400924284E-12</c:v>
                </c:pt>
                <c:pt idx="423">
                  <c:v>1.1368683772161603E-13</c:v>
                </c:pt>
                <c:pt idx="424">
                  <c:v>1.0658141036401503E-14</c:v>
                </c:pt>
                <c:pt idx="425">
                  <c:v>8.5975671026972122E-12</c:v>
                </c:pt>
                <c:pt idx="426">
                  <c:v>3.5527136788005009E-14</c:v>
                </c:pt>
                <c:pt idx="427">
                  <c:v>1.1368683772161603E-13</c:v>
                </c:pt>
                <c:pt idx="428">
                  <c:v>2.2737367544323206E-13</c:v>
                </c:pt>
                <c:pt idx="429">
                  <c:v>4.6718184876226587E-12</c:v>
                </c:pt>
                <c:pt idx="430">
                  <c:v>6.0396132539608516E-14</c:v>
                </c:pt>
                <c:pt idx="431">
                  <c:v>9.4431129582517315E-12</c:v>
                </c:pt>
                <c:pt idx="432">
                  <c:v>2.7711166694643907E-13</c:v>
                </c:pt>
                <c:pt idx="433">
                  <c:v>2.8421709430404007E-14</c:v>
                </c:pt>
                <c:pt idx="434">
                  <c:v>8.6153306710912148E-12</c:v>
                </c:pt>
                <c:pt idx="435">
                  <c:v>3.907985046680551E-14</c:v>
                </c:pt>
                <c:pt idx="436">
                  <c:v>3.3068658922275063E-11</c:v>
                </c:pt>
                <c:pt idx="437">
                  <c:v>9.9475983006414026E-14</c:v>
                </c:pt>
                <c:pt idx="438">
                  <c:v>3.9882763758214423E-11</c:v>
                </c:pt>
                <c:pt idx="439">
                  <c:v>3.694822225952521E-13</c:v>
                </c:pt>
                <c:pt idx="440">
                  <c:v>1.3244516594568267E-11</c:v>
                </c:pt>
                <c:pt idx="441">
                  <c:v>1.9184653865522705E-13</c:v>
                </c:pt>
                <c:pt idx="442">
                  <c:v>6.2301275249865284E-12</c:v>
                </c:pt>
                <c:pt idx="443">
                  <c:v>8.5265128291212022E-14</c:v>
                </c:pt>
                <c:pt idx="444">
                  <c:v>8.5265128291212022E-14</c:v>
                </c:pt>
                <c:pt idx="445">
                  <c:v>1.3500311979441904E-13</c:v>
                </c:pt>
                <c:pt idx="446">
                  <c:v>2.851052727237402E-13</c:v>
                </c:pt>
                <c:pt idx="447">
                  <c:v>5.6843418860808015E-14</c:v>
                </c:pt>
                <c:pt idx="448">
                  <c:v>2.4229507289419416E-12</c:v>
                </c:pt>
                <c:pt idx="449">
                  <c:v>2.9061197892588098E-12</c:v>
                </c:pt>
                <c:pt idx="450">
                  <c:v>2.2026824808563106E-13</c:v>
                </c:pt>
                <c:pt idx="451">
                  <c:v>3.9166891951936122E-11</c:v>
                </c:pt>
                <c:pt idx="452">
                  <c:v>8.5265128291212022E-14</c:v>
                </c:pt>
                <c:pt idx="453">
                  <c:v>5.702105454474804E-13</c:v>
                </c:pt>
                <c:pt idx="454">
                  <c:v>2.219735506514553E-11</c:v>
                </c:pt>
                <c:pt idx="455">
                  <c:v>3.3395508580724709E-13</c:v>
                </c:pt>
                <c:pt idx="456">
                  <c:v>1.9355184122105129E-11</c:v>
                </c:pt>
                <c:pt idx="457">
                  <c:v>1.7053025658242404E-13</c:v>
                </c:pt>
                <c:pt idx="458">
                  <c:v>3.2862601528904634E-14</c:v>
                </c:pt>
                <c:pt idx="459">
                  <c:v>4.9524828682478983E-12</c:v>
                </c:pt>
                <c:pt idx="460">
                  <c:v>3.0198066269804258E-12</c:v>
                </c:pt>
                <c:pt idx="461">
                  <c:v>8.0291329140891321E-13</c:v>
                </c:pt>
                <c:pt idx="462">
                  <c:v>1.6875389974302379E-14</c:v>
                </c:pt>
                <c:pt idx="463">
                  <c:v>4.1744385725905886E-14</c:v>
                </c:pt>
                <c:pt idx="464">
                  <c:v>3.1974423109204508E-12</c:v>
                </c:pt>
                <c:pt idx="465">
                  <c:v>4.0412118096355698E-12</c:v>
                </c:pt>
                <c:pt idx="466">
                  <c:v>3.808509063674137E-12</c:v>
                </c:pt>
                <c:pt idx="467">
                  <c:v>8.5265128291212022E-14</c:v>
                </c:pt>
                <c:pt idx="468">
                  <c:v>1.9895196601282805E-13</c:v>
                </c:pt>
                <c:pt idx="469">
                  <c:v>1.5631940186722204E-13</c:v>
                </c:pt>
                <c:pt idx="470">
                  <c:v>3.9301895071730542E-14</c:v>
                </c:pt>
                <c:pt idx="471">
                  <c:v>3.943512183468556E-12</c:v>
                </c:pt>
                <c:pt idx="472">
                  <c:v>4.1211478674085811E-13</c:v>
                </c:pt>
                <c:pt idx="473">
                  <c:v>1.5901946426311042E-11</c:v>
                </c:pt>
                <c:pt idx="474">
                  <c:v>4.2163605940004345E-11</c:v>
                </c:pt>
                <c:pt idx="475">
                  <c:v>1.5873524716880638E-11</c:v>
                </c:pt>
                <c:pt idx="476">
                  <c:v>1.4210854715202004E-14</c:v>
                </c:pt>
                <c:pt idx="477">
                  <c:v>3.907985046680551E-14</c:v>
                </c:pt>
                <c:pt idx="478">
                  <c:v>2.6318502932554111E-11</c:v>
                </c:pt>
                <c:pt idx="479">
                  <c:v>1.0786038728838321E-11</c:v>
                </c:pt>
                <c:pt idx="480">
                  <c:v>2.021316447553545E-11</c:v>
                </c:pt>
                <c:pt idx="481">
                  <c:v>9.7766239548491285E-12</c:v>
                </c:pt>
                <c:pt idx="482">
                  <c:v>4.8139270347746788E-12</c:v>
                </c:pt>
                <c:pt idx="483">
                  <c:v>1.2079226507921703E-13</c:v>
                </c:pt>
                <c:pt idx="484">
                  <c:v>0</c:v>
                </c:pt>
                <c:pt idx="485">
                  <c:v>7.4251715886930469E-13</c:v>
                </c:pt>
                <c:pt idx="486">
                  <c:v>5.751843445978011E-12</c:v>
                </c:pt>
                <c:pt idx="487">
                  <c:v>6.5298877416353207E-12</c:v>
                </c:pt>
                <c:pt idx="488">
                  <c:v>9.5923269327613525E-13</c:v>
                </c:pt>
                <c:pt idx="489">
                  <c:v>2.1316282072803006E-13</c:v>
                </c:pt>
                <c:pt idx="490">
                  <c:v>3.5456082514428999E-12</c:v>
                </c:pt>
                <c:pt idx="491">
                  <c:v>2.9487523534044158E-13</c:v>
                </c:pt>
                <c:pt idx="492">
                  <c:v>2.1316282072803006E-14</c:v>
                </c:pt>
                <c:pt idx="493">
                  <c:v>8.5265128291212022E-14</c:v>
                </c:pt>
                <c:pt idx="494">
                  <c:v>1.3287149158713873E-12</c:v>
                </c:pt>
                <c:pt idx="495">
                  <c:v>3.3324454307148699E-12</c:v>
                </c:pt>
                <c:pt idx="496">
                  <c:v>5.8975047068088315E-13</c:v>
                </c:pt>
                <c:pt idx="497">
                  <c:v>3.1974423109204508E-14</c:v>
                </c:pt>
                <c:pt idx="498">
                  <c:v>6.6986416413783445E-12</c:v>
                </c:pt>
                <c:pt idx="499">
                  <c:v>6.7501559897209518E-14</c:v>
                </c:pt>
                <c:pt idx="500">
                  <c:v>3.3963942769332789E-12</c:v>
                </c:pt>
                <c:pt idx="501">
                  <c:v>4.567457523307894E-13</c:v>
                </c:pt>
                <c:pt idx="502">
                  <c:v>1.1368683772161603E-13</c:v>
                </c:pt>
                <c:pt idx="503">
                  <c:v>6.0507154842071031E-13</c:v>
                </c:pt>
                <c:pt idx="504">
                  <c:v>1.7408297026122455E-12</c:v>
                </c:pt>
                <c:pt idx="505">
                  <c:v>2.1316282072803006E-14</c:v>
                </c:pt>
                <c:pt idx="506">
                  <c:v>8.5265128291212022E-13</c:v>
                </c:pt>
                <c:pt idx="507">
                  <c:v>1.4388490399142029E-12</c:v>
                </c:pt>
                <c:pt idx="508">
                  <c:v>1.6058265828178264E-12</c:v>
                </c:pt>
                <c:pt idx="509">
                  <c:v>6.3948846218409017E-14</c:v>
                </c:pt>
                <c:pt idx="510">
                  <c:v>3.2329694477084558E-13</c:v>
                </c:pt>
                <c:pt idx="511">
                  <c:v>1.6200374375330284E-12</c:v>
                </c:pt>
                <c:pt idx="512">
                  <c:v>1.6342482922482304E-13</c:v>
                </c:pt>
                <c:pt idx="513">
                  <c:v>4.4408920985006262E-14</c:v>
                </c:pt>
                <c:pt idx="514">
                  <c:v>4.9737991503207013E-14</c:v>
                </c:pt>
                <c:pt idx="515">
                  <c:v>3.0553337637684308E-13</c:v>
                </c:pt>
                <c:pt idx="516">
                  <c:v>5.1230131248303223E-12</c:v>
                </c:pt>
                <c:pt idx="517">
                  <c:v>1.7763568394002505E-13</c:v>
                </c:pt>
                <c:pt idx="518">
                  <c:v>6.5369931689929217E-13</c:v>
                </c:pt>
                <c:pt idx="519">
                  <c:v>1.0658141036401503E-13</c:v>
                </c:pt>
                <c:pt idx="520">
                  <c:v>1.0516032489249483E-12</c:v>
                </c:pt>
                <c:pt idx="521">
                  <c:v>3.659295089164516E-13</c:v>
                </c:pt>
                <c:pt idx="522">
                  <c:v>2.8421709430404007E-14</c:v>
                </c:pt>
                <c:pt idx="523">
                  <c:v>5.0697224196483148E-12</c:v>
                </c:pt>
                <c:pt idx="524">
                  <c:v>3.8493652709803428E-12</c:v>
                </c:pt>
                <c:pt idx="525">
                  <c:v>6.3948846218409017E-14</c:v>
                </c:pt>
                <c:pt idx="526">
                  <c:v>1.8332002582610585E-12</c:v>
                </c:pt>
                <c:pt idx="527">
                  <c:v>1.4779288903810084E-12</c:v>
                </c:pt>
                <c:pt idx="528">
                  <c:v>7.815970093361102E-14</c:v>
                </c:pt>
                <c:pt idx="529">
                  <c:v>3.666400516522117E-12</c:v>
                </c:pt>
                <c:pt idx="530">
                  <c:v>2.6929569685307797E-12</c:v>
                </c:pt>
                <c:pt idx="531">
                  <c:v>5.5422333389287814E-13</c:v>
                </c:pt>
                <c:pt idx="532">
                  <c:v>6.5085714595625177E-12</c:v>
                </c:pt>
                <c:pt idx="533">
                  <c:v>8.3417717178235762E-12</c:v>
                </c:pt>
                <c:pt idx="534">
                  <c:v>1.7053025658242404E-12</c:v>
                </c:pt>
                <c:pt idx="535">
                  <c:v>8.6686213762732223E-13</c:v>
                </c:pt>
                <c:pt idx="536">
                  <c:v>3.0269120543380268E-12</c:v>
                </c:pt>
                <c:pt idx="537">
                  <c:v>5.1159076974727213E-13</c:v>
                </c:pt>
                <c:pt idx="538">
                  <c:v>5.0448534238967113E-13</c:v>
                </c:pt>
                <c:pt idx="539">
                  <c:v>2.2026824808563106E-13</c:v>
                </c:pt>
                <c:pt idx="540">
                  <c:v>5.3166360203249496E-12</c:v>
                </c:pt>
                <c:pt idx="541">
                  <c:v>9.2370555648813024E-14</c:v>
                </c:pt>
                <c:pt idx="542">
                  <c:v>1.4210854715202004E-14</c:v>
                </c:pt>
                <c:pt idx="543">
                  <c:v>4.3769432522822171E-12</c:v>
                </c:pt>
                <c:pt idx="544">
                  <c:v>4.9737991503207013E-13</c:v>
                </c:pt>
                <c:pt idx="545">
                  <c:v>1.2789769243681803E-13</c:v>
                </c:pt>
                <c:pt idx="546">
                  <c:v>3.4692249073486892E-12</c:v>
                </c:pt>
                <c:pt idx="547">
                  <c:v>6.9633188104489818E-13</c:v>
                </c:pt>
                <c:pt idx="548">
                  <c:v>3.4106051316484809E-13</c:v>
                </c:pt>
                <c:pt idx="549">
                  <c:v>2.7284841053187847E-12</c:v>
                </c:pt>
                <c:pt idx="550">
                  <c:v>9.3551832947014191E-12</c:v>
                </c:pt>
                <c:pt idx="551">
                  <c:v>7.3185901783290319E-13</c:v>
                </c:pt>
                <c:pt idx="552">
                  <c:v>6.3948846218409017E-14</c:v>
                </c:pt>
                <c:pt idx="553">
                  <c:v>3.836930773104541E-12</c:v>
                </c:pt>
                <c:pt idx="554">
                  <c:v>2.8421709430404007E-14</c:v>
                </c:pt>
                <c:pt idx="555">
                  <c:v>6.8922645368729718E-13</c:v>
                </c:pt>
                <c:pt idx="556">
                  <c:v>4.4764192352886312E-12</c:v>
                </c:pt>
                <c:pt idx="557">
                  <c:v>4.9382720135326963E-13</c:v>
                </c:pt>
                <c:pt idx="558">
                  <c:v>2.4868995751603507E-14</c:v>
                </c:pt>
                <c:pt idx="559">
                  <c:v>3.4319214137212839E-12</c:v>
                </c:pt>
                <c:pt idx="560">
                  <c:v>9.3791641120333225E-13</c:v>
                </c:pt>
                <c:pt idx="561">
                  <c:v>3.780309398848658E-13</c:v>
                </c:pt>
                <c:pt idx="562">
                  <c:v>3.836930773104541E-13</c:v>
                </c:pt>
                <c:pt idx="563">
                  <c:v>2.8620661396416835E-11</c:v>
                </c:pt>
                <c:pt idx="564">
                  <c:v>3.9541703245049575E-12</c:v>
                </c:pt>
                <c:pt idx="565">
                  <c:v>9.9475983006414026E-14</c:v>
                </c:pt>
                <c:pt idx="566">
                  <c:v>2.2026824808563106E-13</c:v>
                </c:pt>
                <c:pt idx="567">
                  <c:v>7.560174708487466E-12</c:v>
                </c:pt>
                <c:pt idx="568">
                  <c:v>2.0605739337042905E-13</c:v>
                </c:pt>
                <c:pt idx="569">
                  <c:v>2.6858515411731787E-12</c:v>
                </c:pt>
                <c:pt idx="570">
                  <c:v>8.7396756498492323E-13</c:v>
                </c:pt>
                <c:pt idx="571">
                  <c:v>2.1742607714259066E-12</c:v>
                </c:pt>
                <c:pt idx="572">
                  <c:v>2.8990143619012088E-12</c:v>
                </c:pt>
                <c:pt idx="573">
                  <c:v>6.4765970364533132E-12</c:v>
                </c:pt>
                <c:pt idx="574">
                  <c:v>6.5867311604961287E-12</c:v>
                </c:pt>
                <c:pt idx="575">
                  <c:v>1.3322676295501878E-14</c:v>
                </c:pt>
                <c:pt idx="576">
                  <c:v>2.3554491690447321E-12</c:v>
                </c:pt>
                <c:pt idx="577">
                  <c:v>2.7711166694643907E-13</c:v>
                </c:pt>
                <c:pt idx="578">
                  <c:v>1.6484591469634324E-12</c:v>
                </c:pt>
                <c:pt idx="579">
                  <c:v>5.9974247790250956E-12</c:v>
                </c:pt>
                <c:pt idx="580">
                  <c:v>3.6237679523765109E-12</c:v>
                </c:pt>
                <c:pt idx="581">
                  <c:v>1.7763568394002505E-14</c:v>
                </c:pt>
                <c:pt idx="582">
                  <c:v>3.2258640203508548E-12</c:v>
                </c:pt>
                <c:pt idx="583">
                  <c:v>2.3092638912203256E-14</c:v>
                </c:pt>
                <c:pt idx="584">
                  <c:v>1.0018652574217413E-12</c:v>
                </c:pt>
                <c:pt idx="585">
                  <c:v>6.652456363553938E-12</c:v>
                </c:pt>
                <c:pt idx="586">
                  <c:v>4.3804959659610176E-12</c:v>
                </c:pt>
                <c:pt idx="587">
                  <c:v>3.5100811146548949E-12</c:v>
                </c:pt>
                <c:pt idx="588">
                  <c:v>3.1548097467748448E-12</c:v>
                </c:pt>
                <c:pt idx="589">
                  <c:v>2.8421709430404007E-13</c:v>
                </c:pt>
                <c:pt idx="590">
                  <c:v>2.7711166694643907E-13</c:v>
                </c:pt>
                <c:pt idx="591">
                  <c:v>2.0321522242738865E-12</c:v>
                </c:pt>
                <c:pt idx="592">
                  <c:v>1.8260948309034575E-12</c:v>
                </c:pt>
                <c:pt idx="593">
                  <c:v>3.2386537895945366E-11</c:v>
                </c:pt>
                <c:pt idx="594">
                  <c:v>9.2370555648813024E-13</c:v>
                </c:pt>
                <c:pt idx="595">
                  <c:v>1.0597078770047119E-13</c:v>
                </c:pt>
                <c:pt idx="596">
                  <c:v>8.8817841970012523E-15</c:v>
                </c:pt>
                <c:pt idx="597">
                  <c:v>6.1106675275368616E-13</c:v>
                </c:pt>
                <c:pt idx="598">
                  <c:v>4.4906300900038332E-12</c:v>
                </c:pt>
                <c:pt idx="599">
                  <c:v>5.2580162446247414E-13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F6-48B8-A8D3-AFE48D164FC6}"/>
            </c:ext>
          </c:extLst>
        </c:ser>
        <c:ser>
          <c:idx val="1"/>
          <c:order val="1"/>
          <c:tx>
            <c:strRef>
              <c:f>Direct!$P$2</c:f>
              <c:strCache>
                <c:ptCount val="1"/>
                <c:pt idx="0">
                  <c:v>Latitude GA Δ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Direct!$D$3:$D$602</c:f>
              <c:numCache>
                <c:formatCode>General</c:formatCode>
                <c:ptCount val="600"/>
                <c:pt idx="0">
                  <c:v>22085892.740699999</c:v>
                </c:pt>
                <c:pt idx="1">
                  <c:v>19786754.972199999</c:v>
                </c:pt>
                <c:pt idx="2">
                  <c:v>13647633.196599999</c:v>
                </c:pt>
                <c:pt idx="3">
                  <c:v>5057004.3572000004</c:v>
                </c:pt>
                <c:pt idx="4">
                  <c:v>26211926.041299999</c:v>
                </c:pt>
                <c:pt idx="5">
                  <c:v>5877843.3947999999</c:v>
                </c:pt>
                <c:pt idx="6">
                  <c:v>17353851.458700001</c:v>
                </c:pt>
                <c:pt idx="7">
                  <c:v>11211606.7816</c:v>
                </c:pt>
                <c:pt idx="8">
                  <c:v>13413100.6866</c:v>
                </c:pt>
                <c:pt idx="9">
                  <c:v>10061299.773</c:v>
                </c:pt>
                <c:pt idx="10">
                  <c:v>13574546.633099999</c:v>
                </c:pt>
                <c:pt idx="11">
                  <c:v>5397158.5284000002</c:v>
                </c:pt>
                <c:pt idx="12">
                  <c:v>1974293.5207</c:v>
                </c:pt>
                <c:pt idx="13">
                  <c:v>15153458.335000001</c:v>
                </c:pt>
                <c:pt idx="14">
                  <c:v>11924411.2316</c:v>
                </c:pt>
                <c:pt idx="15">
                  <c:v>24906146.8686</c:v>
                </c:pt>
                <c:pt idx="16">
                  <c:v>22990024.524300002</c:v>
                </c:pt>
                <c:pt idx="17">
                  <c:v>6642422.8748000003</c:v>
                </c:pt>
                <c:pt idx="18">
                  <c:v>12967928.029999999</c:v>
                </c:pt>
                <c:pt idx="19">
                  <c:v>28559805.6105</c:v>
                </c:pt>
                <c:pt idx="20">
                  <c:v>19798139.985599998</c:v>
                </c:pt>
                <c:pt idx="21">
                  <c:v>29611069.5645</c:v>
                </c:pt>
                <c:pt idx="22">
                  <c:v>23819608.177900001</c:v>
                </c:pt>
                <c:pt idx="23">
                  <c:v>9694952.3359999992</c:v>
                </c:pt>
                <c:pt idx="24">
                  <c:v>792391.58459999994</c:v>
                </c:pt>
                <c:pt idx="25">
                  <c:v>29956582.733399998</c:v>
                </c:pt>
                <c:pt idx="26">
                  <c:v>110882.5068</c:v>
                </c:pt>
                <c:pt idx="27">
                  <c:v>6349519.3638000004</c:v>
                </c:pt>
                <c:pt idx="28">
                  <c:v>10318810.0272</c:v>
                </c:pt>
                <c:pt idx="29">
                  <c:v>4453734.6876999997</c:v>
                </c:pt>
                <c:pt idx="30">
                  <c:v>16192411.1173</c:v>
                </c:pt>
                <c:pt idx="31">
                  <c:v>47791.921600000001</c:v>
                </c:pt>
                <c:pt idx="32">
                  <c:v>16379592.8594</c:v>
                </c:pt>
                <c:pt idx="33">
                  <c:v>25941909.833799999</c:v>
                </c:pt>
                <c:pt idx="34">
                  <c:v>19983063.0561</c:v>
                </c:pt>
                <c:pt idx="35">
                  <c:v>14969044.283500001</c:v>
                </c:pt>
                <c:pt idx="36">
                  <c:v>20971884.737199999</c:v>
                </c:pt>
                <c:pt idx="37">
                  <c:v>5018737.5745999999</c:v>
                </c:pt>
                <c:pt idx="38">
                  <c:v>5688651.0158000002</c:v>
                </c:pt>
                <c:pt idx="39">
                  <c:v>24475326.5867</c:v>
                </c:pt>
                <c:pt idx="40">
                  <c:v>11418445.4695</c:v>
                </c:pt>
                <c:pt idx="41">
                  <c:v>21962851.263599999</c:v>
                </c:pt>
                <c:pt idx="42">
                  <c:v>23153552.507599998</c:v>
                </c:pt>
                <c:pt idx="43">
                  <c:v>27457648.3748</c:v>
                </c:pt>
                <c:pt idx="44">
                  <c:v>1594501.6647000001</c:v>
                </c:pt>
                <c:pt idx="45">
                  <c:v>7281691.9382999996</c:v>
                </c:pt>
                <c:pt idx="46">
                  <c:v>23518265.962400001</c:v>
                </c:pt>
                <c:pt idx="47">
                  <c:v>3921469.0978999999</c:v>
                </c:pt>
                <c:pt idx="48">
                  <c:v>8374879.0009000003</c:v>
                </c:pt>
                <c:pt idx="49">
                  <c:v>2583078.8037999999</c:v>
                </c:pt>
                <c:pt idx="50">
                  <c:v>14011974.0339</c:v>
                </c:pt>
                <c:pt idx="51">
                  <c:v>18934734.430599999</c:v>
                </c:pt>
                <c:pt idx="52">
                  <c:v>77993.078200000004</c:v>
                </c:pt>
                <c:pt idx="53">
                  <c:v>12601924.446699999</c:v>
                </c:pt>
                <c:pt idx="54">
                  <c:v>12336200.919199999</c:v>
                </c:pt>
                <c:pt idx="55">
                  <c:v>12949182.965299999</c:v>
                </c:pt>
                <c:pt idx="56">
                  <c:v>3218075.0106000002</c:v>
                </c:pt>
                <c:pt idx="57">
                  <c:v>14250505.172800001</c:v>
                </c:pt>
                <c:pt idx="58">
                  <c:v>29644160.633699998</c:v>
                </c:pt>
                <c:pt idx="59">
                  <c:v>2846281.0967000001</c:v>
                </c:pt>
                <c:pt idx="60">
                  <c:v>24776891.9844</c:v>
                </c:pt>
                <c:pt idx="61">
                  <c:v>21636948.2696</c:v>
                </c:pt>
                <c:pt idx="62">
                  <c:v>5257481.7813999997</c:v>
                </c:pt>
                <c:pt idx="63">
                  <c:v>21811258.481699999</c:v>
                </c:pt>
                <c:pt idx="64">
                  <c:v>27630061.0777</c:v>
                </c:pt>
                <c:pt idx="65">
                  <c:v>27449795.258000001</c:v>
                </c:pt>
                <c:pt idx="66">
                  <c:v>15896057.1261</c:v>
                </c:pt>
                <c:pt idx="67">
                  <c:v>27915776.059</c:v>
                </c:pt>
                <c:pt idx="68">
                  <c:v>27388054.564300001</c:v>
                </c:pt>
                <c:pt idx="69">
                  <c:v>15232450.550100001</c:v>
                </c:pt>
                <c:pt idx="70">
                  <c:v>19523196.9932</c:v>
                </c:pt>
                <c:pt idx="71">
                  <c:v>19262446.867899999</c:v>
                </c:pt>
                <c:pt idx="72">
                  <c:v>12572332.933800001</c:v>
                </c:pt>
                <c:pt idx="73">
                  <c:v>15827008.977499999</c:v>
                </c:pt>
                <c:pt idx="74">
                  <c:v>12061587.573100001</c:v>
                </c:pt>
                <c:pt idx="75">
                  <c:v>15839191.948000001</c:v>
                </c:pt>
                <c:pt idx="76">
                  <c:v>14247699.163000001</c:v>
                </c:pt>
                <c:pt idx="77">
                  <c:v>10751079.3026</c:v>
                </c:pt>
                <c:pt idx="78">
                  <c:v>7288327.9888000004</c:v>
                </c:pt>
                <c:pt idx="79">
                  <c:v>12223215.5745</c:v>
                </c:pt>
                <c:pt idx="80">
                  <c:v>27794550.9263</c:v>
                </c:pt>
                <c:pt idx="81">
                  <c:v>21855867.1241</c:v>
                </c:pt>
                <c:pt idx="82">
                  <c:v>11149450.6668</c:v>
                </c:pt>
                <c:pt idx="83">
                  <c:v>13419455.063300001</c:v>
                </c:pt>
                <c:pt idx="84">
                  <c:v>15406147.542099999</c:v>
                </c:pt>
                <c:pt idx="85">
                  <c:v>12387170.2107</c:v>
                </c:pt>
                <c:pt idx="86">
                  <c:v>2739129.8221</c:v>
                </c:pt>
                <c:pt idx="87">
                  <c:v>10992541.662900001</c:v>
                </c:pt>
                <c:pt idx="88">
                  <c:v>26809519.5977</c:v>
                </c:pt>
                <c:pt idx="89">
                  <c:v>16426525.8873</c:v>
                </c:pt>
                <c:pt idx="90">
                  <c:v>3009187.4501999998</c:v>
                </c:pt>
                <c:pt idx="91">
                  <c:v>14766525.0417</c:v>
                </c:pt>
                <c:pt idx="92">
                  <c:v>11388563.956800001</c:v>
                </c:pt>
                <c:pt idx="93">
                  <c:v>11341171.712300001</c:v>
                </c:pt>
                <c:pt idx="94">
                  <c:v>8308069.4910000004</c:v>
                </c:pt>
                <c:pt idx="95">
                  <c:v>4874355.4786</c:v>
                </c:pt>
                <c:pt idx="96">
                  <c:v>20547852.623500001</c:v>
                </c:pt>
                <c:pt idx="97">
                  <c:v>2696126.9289000002</c:v>
                </c:pt>
                <c:pt idx="98">
                  <c:v>4461921.0270999996</c:v>
                </c:pt>
                <c:pt idx="99">
                  <c:v>8938931.9945999999</c:v>
                </c:pt>
                <c:pt idx="100">
                  <c:v>736539.3763</c:v>
                </c:pt>
                <c:pt idx="101">
                  <c:v>2680862.1616000002</c:v>
                </c:pt>
                <c:pt idx="102">
                  <c:v>2593134.8231000002</c:v>
                </c:pt>
                <c:pt idx="103">
                  <c:v>1124977.1808</c:v>
                </c:pt>
                <c:pt idx="104">
                  <c:v>8704.3340000000007</c:v>
                </c:pt>
                <c:pt idx="105">
                  <c:v>13395.294099999999</c:v>
                </c:pt>
                <c:pt idx="106">
                  <c:v>2002954.9594000001</c:v>
                </c:pt>
                <c:pt idx="107">
                  <c:v>2686520.6908999998</c:v>
                </c:pt>
                <c:pt idx="108">
                  <c:v>798705.37609999999</c:v>
                </c:pt>
                <c:pt idx="109">
                  <c:v>665017.86780000001</c:v>
                </c:pt>
                <c:pt idx="110">
                  <c:v>1950926.7751</c:v>
                </c:pt>
                <c:pt idx="111">
                  <c:v>2303142.2283000001</c:v>
                </c:pt>
                <c:pt idx="112">
                  <c:v>2125350.6011000001</c:v>
                </c:pt>
                <c:pt idx="113">
                  <c:v>1313369.7516000001</c:v>
                </c:pt>
                <c:pt idx="114">
                  <c:v>1139720.7165999999</c:v>
                </c:pt>
                <c:pt idx="115">
                  <c:v>783546.70979999995</c:v>
                </c:pt>
                <c:pt idx="116">
                  <c:v>963166.20239999995</c:v>
                </c:pt>
                <c:pt idx="117">
                  <c:v>2610595.4756999998</c:v>
                </c:pt>
                <c:pt idx="118">
                  <c:v>2662309.7689</c:v>
                </c:pt>
                <c:pt idx="119">
                  <c:v>1821170.4897</c:v>
                </c:pt>
                <c:pt idx="120">
                  <c:v>2787665.4001000002</c:v>
                </c:pt>
                <c:pt idx="121">
                  <c:v>2445529.3056000001</c:v>
                </c:pt>
                <c:pt idx="122">
                  <c:v>344966.30699999997</c:v>
                </c:pt>
                <c:pt idx="123">
                  <c:v>2319961.3678000001</c:v>
                </c:pt>
                <c:pt idx="124">
                  <c:v>181575.44039999999</c:v>
                </c:pt>
                <c:pt idx="125">
                  <c:v>2189603.9449</c:v>
                </c:pt>
                <c:pt idx="126">
                  <c:v>428196.28370000003</c:v>
                </c:pt>
                <c:pt idx="127">
                  <c:v>1626173.7615</c:v>
                </c:pt>
                <c:pt idx="128">
                  <c:v>52780.7088</c:v>
                </c:pt>
                <c:pt idx="129">
                  <c:v>873745.98479999998</c:v>
                </c:pt>
                <c:pt idx="130">
                  <c:v>1467787.2390000001</c:v>
                </c:pt>
                <c:pt idx="131">
                  <c:v>633511.36100000003</c:v>
                </c:pt>
                <c:pt idx="132">
                  <c:v>77703.400999999998</c:v>
                </c:pt>
                <c:pt idx="133">
                  <c:v>2618918.1118000001</c:v>
                </c:pt>
                <c:pt idx="134">
                  <c:v>1139643.1462999999</c:v>
                </c:pt>
                <c:pt idx="135">
                  <c:v>1149778.3717</c:v>
                </c:pt>
                <c:pt idx="136">
                  <c:v>617458.06770000001</c:v>
                </c:pt>
                <c:pt idx="137">
                  <c:v>2770816.5970000001</c:v>
                </c:pt>
                <c:pt idx="138">
                  <c:v>1509940.1052999999</c:v>
                </c:pt>
                <c:pt idx="139">
                  <c:v>2044625.3829000001</c:v>
                </c:pt>
                <c:pt idx="140">
                  <c:v>81952.523000000001</c:v>
                </c:pt>
                <c:pt idx="141">
                  <c:v>1367935.1714999999</c:v>
                </c:pt>
                <c:pt idx="142">
                  <c:v>497647.92460000003</c:v>
                </c:pt>
                <c:pt idx="143">
                  <c:v>2549616.412</c:v>
                </c:pt>
                <c:pt idx="144">
                  <c:v>923961.64540000004</c:v>
                </c:pt>
                <c:pt idx="145">
                  <c:v>436314.18910000002</c:v>
                </c:pt>
                <c:pt idx="146">
                  <c:v>235621.66570000001</c:v>
                </c:pt>
                <c:pt idx="147">
                  <c:v>1297329.2392</c:v>
                </c:pt>
                <c:pt idx="148">
                  <c:v>487865.03379999998</c:v>
                </c:pt>
                <c:pt idx="149">
                  <c:v>2107759.4114999999</c:v>
                </c:pt>
                <c:pt idx="150">
                  <c:v>932904.55359999998</c:v>
                </c:pt>
                <c:pt idx="151">
                  <c:v>1885709.7080000001</c:v>
                </c:pt>
                <c:pt idx="152">
                  <c:v>1874375.6106</c:v>
                </c:pt>
                <c:pt idx="153">
                  <c:v>1483495.4898999999</c:v>
                </c:pt>
                <c:pt idx="154">
                  <c:v>2689115.5479000001</c:v>
                </c:pt>
                <c:pt idx="155">
                  <c:v>1829661.7711</c:v>
                </c:pt>
                <c:pt idx="156">
                  <c:v>734948.68389999995</c:v>
                </c:pt>
                <c:pt idx="157">
                  <c:v>290204.74209999997</c:v>
                </c:pt>
                <c:pt idx="158">
                  <c:v>2348678.6216000002</c:v>
                </c:pt>
                <c:pt idx="159">
                  <c:v>2636.9313999999999</c:v>
                </c:pt>
                <c:pt idx="160">
                  <c:v>1868677.4461000001</c:v>
                </c:pt>
                <c:pt idx="161">
                  <c:v>1326845.2703</c:v>
                </c:pt>
                <c:pt idx="162">
                  <c:v>2618896.7393999998</c:v>
                </c:pt>
                <c:pt idx="163">
                  <c:v>870222.554</c:v>
                </c:pt>
                <c:pt idx="164">
                  <c:v>181242.50839999999</c:v>
                </c:pt>
                <c:pt idx="165">
                  <c:v>2847014.2115000002</c:v>
                </c:pt>
                <c:pt idx="166">
                  <c:v>2605914.9846000001</c:v>
                </c:pt>
                <c:pt idx="167">
                  <c:v>2164002.2919000001</c:v>
                </c:pt>
                <c:pt idx="168">
                  <c:v>2374062.4010000001</c:v>
                </c:pt>
                <c:pt idx="169">
                  <c:v>1445060.1989</c:v>
                </c:pt>
                <c:pt idx="170">
                  <c:v>371706.70150000002</c:v>
                </c:pt>
                <c:pt idx="171">
                  <c:v>473620.68780000001</c:v>
                </c:pt>
                <c:pt idx="172">
                  <c:v>1869949.3873000001</c:v>
                </c:pt>
                <c:pt idx="173">
                  <c:v>1165528.9177999999</c:v>
                </c:pt>
                <c:pt idx="174">
                  <c:v>2133546.6453</c:v>
                </c:pt>
                <c:pt idx="175">
                  <c:v>1948522.8914000001</c:v>
                </c:pt>
                <c:pt idx="176">
                  <c:v>2987346.8437999999</c:v>
                </c:pt>
                <c:pt idx="177">
                  <c:v>2388158.3117999998</c:v>
                </c:pt>
                <c:pt idx="178">
                  <c:v>1516703.9686</c:v>
                </c:pt>
                <c:pt idx="179">
                  <c:v>1158783.3785999999</c:v>
                </c:pt>
                <c:pt idx="180">
                  <c:v>1704611.0134999999</c:v>
                </c:pt>
                <c:pt idx="181">
                  <c:v>1416256.8084</c:v>
                </c:pt>
                <c:pt idx="182">
                  <c:v>37084.650699999998</c:v>
                </c:pt>
                <c:pt idx="183">
                  <c:v>2760978.3983</c:v>
                </c:pt>
                <c:pt idx="184">
                  <c:v>2197247.2039999999</c:v>
                </c:pt>
                <c:pt idx="185">
                  <c:v>2332316.2525999998</c:v>
                </c:pt>
                <c:pt idx="186">
                  <c:v>934757.1679</c:v>
                </c:pt>
                <c:pt idx="187">
                  <c:v>2202448.0323999999</c:v>
                </c:pt>
                <c:pt idx="188">
                  <c:v>1541236.2863</c:v>
                </c:pt>
                <c:pt idx="189">
                  <c:v>2847786.9182000002</c:v>
                </c:pt>
                <c:pt idx="190">
                  <c:v>2278616.4051999999</c:v>
                </c:pt>
                <c:pt idx="191">
                  <c:v>2226010.7078</c:v>
                </c:pt>
                <c:pt idx="192">
                  <c:v>165961.9748</c:v>
                </c:pt>
                <c:pt idx="193">
                  <c:v>176432.5575</c:v>
                </c:pt>
                <c:pt idx="194">
                  <c:v>2913012.5767000001</c:v>
                </c:pt>
                <c:pt idx="195">
                  <c:v>55334.114500000003</c:v>
                </c:pt>
                <c:pt idx="196">
                  <c:v>1237165.5629</c:v>
                </c:pt>
                <c:pt idx="197">
                  <c:v>106597.6541</c:v>
                </c:pt>
                <c:pt idx="198">
                  <c:v>2806480.9803999998</c:v>
                </c:pt>
                <c:pt idx="199">
                  <c:v>2700547.5251000002</c:v>
                </c:pt>
                <c:pt idx="200">
                  <c:v>176914.5307</c:v>
                </c:pt>
                <c:pt idx="201">
                  <c:v>150372.09640000001</c:v>
                </c:pt>
                <c:pt idx="202">
                  <c:v>207159.9688</c:v>
                </c:pt>
                <c:pt idx="203">
                  <c:v>158829.51319999999</c:v>
                </c:pt>
                <c:pt idx="204">
                  <c:v>250931.2175</c:v>
                </c:pt>
                <c:pt idx="205">
                  <c:v>55238.374199999998</c:v>
                </c:pt>
                <c:pt idx="206">
                  <c:v>159268.535</c:v>
                </c:pt>
                <c:pt idx="207">
                  <c:v>239557.7653</c:v>
                </c:pt>
                <c:pt idx="208">
                  <c:v>60041.874300000003</c:v>
                </c:pt>
                <c:pt idx="209">
                  <c:v>155642.25839999999</c:v>
                </c:pt>
                <c:pt idx="210">
                  <c:v>135939.71830000001</c:v>
                </c:pt>
                <c:pt idx="211">
                  <c:v>181052.9467</c:v>
                </c:pt>
                <c:pt idx="212">
                  <c:v>229254.93650000001</c:v>
                </c:pt>
                <c:pt idx="213">
                  <c:v>269764.81349999999</c:v>
                </c:pt>
                <c:pt idx="214">
                  <c:v>109197.39780000001</c:v>
                </c:pt>
                <c:pt idx="215">
                  <c:v>239202.74900000001</c:v>
                </c:pt>
                <c:pt idx="216">
                  <c:v>261627.51920000001</c:v>
                </c:pt>
                <c:pt idx="217">
                  <c:v>288789.2316</c:v>
                </c:pt>
                <c:pt idx="218">
                  <c:v>223681.27929999999</c:v>
                </c:pt>
                <c:pt idx="219">
                  <c:v>250297.2035</c:v>
                </c:pt>
                <c:pt idx="220">
                  <c:v>117917.5376</c:v>
                </c:pt>
                <c:pt idx="221">
                  <c:v>236250.2966</c:v>
                </c:pt>
                <c:pt idx="222">
                  <c:v>152724.31289999999</c:v>
                </c:pt>
                <c:pt idx="223">
                  <c:v>140330.49110000001</c:v>
                </c:pt>
                <c:pt idx="224">
                  <c:v>108131.13069999999</c:v>
                </c:pt>
                <c:pt idx="225">
                  <c:v>234979.94039999999</c:v>
                </c:pt>
                <c:pt idx="226">
                  <c:v>221205.2267</c:v>
                </c:pt>
                <c:pt idx="227">
                  <c:v>77287.303799999994</c:v>
                </c:pt>
                <c:pt idx="228">
                  <c:v>206909.5417</c:v>
                </c:pt>
                <c:pt idx="229">
                  <c:v>55374.978499999997</c:v>
                </c:pt>
                <c:pt idx="230">
                  <c:v>19205.576300000001</c:v>
                </c:pt>
                <c:pt idx="231">
                  <c:v>287624.93400000001</c:v>
                </c:pt>
                <c:pt idx="232">
                  <c:v>28140.0406</c:v>
                </c:pt>
                <c:pt idx="233">
                  <c:v>174600.7726</c:v>
                </c:pt>
                <c:pt idx="234">
                  <c:v>118249.6508</c:v>
                </c:pt>
                <c:pt idx="235">
                  <c:v>199578.12959999999</c:v>
                </c:pt>
                <c:pt idx="236">
                  <c:v>12571.034600000001</c:v>
                </c:pt>
                <c:pt idx="237">
                  <c:v>207268.5889</c:v>
                </c:pt>
                <c:pt idx="238">
                  <c:v>45876.0173</c:v>
                </c:pt>
                <c:pt idx="239">
                  <c:v>97962.3079</c:v>
                </c:pt>
                <c:pt idx="240">
                  <c:v>183912.6581</c:v>
                </c:pt>
                <c:pt idx="241">
                  <c:v>182734.12549999999</c:v>
                </c:pt>
                <c:pt idx="242">
                  <c:v>25367.8884</c:v>
                </c:pt>
                <c:pt idx="243">
                  <c:v>159167.3683</c:v>
                </c:pt>
                <c:pt idx="244">
                  <c:v>292098.01140000002</c:v>
                </c:pt>
                <c:pt idx="245">
                  <c:v>136302.18700000001</c:v>
                </c:pt>
                <c:pt idx="246">
                  <c:v>90021.128100000002</c:v>
                </c:pt>
                <c:pt idx="247">
                  <c:v>34078.6319</c:v>
                </c:pt>
                <c:pt idx="248">
                  <c:v>72338.909400000004</c:v>
                </c:pt>
                <c:pt idx="249">
                  <c:v>114948.1189</c:v>
                </c:pt>
                <c:pt idx="250">
                  <c:v>12919.8554</c:v>
                </c:pt>
                <c:pt idx="251">
                  <c:v>266034.81579999998</c:v>
                </c:pt>
                <c:pt idx="252">
                  <c:v>36730.163999999997</c:v>
                </c:pt>
                <c:pt idx="253">
                  <c:v>195008.64120000001</c:v>
                </c:pt>
                <c:pt idx="254">
                  <c:v>253855.41510000001</c:v>
                </c:pt>
                <c:pt idx="255">
                  <c:v>132081.4932</c:v>
                </c:pt>
                <c:pt idx="256">
                  <c:v>170365.54819999999</c:v>
                </c:pt>
                <c:pt idx="257">
                  <c:v>169355.3083</c:v>
                </c:pt>
                <c:pt idx="258">
                  <c:v>34280.7667</c:v>
                </c:pt>
                <c:pt idx="259">
                  <c:v>95631.720499999996</c:v>
                </c:pt>
                <c:pt idx="260">
                  <c:v>103399.0039</c:v>
                </c:pt>
                <c:pt idx="261">
                  <c:v>198631.8469</c:v>
                </c:pt>
                <c:pt idx="262">
                  <c:v>165946.44219999999</c:v>
                </c:pt>
                <c:pt idx="263">
                  <c:v>177415.48389999999</c:v>
                </c:pt>
                <c:pt idx="264">
                  <c:v>100912.3855</c:v>
                </c:pt>
                <c:pt idx="265">
                  <c:v>165257.90979999999</c:v>
                </c:pt>
                <c:pt idx="266">
                  <c:v>104705.3213</c:v>
                </c:pt>
                <c:pt idx="267">
                  <c:v>186534.3131</c:v>
                </c:pt>
                <c:pt idx="268">
                  <c:v>144966.76180000001</c:v>
                </c:pt>
                <c:pt idx="269">
                  <c:v>130323.55349999999</c:v>
                </c:pt>
                <c:pt idx="270">
                  <c:v>204439.66</c:v>
                </c:pt>
                <c:pt idx="271">
                  <c:v>178801.56409999999</c:v>
                </c:pt>
                <c:pt idx="272">
                  <c:v>83198.181500000006</c:v>
                </c:pt>
                <c:pt idx="273">
                  <c:v>274779.46269999997</c:v>
                </c:pt>
                <c:pt idx="274">
                  <c:v>110341.4342</c:v>
                </c:pt>
                <c:pt idx="275">
                  <c:v>193300.0251</c:v>
                </c:pt>
                <c:pt idx="276">
                  <c:v>77243.746899999998</c:v>
                </c:pt>
                <c:pt idx="277">
                  <c:v>288295.25770000002</c:v>
                </c:pt>
                <c:pt idx="278">
                  <c:v>292025.33350000001</c:v>
                </c:pt>
                <c:pt idx="279">
                  <c:v>222200.34969999999</c:v>
                </c:pt>
                <c:pt idx="280">
                  <c:v>177401.35699999999</c:v>
                </c:pt>
                <c:pt idx="281">
                  <c:v>197105.63070000001</c:v>
                </c:pt>
                <c:pt idx="282">
                  <c:v>262201.39919999999</c:v>
                </c:pt>
                <c:pt idx="283">
                  <c:v>286129.73320000002</c:v>
                </c:pt>
                <c:pt idx="284">
                  <c:v>88781.474700000006</c:v>
                </c:pt>
                <c:pt idx="285">
                  <c:v>25934.422999999999</c:v>
                </c:pt>
                <c:pt idx="286">
                  <c:v>165847.5191</c:v>
                </c:pt>
                <c:pt idx="287">
                  <c:v>135935.63690000001</c:v>
                </c:pt>
                <c:pt idx="288">
                  <c:v>8165.8377</c:v>
                </c:pt>
                <c:pt idx="289">
                  <c:v>297038.68729999999</c:v>
                </c:pt>
                <c:pt idx="290">
                  <c:v>20162.4198</c:v>
                </c:pt>
                <c:pt idx="291">
                  <c:v>164584.4406</c:v>
                </c:pt>
                <c:pt idx="292">
                  <c:v>38397.614699999998</c:v>
                </c:pt>
                <c:pt idx="293">
                  <c:v>215099.4129</c:v>
                </c:pt>
                <c:pt idx="294">
                  <c:v>6297.3679000000002</c:v>
                </c:pt>
                <c:pt idx="295">
                  <c:v>187751.1091</c:v>
                </c:pt>
                <c:pt idx="296">
                  <c:v>152425.64629999999</c:v>
                </c:pt>
                <c:pt idx="297">
                  <c:v>110725.2023</c:v>
                </c:pt>
                <c:pt idx="298">
                  <c:v>71301.474900000001</c:v>
                </c:pt>
                <c:pt idx="299">
                  <c:v>147375.0055</c:v>
                </c:pt>
                <c:pt idx="300">
                  <c:v>7257.9587000000001</c:v>
                </c:pt>
                <c:pt idx="301">
                  <c:v>12132.3408</c:v>
                </c:pt>
                <c:pt idx="302">
                  <c:v>1942.0318</c:v>
                </c:pt>
                <c:pt idx="303">
                  <c:v>17871.3066</c:v>
                </c:pt>
                <c:pt idx="304">
                  <c:v>9537.8850000000002</c:v>
                </c:pt>
                <c:pt idx="305">
                  <c:v>22982.406299999999</c:v>
                </c:pt>
                <c:pt idx="306">
                  <c:v>20848.2294</c:v>
                </c:pt>
                <c:pt idx="307">
                  <c:v>13206.8264</c:v>
                </c:pt>
                <c:pt idx="308">
                  <c:v>7221.5405000000001</c:v>
                </c:pt>
                <c:pt idx="309">
                  <c:v>26715.8367</c:v>
                </c:pt>
                <c:pt idx="310">
                  <c:v>2268.5140000000001</c:v>
                </c:pt>
                <c:pt idx="311">
                  <c:v>3493.4261999999999</c:v>
                </c:pt>
                <c:pt idx="312">
                  <c:v>28650.026600000001</c:v>
                </c:pt>
                <c:pt idx="313">
                  <c:v>17881.781599999998</c:v>
                </c:pt>
                <c:pt idx="314">
                  <c:v>8602.7864000000009</c:v>
                </c:pt>
                <c:pt idx="315">
                  <c:v>4760.5142999999998</c:v>
                </c:pt>
                <c:pt idx="316">
                  <c:v>15629.453799999999</c:v>
                </c:pt>
                <c:pt idx="317">
                  <c:v>8482.1638000000003</c:v>
                </c:pt>
                <c:pt idx="318">
                  <c:v>5976.9780000000001</c:v>
                </c:pt>
                <c:pt idx="319">
                  <c:v>14930.198</c:v>
                </c:pt>
                <c:pt idx="320">
                  <c:v>4443.6885000000002</c:v>
                </c:pt>
                <c:pt idx="321">
                  <c:v>2152.6453000000001</c:v>
                </c:pt>
                <c:pt idx="322">
                  <c:v>15120.408799999999</c:v>
                </c:pt>
                <c:pt idx="323">
                  <c:v>25341.7575</c:v>
                </c:pt>
                <c:pt idx="324">
                  <c:v>3720.5039000000002</c:v>
                </c:pt>
                <c:pt idx="325">
                  <c:v>6894.2614999999996</c:v>
                </c:pt>
                <c:pt idx="326">
                  <c:v>19129.257399999999</c:v>
                </c:pt>
                <c:pt idx="327">
                  <c:v>8139.16</c:v>
                </c:pt>
                <c:pt idx="328">
                  <c:v>10194.331099999999</c:v>
                </c:pt>
                <c:pt idx="329">
                  <c:v>10382.603300000001</c:v>
                </c:pt>
                <c:pt idx="330">
                  <c:v>3685.6846999999998</c:v>
                </c:pt>
                <c:pt idx="331">
                  <c:v>415.12889999999999</c:v>
                </c:pt>
                <c:pt idx="332">
                  <c:v>21589.996299999999</c:v>
                </c:pt>
                <c:pt idx="333">
                  <c:v>6650.0622000000003</c:v>
                </c:pt>
                <c:pt idx="334">
                  <c:v>29162.233</c:v>
                </c:pt>
                <c:pt idx="335">
                  <c:v>23801.801100000001</c:v>
                </c:pt>
                <c:pt idx="336">
                  <c:v>19883.556799999998</c:v>
                </c:pt>
                <c:pt idx="337">
                  <c:v>28786.854500000001</c:v>
                </c:pt>
                <c:pt idx="338">
                  <c:v>20321.9139</c:v>
                </c:pt>
                <c:pt idx="339">
                  <c:v>19106.947899999999</c:v>
                </c:pt>
                <c:pt idx="340">
                  <c:v>19978.191999999999</c:v>
                </c:pt>
                <c:pt idx="341">
                  <c:v>22287.987400000002</c:v>
                </c:pt>
                <c:pt idx="342">
                  <c:v>21229.444200000002</c:v>
                </c:pt>
                <c:pt idx="343">
                  <c:v>5761.8068000000003</c:v>
                </c:pt>
                <c:pt idx="344">
                  <c:v>22381.129499999999</c:v>
                </c:pt>
                <c:pt idx="345">
                  <c:v>20614.375899999999</c:v>
                </c:pt>
                <c:pt idx="346">
                  <c:v>13877.534299999999</c:v>
                </c:pt>
                <c:pt idx="347">
                  <c:v>24868.251799999998</c:v>
                </c:pt>
                <c:pt idx="348">
                  <c:v>7600.4764999999998</c:v>
                </c:pt>
                <c:pt idx="349">
                  <c:v>16591.260399999999</c:v>
                </c:pt>
                <c:pt idx="350">
                  <c:v>9391.4030000000002</c:v>
                </c:pt>
                <c:pt idx="351">
                  <c:v>2792.5965999999999</c:v>
                </c:pt>
                <c:pt idx="352">
                  <c:v>28192.577000000001</c:v>
                </c:pt>
                <c:pt idx="353">
                  <c:v>27140.077000000001</c:v>
                </c:pt>
                <c:pt idx="354">
                  <c:v>11706.651400000001</c:v>
                </c:pt>
                <c:pt idx="355">
                  <c:v>8158.5919000000004</c:v>
                </c:pt>
                <c:pt idx="356">
                  <c:v>1874.9798000000001</c:v>
                </c:pt>
                <c:pt idx="357">
                  <c:v>13484.368700000001</c:v>
                </c:pt>
                <c:pt idx="358">
                  <c:v>23242.379099999998</c:v>
                </c:pt>
                <c:pt idx="359">
                  <c:v>4824.5838999999996</c:v>
                </c:pt>
                <c:pt idx="360">
                  <c:v>11868.7088</c:v>
                </c:pt>
                <c:pt idx="361">
                  <c:v>24911.404200000001</c:v>
                </c:pt>
                <c:pt idx="362">
                  <c:v>501.83679999999998</c:v>
                </c:pt>
                <c:pt idx="363">
                  <c:v>5521.8651</c:v>
                </c:pt>
                <c:pt idx="364">
                  <c:v>2561.4078</c:v>
                </c:pt>
                <c:pt idx="365">
                  <c:v>18639.528399999999</c:v>
                </c:pt>
                <c:pt idx="366">
                  <c:v>4096.0942999999997</c:v>
                </c:pt>
                <c:pt idx="367">
                  <c:v>11243.4959</c:v>
                </c:pt>
                <c:pt idx="368">
                  <c:v>9933.9928</c:v>
                </c:pt>
                <c:pt idx="369">
                  <c:v>8854.6332000000002</c:v>
                </c:pt>
                <c:pt idx="370">
                  <c:v>13118.181200000001</c:v>
                </c:pt>
                <c:pt idx="371">
                  <c:v>19251.567299999999</c:v>
                </c:pt>
                <c:pt idx="372">
                  <c:v>6324.0820000000003</c:v>
                </c:pt>
                <c:pt idx="373">
                  <c:v>17659.712500000001</c:v>
                </c:pt>
                <c:pt idx="374">
                  <c:v>24197.2647</c:v>
                </c:pt>
                <c:pt idx="375">
                  <c:v>11984.5826</c:v>
                </c:pt>
                <c:pt idx="376">
                  <c:v>22940.981500000002</c:v>
                </c:pt>
                <c:pt idx="377">
                  <c:v>1283.5830000000001</c:v>
                </c:pt>
                <c:pt idx="378">
                  <c:v>18201.4208</c:v>
                </c:pt>
                <c:pt idx="379">
                  <c:v>22871.2582</c:v>
                </c:pt>
                <c:pt idx="380">
                  <c:v>23273.973000000002</c:v>
                </c:pt>
                <c:pt idx="381">
                  <c:v>8216.3669000000009</c:v>
                </c:pt>
                <c:pt idx="382">
                  <c:v>13182.615400000001</c:v>
                </c:pt>
                <c:pt idx="383">
                  <c:v>8746.3081999999995</c:v>
                </c:pt>
                <c:pt idx="384">
                  <c:v>14926.705900000001</c:v>
                </c:pt>
                <c:pt idx="385">
                  <c:v>22339.502799999998</c:v>
                </c:pt>
                <c:pt idx="386">
                  <c:v>12379.651</c:v>
                </c:pt>
                <c:pt idx="387">
                  <c:v>9394.1258999999991</c:v>
                </c:pt>
                <c:pt idx="388">
                  <c:v>15742.0088</c:v>
                </c:pt>
                <c:pt idx="389">
                  <c:v>2455.7743</c:v>
                </c:pt>
                <c:pt idx="390">
                  <c:v>8116.2794999999996</c:v>
                </c:pt>
                <c:pt idx="391">
                  <c:v>21432.472000000002</c:v>
                </c:pt>
                <c:pt idx="392">
                  <c:v>13205.754800000001</c:v>
                </c:pt>
                <c:pt idx="393">
                  <c:v>29222.171399999999</c:v>
                </c:pt>
                <c:pt idx="394">
                  <c:v>25749.614000000001</c:v>
                </c:pt>
                <c:pt idx="395">
                  <c:v>13669.7415</c:v>
                </c:pt>
                <c:pt idx="396">
                  <c:v>29773.488300000001</c:v>
                </c:pt>
                <c:pt idx="397">
                  <c:v>29052.516299999999</c:v>
                </c:pt>
                <c:pt idx="398">
                  <c:v>3862.9740000000002</c:v>
                </c:pt>
                <c:pt idx="399">
                  <c:v>26818.222600000001</c:v>
                </c:pt>
                <c:pt idx="400">
                  <c:v>127.5797</c:v>
                </c:pt>
                <c:pt idx="401">
                  <c:v>926.50239999999997</c:v>
                </c:pt>
                <c:pt idx="402">
                  <c:v>2066.0987</c:v>
                </c:pt>
                <c:pt idx="403">
                  <c:v>2378.8726000000001</c:v>
                </c:pt>
                <c:pt idx="404">
                  <c:v>598.16459999999995</c:v>
                </c:pt>
                <c:pt idx="405">
                  <c:v>2658.8733999999999</c:v>
                </c:pt>
                <c:pt idx="406">
                  <c:v>1865.2722000000001</c:v>
                </c:pt>
                <c:pt idx="407">
                  <c:v>2963.6988000000001</c:v>
                </c:pt>
                <c:pt idx="408">
                  <c:v>1864.1994</c:v>
                </c:pt>
                <c:pt idx="409">
                  <c:v>434.13080000000002</c:v>
                </c:pt>
                <c:pt idx="410">
                  <c:v>2755.375</c:v>
                </c:pt>
                <c:pt idx="411">
                  <c:v>551.63620000000003</c:v>
                </c:pt>
                <c:pt idx="412">
                  <c:v>1356.1890000000001</c:v>
                </c:pt>
                <c:pt idx="413">
                  <c:v>914.31590000000006</c:v>
                </c:pt>
                <c:pt idx="414">
                  <c:v>543.87559999999996</c:v>
                </c:pt>
                <c:pt idx="415">
                  <c:v>2619.2867999999999</c:v>
                </c:pt>
                <c:pt idx="416">
                  <c:v>500.95839999999998</c:v>
                </c:pt>
                <c:pt idx="417">
                  <c:v>612.99509999999998</c:v>
                </c:pt>
                <c:pt idx="418">
                  <c:v>2206.3631999999998</c:v>
                </c:pt>
                <c:pt idx="419">
                  <c:v>373.10430000000002</c:v>
                </c:pt>
                <c:pt idx="420">
                  <c:v>968.30229999999995</c:v>
                </c:pt>
                <c:pt idx="421">
                  <c:v>526.63610000000006</c:v>
                </c:pt>
                <c:pt idx="422">
                  <c:v>2120.3481999999999</c:v>
                </c:pt>
                <c:pt idx="423">
                  <c:v>2285.7537000000002</c:v>
                </c:pt>
                <c:pt idx="424">
                  <c:v>1122.5577000000001</c:v>
                </c:pt>
                <c:pt idx="425">
                  <c:v>2974.0944</c:v>
                </c:pt>
                <c:pt idx="426">
                  <c:v>581.15200000000004</c:v>
                </c:pt>
                <c:pt idx="427">
                  <c:v>1778.7229</c:v>
                </c:pt>
                <c:pt idx="428">
                  <c:v>2334.7959999999998</c:v>
                </c:pt>
                <c:pt idx="429">
                  <c:v>2644.8265000000001</c:v>
                </c:pt>
                <c:pt idx="430">
                  <c:v>2982.7921000000001</c:v>
                </c:pt>
                <c:pt idx="431">
                  <c:v>1329.8941</c:v>
                </c:pt>
                <c:pt idx="432">
                  <c:v>270.02050000000003</c:v>
                </c:pt>
                <c:pt idx="433">
                  <c:v>1791.4936</c:v>
                </c:pt>
                <c:pt idx="434">
                  <c:v>1454.0617</c:v>
                </c:pt>
                <c:pt idx="435">
                  <c:v>1584.9976999999999</c:v>
                </c:pt>
                <c:pt idx="436">
                  <c:v>1250.5150000000001</c:v>
                </c:pt>
                <c:pt idx="437">
                  <c:v>2712.2029000000002</c:v>
                </c:pt>
                <c:pt idx="438">
                  <c:v>2240.8114</c:v>
                </c:pt>
                <c:pt idx="439">
                  <c:v>606.53039999999999</c:v>
                </c:pt>
                <c:pt idx="440">
                  <c:v>2875.1604000000002</c:v>
                </c:pt>
                <c:pt idx="441">
                  <c:v>1967.2678000000001</c:v>
                </c:pt>
                <c:pt idx="442">
                  <c:v>1943.4681</c:v>
                </c:pt>
                <c:pt idx="443">
                  <c:v>2836.5140000000001</c:v>
                </c:pt>
                <c:pt idx="444">
                  <c:v>1327.5139999999999</c:v>
                </c:pt>
                <c:pt idx="445">
                  <c:v>509.322</c:v>
                </c:pt>
                <c:pt idx="446">
                  <c:v>1593.0436999999999</c:v>
                </c:pt>
                <c:pt idx="447">
                  <c:v>2276.5025999999998</c:v>
                </c:pt>
                <c:pt idx="448">
                  <c:v>1491.5641000000001</c:v>
                </c:pt>
                <c:pt idx="449">
                  <c:v>2384.1579000000002</c:v>
                </c:pt>
                <c:pt idx="450">
                  <c:v>900.21310000000005</c:v>
                </c:pt>
                <c:pt idx="451">
                  <c:v>1913.3998999999999</c:v>
                </c:pt>
                <c:pt idx="452">
                  <c:v>1380.5322000000001</c:v>
                </c:pt>
                <c:pt idx="453">
                  <c:v>1735.1509000000001</c:v>
                </c:pt>
                <c:pt idx="454">
                  <c:v>2539.4928</c:v>
                </c:pt>
                <c:pt idx="455">
                  <c:v>880.4864</c:v>
                </c:pt>
                <c:pt idx="456">
                  <c:v>1238.2325000000001</c:v>
                </c:pt>
                <c:pt idx="457">
                  <c:v>1481.5454</c:v>
                </c:pt>
                <c:pt idx="458">
                  <c:v>170.26910000000001</c:v>
                </c:pt>
                <c:pt idx="459">
                  <c:v>1191.329</c:v>
                </c:pt>
                <c:pt idx="460">
                  <c:v>952.34939999999995</c:v>
                </c:pt>
                <c:pt idx="461">
                  <c:v>2320.2631999999999</c:v>
                </c:pt>
                <c:pt idx="462">
                  <c:v>1113.6715999999999</c:v>
                </c:pt>
                <c:pt idx="463">
                  <c:v>2897.2872000000002</c:v>
                </c:pt>
                <c:pt idx="464">
                  <c:v>2001.7566999999999</c:v>
                </c:pt>
                <c:pt idx="465">
                  <c:v>167.43340000000001</c:v>
                </c:pt>
                <c:pt idx="466">
                  <c:v>1155.6850999999999</c:v>
                </c:pt>
                <c:pt idx="467">
                  <c:v>2369.3285999999998</c:v>
                </c:pt>
                <c:pt idx="468">
                  <c:v>2099.6320000000001</c:v>
                </c:pt>
                <c:pt idx="469">
                  <c:v>1566.3607999999999</c:v>
                </c:pt>
                <c:pt idx="470">
                  <c:v>1913.6427000000001</c:v>
                </c:pt>
                <c:pt idx="471">
                  <c:v>2141.8692999999998</c:v>
                </c:pt>
                <c:pt idx="472">
                  <c:v>283.83530000000002</c:v>
                </c:pt>
                <c:pt idx="473">
                  <c:v>706.19870000000003</c:v>
                </c:pt>
                <c:pt idx="474">
                  <c:v>1764.5993000000001</c:v>
                </c:pt>
                <c:pt idx="475">
                  <c:v>1206.1131</c:v>
                </c:pt>
                <c:pt idx="476">
                  <c:v>667.92190000000005</c:v>
                </c:pt>
                <c:pt idx="477">
                  <c:v>785.29570000000001</c:v>
                </c:pt>
                <c:pt idx="478">
                  <c:v>1268.9889000000001</c:v>
                </c:pt>
                <c:pt idx="479">
                  <c:v>1835.7257</c:v>
                </c:pt>
                <c:pt idx="480">
                  <c:v>1166.6110000000001</c:v>
                </c:pt>
                <c:pt idx="481">
                  <c:v>662.86389999999994</c:v>
                </c:pt>
                <c:pt idx="482">
                  <c:v>470.29559999999998</c:v>
                </c:pt>
                <c:pt idx="483">
                  <c:v>566.70489999999995</c:v>
                </c:pt>
                <c:pt idx="484">
                  <c:v>2049.8571999999999</c:v>
                </c:pt>
                <c:pt idx="485">
                  <c:v>2794.4827</c:v>
                </c:pt>
                <c:pt idx="486">
                  <c:v>2940.1424000000002</c:v>
                </c:pt>
                <c:pt idx="487">
                  <c:v>1283.4010000000001</c:v>
                </c:pt>
                <c:pt idx="488">
                  <c:v>2161.7483000000002</c:v>
                </c:pt>
                <c:pt idx="489">
                  <c:v>574.19349999999997</c:v>
                </c:pt>
                <c:pt idx="490">
                  <c:v>2322.3270000000002</c:v>
                </c:pt>
                <c:pt idx="491">
                  <c:v>214.89680000000001</c:v>
                </c:pt>
                <c:pt idx="492">
                  <c:v>1289.5731000000001</c:v>
                </c:pt>
                <c:pt idx="493">
                  <c:v>1929.104</c:v>
                </c:pt>
                <c:pt idx="494">
                  <c:v>2028.0549000000001</c:v>
                </c:pt>
                <c:pt idx="495">
                  <c:v>954.67409999999995</c:v>
                </c:pt>
                <c:pt idx="496">
                  <c:v>2645.9000999999998</c:v>
                </c:pt>
                <c:pt idx="497">
                  <c:v>1037.9902</c:v>
                </c:pt>
                <c:pt idx="498">
                  <c:v>2665.431</c:v>
                </c:pt>
                <c:pt idx="499">
                  <c:v>2753.4184</c:v>
                </c:pt>
                <c:pt idx="500">
                  <c:v>264.5086</c:v>
                </c:pt>
                <c:pt idx="501">
                  <c:v>6.3822000000000001</c:v>
                </c:pt>
                <c:pt idx="502">
                  <c:v>131.6283</c:v>
                </c:pt>
                <c:pt idx="503">
                  <c:v>173.012</c:v>
                </c:pt>
                <c:pt idx="504">
                  <c:v>188.12110000000001</c:v>
                </c:pt>
                <c:pt idx="505">
                  <c:v>101.82980000000001</c:v>
                </c:pt>
                <c:pt idx="506">
                  <c:v>65.089699999999993</c:v>
                </c:pt>
                <c:pt idx="507">
                  <c:v>152.2518</c:v>
                </c:pt>
                <c:pt idx="508">
                  <c:v>49.255200000000002</c:v>
                </c:pt>
                <c:pt idx="509">
                  <c:v>232.5444</c:v>
                </c:pt>
                <c:pt idx="510">
                  <c:v>107.157</c:v>
                </c:pt>
                <c:pt idx="511">
                  <c:v>74.548699999999997</c:v>
                </c:pt>
                <c:pt idx="512">
                  <c:v>75.305599999999998</c:v>
                </c:pt>
                <c:pt idx="513">
                  <c:v>194.6788</c:v>
                </c:pt>
                <c:pt idx="514">
                  <c:v>66.631600000000006</c:v>
                </c:pt>
                <c:pt idx="515">
                  <c:v>85.505399999999995</c:v>
                </c:pt>
                <c:pt idx="516">
                  <c:v>92.513499999999993</c:v>
                </c:pt>
                <c:pt idx="517">
                  <c:v>198.68539999999999</c:v>
                </c:pt>
                <c:pt idx="518">
                  <c:v>16.641500000000001</c:v>
                </c:pt>
                <c:pt idx="519">
                  <c:v>22.802299999999999</c:v>
                </c:pt>
                <c:pt idx="520">
                  <c:v>54.732100000000003</c:v>
                </c:pt>
                <c:pt idx="521">
                  <c:v>26.3157</c:v>
                </c:pt>
                <c:pt idx="522">
                  <c:v>287.31920000000002</c:v>
                </c:pt>
                <c:pt idx="523">
                  <c:v>249.56829999999999</c:v>
                </c:pt>
                <c:pt idx="524">
                  <c:v>102.48309999999999</c:v>
                </c:pt>
                <c:pt idx="525">
                  <c:v>112.4393</c:v>
                </c:pt>
                <c:pt idx="526">
                  <c:v>188.01929999999999</c:v>
                </c:pt>
                <c:pt idx="527">
                  <c:v>114.4122</c:v>
                </c:pt>
                <c:pt idx="528">
                  <c:v>125.02719999999999</c:v>
                </c:pt>
                <c:pt idx="529">
                  <c:v>69.067899999999995</c:v>
                </c:pt>
                <c:pt idx="530">
                  <c:v>7.2950999999999997</c:v>
                </c:pt>
                <c:pt idx="531">
                  <c:v>42.905700000000003</c:v>
                </c:pt>
                <c:pt idx="532">
                  <c:v>294.95620000000002</c:v>
                </c:pt>
                <c:pt idx="533">
                  <c:v>219.79079999999999</c:v>
                </c:pt>
                <c:pt idx="534">
                  <c:v>75.439899999999994</c:v>
                </c:pt>
                <c:pt idx="535">
                  <c:v>153.09970000000001</c:v>
                </c:pt>
                <c:pt idx="536">
                  <c:v>275.0976</c:v>
                </c:pt>
                <c:pt idx="537">
                  <c:v>117.9924</c:v>
                </c:pt>
                <c:pt idx="538">
                  <c:v>230.8272</c:v>
                </c:pt>
                <c:pt idx="539">
                  <c:v>50.645099999999999</c:v>
                </c:pt>
                <c:pt idx="540">
                  <c:v>199.2944</c:v>
                </c:pt>
                <c:pt idx="541">
                  <c:v>159.47839999999999</c:v>
                </c:pt>
                <c:pt idx="542">
                  <c:v>65.087299999999999</c:v>
                </c:pt>
                <c:pt idx="543">
                  <c:v>179.26079999999999</c:v>
                </c:pt>
                <c:pt idx="544">
                  <c:v>18.3111</c:v>
                </c:pt>
                <c:pt idx="545">
                  <c:v>2.7016</c:v>
                </c:pt>
                <c:pt idx="546">
                  <c:v>289.99310000000003</c:v>
                </c:pt>
                <c:pt idx="547">
                  <c:v>191.5222</c:v>
                </c:pt>
                <c:pt idx="548">
                  <c:v>288.79849999999999</c:v>
                </c:pt>
                <c:pt idx="549">
                  <c:v>181.3706</c:v>
                </c:pt>
                <c:pt idx="550">
                  <c:v>238.00460000000001</c:v>
                </c:pt>
                <c:pt idx="551">
                  <c:v>230.9863</c:v>
                </c:pt>
                <c:pt idx="552">
                  <c:v>190.0778</c:v>
                </c:pt>
                <c:pt idx="553">
                  <c:v>99.565399999999997</c:v>
                </c:pt>
                <c:pt idx="554">
                  <c:v>29.6218</c:v>
                </c:pt>
                <c:pt idx="555">
                  <c:v>162.2439</c:v>
                </c:pt>
                <c:pt idx="556">
                  <c:v>56.786299999999997</c:v>
                </c:pt>
                <c:pt idx="557">
                  <c:v>144.6337</c:v>
                </c:pt>
                <c:pt idx="558">
                  <c:v>173.5181</c:v>
                </c:pt>
                <c:pt idx="559">
                  <c:v>53.187399999999997</c:v>
                </c:pt>
                <c:pt idx="560">
                  <c:v>147.19309999999999</c:v>
                </c:pt>
                <c:pt idx="561">
                  <c:v>286.26080000000002</c:v>
                </c:pt>
                <c:pt idx="562">
                  <c:v>15.910600000000001</c:v>
                </c:pt>
                <c:pt idx="563">
                  <c:v>1.7715000000000001</c:v>
                </c:pt>
                <c:pt idx="564">
                  <c:v>17.602499999999999</c:v>
                </c:pt>
                <c:pt idx="565">
                  <c:v>41.176900000000003</c:v>
                </c:pt>
                <c:pt idx="566">
                  <c:v>213.721</c:v>
                </c:pt>
                <c:pt idx="567">
                  <c:v>299.5917</c:v>
                </c:pt>
                <c:pt idx="568">
                  <c:v>26.440300000000001</c:v>
                </c:pt>
                <c:pt idx="569">
                  <c:v>113.30110000000001</c:v>
                </c:pt>
                <c:pt idx="570">
                  <c:v>216.56450000000001</c:v>
                </c:pt>
                <c:pt idx="571">
                  <c:v>139.32480000000001</c:v>
                </c:pt>
                <c:pt idx="572">
                  <c:v>131.84719999999999</c:v>
                </c:pt>
                <c:pt idx="573">
                  <c:v>211.75059999999999</c:v>
                </c:pt>
                <c:pt idx="574">
                  <c:v>1.5274000000000001</c:v>
                </c:pt>
                <c:pt idx="575">
                  <c:v>145.38300000000001</c:v>
                </c:pt>
                <c:pt idx="576">
                  <c:v>298.60430000000002</c:v>
                </c:pt>
                <c:pt idx="577">
                  <c:v>134.36859999999999</c:v>
                </c:pt>
                <c:pt idx="578">
                  <c:v>113.09690000000001</c:v>
                </c:pt>
                <c:pt idx="579">
                  <c:v>258.26159999999999</c:v>
                </c:pt>
                <c:pt idx="580">
                  <c:v>245.2526</c:v>
                </c:pt>
                <c:pt idx="581">
                  <c:v>232.00069999999999</c:v>
                </c:pt>
                <c:pt idx="582">
                  <c:v>154.26689999999999</c:v>
                </c:pt>
                <c:pt idx="583">
                  <c:v>133.05260000000001</c:v>
                </c:pt>
                <c:pt idx="584">
                  <c:v>161.2106</c:v>
                </c:pt>
                <c:pt idx="585">
                  <c:v>106.81950000000001</c:v>
                </c:pt>
                <c:pt idx="586">
                  <c:v>46.385199999999998</c:v>
                </c:pt>
                <c:pt idx="587">
                  <c:v>169.67699999999999</c:v>
                </c:pt>
                <c:pt idx="588">
                  <c:v>82.587900000000005</c:v>
                </c:pt>
                <c:pt idx="589">
                  <c:v>90.400300000000001</c:v>
                </c:pt>
                <c:pt idx="590">
                  <c:v>239.33629999999999</c:v>
                </c:pt>
                <c:pt idx="591">
                  <c:v>6.0903</c:v>
                </c:pt>
                <c:pt idx="592">
                  <c:v>133.09180000000001</c:v>
                </c:pt>
                <c:pt idx="593">
                  <c:v>62.752699999999997</c:v>
                </c:pt>
                <c:pt idx="594">
                  <c:v>164.04509999999999</c:v>
                </c:pt>
                <c:pt idx="595">
                  <c:v>165.18979999999999</c:v>
                </c:pt>
                <c:pt idx="596">
                  <c:v>256.2978</c:v>
                </c:pt>
                <c:pt idx="597">
                  <c:v>28.553999999999998</c:v>
                </c:pt>
                <c:pt idx="598">
                  <c:v>8.3794000000000004</c:v>
                </c:pt>
                <c:pt idx="599">
                  <c:v>123.89790000000001</c:v>
                </c:pt>
              </c:numCache>
            </c:numRef>
          </c:xVal>
          <c:yVal>
            <c:numRef>
              <c:f>Direct!$P$3:$P$602</c:f>
              <c:numCache>
                <c:formatCode>0.00000000</c:formatCode>
                <c:ptCount val="600"/>
                <c:pt idx="0">
                  <c:v>6.5804641735667246E-9</c:v>
                </c:pt>
                <c:pt idx="1">
                  <c:v>1.3772918805443624E-8</c:v>
                </c:pt>
                <c:pt idx="2">
                  <c:v>2.9809431367766592E-8</c:v>
                </c:pt>
                <c:pt idx="3">
                  <c:v>1.9745733936815668E-9</c:v>
                </c:pt>
                <c:pt idx="4">
                  <c:v>1.2003331661958327E-8</c:v>
                </c:pt>
                <c:pt idx="5">
                  <c:v>1.6662440316395077E-9</c:v>
                </c:pt>
                <c:pt idx="6">
                  <c:v>9.8732613196261809E-9</c:v>
                </c:pt>
                <c:pt idx="7">
                  <c:v>6.5312768526837317E-9</c:v>
                </c:pt>
                <c:pt idx="8">
                  <c:v>3.0098505021669553E-8</c:v>
                </c:pt>
                <c:pt idx="9">
                  <c:v>2.7428668225581987E-8</c:v>
                </c:pt>
                <c:pt idx="10">
                  <c:v>2.3162119333619557E-8</c:v>
                </c:pt>
                <c:pt idx="11">
                  <c:v>3.7645691008947324E-9</c:v>
                </c:pt>
                <c:pt idx="12">
                  <c:v>1.8807355672834092E-9</c:v>
                </c:pt>
                <c:pt idx="13">
                  <c:v>9.5436547553617856E-9</c:v>
                </c:pt>
                <c:pt idx="14">
                  <c:v>1.5032172839823943E-8</c:v>
                </c:pt>
                <c:pt idx="15">
                  <c:v>9.8312540330880438E-9</c:v>
                </c:pt>
                <c:pt idx="16">
                  <c:v>3.8750840758439153E-8</c:v>
                </c:pt>
                <c:pt idx="17">
                  <c:v>1.0047429555015697E-10</c:v>
                </c:pt>
                <c:pt idx="18">
                  <c:v>7.6066442034061765E-10</c:v>
                </c:pt>
                <c:pt idx="19">
                  <c:v>6.0656617506538169E-9</c:v>
                </c:pt>
                <c:pt idx="20">
                  <c:v>1.0017785712079785E-8</c:v>
                </c:pt>
                <c:pt idx="21">
                  <c:v>2.6577374967473588E-8</c:v>
                </c:pt>
                <c:pt idx="22">
                  <c:v>1.7984547184823896E-8</c:v>
                </c:pt>
                <c:pt idx="23">
                  <c:v>8.1081452663056552E-10</c:v>
                </c:pt>
                <c:pt idx="24">
                  <c:v>9.0523144535836764E-12</c:v>
                </c:pt>
                <c:pt idx="25">
                  <c:v>5.6522466707065178E-9</c:v>
                </c:pt>
                <c:pt idx="26">
                  <c:v>1.5404566511278972E-11</c:v>
                </c:pt>
                <c:pt idx="27">
                  <c:v>1.3543512977776118E-9</c:v>
                </c:pt>
                <c:pt idx="28">
                  <c:v>2.440984303575533E-8</c:v>
                </c:pt>
                <c:pt idx="29">
                  <c:v>1.3879173366149189E-9</c:v>
                </c:pt>
                <c:pt idx="30">
                  <c:v>2.3455150710560702E-8</c:v>
                </c:pt>
                <c:pt idx="31">
                  <c:v>2.2389201603800757E-10</c:v>
                </c:pt>
                <c:pt idx="32">
                  <c:v>4.507924700192234E-9</c:v>
                </c:pt>
                <c:pt idx="33">
                  <c:v>2.8470438451222435E-8</c:v>
                </c:pt>
                <c:pt idx="34">
                  <c:v>1.1350351769578992E-9</c:v>
                </c:pt>
                <c:pt idx="35">
                  <c:v>2.7147722292397702E-8</c:v>
                </c:pt>
                <c:pt idx="36">
                  <c:v>2.2414354816646664E-9</c:v>
                </c:pt>
                <c:pt idx="37">
                  <c:v>2.9779592125578347E-9</c:v>
                </c:pt>
                <c:pt idx="38">
                  <c:v>1.1734355709336342E-9</c:v>
                </c:pt>
                <c:pt idx="39">
                  <c:v>2.2540028510320553E-8</c:v>
                </c:pt>
                <c:pt idx="40">
                  <c:v>1.243741110101837E-9</c:v>
                </c:pt>
                <c:pt idx="41">
                  <c:v>1.5286861554386633E-8</c:v>
                </c:pt>
                <c:pt idx="42">
                  <c:v>1.5091160321389907E-8</c:v>
                </c:pt>
                <c:pt idx="43">
                  <c:v>3.1171403236385231E-8</c:v>
                </c:pt>
                <c:pt idx="44">
                  <c:v>4.986162593922927E-10</c:v>
                </c:pt>
                <c:pt idx="45">
                  <c:v>2.5674964376776188E-9</c:v>
                </c:pt>
                <c:pt idx="46">
                  <c:v>8.9297884642292047E-9</c:v>
                </c:pt>
                <c:pt idx="47">
                  <c:v>4.985860613260229E-10</c:v>
                </c:pt>
                <c:pt idx="48">
                  <c:v>7.4096462299166888E-10</c:v>
                </c:pt>
                <c:pt idx="49">
                  <c:v>4.9320192374580074E-10</c:v>
                </c:pt>
                <c:pt idx="50">
                  <c:v>3.5113657759211492E-8</c:v>
                </c:pt>
                <c:pt idx="51">
                  <c:v>8.3139184425817803E-10</c:v>
                </c:pt>
                <c:pt idx="52">
                  <c:v>2.7806734692603641E-10</c:v>
                </c:pt>
                <c:pt idx="53">
                  <c:v>2.9120883482391946E-8</c:v>
                </c:pt>
                <c:pt idx="54">
                  <c:v>4.6328381131388596E-9</c:v>
                </c:pt>
                <c:pt idx="55">
                  <c:v>3.724002084481981E-8</c:v>
                </c:pt>
                <c:pt idx="56">
                  <c:v>1.2987726449864567E-9</c:v>
                </c:pt>
                <c:pt idx="57">
                  <c:v>2.5027880212746823E-8</c:v>
                </c:pt>
                <c:pt idx="58">
                  <c:v>3.2287511331219321E-8</c:v>
                </c:pt>
                <c:pt idx="59">
                  <c:v>2.6751934001367772E-11</c:v>
                </c:pt>
                <c:pt idx="60">
                  <c:v>3.711962204278052E-8</c:v>
                </c:pt>
                <c:pt idx="61">
                  <c:v>1.5447199075424578E-11</c:v>
                </c:pt>
                <c:pt idx="62">
                  <c:v>1.3660779174529125E-9</c:v>
                </c:pt>
                <c:pt idx="63">
                  <c:v>1.5449103329956415E-8</c:v>
                </c:pt>
                <c:pt idx="64">
                  <c:v>9.523125399368837E-9</c:v>
                </c:pt>
                <c:pt idx="65">
                  <c:v>1.7416965647498728E-8</c:v>
                </c:pt>
                <c:pt idx="66">
                  <c:v>2.0081031948393502E-8</c:v>
                </c:pt>
                <c:pt idx="67">
                  <c:v>3.3749785188774695E-9</c:v>
                </c:pt>
                <c:pt idx="68">
                  <c:v>3.9644543647909813E-8</c:v>
                </c:pt>
                <c:pt idx="69">
                  <c:v>8.0105877486857935E-10</c:v>
                </c:pt>
                <c:pt idx="70">
                  <c:v>2.1741591638146929E-8</c:v>
                </c:pt>
                <c:pt idx="71">
                  <c:v>3.0430662434355327E-9</c:v>
                </c:pt>
                <c:pt idx="72">
                  <c:v>3.4667881010363999E-8</c:v>
                </c:pt>
                <c:pt idx="73">
                  <c:v>8.10241473914175E-9</c:v>
                </c:pt>
                <c:pt idx="74">
                  <c:v>2.6166999234078503E-8</c:v>
                </c:pt>
                <c:pt idx="75">
                  <c:v>1.462321108647302E-8</c:v>
                </c:pt>
                <c:pt idx="76">
                  <c:v>2.2513983566341267E-8</c:v>
                </c:pt>
                <c:pt idx="77">
                  <c:v>2.2802588262038626E-8</c:v>
                </c:pt>
                <c:pt idx="78">
                  <c:v>1.5376002693301416E-9</c:v>
                </c:pt>
                <c:pt idx="79">
                  <c:v>3.0663514394291269E-8</c:v>
                </c:pt>
                <c:pt idx="80">
                  <c:v>1.260321447205115E-8</c:v>
                </c:pt>
                <c:pt idx="81">
                  <c:v>2.166013857163307E-8</c:v>
                </c:pt>
                <c:pt idx="82">
                  <c:v>2.8939293628127416E-8</c:v>
                </c:pt>
                <c:pt idx="83">
                  <c:v>1.6876562369816384E-9</c:v>
                </c:pt>
                <c:pt idx="84">
                  <c:v>1.9005781837222457E-8</c:v>
                </c:pt>
                <c:pt idx="85">
                  <c:v>5.7415405763094896E-9</c:v>
                </c:pt>
                <c:pt idx="86">
                  <c:v>6.7742433884632192E-10</c:v>
                </c:pt>
                <c:pt idx="87">
                  <c:v>2.6611219894334681E-8</c:v>
                </c:pt>
                <c:pt idx="88">
                  <c:v>5.4066333632363239E-9</c:v>
                </c:pt>
                <c:pt idx="89">
                  <c:v>1.4685364035926796E-8</c:v>
                </c:pt>
                <c:pt idx="90">
                  <c:v>1.5422232380046808E-9</c:v>
                </c:pt>
                <c:pt idx="91">
                  <c:v>1.4387978808372281E-8</c:v>
                </c:pt>
                <c:pt idx="92">
                  <c:v>2.7854227369061846E-8</c:v>
                </c:pt>
                <c:pt idx="93">
                  <c:v>1.388630721521622E-8</c:v>
                </c:pt>
                <c:pt idx="94">
                  <c:v>6.2254201793621178E-10</c:v>
                </c:pt>
                <c:pt idx="95">
                  <c:v>2.1258195204154617E-9</c:v>
                </c:pt>
                <c:pt idx="96">
                  <c:v>4.2726004956250563E-9</c:v>
                </c:pt>
                <c:pt idx="97">
                  <c:v>4.2860293092417123E-10</c:v>
                </c:pt>
                <c:pt idx="98">
                  <c:v>9.9210240023239749E-10</c:v>
                </c:pt>
                <c:pt idx="99">
                  <c:v>2.5582167495485919E-9</c:v>
                </c:pt>
                <c:pt idx="100">
                  <c:v>3.2700242513783451E-10</c:v>
                </c:pt>
                <c:pt idx="101">
                  <c:v>3.470653098247567E-9</c:v>
                </c:pt>
                <c:pt idx="102">
                  <c:v>4.1426506669495211E-10</c:v>
                </c:pt>
                <c:pt idx="103">
                  <c:v>3.9207748159242328E-11</c:v>
                </c:pt>
                <c:pt idx="104">
                  <c:v>2.4672930365454704E-10</c:v>
                </c:pt>
                <c:pt idx="105">
                  <c:v>1.7152501641248818E-10</c:v>
                </c:pt>
                <c:pt idx="106">
                  <c:v>3.5017393429370713E-9</c:v>
                </c:pt>
                <c:pt idx="107">
                  <c:v>1.3266827636471135E-9</c:v>
                </c:pt>
                <c:pt idx="108">
                  <c:v>7.8266282343975035E-11</c:v>
                </c:pt>
                <c:pt idx="109">
                  <c:v>2.3493385015171953E-10</c:v>
                </c:pt>
                <c:pt idx="110">
                  <c:v>1.4060219655220862E-10</c:v>
                </c:pt>
                <c:pt idx="111">
                  <c:v>1.6007923875349661E-9</c:v>
                </c:pt>
                <c:pt idx="112">
                  <c:v>5.1895199248974677E-10</c:v>
                </c:pt>
                <c:pt idx="113">
                  <c:v>2.0556996105369763E-9</c:v>
                </c:pt>
                <c:pt idx="114">
                  <c:v>3.4534934911789605E-9</c:v>
                </c:pt>
                <c:pt idx="115">
                  <c:v>4.4863668335892726E-11</c:v>
                </c:pt>
                <c:pt idx="116">
                  <c:v>1.4246381851990009E-10</c:v>
                </c:pt>
                <c:pt idx="117">
                  <c:v>2.6616220338837593E-9</c:v>
                </c:pt>
                <c:pt idx="118">
                  <c:v>1.9664980754896533E-10</c:v>
                </c:pt>
                <c:pt idx="119">
                  <c:v>1.7588916989552672E-9</c:v>
                </c:pt>
                <c:pt idx="120">
                  <c:v>1.6746781739129801E-10</c:v>
                </c:pt>
                <c:pt idx="121">
                  <c:v>2.8897737536226487E-9</c:v>
                </c:pt>
                <c:pt idx="122">
                  <c:v>1.893312173706363E-10</c:v>
                </c:pt>
                <c:pt idx="123">
                  <c:v>1.3771668250228686E-9</c:v>
                </c:pt>
                <c:pt idx="124">
                  <c:v>2.4240875973191578E-10</c:v>
                </c:pt>
                <c:pt idx="125">
                  <c:v>1.1061160876124632E-9</c:v>
                </c:pt>
                <c:pt idx="126">
                  <c:v>4.3643666458592634E-10</c:v>
                </c:pt>
                <c:pt idx="127">
                  <c:v>4.4060755044483813E-9</c:v>
                </c:pt>
                <c:pt idx="128">
                  <c:v>4.3350212308723712E-11</c:v>
                </c:pt>
                <c:pt idx="129">
                  <c:v>2.8484947733886656E-10</c:v>
                </c:pt>
                <c:pt idx="130">
                  <c:v>8.290879094374759E-11</c:v>
                </c:pt>
                <c:pt idx="131">
                  <c:v>5.3042015224491479E-11</c:v>
                </c:pt>
                <c:pt idx="132">
                  <c:v>3.3698555057526391E-10</c:v>
                </c:pt>
                <c:pt idx="133">
                  <c:v>1.7559429466018628E-9</c:v>
                </c:pt>
                <c:pt idx="134">
                  <c:v>2.804341647788533E-9</c:v>
                </c:pt>
                <c:pt idx="135">
                  <c:v>2.1105392988829408E-9</c:v>
                </c:pt>
                <c:pt idx="136">
                  <c:v>3.4334846077399561E-10</c:v>
                </c:pt>
                <c:pt idx="137">
                  <c:v>2.4854784896888305E-11</c:v>
                </c:pt>
                <c:pt idx="138">
                  <c:v>2.9467415174622147E-9</c:v>
                </c:pt>
                <c:pt idx="139">
                  <c:v>6.7893779487349093E-10</c:v>
                </c:pt>
                <c:pt idx="140">
                  <c:v>3.538787041179603E-10</c:v>
                </c:pt>
                <c:pt idx="141">
                  <c:v>4.1486742929919274E-9</c:v>
                </c:pt>
                <c:pt idx="142">
                  <c:v>3.794227154685359E-10</c:v>
                </c:pt>
                <c:pt idx="143">
                  <c:v>3.3179503589053638E-10</c:v>
                </c:pt>
                <c:pt idx="144">
                  <c:v>1.9888091173925204E-10</c:v>
                </c:pt>
                <c:pt idx="145">
                  <c:v>4.8930104412647779E-10</c:v>
                </c:pt>
                <c:pt idx="146">
                  <c:v>1.6712498052129376E-10</c:v>
                </c:pt>
                <c:pt idx="147">
                  <c:v>1.4373284784596763E-9</c:v>
                </c:pt>
                <c:pt idx="148">
                  <c:v>4.4666137455351418E-10</c:v>
                </c:pt>
                <c:pt idx="149">
                  <c:v>1.1573320080060512E-9</c:v>
                </c:pt>
                <c:pt idx="150">
                  <c:v>3.5053204783253022E-10</c:v>
                </c:pt>
                <c:pt idx="151">
                  <c:v>4.106226469957619E-11</c:v>
                </c:pt>
                <c:pt idx="152">
                  <c:v>3.4359715073151165E-9</c:v>
                </c:pt>
                <c:pt idx="153">
                  <c:v>3.1584512782956153E-10</c:v>
                </c:pt>
                <c:pt idx="154">
                  <c:v>6.3948846218409017E-10</c:v>
                </c:pt>
                <c:pt idx="155">
                  <c:v>1.8900436771218665E-12</c:v>
                </c:pt>
                <c:pt idx="156">
                  <c:v>4.3085890411020955E-10</c:v>
                </c:pt>
                <c:pt idx="157">
                  <c:v>5.999822860758286E-11</c:v>
                </c:pt>
                <c:pt idx="158">
                  <c:v>3.8312606420731754E-9</c:v>
                </c:pt>
                <c:pt idx="159">
                  <c:v>1.7332979496131884E-10</c:v>
                </c:pt>
                <c:pt idx="160">
                  <c:v>8.4000362221559044E-11</c:v>
                </c:pt>
                <c:pt idx="161">
                  <c:v>2.5490578536846442E-9</c:v>
                </c:pt>
                <c:pt idx="162">
                  <c:v>4.0128185219145962E-9</c:v>
                </c:pt>
                <c:pt idx="163">
                  <c:v>4.071196713084646E-10</c:v>
                </c:pt>
                <c:pt idx="164">
                  <c:v>3.6851588447461836E-10</c:v>
                </c:pt>
                <c:pt idx="165">
                  <c:v>9.5410968015130493E-10</c:v>
                </c:pt>
                <c:pt idx="166">
                  <c:v>1.734818511067715E-9</c:v>
                </c:pt>
                <c:pt idx="167">
                  <c:v>3.7789149587297288E-10</c:v>
                </c:pt>
                <c:pt idx="168">
                  <c:v>8.6764373463665834E-11</c:v>
                </c:pt>
                <c:pt idx="169">
                  <c:v>3.7990233181517397E-10</c:v>
                </c:pt>
                <c:pt idx="170">
                  <c:v>3.0241409376685624E-10</c:v>
                </c:pt>
                <c:pt idx="171">
                  <c:v>4.2597037008818006E-11</c:v>
                </c:pt>
                <c:pt idx="172">
                  <c:v>2.9713760341110174E-9</c:v>
                </c:pt>
                <c:pt idx="173">
                  <c:v>1.2674874483309395E-9</c:v>
                </c:pt>
                <c:pt idx="174">
                  <c:v>1.5311902856751658E-9</c:v>
                </c:pt>
                <c:pt idx="175">
                  <c:v>2.2909603103471454E-9</c:v>
                </c:pt>
                <c:pt idx="176">
                  <c:v>4.674092224377091E-10</c:v>
                </c:pt>
                <c:pt idx="177">
                  <c:v>2.2202755189937307E-9</c:v>
                </c:pt>
                <c:pt idx="178">
                  <c:v>3.077715859944874E-9</c:v>
                </c:pt>
                <c:pt idx="179">
                  <c:v>3.5612970350484829E-9</c:v>
                </c:pt>
                <c:pt idx="180">
                  <c:v>4.4823593725595856E-9</c:v>
                </c:pt>
                <c:pt idx="181">
                  <c:v>2.9993429961905349E-9</c:v>
                </c:pt>
                <c:pt idx="182">
                  <c:v>4.276898835087195E-10</c:v>
                </c:pt>
                <c:pt idx="183">
                  <c:v>2.3222099798658746E-9</c:v>
                </c:pt>
                <c:pt idx="184">
                  <c:v>4.0595704575707714E-10</c:v>
                </c:pt>
                <c:pt idx="185">
                  <c:v>3.4681875149544794E-9</c:v>
                </c:pt>
                <c:pt idx="186">
                  <c:v>4.0696868097711558E-10</c:v>
                </c:pt>
                <c:pt idx="187">
                  <c:v>3.5242493368059513E-9</c:v>
                </c:pt>
                <c:pt idx="188">
                  <c:v>2.8186804001961718E-9</c:v>
                </c:pt>
                <c:pt idx="189">
                  <c:v>8.4381213127926458E-10</c:v>
                </c:pt>
                <c:pt idx="190">
                  <c:v>3.6931879776602727E-10</c:v>
                </c:pt>
                <c:pt idx="191">
                  <c:v>2.0139836465205008E-9</c:v>
                </c:pt>
                <c:pt idx="192">
                  <c:v>3.375646429049084E-10</c:v>
                </c:pt>
                <c:pt idx="193">
                  <c:v>1.531645921204472E-10</c:v>
                </c:pt>
                <c:pt idx="194">
                  <c:v>1.8213555108559376E-9</c:v>
                </c:pt>
                <c:pt idx="195">
                  <c:v>4.9448090067016892E-10</c:v>
                </c:pt>
                <c:pt idx="196">
                  <c:v>5.5307225466094678E-10</c:v>
                </c:pt>
                <c:pt idx="197">
                  <c:v>4.2773251607286511E-10</c:v>
                </c:pt>
                <c:pt idx="198">
                  <c:v>8.4534512723166699E-10</c:v>
                </c:pt>
                <c:pt idx="199">
                  <c:v>2.0067147943336749E-10</c:v>
                </c:pt>
                <c:pt idx="200">
                  <c:v>3.2560976137574471E-10</c:v>
                </c:pt>
                <c:pt idx="201">
                  <c:v>6.0765614762203768E-11</c:v>
                </c:pt>
                <c:pt idx="202">
                  <c:v>3.2636648938932922E-10</c:v>
                </c:pt>
                <c:pt idx="203">
                  <c:v>5.8207660913467407E-11</c:v>
                </c:pt>
                <c:pt idx="204">
                  <c:v>2.1353940837798291E-10</c:v>
                </c:pt>
                <c:pt idx="205">
                  <c:v>2.2084378770159674E-10</c:v>
                </c:pt>
                <c:pt idx="206">
                  <c:v>5.8768989674717886E-11</c:v>
                </c:pt>
                <c:pt idx="207">
                  <c:v>6.5419669681432424E-11</c:v>
                </c:pt>
                <c:pt idx="208">
                  <c:v>4.7830894800426904E-10</c:v>
                </c:pt>
                <c:pt idx="209">
                  <c:v>2.3512214397669595E-10</c:v>
                </c:pt>
                <c:pt idx="210">
                  <c:v>3.3958258427446708E-10</c:v>
                </c:pt>
                <c:pt idx="211">
                  <c:v>1.3905143703141221E-10</c:v>
                </c:pt>
                <c:pt idx="212">
                  <c:v>7.0322414558177115E-11</c:v>
                </c:pt>
                <c:pt idx="213">
                  <c:v>2.0278889678593259E-11</c:v>
                </c:pt>
                <c:pt idx="214">
                  <c:v>4.7555914761687745E-10</c:v>
                </c:pt>
                <c:pt idx="215">
                  <c:v>1.9664980754896533E-10</c:v>
                </c:pt>
                <c:pt idx="216">
                  <c:v>1.4301093642643536E-10</c:v>
                </c:pt>
                <c:pt idx="217">
                  <c:v>5.3709925396105973E-11</c:v>
                </c:pt>
                <c:pt idx="218">
                  <c:v>1.8033574633591343E-10</c:v>
                </c:pt>
                <c:pt idx="219">
                  <c:v>2.8079227831767639E-10</c:v>
                </c:pt>
                <c:pt idx="220">
                  <c:v>4.6436099410129827E-10</c:v>
                </c:pt>
                <c:pt idx="221">
                  <c:v>8.475353752146475E-11</c:v>
                </c:pt>
                <c:pt idx="222">
                  <c:v>1.0901146652031457E-10</c:v>
                </c:pt>
                <c:pt idx="223">
                  <c:v>1.5221957028188626E-10</c:v>
                </c:pt>
                <c:pt idx="224">
                  <c:v>2.4208901550082373E-10</c:v>
                </c:pt>
                <c:pt idx="225">
                  <c:v>1.1250023135289666E-10</c:v>
                </c:pt>
                <c:pt idx="226">
                  <c:v>4.1255532323702937E-10</c:v>
                </c:pt>
                <c:pt idx="227">
                  <c:v>8.7783391666818034E-12</c:v>
                </c:pt>
                <c:pt idx="228">
                  <c:v>3.2642333280819003E-10</c:v>
                </c:pt>
                <c:pt idx="229">
                  <c:v>8.6860296732993447E-11</c:v>
                </c:pt>
                <c:pt idx="230">
                  <c:v>4.2847769776699351E-10</c:v>
                </c:pt>
                <c:pt idx="231">
                  <c:v>4.1499248482068651E-10</c:v>
                </c:pt>
                <c:pt idx="232">
                  <c:v>7.1892714004206937E-11</c:v>
                </c:pt>
                <c:pt idx="233">
                  <c:v>4.1382008930668235E-10</c:v>
                </c:pt>
                <c:pt idx="234">
                  <c:v>4.2027181734738406E-10</c:v>
                </c:pt>
                <c:pt idx="235">
                  <c:v>4.0490988340025069E-10</c:v>
                </c:pt>
                <c:pt idx="236">
                  <c:v>1.6632384358672425E-10</c:v>
                </c:pt>
                <c:pt idx="237">
                  <c:v>1.6277112990792375E-10</c:v>
                </c:pt>
                <c:pt idx="238">
                  <c:v>3.5337421877557063E-10</c:v>
                </c:pt>
                <c:pt idx="239">
                  <c:v>4.7789860957436758E-10</c:v>
                </c:pt>
                <c:pt idx="240">
                  <c:v>8.1104900573336636E-11</c:v>
                </c:pt>
                <c:pt idx="241">
                  <c:v>7.9154460763675161E-11</c:v>
                </c:pt>
                <c:pt idx="242">
                  <c:v>5.2111204240645748E-11</c:v>
                </c:pt>
                <c:pt idx="243">
                  <c:v>7.8831163818904315E-11</c:v>
                </c:pt>
                <c:pt idx="244">
                  <c:v>3.1832314562052488E-10</c:v>
                </c:pt>
                <c:pt idx="245">
                  <c:v>2.1231016944511794E-10</c:v>
                </c:pt>
                <c:pt idx="246">
                  <c:v>3.4619063171703601E-10</c:v>
                </c:pt>
                <c:pt idx="247">
                  <c:v>8.9031004790740553E-11</c:v>
                </c:pt>
                <c:pt idx="248">
                  <c:v>4.4046544189768611E-10</c:v>
                </c:pt>
                <c:pt idx="249">
                  <c:v>1.9726087430171901E-10</c:v>
                </c:pt>
                <c:pt idx="250">
                  <c:v>4.9231374532610062E-10</c:v>
                </c:pt>
                <c:pt idx="251">
                  <c:v>4.035314304928761E-10</c:v>
                </c:pt>
                <c:pt idx="252">
                  <c:v>4.8052584133984055E-10</c:v>
                </c:pt>
                <c:pt idx="253">
                  <c:v>1.3086776107229525E-10</c:v>
                </c:pt>
                <c:pt idx="254">
                  <c:v>1.8285817304786178E-10</c:v>
                </c:pt>
                <c:pt idx="255">
                  <c:v>2.2143353817227762E-10</c:v>
                </c:pt>
                <c:pt idx="256">
                  <c:v>6.7860383978768368E-11</c:v>
                </c:pt>
                <c:pt idx="257">
                  <c:v>5.7340798775840085E-11</c:v>
                </c:pt>
                <c:pt idx="258">
                  <c:v>3.220002042780834E-10</c:v>
                </c:pt>
                <c:pt idx="259">
                  <c:v>3.4862068787333556E-10</c:v>
                </c:pt>
                <c:pt idx="260">
                  <c:v>9.3510976739707985E-11</c:v>
                </c:pt>
                <c:pt idx="261">
                  <c:v>2.6766144856082974E-10</c:v>
                </c:pt>
                <c:pt idx="262">
                  <c:v>1.9004664508770475E-10</c:v>
                </c:pt>
                <c:pt idx="263">
                  <c:v>1.7258017237509193E-10</c:v>
                </c:pt>
                <c:pt idx="264">
                  <c:v>4.7182169282677933E-10</c:v>
                </c:pt>
                <c:pt idx="265">
                  <c:v>1.8144419300369918E-10</c:v>
                </c:pt>
                <c:pt idx="266">
                  <c:v>3.9537439988635015E-10</c:v>
                </c:pt>
                <c:pt idx="267">
                  <c:v>1.8178525351686403E-10</c:v>
                </c:pt>
                <c:pt idx="268">
                  <c:v>2.7544899694476044E-10</c:v>
                </c:pt>
                <c:pt idx="269">
                  <c:v>3.7118041973371874E-10</c:v>
                </c:pt>
                <c:pt idx="270">
                  <c:v>2.7548985315206664E-10</c:v>
                </c:pt>
                <c:pt idx="271">
                  <c:v>7.326406148422393E-11</c:v>
                </c:pt>
                <c:pt idx="272">
                  <c:v>4.8970605348586105E-10</c:v>
                </c:pt>
                <c:pt idx="273">
                  <c:v>3.1741365091875196E-10</c:v>
                </c:pt>
                <c:pt idx="274">
                  <c:v>6.2094329678075155E-11</c:v>
                </c:pt>
                <c:pt idx="275">
                  <c:v>6.4638072672096314E-11</c:v>
                </c:pt>
                <c:pt idx="276">
                  <c:v>4.8110848638316384E-10</c:v>
                </c:pt>
                <c:pt idx="277">
                  <c:v>4.2010839251815923E-10</c:v>
                </c:pt>
                <c:pt idx="278">
                  <c:v>4.1105074899405736E-10</c:v>
                </c:pt>
                <c:pt idx="279">
                  <c:v>3.8231462440307951E-10</c:v>
                </c:pt>
                <c:pt idx="280">
                  <c:v>3.9749892266627285E-10</c:v>
                </c:pt>
                <c:pt idx="281">
                  <c:v>4.681073306755934E-10</c:v>
                </c:pt>
                <c:pt idx="282">
                  <c:v>4.1644443449229129E-10</c:v>
                </c:pt>
                <c:pt idx="283">
                  <c:v>2.3502622070736834E-10</c:v>
                </c:pt>
                <c:pt idx="284">
                  <c:v>1.2384759884298546E-11</c:v>
                </c:pt>
                <c:pt idx="285">
                  <c:v>1.262669968582486E-10</c:v>
                </c:pt>
                <c:pt idx="286">
                  <c:v>6.9782402078999439E-11</c:v>
                </c:pt>
                <c:pt idx="287">
                  <c:v>9.5162988600350218E-11</c:v>
                </c:pt>
                <c:pt idx="288">
                  <c:v>2.4688517896720441E-10</c:v>
                </c:pt>
                <c:pt idx="289">
                  <c:v>2.6290081223123707E-12</c:v>
                </c:pt>
                <c:pt idx="290">
                  <c:v>7.9140249908959959E-11</c:v>
                </c:pt>
                <c:pt idx="291">
                  <c:v>1.3018564004596556E-10</c:v>
                </c:pt>
                <c:pt idx="292">
                  <c:v>4.6688342081324663E-10</c:v>
                </c:pt>
                <c:pt idx="293">
                  <c:v>2.049418412752857E-10</c:v>
                </c:pt>
                <c:pt idx="294">
                  <c:v>3.5132075026922394E-10</c:v>
                </c:pt>
                <c:pt idx="295">
                  <c:v>3.6082070664633648E-10</c:v>
                </c:pt>
                <c:pt idx="296">
                  <c:v>1.049897946359124E-10</c:v>
                </c:pt>
                <c:pt idx="297">
                  <c:v>4.191775815343135E-10</c:v>
                </c:pt>
                <c:pt idx="298">
                  <c:v>4.0289194203069201E-10</c:v>
                </c:pt>
                <c:pt idx="299">
                  <c:v>1.1883827255587676E-10</c:v>
                </c:pt>
                <c:pt idx="300">
                  <c:v>2.1947244022157975E-10</c:v>
                </c:pt>
                <c:pt idx="301">
                  <c:v>2.4498447714904614E-10</c:v>
                </c:pt>
                <c:pt idx="302">
                  <c:v>4.3698378249246161E-11</c:v>
                </c:pt>
                <c:pt idx="303">
                  <c:v>3.8523495504705352E-10</c:v>
                </c:pt>
                <c:pt idx="304">
                  <c:v>4.865299274570134E-10</c:v>
                </c:pt>
                <c:pt idx="305">
                  <c:v>2.6762592142404174E-10</c:v>
                </c:pt>
                <c:pt idx="306">
                  <c:v>3.1904789921100019E-10</c:v>
                </c:pt>
                <c:pt idx="307">
                  <c:v>3.4557956496428233E-10</c:v>
                </c:pt>
                <c:pt idx="308">
                  <c:v>1.7351453607261647E-11</c:v>
                </c:pt>
                <c:pt idx="309">
                  <c:v>2.8678392993697344E-10</c:v>
                </c:pt>
                <c:pt idx="310">
                  <c:v>1.0103562431140745E-10</c:v>
                </c:pt>
                <c:pt idx="311">
                  <c:v>4.8401194163716355E-10</c:v>
                </c:pt>
                <c:pt idx="312">
                  <c:v>3.7412917208712315E-10</c:v>
                </c:pt>
                <c:pt idx="313">
                  <c:v>7.3200112638005521E-11</c:v>
                </c:pt>
                <c:pt idx="314">
                  <c:v>2.5419755189659554E-10</c:v>
                </c:pt>
                <c:pt idx="315">
                  <c:v>3.8457592665963602E-10</c:v>
                </c:pt>
                <c:pt idx="316">
                  <c:v>2.2021140466677025E-10</c:v>
                </c:pt>
                <c:pt idx="317">
                  <c:v>1.2093437362636905E-11</c:v>
                </c:pt>
                <c:pt idx="318">
                  <c:v>4.2943781863868935E-10</c:v>
                </c:pt>
                <c:pt idx="319">
                  <c:v>1.1441159131209133E-10</c:v>
                </c:pt>
                <c:pt idx="320">
                  <c:v>2.5873703179968288E-10</c:v>
                </c:pt>
                <c:pt idx="321">
                  <c:v>1.6089618526393679E-10</c:v>
                </c:pt>
                <c:pt idx="322">
                  <c:v>3.7312020140234381E-10</c:v>
                </c:pt>
                <c:pt idx="323">
                  <c:v>4.7636206090828637E-10</c:v>
                </c:pt>
                <c:pt idx="324">
                  <c:v>4.5366732592810877E-10</c:v>
                </c:pt>
                <c:pt idx="325">
                  <c:v>3.0576252640912571E-10</c:v>
                </c:pt>
                <c:pt idx="326">
                  <c:v>1.794298043478193E-10</c:v>
                </c:pt>
                <c:pt idx="327">
                  <c:v>3.3836045076895971E-10</c:v>
                </c:pt>
                <c:pt idx="328">
                  <c:v>2.9196201012382517E-11</c:v>
                </c:pt>
                <c:pt idx="329">
                  <c:v>7.9493744920000609E-11</c:v>
                </c:pt>
                <c:pt idx="330">
                  <c:v>1.2012435490760254E-10</c:v>
                </c:pt>
                <c:pt idx="331">
                  <c:v>9.5903729402380122E-11</c:v>
                </c:pt>
                <c:pt idx="332">
                  <c:v>7.3484329732309561E-11</c:v>
                </c:pt>
                <c:pt idx="333">
                  <c:v>3.5946357002103468E-10</c:v>
                </c:pt>
                <c:pt idx="334">
                  <c:v>2.7592506057771971E-10</c:v>
                </c:pt>
                <c:pt idx="335">
                  <c:v>1.2123280157538829E-10</c:v>
                </c:pt>
                <c:pt idx="336">
                  <c:v>2.0867929606538382E-10</c:v>
                </c:pt>
                <c:pt idx="337">
                  <c:v>2.5778046364166585E-10</c:v>
                </c:pt>
                <c:pt idx="338">
                  <c:v>4.858478064306837E-10</c:v>
                </c:pt>
                <c:pt idx="339">
                  <c:v>7.7406525633705314E-11</c:v>
                </c:pt>
                <c:pt idx="340">
                  <c:v>1.0828671292983927E-11</c:v>
                </c:pt>
                <c:pt idx="341">
                  <c:v>4.6838977141305804E-11</c:v>
                </c:pt>
                <c:pt idx="342">
                  <c:v>2.7548452408154844E-10</c:v>
                </c:pt>
                <c:pt idx="343">
                  <c:v>4.5102765966475999E-10</c:v>
                </c:pt>
                <c:pt idx="344">
                  <c:v>1.6943957348303229E-10</c:v>
                </c:pt>
                <c:pt idx="345">
                  <c:v>4.617071169832343E-10</c:v>
                </c:pt>
                <c:pt idx="346">
                  <c:v>4.0121506117429817E-10</c:v>
                </c:pt>
                <c:pt idx="347">
                  <c:v>4.7868553565422189E-10</c:v>
                </c:pt>
                <c:pt idx="348">
                  <c:v>1.9303669773762522E-10</c:v>
                </c:pt>
                <c:pt idx="349">
                  <c:v>3.964508721310267E-10</c:v>
                </c:pt>
                <c:pt idx="350">
                  <c:v>7.531752999057062E-13</c:v>
                </c:pt>
                <c:pt idx="351">
                  <c:v>2.5166002615151228E-10</c:v>
                </c:pt>
                <c:pt idx="352">
                  <c:v>4.9415405101171928E-10</c:v>
                </c:pt>
                <c:pt idx="353">
                  <c:v>8.9948604120593245E-11</c:v>
                </c:pt>
                <c:pt idx="354">
                  <c:v>8.7617024746577954E-11</c:v>
                </c:pt>
                <c:pt idx="355">
                  <c:v>4.8113690809259424E-10</c:v>
                </c:pt>
                <c:pt idx="356">
                  <c:v>1.9628032532637008E-10</c:v>
                </c:pt>
                <c:pt idx="357">
                  <c:v>3.964544248447055E-10</c:v>
                </c:pt>
                <c:pt idx="358">
                  <c:v>2.2527402165906096E-10</c:v>
                </c:pt>
                <c:pt idx="359">
                  <c:v>9.4424024155159714E-11</c:v>
                </c:pt>
                <c:pt idx="360">
                  <c:v>2.6263080599164823E-10</c:v>
                </c:pt>
                <c:pt idx="361">
                  <c:v>3.283986416136031E-10</c:v>
                </c:pt>
                <c:pt idx="362">
                  <c:v>4.5271519866219023E-10</c:v>
                </c:pt>
                <c:pt idx="363">
                  <c:v>3.9352698877337389E-10</c:v>
                </c:pt>
                <c:pt idx="364">
                  <c:v>3.9327119338850025E-10</c:v>
                </c:pt>
                <c:pt idx="365">
                  <c:v>4.3500847368704854E-10</c:v>
                </c:pt>
                <c:pt idx="366">
                  <c:v>8.8093088379537221E-11</c:v>
                </c:pt>
                <c:pt idx="367">
                  <c:v>4.8689230425225105E-10</c:v>
                </c:pt>
                <c:pt idx="368">
                  <c:v>3.6895642097078962E-10</c:v>
                </c:pt>
                <c:pt idx="369">
                  <c:v>4.7637982447668037E-10</c:v>
                </c:pt>
                <c:pt idx="370">
                  <c:v>2.3066348830980132E-10</c:v>
                </c:pt>
                <c:pt idx="371">
                  <c:v>4.2030023905681446E-10</c:v>
                </c:pt>
                <c:pt idx="372">
                  <c:v>1.1034728686354356E-10</c:v>
                </c:pt>
                <c:pt idx="373">
                  <c:v>4.6179415846836491E-10</c:v>
                </c:pt>
                <c:pt idx="374">
                  <c:v>4.3884540446015308E-10</c:v>
                </c:pt>
                <c:pt idx="375">
                  <c:v>2.5239899059670279E-10</c:v>
                </c:pt>
                <c:pt idx="376">
                  <c:v>3.9411673924405477E-10</c:v>
                </c:pt>
                <c:pt idx="377">
                  <c:v>3.9891290271043545E-10</c:v>
                </c:pt>
                <c:pt idx="378">
                  <c:v>3.2279956485581351E-11</c:v>
                </c:pt>
                <c:pt idx="379">
                  <c:v>9.8694385997077916E-11</c:v>
                </c:pt>
                <c:pt idx="380">
                  <c:v>1.3537260201701429E-10</c:v>
                </c:pt>
                <c:pt idx="381">
                  <c:v>3.9762149128819146E-10</c:v>
                </c:pt>
                <c:pt idx="382">
                  <c:v>3.3067237836803542E-10</c:v>
                </c:pt>
                <c:pt idx="383">
                  <c:v>4.5083226041242597E-10</c:v>
                </c:pt>
                <c:pt idx="384">
                  <c:v>3.6067149267182685E-10</c:v>
                </c:pt>
                <c:pt idx="385">
                  <c:v>4.1105963077825436E-10</c:v>
                </c:pt>
                <c:pt idx="386">
                  <c:v>1.7757884052116424E-10</c:v>
                </c:pt>
                <c:pt idx="387">
                  <c:v>1.8893686615228944E-10</c:v>
                </c:pt>
                <c:pt idx="388">
                  <c:v>3.4233949008921627E-10</c:v>
                </c:pt>
                <c:pt idx="389">
                  <c:v>1.7972467958315974E-10</c:v>
                </c:pt>
                <c:pt idx="390">
                  <c:v>4.5639581003342755E-10</c:v>
                </c:pt>
                <c:pt idx="391">
                  <c:v>4.1749714796424087E-10</c:v>
                </c:pt>
                <c:pt idx="392">
                  <c:v>3.0670577189084725E-10</c:v>
                </c:pt>
                <c:pt idx="393">
                  <c:v>3.6237679523765109E-11</c:v>
                </c:pt>
                <c:pt idx="394">
                  <c:v>4.6815884502393601E-11</c:v>
                </c:pt>
                <c:pt idx="395">
                  <c:v>6.7288397076481488E-12</c:v>
                </c:pt>
                <c:pt idx="396">
                  <c:v>1.751487843648647E-11</c:v>
                </c:pt>
                <c:pt idx="397">
                  <c:v>4.0927261579781771E-11</c:v>
                </c:pt>
                <c:pt idx="398">
                  <c:v>3.886233557182095E-10</c:v>
                </c:pt>
                <c:pt idx="399">
                  <c:v>1.7794121731640189E-10</c:v>
                </c:pt>
                <c:pt idx="400">
                  <c:v>2.5148949589492986E-10</c:v>
                </c:pt>
                <c:pt idx="401">
                  <c:v>4.4913406327395933E-10</c:v>
                </c:pt>
                <c:pt idx="402">
                  <c:v>3.47490924923477E-10</c:v>
                </c:pt>
                <c:pt idx="403">
                  <c:v>2.6577140488370787E-10</c:v>
                </c:pt>
                <c:pt idx="404">
                  <c:v>2.8342661551050696E-10</c:v>
                </c:pt>
                <c:pt idx="405">
                  <c:v>1.5511147921642987E-10</c:v>
                </c:pt>
                <c:pt idx="406">
                  <c:v>4.6875925363565329E-10</c:v>
                </c:pt>
                <c:pt idx="407">
                  <c:v>2.4760993255767971E-10</c:v>
                </c:pt>
                <c:pt idx="408">
                  <c:v>3.716138508025324E-12</c:v>
                </c:pt>
                <c:pt idx="409">
                  <c:v>3.0249935889514745E-10</c:v>
                </c:pt>
                <c:pt idx="410">
                  <c:v>4.2462033889023587E-10</c:v>
                </c:pt>
                <c:pt idx="411">
                  <c:v>4.3357317736081313E-11</c:v>
                </c:pt>
                <c:pt idx="412">
                  <c:v>1.8761170395009685E-10</c:v>
                </c:pt>
                <c:pt idx="413">
                  <c:v>3.2566654928345429E-10</c:v>
                </c:pt>
                <c:pt idx="414">
                  <c:v>2.1941559680271894E-11</c:v>
                </c:pt>
                <c:pt idx="415">
                  <c:v>2.8919089345436078E-10</c:v>
                </c:pt>
                <c:pt idx="416">
                  <c:v>4.6532022679457441E-10</c:v>
                </c:pt>
                <c:pt idx="417">
                  <c:v>2.0769874709003489E-10</c:v>
                </c:pt>
                <c:pt idx="418">
                  <c:v>1.0395240224170266E-10</c:v>
                </c:pt>
                <c:pt idx="419">
                  <c:v>4.8576698219449099E-10</c:v>
                </c:pt>
                <c:pt idx="420">
                  <c:v>3.212887733639036E-10</c:v>
                </c:pt>
                <c:pt idx="421">
                  <c:v>1.5914736195554724E-10</c:v>
                </c:pt>
                <c:pt idx="422">
                  <c:v>4.7921133727868437E-10</c:v>
                </c:pt>
                <c:pt idx="423">
                  <c:v>5.4143356464919634E-12</c:v>
                </c:pt>
                <c:pt idx="424">
                  <c:v>3.2351010759157361E-10</c:v>
                </c:pt>
                <c:pt idx="425">
                  <c:v>2.7850433070852887E-10</c:v>
                </c:pt>
                <c:pt idx="426">
                  <c:v>2.177387159463251E-10</c:v>
                </c:pt>
                <c:pt idx="427">
                  <c:v>2.333138127141865E-10</c:v>
                </c:pt>
                <c:pt idx="428">
                  <c:v>3.2457592169521376E-10</c:v>
                </c:pt>
                <c:pt idx="429">
                  <c:v>2.6252777729496302E-10</c:v>
                </c:pt>
                <c:pt idx="430">
                  <c:v>2.4476065618728171E-10</c:v>
                </c:pt>
                <c:pt idx="431">
                  <c:v>1.787512360351684E-10</c:v>
                </c:pt>
                <c:pt idx="432">
                  <c:v>9.0722096501849592E-11</c:v>
                </c:pt>
                <c:pt idx="433">
                  <c:v>5.8534510571917053E-11</c:v>
                </c:pt>
                <c:pt idx="434">
                  <c:v>2.1378454562182014E-10</c:v>
                </c:pt>
                <c:pt idx="435">
                  <c:v>3.5573677337197296E-10</c:v>
                </c:pt>
                <c:pt idx="436">
                  <c:v>4.2807357658602996E-10</c:v>
                </c:pt>
                <c:pt idx="437">
                  <c:v>4.0159875425160863E-10</c:v>
                </c:pt>
                <c:pt idx="438">
                  <c:v>2.9631763709403458E-10</c:v>
                </c:pt>
                <c:pt idx="439">
                  <c:v>2.7857538498210488E-10</c:v>
                </c:pt>
                <c:pt idx="440">
                  <c:v>3.6104452760810091E-10</c:v>
                </c:pt>
                <c:pt idx="441">
                  <c:v>1.6889245557649701E-10</c:v>
                </c:pt>
                <c:pt idx="442">
                  <c:v>3.2917979453372936E-10</c:v>
                </c:pt>
                <c:pt idx="443">
                  <c:v>2.255262643302558E-10</c:v>
                </c:pt>
                <c:pt idx="444">
                  <c:v>1.9811352558463113E-10</c:v>
                </c:pt>
                <c:pt idx="445">
                  <c:v>4.4863668335892726E-10</c:v>
                </c:pt>
                <c:pt idx="446">
                  <c:v>3.6105518574913731E-10</c:v>
                </c:pt>
                <c:pt idx="447">
                  <c:v>2.6175683842666331E-10</c:v>
                </c:pt>
                <c:pt idx="448">
                  <c:v>3.9032244103509584E-10</c:v>
                </c:pt>
                <c:pt idx="449">
                  <c:v>7.3505646014382364E-11</c:v>
                </c:pt>
                <c:pt idx="450">
                  <c:v>8.9173113337892573E-12</c:v>
                </c:pt>
                <c:pt idx="451">
                  <c:v>2.7676705371959542E-10</c:v>
                </c:pt>
                <c:pt idx="452">
                  <c:v>4.7708681449876167E-10</c:v>
                </c:pt>
                <c:pt idx="453">
                  <c:v>2.8090951786907681E-10</c:v>
                </c:pt>
                <c:pt idx="454">
                  <c:v>3.3350744388371822E-10</c:v>
                </c:pt>
                <c:pt idx="455">
                  <c:v>3.8222935927478829E-10</c:v>
                </c:pt>
                <c:pt idx="456">
                  <c:v>6.7259975367051084E-11</c:v>
                </c:pt>
                <c:pt idx="457">
                  <c:v>4.581721668728278E-10</c:v>
                </c:pt>
                <c:pt idx="458">
                  <c:v>1.2679279848271108E-10</c:v>
                </c:pt>
                <c:pt idx="459">
                  <c:v>4.3054626530647511E-10</c:v>
                </c:pt>
                <c:pt idx="460">
                  <c:v>2.7787905310105998E-10</c:v>
                </c:pt>
                <c:pt idx="461">
                  <c:v>4.3170444996576407E-10</c:v>
                </c:pt>
                <c:pt idx="462">
                  <c:v>1.2221601508599633E-10</c:v>
                </c:pt>
                <c:pt idx="463">
                  <c:v>8.4017237611533346E-12</c:v>
                </c:pt>
                <c:pt idx="464">
                  <c:v>4.3440451236165245E-10</c:v>
                </c:pt>
                <c:pt idx="465">
                  <c:v>2.9155877712128131E-10</c:v>
                </c:pt>
                <c:pt idx="466">
                  <c:v>3.3801228482843726E-10</c:v>
                </c:pt>
                <c:pt idx="467">
                  <c:v>3.9868552903499221E-10</c:v>
                </c:pt>
                <c:pt idx="468">
                  <c:v>1.5789680674060946E-10</c:v>
                </c:pt>
                <c:pt idx="469">
                  <c:v>1.5489831639570184E-12</c:v>
                </c:pt>
                <c:pt idx="470">
                  <c:v>3.7020053689218457E-10</c:v>
                </c:pt>
                <c:pt idx="471">
                  <c:v>3.5864644587491057E-10</c:v>
                </c:pt>
                <c:pt idx="472">
                  <c:v>3.3910652064150781E-10</c:v>
                </c:pt>
                <c:pt idx="473">
                  <c:v>2.4898838546505431E-10</c:v>
                </c:pt>
                <c:pt idx="474">
                  <c:v>1.1922907106054481E-10</c:v>
                </c:pt>
                <c:pt idx="475">
                  <c:v>3.2233060665021185E-10</c:v>
                </c:pt>
                <c:pt idx="476">
                  <c:v>2.2708945834892802E-11</c:v>
                </c:pt>
                <c:pt idx="477">
                  <c:v>1.6083845366665628E-10</c:v>
                </c:pt>
                <c:pt idx="478">
                  <c:v>8.7126750258903485E-11</c:v>
                </c:pt>
                <c:pt idx="479">
                  <c:v>2.0379076204335433E-10</c:v>
                </c:pt>
                <c:pt idx="480">
                  <c:v>7.9314332879221183E-13</c:v>
                </c:pt>
                <c:pt idx="481">
                  <c:v>5.3913762343427152E-11</c:v>
                </c:pt>
                <c:pt idx="482">
                  <c:v>4.4312997715678648E-11</c:v>
                </c:pt>
                <c:pt idx="483">
                  <c:v>6.4119376474991441E-11</c:v>
                </c:pt>
                <c:pt idx="484">
                  <c:v>5.9699800658563618E-11</c:v>
                </c:pt>
                <c:pt idx="485">
                  <c:v>2.0515855680969253E-10</c:v>
                </c:pt>
                <c:pt idx="486">
                  <c:v>2.4874680093489587E-10</c:v>
                </c:pt>
                <c:pt idx="487">
                  <c:v>5.0032866738547455E-10</c:v>
                </c:pt>
                <c:pt idx="488">
                  <c:v>6.3465677158092149E-11</c:v>
                </c:pt>
                <c:pt idx="489">
                  <c:v>4.5849191110391985E-10</c:v>
                </c:pt>
                <c:pt idx="490">
                  <c:v>3.4614799915289041E-10</c:v>
                </c:pt>
                <c:pt idx="491">
                  <c:v>1.9180745880476024E-10</c:v>
                </c:pt>
                <c:pt idx="492">
                  <c:v>2.2662050014332635E-10</c:v>
                </c:pt>
                <c:pt idx="493">
                  <c:v>4.3948489292233717E-10</c:v>
                </c:pt>
                <c:pt idx="494">
                  <c:v>3.4336977705606841E-10</c:v>
                </c:pt>
                <c:pt idx="495">
                  <c:v>1.4652812296844786E-10</c:v>
                </c:pt>
                <c:pt idx="496">
                  <c:v>3.0689051300214487E-10</c:v>
                </c:pt>
                <c:pt idx="497">
                  <c:v>6.4332539295719471E-11</c:v>
                </c:pt>
                <c:pt idx="498">
                  <c:v>2.5089974542424898E-10</c:v>
                </c:pt>
                <c:pt idx="499">
                  <c:v>1.0363265801061061E-10</c:v>
                </c:pt>
                <c:pt idx="500">
                  <c:v>3.2049385367827199E-10</c:v>
                </c:pt>
                <c:pt idx="501">
                  <c:v>1.5539680653375854E-10</c:v>
                </c:pt>
                <c:pt idx="502">
                  <c:v>7.3086425800283905E-11</c:v>
                </c:pt>
                <c:pt idx="503">
                  <c:v>4.101250450361249E-10</c:v>
                </c:pt>
                <c:pt idx="504">
                  <c:v>3.4373925927866367E-10</c:v>
                </c:pt>
                <c:pt idx="505">
                  <c:v>1.4647838497694465E-10</c:v>
                </c:pt>
                <c:pt idx="506">
                  <c:v>3.7015013276686659E-10</c:v>
                </c:pt>
                <c:pt idx="507">
                  <c:v>8.72368843829463E-11</c:v>
                </c:pt>
                <c:pt idx="508">
                  <c:v>2.75207412414602E-10</c:v>
                </c:pt>
                <c:pt idx="509">
                  <c:v>9.3535845735459588E-11</c:v>
                </c:pt>
                <c:pt idx="510">
                  <c:v>4.1997694211204362E-10</c:v>
                </c:pt>
                <c:pt idx="511">
                  <c:v>4.2862779991992284E-10</c:v>
                </c:pt>
                <c:pt idx="512">
                  <c:v>3.6358471788844327E-11</c:v>
                </c:pt>
                <c:pt idx="513">
                  <c:v>2.6635582628387056E-10</c:v>
                </c:pt>
                <c:pt idx="514">
                  <c:v>2.6575008860163507E-10</c:v>
                </c:pt>
                <c:pt idx="515">
                  <c:v>8.4604323546955129E-11</c:v>
                </c:pt>
                <c:pt idx="516">
                  <c:v>4.149249832607893E-10</c:v>
                </c:pt>
                <c:pt idx="517">
                  <c:v>2.6621904680723674E-10</c:v>
                </c:pt>
                <c:pt idx="518">
                  <c:v>2.6206237180304015E-10</c:v>
                </c:pt>
                <c:pt idx="519">
                  <c:v>9.8303587492409861E-11</c:v>
                </c:pt>
                <c:pt idx="520">
                  <c:v>1.3457679415296298E-11</c:v>
                </c:pt>
                <c:pt idx="521">
                  <c:v>3.2856561915650673E-10</c:v>
                </c:pt>
                <c:pt idx="522">
                  <c:v>4.9712767236087529E-10</c:v>
                </c:pt>
                <c:pt idx="523">
                  <c:v>2.3893065304037009E-10</c:v>
                </c:pt>
                <c:pt idx="524">
                  <c:v>3.276303672805625E-10</c:v>
                </c:pt>
                <c:pt idx="525">
                  <c:v>3.0406255291381967E-10</c:v>
                </c:pt>
                <c:pt idx="526">
                  <c:v>1.7176660094264662E-10</c:v>
                </c:pt>
                <c:pt idx="527">
                  <c:v>8.3133500083931722E-12</c:v>
                </c:pt>
                <c:pt idx="528">
                  <c:v>3.1621993912267499E-10</c:v>
                </c:pt>
                <c:pt idx="529">
                  <c:v>3.7335468050514464E-11</c:v>
                </c:pt>
                <c:pt idx="530">
                  <c:v>3.177049734404136E-10</c:v>
                </c:pt>
                <c:pt idx="531">
                  <c:v>4.0884629015636165E-10</c:v>
                </c:pt>
                <c:pt idx="532">
                  <c:v>3.000053538926295E-10</c:v>
                </c:pt>
                <c:pt idx="533">
                  <c:v>3.8345149278029567E-10</c:v>
                </c:pt>
                <c:pt idx="534">
                  <c:v>3.2002844818634912E-11</c:v>
                </c:pt>
                <c:pt idx="535">
                  <c:v>4.2746250983327627E-10</c:v>
                </c:pt>
                <c:pt idx="536">
                  <c:v>1.2867928944615414E-10</c:v>
                </c:pt>
                <c:pt idx="537">
                  <c:v>2.8821034447901184E-10</c:v>
                </c:pt>
                <c:pt idx="538">
                  <c:v>1.7999468582274858E-10</c:v>
                </c:pt>
                <c:pt idx="539">
                  <c:v>7.7619688454433344E-11</c:v>
                </c:pt>
                <c:pt idx="540">
                  <c:v>2.2381563269391336E-10</c:v>
                </c:pt>
                <c:pt idx="541">
                  <c:v>1.3460521586239338E-10</c:v>
                </c:pt>
                <c:pt idx="542">
                  <c:v>2.3485213773710711E-11</c:v>
                </c:pt>
                <c:pt idx="543">
                  <c:v>4.8231640903395601E-11</c:v>
                </c:pt>
                <c:pt idx="544">
                  <c:v>1.8109602706317673E-10</c:v>
                </c:pt>
                <c:pt idx="545">
                  <c:v>2.5042368179128971E-10</c:v>
                </c:pt>
                <c:pt idx="546">
                  <c:v>2.1183232945531927E-10</c:v>
                </c:pt>
                <c:pt idx="547">
                  <c:v>4.0910208554123528E-10</c:v>
                </c:pt>
                <c:pt idx="548">
                  <c:v>2.1624657620122889E-10</c:v>
                </c:pt>
                <c:pt idx="549">
                  <c:v>3.4522429359640228E-10</c:v>
                </c:pt>
                <c:pt idx="550">
                  <c:v>1.4265522096934546E-10</c:v>
                </c:pt>
                <c:pt idx="551">
                  <c:v>3.7566394439636497E-11</c:v>
                </c:pt>
                <c:pt idx="552">
                  <c:v>2.3866419951446005E-10</c:v>
                </c:pt>
                <c:pt idx="553">
                  <c:v>7.602807272633072E-11</c:v>
                </c:pt>
                <c:pt idx="554">
                  <c:v>1.3727685654885136E-11</c:v>
                </c:pt>
                <c:pt idx="555">
                  <c:v>2.6441071554472728E-11</c:v>
                </c:pt>
                <c:pt idx="556">
                  <c:v>1.5528200947301229E-10</c:v>
                </c:pt>
                <c:pt idx="557">
                  <c:v>1.70192748782938E-10</c:v>
                </c:pt>
                <c:pt idx="558">
                  <c:v>6.2573946024713223E-11</c:v>
                </c:pt>
                <c:pt idx="559">
                  <c:v>1.9123191918879456E-10</c:v>
                </c:pt>
                <c:pt idx="560">
                  <c:v>6.0239813137741294E-11</c:v>
                </c:pt>
                <c:pt idx="561">
                  <c:v>2.6799995556103795E-10</c:v>
                </c:pt>
                <c:pt idx="562">
                  <c:v>4.7492676458205096E-11</c:v>
                </c:pt>
                <c:pt idx="563">
                  <c:v>3.1252511689672247E-10</c:v>
                </c:pt>
                <c:pt idx="564">
                  <c:v>3.3644553809608624E-10</c:v>
                </c:pt>
                <c:pt idx="565">
                  <c:v>4.9480064490126097E-10</c:v>
                </c:pt>
                <c:pt idx="566">
                  <c:v>4.7782577894395217E-10</c:v>
                </c:pt>
                <c:pt idx="567">
                  <c:v>8.0717654782347381E-12</c:v>
                </c:pt>
                <c:pt idx="568">
                  <c:v>4.0806469314702554E-11</c:v>
                </c:pt>
                <c:pt idx="569">
                  <c:v>2.7138469249621266E-10</c:v>
                </c:pt>
                <c:pt idx="570">
                  <c:v>1.0413003792564268E-10</c:v>
                </c:pt>
                <c:pt idx="571">
                  <c:v>3.3242031349800527E-10</c:v>
                </c:pt>
                <c:pt idx="572">
                  <c:v>3.4800962112058187E-10</c:v>
                </c:pt>
                <c:pt idx="573">
                  <c:v>9.0977891886723228E-11</c:v>
                </c:pt>
                <c:pt idx="574">
                  <c:v>4.4030912249581888E-10</c:v>
                </c:pt>
                <c:pt idx="575">
                  <c:v>1.7311663214059081E-10</c:v>
                </c:pt>
                <c:pt idx="576">
                  <c:v>3.957474348226242E-10</c:v>
                </c:pt>
                <c:pt idx="577">
                  <c:v>2.3952040351105097E-10</c:v>
                </c:pt>
                <c:pt idx="578">
                  <c:v>7.6752826316806022E-11</c:v>
                </c:pt>
                <c:pt idx="579">
                  <c:v>1.3431744605441054E-10</c:v>
                </c:pt>
                <c:pt idx="580">
                  <c:v>3.6648373225034447E-10</c:v>
                </c:pt>
                <c:pt idx="581">
                  <c:v>3.3731772930423176E-10</c:v>
                </c:pt>
                <c:pt idx="582">
                  <c:v>3.6436631489777938E-10</c:v>
                </c:pt>
                <c:pt idx="583">
                  <c:v>3.2852298659236112E-10</c:v>
                </c:pt>
                <c:pt idx="584">
                  <c:v>1.5970158528944012E-10</c:v>
                </c:pt>
                <c:pt idx="585">
                  <c:v>3.7635139449321287E-10</c:v>
                </c:pt>
                <c:pt idx="586">
                  <c:v>4.8092019255818741E-10</c:v>
                </c:pt>
                <c:pt idx="587">
                  <c:v>2.8312285849096952E-10</c:v>
                </c:pt>
                <c:pt idx="588">
                  <c:v>4.2304293401684845E-10</c:v>
                </c:pt>
                <c:pt idx="589">
                  <c:v>3.8178527006493823E-10</c:v>
                </c:pt>
                <c:pt idx="590">
                  <c:v>3.2352431844628882E-10</c:v>
                </c:pt>
                <c:pt idx="591">
                  <c:v>1.0416556506243069E-10</c:v>
                </c:pt>
                <c:pt idx="592">
                  <c:v>8.872547141436371E-11</c:v>
                </c:pt>
                <c:pt idx="593">
                  <c:v>1.0388134796812665E-11</c:v>
                </c:pt>
                <c:pt idx="594">
                  <c:v>4.4322234771243529E-10</c:v>
                </c:pt>
                <c:pt idx="595">
                  <c:v>4.3246894954052095E-10</c:v>
                </c:pt>
                <c:pt idx="596">
                  <c:v>7.630962528537566E-11</c:v>
                </c:pt>
                <c:pt idx="597">
                  <c:v>1.326014853475499E-10</c:v>
                </c:pt>
                <c:pt idx="598">
                  <c:v>1.0859224630621611E-10</c:v>
                </c:pt>
                <c:pt idx="599">
                  <c:v>4.1497116853861371E-10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6F6-48B8-A8D3-AFE48D164F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5032712"/>
        <c:axId val="556023152"/>
      </c:scatterChart>
      <c:valAx>
        <c:axId val="445032712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baseline="0">
                    <a:effectLst/>
                  </a:rPr>
                  <a:t>distance [m]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6023152"/>
        <c:crosses val="autoZero"/>
        <c:crossBetween val="midCat"/>
      </c:valAx>
      <c:valAx>
        <c:axId val="556023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/>
                  <a:t>Δ </a:t>
                </a:r>
                <a:r>
                  <a:rPr lang="en-US"/>
                  <a:t>latitude [degrees]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032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Direct</a:t>
            </a:r>
            <a:r>
              <a:rPr lang="en-US" baseline="0"/>
              <a:t> Results Comparison - Longitude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Direct!$R$2</c:f>
              <c:strCache>
                <c:ptCount val="1"/>
                <c:pt idx="0">
                  <c:v>Longitude GL Δ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Direct!$D$3:$D$602</c:f>
              <c:numCache>
                <c:formatCode>General</c:formatCode>
                <c:ptCount val="600"/>
                <c:pt idx="0">
                  <c:v>22085892.740699999</c:v>
                </c:pt>
                <c:pt idx="1">
                  <c:v>19786754.972199999</c:v>
                </c:pt>
                <c:pt idx="2">
                  <c:v>13647633.196599999</c:v>
                </c:pt>
                <c:pt idx="3">
                  <c:v>5057004.3572000004</c:v>
                </c:pt>
                <c:pt idx="4">
                  <c:v>26211926.041299999</c:v>
                </c:pt>
                <c:pt idx="5">
                  <c:v>5877843.3947999999</c:v>
                </c:pt>
                <c:pt idx="6">
                  <c:v>17353851.458700001</c:v>
                </c:pt>
                <c:pt idx="7">
                  <c:v>11211606.7816</c:v>
                </c:pt>
                <c:pt idx="8">
                  <c:v>13413100.6866</c:v>
                </c:pt>
                <c:pt idx="9">
                  <c:v>10061299.773</c:v>
                </c:pt>
                <c:pt idx="10">
                  <c:v>13574546.633099999</c:v>
                </c:pt>
                <c:pt idx="11">
                  <c:v>5397158.5284000002</c:v>
                </c:pt>
                <c:pt idx="12">
                  <c:v>1974293.5207</c:v>
                </c:pt>
                <c:pt idx="13">
                  <c:v>15153458.335000001</c:v>
                </c:pt>
                <c:pt idx="14">
                  <c:v>11924411.2316</c:v>
                </c:pt>
                <c:pt idx="15">
                  <c:v>24906146.8686</c:v>
                </c:pt>
                <c:pt idx="16">
                  <c:v>22990024.524300002</c:v>
                </c:pt>
                <c:pt idx="17">
                  <c:v>6642422.8748000003</c:v>
                </c:pt>
                <c:pt idx="18">
                  <c:v>12967928.029999999</c:v>
                </c:pt>
                <c:pt idx="19">
                  <c:v>28559805.6105</c:v>
                </c:pt>
                <c:pt idx="20">
                  <c:v>19798139.985599998</c:v>
                </c:pt>
                <c:pt idx="21">
                  <c:v>29611069.5645</c:v>
                </c:pt>
                <c:pt idx="22">
                  <c:v>23819608.177900001</c:v>
                </c:pt>
                <c:pt idx="23">
                  <c:v>9694952.3359999992</c:v>
                </c:pt>
                <c:pt idx="24">
                  <c:v>792391.58459999994</c:v>
                </c:pt>
                <c:pt idx="25">
                  <c:v>29956582.733399998</c:v>
                </c:pt>
                <c:pt idx="26">
                  <c:v>110882.5068</c:v>
                </c:pt>
                <c:pt idx="27">
                  <c:v>6349519.3638000004</c:v>
                </c:pt>
                <c:pt idx="28">
                  <c:v>10318810.0272</c:v>
                </c:pt>
                <c:pt idx="29">
                  <c:v>4453734.6876999997</c:v>
                </c:pt>
                <c:pt idx="30">
                  <c:v>16192411.1173</c:v>
                </c:pt>
                <c:pt idx="31">
                  <c:v>47791.921600000001</c:v>
                </c:pt>
                <c:pt idx="32">
                  <c:v>16379592.8594</c:v>
                </c:pt>
                <c:pt idx="33">
                  <c:v>25941909.833799999</c:v>
                </c:pt>
                <c:pt idx="34">
                  <c:v>19983063.0561</c:v>
                </c:pt>
                <c:pt idx="35">
                  <c:v>14969044.283500001</c:v>
                </c:pt>
                <c:pt idx="36">
                  <c:v>20971884.737199999</c:v>
                </c:pt>
                <c:pt idx="37">
                  <c:v>5018737.5745999999</c:v>
                </c:pt>
                <c:pt idx="38">
                  <c:v>5688651.0158000002</c:v>
                </c:pt>
                <c:pt idx="39">
                  <c:v>24475326.5867</c:v>
                </c:pt>
                <c:pt idx="40">
                  <c:v>11418445.4695</c:v>
                </c:pt>
                <c:pt idx="41">
                  <c:v>21962851.263599999</c:v>
                </c:pt>
                <c:pt idx="42">
                  <c:v>23153552.507599998</c:v>
                </c:pt>
                <c:pt idx="43">
                  <c:v>27457648.3748</c:v>
                </c:pt>
                <c:pt idx="44">
                  <c:v>1594501.6647000001</c:v>
                </c:pt>
                <c:pt idx="45">
                  <c:v>7281691.9382999996</c:v>
                </c:pt>
                <c:pt idx="46">
                  <c:v>23518265.962400001</c:v>
                </c:pt>
                <c:pt idx="47">
                  <c:v>3921469.0978999999</c:v>
                </c:pt>
                <c:pt idx="48">
                  <c:v>8374879.0009000003</c:v>
                </c:pt>
                <c:pt idx="49">
                  <c:v>2583078.8037999999</c:v>
                </c:pt>
                <c:pt idx="50">
                  <c:v>14011974.0339</c:v>
                </c:pt>
                <c:pt idx="51">
                  <c:v>18934734.430599999</c:v>
                </c:pt>
                <c:pt idx="52">
                  <c:v>77993.078200000004</c:v>
                </c:pt>
                <c:pt idx="53">
                  <c:v>12601924.446699999</c:v>
                </c:pt>
                <c:pt idx="54">
                  <c:v>12336200.919199999</c:v>
                </c:pt>
                <c:pt idx="55">
                  <c:v>12949182.965299999</c:v>
                </c:pt>
                <c:pt idx="56">
                  <c:v>3218075.0106000002</c:v>
                </c:pt>
                <c:pt idx="57">
                  <c:v>14250505.172800001</c:v>
                </c:pt>
                <c:pt idx="58">
                  <c:v>29644160.633699998</c:v>
                </c:pt>
                <c:pt idx="59">
                  <c:v>2846281.0967000001</c:v>
                </c:pt>
                <c:pt idx="60">
                  <c:v>24776891.9844</c:v>
                </c:pt>
                <c:pt idx="61">
                  <c:v>21636948.2696</c:v>
                </c:pt>
                <c:pt idx="62">
                  <c:v>5257481.7813999997</c:v>
                </c:pt>
                <c:pt idx="63">
                  <c:v>21811258.481699999</c:v>
                </c:pt>
                <c:pt idx="64">
                  <c:v>27630061.0777</c:v>
                </c:pt>
                <c:pt idx="65">
                  <c:v>27449795.258000001</c:v>
                </c:pt>
                <c:pt idx="66">
                  <c:v>15896057.1261</c:v>
                </c:pt>
                <c:pt idx="67">
                  <c:v>27915776.059</c:v>
                </c:pt>
                <c:pt idx="68">
                  <c:v>27388054.564300001</c:v>
                </c:pt>
                <c:pt idx="69">
                  <c:v>15232450.550100001</c:v>
                </c:pt>
                <c:pt idx="70">
                  <c:v>19523196.9932</c:v>
                </c:pt>
                <c:pt idx="71">
                  <c:v>19262446.867899999</c:v>
                </c:pt>
                <c:pt idx="72">
                  <c:v>12572332.933800001</c:v>
                </c:pt>
                <c:pt idx="73">
                  <c:v>15827008.977499999</c:v>
                </c:pt>
                <c:pt idx="74">
                  <c:v>12061587.573100001</c:v>
                </c:pt>
                <c:pt idx="75">
                  <c:v>15839191.948000001</c:v>
                </c:pt>
                <c:pt idx="76">
                  <c:v>14247699.163000001</c:v>
                </c:pt>
                <c:pt idx="77">
                  <c:v>10751079.3026</c:v>
                </c:pt>
                <c:pt idx="78">
                  <c:v>7288327.9888000004</c:v>
                </c:pt>
                <c:pt idx="79">
                  <c:v>12223215.5745</c:v>
                </c:pt>
                <c:pt idx="80">
                  <c:v>27794550.9263</c:v>
                </c:pt>
                <c:pt idx="81">
                  <c:v>21855867.1241</c:v>
                </c:pt>
                <c:pt idx="82">
                  <c:v>11149450.6668</c:v>
                </c:pt>
                <c:pt idx="83">
                  <c:v>13419455.063300001</c:v>
                </c:pt>
                <c:pt idx="84">
                  <c:v>15406147.542099999</c:v>
                </c:pt>
                <c:pt idx="85">
                  <c:v>12387170.2107</c:v>
                </c:pt>
                <c:pt idx="86">
                  <c:v>2739129.8221</c:v>
                </c:pt>
                <c:pt idx="87">
                  <c:v>10992541.662900001</c:v>
                </c:pt>
                <c:pt idx="88">
                  <c:v>26809519.5977</c:v>
                </c:pt>
                <c:pt idx="89">
                  <c:v>16426525.8873</c:v>
                </c:pt>
                <c:pt idx="90">
                  <c:v>3009187.4501999998</c:v>
                </c:pt>
                <c:pt idx="91">
                  <c:v>14766525.0417</c:v>
                </c:pt>
                <c:pt idx="92">
                  <c:v>11388563.956800001</c:v>
                </c:pt>
                <c:pt idx="93">
                  <c:v>11341171.712300001</c:v>
                </c:pt>
                <c:pt idx="94">
                  <c:v>8308069.4910000004</c:v>
                </c:pt>
                <c:pt idx="95">
                  <c:v>4874355.4786</c:v>
                </c:pt>
                <c:pt idx="96">
                  <c:v>20547852.623500001</c:v>
                </c:pt>
                <c:pt idx="97">
                  <c:v>2696126.9289000002</c:v>
                </c:pt>
                <c:pt idx="98">
                  <c:v>4461921.0270999996</c:v>
                </c:pt>
                <c:pt idx="99">
                  <c:v>8938931.9945999999</c:v>
                </c:pt>
                <c:pt idx="100">
                  <c:v>736539.3763</c:v>
                </c:pt>
                <c:pt idx="101">
                  <c:v>2680862.1616000002</c:v>
                </c:pt>
                <c:pt idx="102">
                  <c:v>2593134.8231000002</c:v>
                </c:pt>
                <c:pt idx="103">
                  <c:v>1124977.1808</c:v>
                </c:pt>
                <c:pt idx="104">
                  <c:v>8704.3340000000007</c:v>
                </c:pt>
                <c:pt idx="105">
                  <c:v>13395.294099999999</c:v>
                </c:pt>
                <c:pt idx="106">
                  <c:v>2002954.9594000001</c:v>
                </c:pt>
                <c:pt idx="107">
                  <c:v>2686520.6908999998</c:v>
                </c:pt>
                <c:pt idx="108">
                  <c:v>798705.37609999999</c:v>
                </c:pt>
                <c:pt idx="109">
                  <c:v>665017.86780000001</c:v>
                </c:pt>
                <c:pt idx="110">
                  <c:v>1950926.7751</c:v>
                </c:pt>
                <c:pt idx="111">
                  <c:v>2303142.2283000001</c:v>
                </c:pt>
                <c:pt idx="112">
                  <c:v>2125350.6011000001</c:v>
                </c:pt>
                <c:pt idx="113">
                  <c:v>1313369.7516000001</c:v>
                </c:pt>
                <c:pt idx="114">
                  <c:v>1139720.7165999999</c:v>
                </c:pt>
                <c:pt idx="115">
                  <c:v>783546.70979999995</c:v>
                </c:pt>
                <c:pt idx="116">
                  <c:v>963166.20239999995</c:v>
                </c:pt>
                <c:pt idx="117">
                  <c:v>2610595.4756999998</c:v>
                </c:pt>
                <c:pt idx="118">
                  <c:v>2662309.7689</c:v>
                </c:pt>
                <c:pt idx="119">
                  <c:v>1821170.4897</c:v>
                </c:pt>
                <c:pt idx="120">
                  <c:v>2787665.4001000002</c:v>
                </c:pt>
                <c:pt idx="121">
                  <c:v>2445529.3056000001</c:v>
                </c:pt>
                <c:pt idx="122">
                  <c:v>344966.30699999997</c:v>
                </c:pt>
                <c:pt idx="123">
                  <c:v>2319961.3678000001</c:v>
                </c:pt>
                <c:pt idx="124">
                  <c:v>181575.44039999999</c:v>
                </c:pt>
                <c:pt idx="125">
                  <c:v>2189603.9449</c:v>
                </c:pt>
                <c:pt idx="126">
                  <c:v>428196.28370000003</c:v>
                </c:pt>
                <c:pt idx="127">
                  <c:v>1626173.7615</c:v>
                </c:pt>
                <c:pt idx="128">
                  <c:v>52780.7088</c:v>
                </c:pt>
                <c:pt idx="129">
                  <c:v>873745.98479999998</c:v>
                </c:pt>
                <c:pt idx="130">
                  <c:v>1467787.2390000001</c:v>
                </c:pt>
                <c:pt idx="131">
                  <c:v>633511.36100000003</c:v>
                </c:pt>
                <c:pt idx="132">
                  <c:v>77703.400999999998</c:v>
                </c:pt>
                <c:pt idx="133">
                  <c:v>2618918.1118000001</c:v>
                </c:pt>
                <c:pt idx="134">
                  <c:v>1139643.1462999999</c:v>
                </c:pt>
                <c:pt idx="135">
                  <c:v>1149778.3717</c:v>
                </c:pt>
                <c:pt idx="136">
                  <c:v>617458.06770000001</c:v>
                </c:pt>
                <c:pt idx="137">
                  <c:v>2770816.5970000001</c:v>
                </c:pt>
                <c:pt idx="138">
                  <c:v>1509940.1052999999</c:v>
                </c:pt>
                <c:pt idx="139">
                  <c:v>2044625.3829000001</c:v>
                </c:pt>
                <c:pt idx="140">
                  <c:v>81952.523000000001</c:v>
                </c:pt>
                <c:pt idx="141">
                  <c:v>1367935.1714999999</c:v>
                </c:pt>
                <c:pt idx="142">
                  <c:v>497647.92460000003</c:v>
                </c:pt>
                <c:pt idx="143">
                  <c:v>2549616.412</c:v>
                </c:pt>
                <c:pt idx="144">
                  <c:v>923961.64540000004</c:v>
                </c:pt>
                <c:pt idx="145">
                  <c:v>436314.18910000002</c:v>
                </c:pt>
                <c:pt idx="146">
                  <c:v>235621.66570000001</c:v>
                </c:pt>
                <c:pt idx="147">
                  <c:v>1297329.2392</c:v>
                </c:pt>
                <c:pt idx="148">
                  <c:v>487865.03379999998</c:v>
                </c:pt>
                <c:pt idx="149">
                  <c:v>2107759.4114999999</c:v>
                </c:pt>
                <c:pt idx="150">
                  <c:v>932904.55359999998</c:v>
                </c:pt>
                <c:pt idx="151">
                  <c:v>1885709.7080000001</c:v>
                </c:pt>
                <c:pt idx="152">
                  <c:v>1874375.6106</c:v>
                </c:pt>
                <c:pt idx="153">
                  <c:v>1483495.4898999999</c:v>
                </c:pt>
                <c:pt idx="154">
                  <c:v>2689115.5479000001</c:v>
                </c:pt>
                <c:pt idx="155">
                  <c:v>1829661.7711</c:v>
                </c:pt>
                <c:pt idx="156">
                  <c:v>734948.68389999995</c:v>
                </c:pt>
                <c:pt idx="157">
                  <c:v>290204.74209999997</c:v>
                </c:pt>
                <c:pt idx="158">
                  <c:v>2348678.6216000002</c:v>
                </c:pt>
                <c:pt idx="159">
                  <c:v>2636.9313999999999</c:v>
                </c:pt>
                <c:pt idx="160">
                  <c:v>1868677.4461000001</c:v>
                </c:pt>
                <c:pt idx="161">
                  <c:v>1326845.2703</c:v>
                </c:pt>
                <c:pt idx="162">
                  <c:v>2618896.7393999998</c:v>
                </c:pt>
                <c:pt idx="163">
                  <c:v>870222.554</c:v>
                </c:pt>
                <c:pt idx="164">
                  <c:v>181242.50839999999</c:v>
                </c:pt>
                <c:pt idx="165">
                  <c:v>2847014.2115000002</c:v>
                </c:pt>
                <c:pt idx="166">
                  <c:v>2605914.9846000001</c:v>
                </c:pt>
                <c:pt idx="167">
                  <c:v>2164002.2919000001</c:v>
                </c:pt>
                <c:pt idx="168">
                  <c:v>2374062.4010000001</c:v>
                </c:pt>
                <c:pt idx="169">
                  <c:v>1445060.1989</c:v>
                </c:pt>
                <c:pt idx="170">
                  <c:v>371706.70150000002</c:v>
                </c:pt>
                <c:pt idx="171">
                  <c:v>473620.68780000001</c:v>
                </c:pt>
                <c:pt idx="172">
                  <c:v>1869949.3873000001</c:v>
                </c:pt>
                <c:pt idx="173">
                  <c:v>1165528.9177999999</c:v>
                </c:pt>
                <c:pt idx="174">
                  <c:v>2133546.6453</c:v>
                </c:pt>
                <c:pt idx="175">
                  <c:v>1948522.8914000001</c:v>
                </c:pt>
                <c:pt idx="176">
                  <c:v>2987346.8437999999</c:v>
                </c:pt>
                <c:pt idx="177">
                  <c:v>2388158.3117999998</c:v>
                </c:pt>
                <c:pt idx="178">
                  <c:v>1516703.9686</c:v>
                </c:pt>
                <c:pt idx="179">
                  <c:v>1158783.3785999999</c:v>
                </c:pt>
                <c:pt idx="180">
                  <c:v>1704611.0134999999</c:v>
                </c:pt>
                <c:pt idx="181">
                  <c:v>1416256.8084</c:v>
                </c:pt>
                <c:pt idx="182">
                  <c:v>37084.650699999998</c:v>
                </c:pt>
                <c:pt idx="183">
                  <c:v>2760978.3983</c:v>
                </c:pt>
                <c:pt idx="184">
                  <c:v>2197247.2039999999</c:v>
                </c:pt>
                <c:pt idx="185">
                  <c:v>2332316.2525999998</c:v>
                </c:pt>
                <c:pt idx="186">
                  <c:v>934757.1679</c:v>
                </c:pt>
                <c:pt idx="187">
                  <c:v>2202448.0323999999</c:v>
                </c:pt>
                <c:pt idx="188">
                  <c:v>1541236.2863</c:v>
                </c:pt>
                <c:pt idx="189">
                  <c:v>2847786.9182000002</c:v>
                </c:pt>
                <c:pt idx="190">
                  <c:v>2278616.4051999999</c:v>
                </c:pt>
                <c:pt idx="191">
                  <c:v>2226010.7078</c:v>
                </c:pt>
                <c:pt idx="192">
                  <c:v>165961.9748</c:v>
                </c:pt>
                <c:pt idx="193">
                  <c:v>176432.5575</c:v>
                </c:pt>
                <c:pt idx="194">
                  <c:v>2913012.5767000001</c:v>
                </c:pt>
                <c:pt idx="195">
                  <c:v>55334.114500000003</c:v>
                </c:pt>
                <c:pt idx="196">
                  <c:v>1237165.5629</c:v>
                </c:pt>
                <c:pt idx="197">
                  <c:v>106597.6541</c:v>
                </c:pt>
                <c:pt idx="198">
                  <c:v>2806480.9803999998</c:v>
                </c:pt>
                <c:pt idx="199">
                  <c:v>2700547.5251000002</c:v>
                </c:pt>
                <c:pt idx="200">
                  <c:v>176914.5307</c:v>
                </c:pt>
                <c:pt idx="201">
                  <c:v>150372.09640000001</c:v>
                </c:pt>
                <c:pt idx="202">
                  <c:v>207159.9688</c:v>
                </c:pt>
                <c:pt idx="203">
                  <c:v>158829.51319999999</c:v>
                </c:pt>
                <c:pt idx="204">
                  <c:v>250931.2175</c:v>
                </c:pt>
                <c:pt idx="205">
                  <c:v>55238.374199999998</c:v>
                </c:pt>
                <c:pt idx="206">
                  <c:v>159268.535</c:v>
                </c:pt>
                <c:pt idx="207">
                  <c:v>239557.7653</c:v>
                </c:pt>
                <c:pt idx="208">
                  <c:v>60041.874300000003</c:v>
                </c:pt>
                <c:pt idx="209">
                  <c:v>155642.25839999999</c:v>
                </c:pt>
                <c:pt idx="210">
                  <c:v>135939.71830000001</c:v>
                </c:pt>
                <c:pt idx="211">
                  <c:v>181052.9467</c:v>
                </c:pt>
                <c:pt idx="212">
                  <c:v>229254.93650000001</c:v>
                </c:pt>
                <c:pt idx="213">
                  <c:v>269764.81349999999</c:v>
                </c:pt>
                <c:pt idx="214">
                  <c:v>109197.39780000001</c:v>
                </c:pt>
                <c:pt idx="215">
                  <c:v>239202.74900000001</c:v>
                </c:pt>
                <c:pt idx="216">
                  <c:v>261627.51920000001</c:v>
                </c:pt>
                <c:pt idx="217">
                  <c:v>288789.2316</c:v>
                </c:pt>
                <c:pt idx="218">
                  <c:v>223681.27929999999</c:v>
                </c:pt>
                <c:pt idx="219">
                  <c:v>250297.2035</c:v>
                </c:pt>
                <c:pt idx="220">
                  <c:v>117917.5376</c:v>
                </c:pt>
                <c:pt idx="221">
                  <c:v>236250.2966</c:v>
                </c:pt>
                <c:pt idx="222">
                  <c:v>152724.31289999999</c:v>
                </c:pt>
                <c:pt idx="223">
                  <c:v>140330.49110000001</c:v>
                </c:pt>
                <c:pt idx="224">
                  <c:v>108131.13069999999</c:v>
                </c:pt>
                <c:pt idx="225">
                  <c:v>234979.94039999999</c:v>
                </c:pt>
                <c:pt idx="226">
                  <c:v>221205.2267</c:v>
                </c:pt>
                <c:pt idx="227">
                  <c:v>77287.303799999994</c:v>
                </c:pt>
                <c:pt idx="228">
                  <c:v>206909.5417</c:v>
                </c:pt>
                <c:pt idx="229">
                  <c:v>55374.978499999997</c:v>
                </c:pt>
                <c:pt idx="230">
                  <c:v>19205.576300000001</c:v>
                </c:pt>
                <c:pt idx="231">
                  <c:v>287624.93400000001</c:v>
                </c:pt>
                <c:pt idx="232">
                  <c:v>28140.0406</c:v>
                </c:pt>
                <c:pt idx="233">
                  <c:v>174600.7726</c:v>
                </c:pt>
                <c:pt idx="234">
                  <c:v>118249.6508</c:v>
                </c:pt>
                <c:pt idx="235">
                  <c:v>199578.12959999999</c:v>
                </c:pt>
                <c:pt idx="236">
                  <c:v>12571.034600000001</c:v>
                </c:pt>
                <c:pt idx="237">
                  <c:v>207268.5889</c:v>
                </c:pt>
                <c:pt idx="238">
                  <c:v>45876.0173</c:v>
                </c:pt>
                <c:pt idx="239">
                  <c:v>97962.3079</c:v>
                </c:pt>
                <c:pt idx="240">
                  <c:v>183912.6581</c:v>
                </c:pt>
                <c:pt idx="241">
                  <c:v>182734.12549999999</c:v>
                </c:pt>
                <c:pt idx="242">
                  <c:v>25367.8884</c:v>
                </c:pt>
                <c:pt idx="243">
                  <c:v>159167.3683</c:v>
                </c:pt>
                <c:pt idx="244">
                  <c:v>292098.01140000002</c:v>
                </c:pt>
                <c:pt idx="245">
                  <c:v>136302.18700000001</c:v>
                </c:pt>
                <c:pt idx="246">
                  <c:v>90021.128100000002</c:v>
                </c:pt>
                <c:pt idx="247">
                  <c:v>34078.6319</c:v>
                </c:pt>
                <c:pt idx="248">
                  <c:v>72338.909400000004</c:v>
                </c:pt>
                <c:pt idx="249">
                  <c:v>114948.1189</c:v>
                </c:pt>
                <c:pt idx="250">
                  <c:v>12919.8554</c:v>
                </c:pt>
                <c:pt idx="251">
                  <c:v>266034.81579999998</c:v>
                </c:pt>
                <c:pt idx="252">
                  <c:v>36730.163999999997</c:v>
                </c:pt>
                <c:pt idx="253">
                  <c:v>195008.64120000001</c:v>
                </c:pt>
                <c:pt idx="254">
                  <c:v>253855.41510000001</c:v>
                </c:pt>
                <c:pt idx="255">
                  <c:v>132081.4932</c:v>
                </c:pt>
                <c:pt idx="256">
                  <c:v>170365.54819999999</c:v>
                </c:pt>
                <c:pt idx="257">
                  <c:v>169355.3083</c:v>
                </c:pt>
                <c:pt idx="258">
                  <c:v>34280.7667</c:v>
                </c:pt>
                <c:pt idx="259">
                  <c:v>95631.720499999996</c:v>
                </c:pt>
                <c:pt idx="260">
                  <c:v>103399.0039</c:v>
                </c:pt>
                <c:pt idx="261">
                  <c:v>198631.8469</c:v>
                </c:pt>
                <c:pt idx="262">
                  <c:v>165946.44219999999</c:v>
                </c:pt>
                <c:pt idx="263">
                  <c:v>177415.48389999999</c:v>
                </c:pt>
                <c:pt idx="264">
                  <c:v>100912.3855</c:v>
                </c:pt>
                <c:pt idx="265">
                  <c:v>165257.90979999999</c:v>
                </c:pt>
                <c:pt idx="266">
                  <c:v>104705.3213</c:v>
                </c:pt>
                <c:pt idx="267">
                  <c:v>186534.3131</c:v>
                </c:pt>
                <c:pt idx="268">
                  <c:v>144966.76180000001</c:v>
                </c:pt>
                <c:pt idx="269">
                  <c:v>130323.55349999999</c:v>
                </c:pt>
                <c:pt idx="270">
                  <c:v>204439.66</c:v>
                </c:pt>
                <c:pt idx="271">
                  <c:v>178801.56409999999</c:v>
                </c:pt>
                <c:pt idx="272">
                  <c:v>83198.181500000006</c:v>
                </c:pt>
                <c:pt idx="273">
                  <c:v>274779.46269999997</c:v>
                </c:pt>
                <c:pt idx="274">
                  <c:v>110341.4342</c:v>
                </c:pt>
                <c:pt idx="275">
                  <c:v>193300.0251</c:v>
                </c:pt>
                <c:pt idx="276">
                  <c:v>77243.746899999998</c:v>
                </c:pt>
                <c:pt idx="277">
                  <c:v>288295.25770000002</c:v>
                </c:pt>
                <c:pt idx="278">
                  <c:v>292025.33350000001</c:v>
                </c:pt>
                <c:pt idx="279">
                  <c:v>222200.34969999999</c:v>
                </c:pt>
                <c:pt idx="280">
                  <c:v>177401.35699999999</c:v>
                </c:pt>
                <c:pt idx="281">
                  <c:v>197105.63070000001</c:v>
                </c:pt>
                <c:pt idx="282">
                  <c:v>262201.39919999999</c:v>
                </c:pt>
                <c:pt idx="283">
                  <c:v>286129.73320000002</c:v>
                </c:pt>
                <c:pt idx="284">
                  <c:v>88781.474700000006</c:v>
                </c:pt>
                <c:pt idx="285">
                  <c:v>25934.422999999999</c:v>
                </c:pt>
                <c:pt idx="286">
                  <c:v>165847.5191</c:v>
                </c:pt>
                <c:pt idx="287">
                  <c:v>135935.63690000001</c:v>
                </c:pt>
                <c:pt idx="288">
                  <c:v>8165.8377</c:v>
                </c:pt>
                <c:pt idx="289">
                  <c:v>297038.68729999999</c:v>
                </c:pt>
                <c:pt idx="290">
                  <c:v>20162.4198</c:v>
                </c:pt>
                <c:pt idx="291">
                  <c:v>164584.4406</c:v>
                </c:pt>
                <c:pt idx="292">
                  <c:v>38397.614699999998</c:v>
                </c:pt>
                <c:pt idx="293">
                  <c:v>215099.4129</c:v>
                </c:pt>
                <c:pt idx="294">
                  <c:v>6297.3679000000002</c:v>
                </c:pt>
                <c:pt idx="295">
                  <c:v>187751.1091</c:v>
                </c:pt>
                <c:pt idx="296">
                  <c:v>152425.64629999999</c:v>
                </c:pt>
                <c:pt idx="297">
                  <c:v>110725.2023</c:v>
                </c:pt>
                <c:pt idx="298">
                  <c:v>71301.474900000001</c:v>
                </c:pt>
                <c:pt idx="299">
                  <c:v>147375.0055</c:v>
                </c:pt>
                <c:pt idx="300">
                  <c:v>7257.9587000000001</c:v>
                </c:pt>
                <c:pt idx="301">
                  <c:v>12132.3408</c:v>
                </c:pt>
                <c:pt idx="302">
                  <c:v>1942.0318</c:v>
                </c:pt>
                <c:pt idx="303">
                  <c:v>17871.3066</c:v>
                </c:pt>
                <c:pt idx="304">
                  <c:v>9537.8850000000002</c:v>
                </c:pt>
                <c:pt idx="305">
                  <c:v>22982.406299999999</c:v>
                </c:pt>
                <c:pt idx="306">
                  <c:v>20848.2294</c:v>
                </c:pt>
                <c:pt idx="307">
                  <c:v>13206.8264</c:v>
                </c:pt>
                <c:pt idx="308">
                  <c:v>7221.5405000000001</c:v>
                </c:pt>
                <c:pt idx="309">
                  <c:v>26715.8367</c:v>
                </c:pt>
                <c:pt idx="310">
                  <c:v>2268.5140000000001</c:v>
                </c:pt>
                <c:pt idx="311">
                  <c:v>3493.4261999999999</c:v>
                </c:pt>
                <c:pt idx="312">
                  <c:v>28650.026600000001</c:v>
                </c:pt>
                <c:pt idx="313">
                  <c:v>17881.781599999998</c:v>
                </c:pt>
                <c:pt idx="314">
                  <c:v>8602.7864000000009</c:v>
                </c:pt>
                <c:pt idx="315">
                  <c:v>4760.5142999999998</c:v>
                </c:pt>
                <c:pt idx="316">
                  <c:v>15629.453799999999</c:v>
                </c:pt>
                <c:pt idx="317">
                  <c:v>8482.1638000000003</c:v>
                </c:pt>
                <c:pt idx="318">
                  <c:v>5976.9780000000001</c:v>
                </c:pt>
                <c:pt idx="319">
                  <c:v>14930.198</c:v>
                </c:pt>
                <c:pt idx="320">
                  <c:v>4443.6885000000002</c:v>
                </c:pt>
                <c:pt idx="321">
                  <c:v>2152.6453000000001</c:v>
                </c:pt>
                <c:pt idx="322">
                  <c:v>15120.408799999999</c:v>
                </c:pt>
                <c:pt idx="323">
                  <c:v>25341.7575</c:v>
                </c:pt>
                <c:pt idx="324">
                  <c:v>3720.5039000000002</c:v>
                </c:pt>
                <c:pt idx="325">
                  <c:v>6894.2614999999996</c:v>
                </c:pt>
                <c:pt idx="326">
                  <c:v>19129.257399999999</c:v>
                </c:pt>
                <c:pt idx="327">
                  <c:v>8139.16</c:v>
                </c:pt>
                <c:pt idx="328">
                  <c:v>10194.331099999999</c:v>
                </c:pt>
                <c:pt idx="329">
                  <c:v>10382.603300000001</c:v>
                </c:pt>
                <c:pt idx="330">
                  <c:v>3685.6846999999998</c:v>
                </c:pt>
                <c:pt idx="331">
                  <c:v>415.12889999999999</c:v>
                </c:pt>
                <c:pt idx="332">
                  <c:v>21589.996299999999</c:v>
                </c:pt>
                <c:pt idx="333">
                  <c:v>6650.0622000000003</c:v>
                </c:pt>
                <c:pt idx="334">
                  <c:v>29162.233</c:v>
                </c:pt>
                <c:pt idx="335">
                  <c:v>23801.801100000001</c:v>
                </c:pt>
                <c:pt idx="336">
                  <c:v>19883.556799999998</c:v>
                </c:pt>
                <c:pt idx="337">
                  <c:v>28786.854500000001</c:v>
                </c:pt>
                <c:pt idx="338">
                  <c:v>20321.9139</c:v>
                </c:pt>
                <c:pt idx="339">
                  <c:v>19106.947899999999</c:v>
                </c:pt>
                <c:pt idx="340">
                  <c:v>19978.191999999999</c:v>
                </c:pt>
                <c:pt idx="341">
                  <c:v>22287.987400000002</c:v>
                </c:pt>
                <c:pt idx="342">
                  <c:v>21229.444200000002</c:v>
                </c:pt>
                <c:pt idx="343">
                  <c:v>5761.8068000000003</c:v>
                </c:pt>
                <c:pt idx="344">
                  <c:v>22381.129499999999</c:v>
                </c:pt>
                <c:pt idx="345">
                  <c:v>20614.375899999999</c:v>
                </c:pt>
                <c:pt idx="346">
                  <c:v>13877.534299999999</c:v>
                </c:pt>
                <c:pt idx="347">
                  <c:v>24868.251799999998</c:v>
                </c:pt>
                <c:pt idx="348">
                  <c:v>7600.4764999999998</c:v>
                </c:pt>
                <c:pt idx="349">
                  <c:v>16591.260399999999</c:v>
                </c:pt>
                <c:pt idx="350">
                  <c:v>9391.4030000000002</c:v>
                </c:pt>
                <c:pt idx="351">
                  <c:v>2792.5965999999999</c:v>
                </c:pt>
                <c:pt idx="352">
                  <c:v>28192.577000000001</c:v>
                </c:pt>
                <c:pt idx="353">
                  <c:v>27140.077000000001</c:v>
                </c:pt>
                <c:pt idx="354">
                  <c:v>11706.651400000001</c:v>
                </c:pt>
                <c:pt idx="355">
                  <c:v>8158.5919000000004</c:v>
                </c:pt>
                <c:pt idx="356">
                  <c:v>1874.9798000000001</c:v>
                </c:pt>
                <c:pt idx="357">
                  <c:v>13484.368700000001</c:v>
                </c:pt>
                <c:pt idx="358">
                  <c:v>23242.379099999998</c:v>
                </c:pt>
                <c:pt idx="359">
                  <c:v>4824.5838999999996</c:v>
                </c:pt>
                <c:pt idx="360">
                  <c:v>11868.7088</c:v>
                </c:pt>
                <c:pt idx="361">
                  <c:v>24911.404200000001</c:v>
                </c:pt>
                <c:pt idx="362">
                  <c:v>501.83679999999998</c:v>
                </c:pt>
                <c:pt idx="363">
                  <c:v>5521.8651</c:v>
                </c:pt>
                <c:pt idx="364">
                  <c:v>2561.4078</c:v>
                </c:pt>
                <c:pt idx="365">
                  <c:v>18639.528399999999</c:v>
                </c:pt>
                <c:pt idx="366">
                  <c:v>4096.0942999999997</c:v>
                </c:pt>
                <c:pt idx="367">
                  <c:v>11243.4959</c:v>
                </c:pt>
                <c:pt idx="368">
                  <c:v>9933.9928</c:v>
                </c:pt>
                <c:pt idx="369">
                  <c:v>8854.6332000000002</c:v>
                </c:pt>
                <c:pt idx="370">
                  <c:v>13118.181200000001</c:v>
                </c:pt>
                <c:pt idx="371">
                  <c:v>19251.567299999999</c:v>
                </c:pt>
                <c:pt idx="372">
                  <c:v>6324.0820000000003</c:v>
                </c:pt>
                <c:pt idx="373">
                  <c:v>17659.712500000001</c:v>
                </c:pt>
                <c:pt idx="374">
                  <c:v>24197.2647</c:v>
                </c:pt>
                <c:pt idx="375">
                  <c:v>11984.5826</c:v>
                </c:pt>
                <c:pt idx="376">
                  <c:v>22940.981500000002</c:v>
                </c:pt>
                <c:pt idx="377">
                  <c:v>1283.5830000000001</c:v>
                </c:pt>
                <c:pt idx="378">
                  <c:v>18201.4208</c:v>
                </c:pt>
                <c:pt idx="379">
                  <c:v>22871.2582</c:v>
                </c:pt>
                <c:pt idx="380">
                  <c:v>23273.973000000002</c:v>
                </c:pt>
                <c:pt idx="381">
                  <c:v>8216.3669000000009</c:v>
                </c:pt>
                <c:pt idx="382">
                  <c:v>13182.615400000001</c:v>
                </c:pt>
                <c:pt idx="383">
                  <c:v>8746.3081999999995</c:v>
                </c:pt>
                <c:pt idx="384">
                  <c:v>14926.705900000001</c:v>
                </c:pt>
                <c:pt idx="385">
                  <c:v>22339.502799999998</c:v>
                </c:pt>
                <c:pt idx="386">
                  <c:v>12379.651</c:v>
                </c:pt>
                <c:pt idx="387">
                  <c:v>9394.1258999999991</c:v>
                </c:pt>
                <c:pt idx="388">
                  <c:v>15742.0088</c:v>
                </c:pt>
                <c:pt idx="389">
                  <c:v>2455.7743</c:v>
                </c:pt>
                <c:pt idx="390">
                  <c:v>8116.2794999999996</c:v>
                </c:pt>
                <c:pt idx="391">
                  <c:v>21432.472000000002</c:v>
                </c:pt>
                <c:pt idx="392">
                  <c:v>13205.754800000001</c:v>
                </c:pt>
                <c:pt idx="393">
                  <c:v>29222.171399999999</c:v>
                </c:pt>
                <c:pt idx="394">
                  <c:v>25749.614000000001</c:v>
                </c:pt>
                <c:pt idx="395">
                  <c:v>13669.7415</c:v>
                </c:pt>
                <c:pt idx="396">
                  <c:v>29773.488300000001</c:v>
                </c:pt>
                <c:pt idx="397">
                  <c:v>29052.516299999999</c:v>
                </c:pt>
                <c:pt idx="398">
                  <c:v>3862.9740000000002</c:v>
                </c:pt>
                <c:pt idx="399">
                  <c:v>26818.222600000001</c:v>
                </c:pt>
                <c:pt idx="400">
                  <c:v>127.5797</c:v>
                </c:pt>
                <c:pt idx="401">
                  <c:v>926.50239999999997</c:v>
                </c:pt>
                <c:pt idx="402">
                  <c:v>2066.0987</c:v>
                </c:pt>
                <c:pt idx="403">
                  <c:v>2378.8726000000001</c:v>
                </c:pt>
                <c:pt idx="404">
                  <c:v>598.16459999999995</c:v>
                </c:pt>
                <c:pt idx="405">
                  <c:v>2658.8733999999999</c:v>
                </c:pt>
                <c:pt idx="406">
                  <c:v>1865.2722000000001</c:v>
                </c:pt>
                <c:pt idx="407">
                  <c:v>2963.6988000000001</c:v>
                </c:pt>
                <c:pt idx="408">
                  <c:v>1864.1994</c:v>
                </c:pt>
                <c:pt idx="409">
                  <c:v>434.13080000000002</c:v>
                </c:pt>
                <c:pt idx="410">
                  <c:v>2755.375</c:v>
                </c:pt>
                <c:pt idx="411">
                  <c:v>551.63620000000003</c:v>
                </c:pt>
                <c:pt idx="412">
                  <c:v>1356.1890000000001</c:v>
                </c:pt>
                <c:pt idx="413">
                  <c:v>914.31590000000006</c:v>
                </c:pt>
                <c:pt idx="414">
                  <c:v>543.87559999999996</c:v>
                </c:pt>
                <c:pt idx="415">
                  <c:v>2619.2867999999999</c:v>
                </c:pt>
                <c:pt idx="416">
                  <c:v>500.95839999999998</c:v>
                </c:pt>
                <c:pt idx="417">
                  <c:v>612.99509999999998</c:v>
                </c:pt>
                <c:pt idx="418">
                  <c:v>2206.3631999999998</c:v>
                </c:pt>
                <c:pt idx="419">
                  <c:v>373.10430000000002</c:v>
                </c:pt>
                <c:pt idx="420">
                  <c:v>968.30229999999995</c:v>
                </c:pt>
                <c:pt idx="421">
                  <c:v>526.63610000000006</c:v>
                </c:pt>
                <c:pt idx="422">
                  <c:v>2120.3481999999999</c:v>
                </c:pt>
                <c:pt idx="423">
                  <c:v>2285.7537000000002</c:v>
                </c:pt>
                <c:pt idx="424">
                  <c:v>1122.5577000000001</c:v>
                </c:pt>
                <c:pt idx="425">
                  <c:v>2974.0944</c:v>
                </c:pt>
                <c:pt idx="426">
                  <c:v>581.15200000000004</c:v>
                </c:pt>
                <c:pt idx="427">
                  <c:v>1778.7229</c:v>
                </c:pt>
                <c:pt idx="428">
                  <c:v>2334.7959999999998</c:v>
                </c:pt>
                <c:pt idx="429">
                  <c:v>2644.8265000000001</c:v>
                </c:pt>
                <c:pt idx="430">
                  <c:v>2982.7921000000001</c:v>
                </c:pt>
                <c:pt idx="431">
                  <c:v>1329.8941</c:v>
                </c:pt>
                <c:pt idx="432">
                  <c:v>270.02050000000003</c:v>
                </c:pt>
                <c:pt idx="433">
                  <c:v>1791.4936</c:v>
                </c:pt>
                <c:pt idx="434">
                  <c:v>1454.0617</c:v>
                </c:pt>
                <c:pt idx="435">
                  <c:v>1584.9976999999999</c:v>
                </c:pt>
                <c:pt idx="436">
                  <c:v>1250.5150000000001</c:v>
                </c:pt>
                <c:pt idx="437">
                  <c:v>2712.2029000000002</c:v>
                </c:pt>
                <c:pt idx="438">
                  <c:v>2240.8114</c:v>
                </c:pt>
                <c:pt idx="439">
                  <c:v>606.53039999999999</c:v>
                </c:pt>
                <c:pt idx="440">
                  <c:v>2875.1604000000002</c:v>
                </c:pt>
                <c:pt idx="441">
                  <c:v>1967.2678000000001</c:v>
                </c:pt>
                <c:pt idx="442">
                  <c:v>1943.4681</c:v>
                </c:pt>
                <c:pt idx="443">
                  <c:v>2836.5140000000001</c:v>
                </c:pt>
                <c:pt idx="444">
                  <c:v>1327.5139999999999</c:v>
                </c:pt>
                <c:pt idx="445">
                  <c:v>509.322</c:v>
                </c:pt>
                <c:pt idx="446">
                  <c:v>1593.0436999999999</c:v>
                </c:pt>
                <c:pt idx="447">
                  <c:v>2276.5025999999998</c:v>
                </c:pt>
                <c:pt idx="448">
                  <c:v>1491.5641000000001</c:v>
                </c:pt>
                <c:pt idx="449">
                  <c:v>2384.1579000000002</c:v>
                </c:pt>
                <c:pt idx="450">
                  <c:v>900.21310000000005</c:v>
                </c:pt>
                <c:pt idx="451">
                  <c:v>1913.3998999999999</c:v>
                </c:pt>
                <c:pt idx="452">
                  <c:v>1380.5322000000001</c:v>
                </c:pt>
                <c:pt idx="453">
                  <c:v>1735.1509000000001</c:v>
                </c:pt>
                <c:pt idx="454">
                  <c:v>2539.4928</c:v>
                </c:pt>
                <c:pt idx="455">
                  <c:v>880.4864</c:v>
                </c:pt>
                <c:pt idx="456">
                  <c:v>1238.2325000000001</c:v>
                </c:pt>
                <c:pt idx="457">
                  <c:v>1481.5454</c:v>
                </c:pt>
                <c:pt idx="458">
                  <c:v>170.26910000000001</c:v>
                </c:pt>
                <c:pt idx="459">
                  <c:v>1191.329</c:v>
                </c:pt>
                <c:pt idx="460">
                  <c:v>952.34939999999995</c:v>
                </c:pt>
                <c:pt idx="461">
                  <c:v>2320.2631999999999</c:v>
                </c:pt>
                <c:pt idx="462">
                  <c:v>1113.6715999999999</c:v>
                </c:pt>
                <c:pt idx="463">
                  <c:v>2897.2872000000002</c:v>
                </c:pt>
                <c:pt idx="464">
                  <c:v>2001.7566999999999</c:v>
                </c:pt>
                <c:pt idx="465">
                  <c:v>167.43340000000001</c:v>
                </c:pt>
                <c:pt idx="466">
                  <c:v>1155.6850999999999</c:v>
                </c:pt>
                <c:pt idx="467">
                  <c:v>2369.3285999999998</c:v>
                </c:pt>
                <c:pt idx="468">
                  <c:v>2099.6320000000001</c:v>
                </c:pt>
                <c:pt idx="469">
                  <c:v>1566.3607999999999</c:v>
                </c:pt>
                <c:pt idx="470">
                  <c:v>1913.6427000000001</c:v>
                </c:pt>
                <c:pt idx="471">
                  <c:v>2141.8692999999998</c:v>
                </c:pt>
                <c:pt idx="472">
                  <c:v>283.83530000000002</c:v>
                </c:pt>
                <c:pt idx="473">
                  <c:v>706.19870000000003</c:v>
                </c:pt>
                <c:pt idx="474">
                  <c:v>1764.5993000000001</c:v>
                </c:pt>
                <c:pt idx="475">
                  <c:v>1206.1131</c:v>
                </c:pt>
                <c:pt idx="476">
                  <c:v>667.92190000000005</c:v>
                </c:pt>
                <c:pt idx="477">
                  <c:v>785.29570000000001</c:v>
                </c:pt>
                <c:pt idx="478">
                  <c:v>1268.9889000000001</c:v>
                </c:pt>
                <c:pt idx="479">
                  <c:v>1835.7257</c:v>
                </c:pt>
                <c:pt idx="480">
                  <c:v>1166.6110000000001</c:v>
                </c:pt>
                <c:pt idx="481">
                  <c:v>662.86389999999994</c:v>
                </c:pt>
                <c:pt idx="482">
                  <c:v>470.29559999999998</c:v>
                </c:pt>
                <c:pt idx="483">
                  <c:v>566.70489999999995</c:v>
                </c:pt>
                <c:pt idx="484">
                  <c:v>2049.8571999999999</c:v>
                </c:pt>
                <c:pt idx="485">
                  <c:v>2794.4827</c:v>
                </c:pt>
                <c:pt idx="486">
                  <c:v>2940.1424000000002</c:v>
                </c:pt>
                <c:pt idx="487">
                  <c:v>1283.4010000000001</c:v>
                </c:pt>
                <c:pt idx="488">
                  <c:v>2161.7483000000002</c:v>
                </c:pt>
                <c:pt idx="489">
                  <c:v>574.19349999999997</c:v>
                </c:pt>
                <c:pt idx="490">
                  <c:v>2322.3270000000002</c:v>
                </c:pt>
                <c:pt idx="491">
                  <c:v>214.89680000000001</c:v>
                </c:pt>
                <c:pt idx="492">
                  <c:v>1289.5731000000001</c:v>
                </c:pt>
                <c:pt idx="493">
                  <c:v>1929.104</c:v>
                </c:pt>
                <c:pt idx="494">
                  <c:v>2028.0549000000001</c:v>
                </c:pt>
                <c:pt idx="495">
                  <c:v>954.67409999999995</c:v>
                </c:pt>
                <c:pt idx="496">
                  <c:v>2645.9000999999998</c:v>
                </c:pt>
                <c:pt idx="497">
                  <c:v>1037.9902</c:v>
                </c:pt>
                <c:pt idx="498">
                  <c:v>2665.431</c:v>
                </c:pt>
                <c:pt idx="499">
                  <c:v>2753.4184</c:v>
                </c:pt>
                <c:pt idx="500">
                  <c:v>264.5086</c:v>
                </c:pt>
                <c:pt idx="501">
                  <c:v>6.3822000000000001</c:v>
                </c:pt>
                <c:pt idx="502">
                  <c:v>131.6283</c:v>
                </c:pt>
                <c:pt idx="503">
                  <c:v>173.012</c:v>
                </c:pt>
                <c:pt idx="504">
                  <c:v>188.12110000000001</c:v>
                </c:pt>
                <c:pt idx="505">
                  <c:v>101.82980000000001</c:v>
                </c:pt>
                <c:pt idx="506">
                  <c:v>65.089699999999993</c:v>
                </c:pt>
                <c:pt idx="507">
                  <c:v>152.2518</c:v>
                </c:pt>
                <c:pt idx="508">
                  <c:v>49.255200000000002</c:v>
                </c:pt>
                <c:pt idx="509">
                  <c:v>232.5444</c:v>
                </c:pt>
                <c:pt idx="510">
                  <c:v>107.157</c:v>
                </c:pt>
                <c:pt idx="511">
                  <c:v>74.548699999999997</c:v>
                </c:pt>
                <c:pt idx="512">
                  <c:v>75.305599999999998</c:v>
                </c:pt>
                <c:pt idx="513">
                  <c:v>194.6788</c:v>
                </c:pt>
                <c:pt idx="514">
                  <c:v>66.631600000000006</c:v>
                </c:pt>
                <c:pt idx="515">
                  <c:v>85.505399999999995</c:v>
                </c:pt>
                <c:pt idx="516">
                  <c:v>92.513499999999993</c:v>
                </c:pt>
                <c:pt idx="517">
                  <c:v>198.68539999999999</c:v>
                </c:pt>
                <c:pt idx="518">
                  <c:v>16.641500000000001</c:v>
                </c:pt>
                <c:pt idx="519">
                  <c:v>22.802299999999999</c:v>
                </c:pt>
                <c:pt idx="520">
                  <c:v>54.732100000000003</c:v>
                </c:pt>
                <c:pt idx="521">
                  <c:v>26.3157</c:v>
                </c:pt>
                <c:pt idx="522">
                  <c:v>287.31920000000002</c:v>
                </c:pt>
                <c:pt idx="523">
                  <c:v>249.56829999999999</c:v>
                </c:pt>
                <c:pt idx="524">
                  <c:v>102.48309999999999</c:v>
                </c:pt>
                <c:pt idx="525">
                  <c:v>112.4393</c:v>
                </c:pt>
                <c:pt idx="526">
                  <c:v>188.01929999999999</c:v>
                </c:pt>
                <c:pt idx="527">
                  <c:v>114.4122</c:v>
                </c:pt>
                <c:pt idx="528">
                  <c:v>125.02719999999999</c:v>
                </c:pt>
                <c:pt idx="529">
                  <c:v>69.067899999999995</c:v>
                </c:pt>
                <c:pt idx="530">
                  <c:v>7.2950999999999997</c:v>
                </c:pt>
                <c:pt idx="531">
                  <c:v>42.905700000000003</c:v>
                </c:pt>
                <c:pt idx="532">
                  <c:v>294.95620000000002</c:v>
                </c:pt>
                <c:pt idx="533">
                  <c:v>219.79079999999999</c:v>
                </c:pt>
                <c:pt idx="534">
                  <c:v>75.439899999999994</c:v>
                </c:pt>
                <c:pt idx="535">
                  <c:v>153.09970000000001</c:v>
                </c:pt>
                <c:pt idx="536">
                  <c:v>275.0976</c:v>
                </c:pt>
                <c:pt idx="537">
                  <c:v>117.9924</c:v>
                </c:pt>
                <c:pt idx="538">
                  <c:v>230.8272</c:v>
                </c:pt>
                <c:pt idx="539">
                  <c:v>50.645099999999999</c:v>
                </c:pt>
                <c:pt idx="540">
                  <c:v>199.2944</c:v>
                </c:pt>
                <c:pt idx="541">
                  <c:v>159.47839999999999</c:v>
                </c:pt>
                <c:pt idx="542">
                  <c:v>65.087299999999999</c:v>
                </c:pt>
                <c:pt idx="543">
                  <c:v>179.26079999999999</c:v>
                </c:pt>
                <c:pt idx="544">
                  <c:v>18.3111</c:v>
                </c:pt>
                <c:pt idx="545">
                  <c:v>2.7016</c:v>
                </c:pt>
                <c:pt idx="546">
                  <c:v>289.99310000000003</c:v>
                </c:pt>
                <c:pt idx="547">
                  <c:v>191.5222</c:v>
                </c:pt>
                <c:pt idx="548">
                  <c:v>288.79849999999999</c:v>
                </c:pt>
                <c:pt idx="549">
                  <c:v>181.3706</c:v>
                </c:pt>
                <c:pt idx="550">
                  <c:v>238.00460000000001</c:v>
                </c:pt>
                <c:pt idx="551">
                  <c:v>230.9863</c:v>
                </c:pt>
                <c:pt idx="552">
                  <c:v>190.0778</c:v>
                </c:pt>
                <c:pt idx="553">
                  <c:v>99.565399999999997</c:v>
                </c:pt>
                <c:pt idx="554">
                  <c:v>29.6218</c:v>
                </c:pt>
                <c:pt idx="555">
                  <c:v>162.2439</c:v>
                </c:pt>
                <c:pt idx="556">
                  <c:v>56.786299999999997</c:v>
                </c:pt>
                <c:pt idx="557">
                  <c:v>144.6337</c:v>
                </c:pt>
                <c:pt idx="558">
                  <c:v>173.5181</c:v>
                </c:pt>
                <c:pt idx="559">
                  <c:v>53.187399999999997</c:v>
                </c:pt>
                <c:pt idx="560">
                  <c:v>147.19309999999999</c:v>
                </c:pt>
                <c:pt idx="561">
                  <c:v>286.26080000000002</c:v>
                </c:pt>
                <c:pt idx="562">
                  <c:v>15.910600000000001</c:v>
                </c:pt>
                <c:pt idx="563">
                  <c:v>1.7715000000000001</c:v>
                </c:pt>
                <c:pt idx="564">
                  <c:v>17.602499999999999</c:v>
                </c:pt>
                <c:pt idx="565">
                  <c:v>41.176900000000003</c:v>
                </c:pt>
                <c:pt idx="566">
                  <c:v>213.721</c:v>
                </c:pt>
                <c:pt idx="567">
                  <c:v>299.5917</c:v>
                </c:pt>
                <c:pt idx="568">
                  <c:v>26.440300000000001</c:v>
                </c:pt>
                <c:pt idx="569">
                  <c:v>113.30110000000001</c:v>
                </c:pt>
                <c:pt idx="570">
                  <c:v>216.56450000000001</c:v>
                </c:pt>
                <c:pt idx="571">
                  <c:v>139.32480000000001</c:v>
                </c:pt>
                <c:pt idx="572">
                  <c:v>131.84719999999999</c:v>
                </c:pt>
                <c:pt idx="573">
                  <c:v>211.75059999999999</c:v>
                </c:pt>
                <c:pt idx="574">
                  <c:v>1.5274000000000001</c:v>
                </c:pt>
                <c:pt idx="575">
                  <c:v>145.38300000000001</c:v>
                </c:pt>
                <c:pt idx="576">
                  <c:v>298.60430000000002</c:v>
                </c:pt>
                <c:pt idx="577">
                  <c:v>134.36859999999999</c:v>
                </c:pt>
                <c:pt idx="578">
                  <c:v>113.09690000000001</c:v>
                </c:pt>
                <c:pt idx="579">
                  <c:v>258.26159999999999</c:v>
                </c:pt>
                <c:pt idx="580">
                  <c:v>245.2526</c:v>
                </c:pt>
                <c:pt idx="581">
                  <c:v>232.00069999999999</c:v>
                </c:pt>
                <c:pt idx="582">
                  <c:v>154.26689999999999</c:v>
                </c:pt>
                <c:pt idx="583">
                  <c:v>133.05260000000001</c:v>
                </c:pt>
                <c:pt idx="584">
                  <c:v>161.2106</c:v>
                </c:pt>
                <c:pt idx="585">
                  <c:v>106.81950000000001</c:v>
                </c:pt>
                <c:pt idx="586">
                  <c:v>46.385199999999998</c:v>
                </c:pt>
                <c:pt idx="587">
                  <c:v>169.67699999999999</c:v>
                </c:pt>
                <c:pt idx="588">
                  <c:v>82.587900000000005</c:v>
                </c:pt>
                <c:pt idx="589">
                  <c:v>90.400300000000001</c:v>
                </c:pt>
                <c:pt idx="590">
                  <c:v>239.33629999999999</c:v>
                </c:pt>
                <c:pt idx="591">
                  <c:v>6.0903</c:v>
                </c:pt>
                <c:pt idx="592">
                  <c:v>133.09180000000001</c:v>
                </c:pt>
                <c:pt idx="593">
                  <c:v>62.752699999999997</c:v>
                </c:pt>
                <c:pt idx="594">
                  <c:v>164.04509999999999</c:v>
                </c:pt>
                <c:pt idx="595">
                  <c:v>165.18979999999999</c:v>
                </c:pt>
                <c:pt idx="596">
                  <c:v>256.2978</c:v>
                </c:pt>
                <c:pt idx="597">
                  <c:v>28.553999999999998</c:v>
                </c:pt>
                <c:pt idx="598">
                  <c:v>8.3794000000000004</c:v>
                </c:pt>
                <c:pt idx="599">
                  <c:v>123.89790000000001</c:v>
                </c:pt>
              </c:numCache>
            </c:numRef>
          </c:xVal>
          <c:yVal>
            <c:numRef>
              <c:f>Direct!$R$3:$R$602</c:f>
              <c:numCache>
                <c:formatCode>0.00000000</c:formatCode>
                <c:ptCount val="600"/>
                <c:pt idx="0">
                  <c:v>3.1008084988570772E-11</c:v>
                </c:pt>
                <c:pt idx="1">
                  <c:v>4.8537174279772444E-10</c:v>
                </c:pt>
                <c:pt idx="2">
                  <c:v>1.2590817277668975E-11</c:v>
                </c:pt>
                <c:pt idx="3">
                  <c:v>2.9274360713316128E-12</c:v>
                </c:pt>
                <c:pt idx="4">
                  <c:v>5.8349769460619427E-11</c:v>
                </c:pt>
                <c:pt idx="5">
                  <c:v>7.0912165028857999E-12</c:v>
                </c:pt>
                <c:pt idx="6">
                  <c:v>3.2714098097130773E-10</c:v>
                </c:pt>
                <c:pt idx="7">
                  <c:v>4.5099568524165079E-10</c:v>
                </c:pt>
                <c:pt idx="8">
                  <c:v>6.6506800067145377E-12</c:v>
                </c:pt>
                <c:pt idx="9">
                  <c:v>5.6843418860808015E-12</c:v>
                </c:pt>
                <c:pt idx="10">
                  <c:v>1.5717205315013416E-11</c:v>
                </c:pt>
                <c:pt idx="11">
                  <c:v>6.8212102632969618E-12</c:v>
                </c:pt>
                <c:pt idx="12">
                  <c:v>1.5404566511278972E-11</c:v>
                </c:pt>
                <c:pt idx="13">
                  <c:v>1.5820234011698631E-9</c:v>
                </c:pt>
                <c:pt idx="14">
                  <c:v>4.9737991503207013E-12</c:v>
                </c:pt>
                <c:pt idx="15">
                  <c:v>1.2143175354140112E-10</c:v>
                </c:pt>
                <c:pt idx="16">
                  <c:v>6.0111915445304476E-11</c:v>
                </c:pt>
                <c:pt idx="17">
                  <c:v>8.7453599917353131E-11</c:v>
                </c:pt>
                <c:pt idx="18">
                  <c:v>7.6755668487749062E-10</c:v>
                </c:pt>
                <c:pt idx="19">
                  <c:v>4.1893599700415507E-11</c:v>
                </c:pt>
                <c:pt idx="20">
                  <c:v>4.9643062993709464E-9</c:v>
                </c:pt>
                <c:pt idx="21">
                  <c:v>3.6496317079581786E-10</c:v>
                </c:pt>
                <c:pt idx="22">
                  <c:v>1.4582363094817197E-11</c:v>
                </c:pt>
                <c:pt idx="23">
                  <c:v>1.2749978850479238E-10</c:v>
                </c:pt>
                <c:pt idx="24">
                  <c:v>1.602984411874786E-11</c:v>
                </c:pt>
                <c:pt idx="25">
                  <c:v>1.522295178801869E-9</c:v>
                </c:pt>
                <c:pt idx="26">
                  <c:v>3.1263880373444408E-13</c:v>
                </c:pt>
                <c:pt idx="27">
                  <c:v>2.6801671992870979E-11</c:v>
                </c:pt>
                <c:pt idx="28">
                  <c:v>1.2619238987099379E-11</c:v>
                </c:pt>
                <c:pt idx="29">
                  <c:v>7.9282358456111979E-11</c:v>
                </c:pt>
                <c:pt idx="30">
                  <c:v>1.0601297617540695E-11</c:v>
                </c:pt>
                <c:pt idx="31">
                  <c:v>5.0981441290787188E-13</c:v>
                </c:pt>
                <c:pt idx="32">
                  <c:v>1.7505996652289468E-10</c:v>
                </c:pt>
                <c:pt idx="33">
                  <c:v>9.0248164497097605E-10</c:v>
                </c:pt>
                <c:pt idx="34">
                  <c:v>1.9440307141849189E-9</c:v>
                </c:pt>
                <c:pt idx="35">
                  <c:v>1.1951328815484885E-11</c:v>
                </c:pt>
                <c:pt idx="36">
                  <c:v>1.7022614429151872E-9</c:v>
                </c:pt>
                <c:pt idx="37">
                  <c:v>1.3272938303998671E-11</c:v>
                </c:pt>
                <c:pt idx="38">
                  <c:v>2.4726887204451486E-11</c:v>
                </c:pt>
                <c:pt idx="39">
                  <c:v>1.1540990385583427E-10</c:v>
                </c:pt>
                <c:pt idx="40">
                  <c:v>8.5996987309044925E-10</c:v>
                </c:pt>
                <c:pt idx="41">
                  <c:v>3.0762059566313837E-10</c:v>
                </c:pt>
                <c:pt idx="42">
                  <c:v>4.0692782476980938E-10</c:v>
                </c:pt>
                <c:pt idx="43">
                  <c:v>7.07785829945351E-10</c:v>
                </c:pt>
                <c:pt idx="44">
                  <c:v>7.9580786405131221E-13</c:v>
                </c:pt>
                <c:pt idx="45">
                  <c:v>1.2448708730516955E-11</c:v>
                </c:pt>
                <c:pt idx="46">
                  <c:v>4.720874358099536E-9</c:v>
                </c:pt>
                <c:pt idx="47">
                  <c:v>1.3814371868647868E-10</c:v>
                </c:pt>
                <c:pt idx="48">
                  <c:v>3.5953462429461069E-11</c:v>
                </c:pt>
                <c:pt idx="49">
                  <c:v>7.0599526225123554E-11</c:v>
                </c:pt>
                <c:pt idx="50">
                  <c:v>7.844036531423626E-11</c:v>
                </c:pt>
                <c:pt idx="51">
                  <c:v>8.3359097402535554E-10</c:v>
                </c:pt>
                <c:pt idx="52">
                  <c:v>7.1054273576010019E-14</c:v>
                </c:pt>
                <c:pt idx="53">
                  <c:v>1.7708501331981097E-11</c:v>
                </c:pt>
                <c:pt idx="54">
                  <c:v>9.2100549409224186E-11</c:v>
                </c:pt>
                <c:pt idx="55">
                  <c:v>1.4591705621569417E-10</c:v>
                </c:pt>
                <c:pt idx="56">
                  <c:v>3.0546232210326707E-11</c:v>
                </c:pt>
                <c:pt idx="57">
                  <c:v>1.5006662579253316E-11</c:v>
                </c:pt>
                <c:pt idx="58">
                  <c:v>5.8378191170049831E-11</c:v>
                </c:pt>
                <c:pt idx="59">
                  <c:v>6.8183680923539214E-11</c:v>
                </c:pt>
                <c:pt idx="60">
                  <c:v>1.2868639487351174E-10</c:v>
                </c:pt>
                <c:pt idx="61">
                  <c:v>5.6822102578735212E-10</c:v>
                </c:pt>
                <c:pt idx="62">
                  <c:v>2.0914825427098549E-10</c:v>
                </c:pt>
                <c:pt idx="63">
                  <c:v>4.1393377614440396E-10</c:v>
                </c:pt>
                <c:pt idx="64">
                  <c:v>1.8121681932825595E-10</c:v>
                </c:pt>
                <c:pt idx="65">
                  <c:v>8.9244167611468583E-12</c:v>
                </c:pt>
                <c:pt idx="66">
                  <c:v>1.6129320101754274E-11</c:v>
                </c:pt>
                <c:pt idx="67">
                  <c:v>3.46646800153394E-9</c:v>
                </c:pt>
                <c:pt idx="68">
                  <c:v>1.4971135442465311E-11</c:v>
                </c:pt>
                <c:pt idx="69">
                  <c:v>2.7228352905694919E-10</c:v>
                </c:pt>
                <c:pt idx="70">
                  <c:v>8.7649709712422919E-10</c:v>
                </c:pt>
                <c:pt idx="71">
                  <c:v>5.8025761973112822E-10</c:v>
                </c:pt>
                <c:pt idx="72">
                  <c:v>1.0345502232667059E-11</c:v>
                </c:pt>
                <c:pt idx="73">
                  <c:v>3.5595704162005859E-10</c:v>
                </c:pt>
                <c:pt idx="74">
                  <c:v>3.7118752516107634E-11</c:v>
                </c:pt>
                <c:pt idx="75">
                  <c:v>6.8678218667628244E-10</c:v>
                </c:pt>
                <c:pt idx="76">
                  <c:v>9.1660012913052924E-11</c:v>
                </c:pt>
                <c:pt idx="77">
                  <c:v>9.5162988600350218E-11</c:v>
                </c:pt>
                <c:pt idx="78">
                  <c:v>2.1884716261411086E-12</c:v>
                </c:pt>
                <c:pt idx="79">
                  <c:v>2.730189407884609E-10</c:v>
                </c:pt>
                <c:pt idx="80">
                  <c:v>4.2572878555802163E-10</c:v>
                </c:pt>
                <c:pt idx="81">
                  <c:v>1.1232259566895664E-10</c:v>
                </c:pt>
                <c:pt idx="82">
                  <c:v>3.0091484859440243E-12</c:v>
                </c:pt>
                <c:pt idx="83">
                  <c:v>5.6124349612218793E-10</c:v>
                </c:pt>
                <c:pt idx="84">
                  <c:v>1.2207124200358521E-11</c:v>
                </c:pt>
                <c:pt idx="85">
                  <c:v>6.7720407059823629E-10</c:v>
                </c:pt>
                <c:pt idx="86">
                  <c:v>1.1722534054570133E-10</c:v>
                </c:pt>
                <c:pt idx="87">
                  <c:v>1.2931877790833823E-12</c:v>
                </c:pt>
                <c:pt idx="88">
                  <c:v>5.8250293477613013E-10</c:v>
                </c:pt>
                <c:pt idx="89">
                  <c:v>5.5777604757167865E-12</c:v>
                </c:pt>
                <c:pt idx="90">
                  <c:v>3.6092018262934289E-11</c:v>
                </c:pt>
                <c:pt idx="91">
                  <c:v>3.2596858545730356E-10</c:v>
                </c:pt>
                <c:pt idx="92">
                  <c:v>2.3717916519672144E-11</c:v>
                </c:pt>
                <c:pt idx="93">
                  <c:v>1.0105338787980145E-10</c:v>
                </c:pt>
                <c:pt idx="94">
                  <c:v>1.3919532193540363E-10</c:v>
                </c:pt>
                <c:pt idx="95">
                  <c:v>4.4209969018993434E-11</c:v>
                </c:pt>
                <c:pt idx="96">
                  <c:v>1.1799556887126528E-9</c:v>
                </c:pt>
                <c:pt idx="97">
                  <c:v>1.0331291377951857E-11</c:v>
                </c:pt>
                <c:pt idx="98">
                  <c:v>8.2792439570766874E-11</c:v>
                </c:pt>
                <c:pt idx="99">
                  <c:v>5.1471715778461657E-11</c:v>
                </c:pt>
                <c:pt idx="100">
                  <c:v>6.1106675275368616E-12</c:v>
                </c:pt>
                <c:pt idx="101">
                  <c:v>4.6753712013014592E-11</c:v>
                </c:pt>
                <c:pt idx="102">
                  <c:v>1.3383782970777247E-10</c:v>
                </c:pt>
                <c:pt idx="103">
                  <c:v>5.6338933518418344E-11</c:v>
                </c:pt>
                <c:pt idx="104">
                  <c:v>5.6843418860808015E-14</c:v>
                </c:pt>
                <c:pt idx="105">
                  <c:v>3.979039320256561E-13</c:v>
                </c:pt>
                <c:pt idx="106">
                  <c:v>4.8459014578838833E-11</c:v>
                </c:pt>
                <c:pt idx="107">
                  <c:v>2.8705926524708048E-12</c:v>
                </c:pt>
                <c:pt idx="108">
                  <c:v>3.2542857297812589E-12</c:v>
                </c:pt>
                <c:pt idx="109">
                  <c:v>1.2767884527420392E-9</c:v>
                </c:pt>
                <c:pt idx="110">
                  <c:v>6.184563972055912E-11</c:v>
                </c:pt>
                <c:pt idx="111">
                  <c:v>9.22000253922306E-11</c:v>
                </c:pt>
                <c:pt idx="112">
                  <c:v>9.950440471584443E-11</c:v>
                </c:pt>
                <c:pt idx="113">
                  <c:v>1.1977974168075889E-11</c:v>
                </c:pt>
                <c:pt idx="114">
                  <c:v>1.5916157281026244E-12</c:v>
                </c:pt>
                <c:pt idx="115">
                  <c:v>5.9763749504782027E-11</c:v>
                </c:pt>
                <c:pt idx="116">
                  <c:v>1.4590284536097897E-10</c:v>
                </c:pt>
                <c:pt idx="117">
                  <c:v>5.9275251373946958E-11</c:v>
                </c:pt>
                <c:pt idx="118">
                  <c:v>2.8819613362429664E-11</c:v>
                </c:pt>
                <c:pt idx="119">
                  <c:v>2.3248958314070478E-11</c:v>
                </c:pt>
                <c:pt idx="120">
                  <c:v>3.1512570330960443E-11</c:v>
                </c:pt>
                <c:pt idx="121">
                  <c:v>2.2780000108468812E-11</c:v>
                </c:pt>
                <c:pt idx="122">
                  <c:v>1.0174971976084635E-11</c:v>
                </c:pt>
                <c:pt idx="123">
                  <c:v>2.368949481024174E-11</c:v>
                </c:pt>
                <c:pt idx="124">
                  <c:v>6.0822458181064576E-12</c:v>
                </c:pt>
                <c:pt idx="125">
                  <c:v>1.1795009413617663E-12</c:v>
                </c:pt>
                <c:pt idx="126">
                  <c:v>1.1368683772161603E-11</c:v>
                </c:pt>
                <c:pt idx="127">
                  <c:v>1.7280399333685637E-11</c:v>
                </c:pt>
                <c:pt idx="128">
                  <c:v>2.8599345114344032E-12</c:v>
                </c:pt>
                <c:pt idx="129">
                  <c:v>2.5167423700622749E-11</c:v>
                </c:pt>
                <c:pt idx="130">
                  <c:v>6.8069994085817598E-12</c:v>
                </c:pt>
                <c:pt idx="131">
                  <c:v>5.3589133131026756E-11</c:v>
                </c:pt>
                <c:pt idx="132">
                  <c:v>1.1596057447604835E-11</c:v>
                </c:pt>
                <c:pt idx="133">
                  <c:v>1.1851852832478471E-11</c:v>
                </c:pt>
                <c:pt idx="134">
                  <c:v>1.7053025658242404E-12</c:v>
                </c:pt>
                <c:pt idx="135">
                  <c:v>2.1181278953008587E-11</c:v>
                </c:pt>
                <c:pt idx="136">
                  <c:v>1.5347723092418164E-12</c:v>
                </c:pt>
                <c:pt idx="137">
                  <c:v>3.822719918389339E-12</c:v>
                </c:pt>
                <c:pt idx="138">
                  <c:v>1.7180923350679222E-11</c:v>
                </c:pt>
                <c:pt idx="139">
                  <c:v>3.865352482534945E-11</c:v>
                </c:pt>
                <c:pt idx="140">
                  <c:v>6.5014660322049167E-13</c:v>
                </c:pt>
                <c:pt idx="141">
                  <c:v>1.0516032489249483E-12</c:v>
                </c:pt>
                <c:pt idx="142">
                  <c:v>3.751665644813329E-12</c:v>
                </c:pt>
                <c:pt idx="143">
                  <c:v>3.1548097467748448E-12</c:v>
                </c:pt>
                <c:pt idx="144">
                  <c:v>9.8623331723501906E-12</c:v>
                </c:pt>
                <c:pt idx="145">
                  <c:v>5.8317795037510223E-12</c:v>
                </c:pt>
                <c:pt idx="146">
                  <c:v>9.0665253082988784E-12</c:v>
                </c:pt>
                <c:pt idx="147">
                  <c:v>2.7000623958883807E-12</c:v>
                </c:pt>
                <c:pt idx="148">
                  <c:v>1.6768808563938364E-12</c:v>
                </c:pt>
                <c:pt idx="149">
                  <c:v>4.9482196118333377E-11</c:v>
                </c:pt>
                <c:pt idx="150">
                  <c:v>2.4925839170464315E-11</c:v>
                </c:pt>
                <c:pt idx="151">
                  <c:v>1.0771827874123119E-11</c:v>
                </c:pt>
                <c:pt idx="152">
                  <c:v>4.7890580390230753E-12</c:v>
                </c:pt>
                <c:pt idx="153">
                  <c:v>1.0572875908110291E-11</c:v>
                </c:pt>
                <c:pt idx="154">
                  <c:v>1.4694023775518872E-11</c:v>
                </c:pt>
                <c:pt idx="155">
                  <c:v>1.9042545318370685E-11</c:v>
                </c:pt>
                <c:pt idx="156">
                  <c:v>1.4154011296341196E-11</c:v>
                </c:pt>
                <c:pt idx="157">
                  <c:v>1.6200374375330284E-12</c:v>
                </c:pt>
                <c:pt idx="158">
                  <c:v>3.3708147384459153E-11</c:v>
                </c:pt>
                <c:pt idx="159">
                  <c:v>9.0238927441532724E-13</c:v>
                </c:pt>
                <c:pt idx="160">
                  <c:v>5.4853899200679734E-11</c:v>
                </c:pt>
                <c:pt idx="161">
                  <c:v>6.6791017161449417E-13</c:v>
                </c:pt>
                <c:pt idx="162">
                  <c:v>1.4495071809506044E-12</c:v>
                </c:pt>
                <c:pt idx="163">
                  <c:v>2.0463630789890885E-12</c:v>
                </c:pt>
                <c:pt idx="164">
                  <c:v>7.2049033406074159E-12</c:v>
                </c:pt>
                <c:pt idx="165">
                  <c:v>1.7392309814567852E-11</c:v>
                </c:pt>
                <c:pt idx="166">
                  <c:v>8.7396756498492323E-11</c:v>
                </c:pt>
                <c:pt idx="167">
                  <c:v>1.1070611094510241E-10</c:v>
                </c:pt>
                <c:pt idx="168">
                  <c:v>1.4210854715202004E-12</c:v>
                </c:pt>
                <c:pt idx="169">
                  <c:v>5.9259264162392356E-12</c:v>
                </c:pt>
                <c:pt idx="170">
                  <c:v>1.0658141036401503E-11</c:v>
                </c:pt>
                <c:pt idx="171">
                  <c:v>9.3791641120333225E-12</c:v>
                </c:pt>
                <c:pt idx="172">
                  <c:v>4.7961634663806763E-12</c:v>
                </c:pt>
                <c:pt idx="173">
                  <c:v>8.9528384705772623E-12</c:v>
                </c:pt>
                <c:pt idx="174">
                  <c:v>9.2526875050680246E-11</c:v>
                </c:pt>
                <c:pt idx="175">
                  <c:v>7.688072400924284E-12</c:v>
                </c:pt>
                <c:pt idx="176">
                  <c:v>1.0376055570304743E-10</c:v>
                </c:pt>
                <c:pt idx="177">
                  <c:v>3.4106051316484809E-13</c:v>
                </c:pt>
                <c:pt idx="178">
                  <c:v>5.7411853049416095E-12</c:v>
                </c:pt>
                <c:pt idx="179">
                  <c:v>4.3989700770907803E-11</c:v>
                </c:pt>
                <c:pt idx="180">
                  <c:v>3.694822225952521E-13</c:v>
                </c:pt>
                <c:pt idx="181">
                  <c:v>3.007016857736744E-11</c:v>
                </c:pt>
                <c:pt idx="182">
                  <c:v>1.0800249583553523E-12</c:v>
                </c:pt>
                <c:pt idx="183">
                  <c:v>6.2527760746888816E-13</c:v>
                </c:pt>
                <c:pt idx="184">
                  <c:v>1.0984990694851149E-10</c:v>
                </c:pt>
                <c:pt idx="185">
                  <c:v>1.5631940186722204E-13</c:v>
                </c:pt>
                <c:pt idx="186">
                  <c:v>2.6716406864579767E-12</c:v>
                </c:pt>
                <c:pt idx="187">
                  <c:v>1.3148593325240654E-11</c:v>
                </c:pt>
                <c:pt idx="188">
                  <c:v>2.0179413695586845E-12</c:v>
                </c:pt>
                <c:pt idx="189">
                  <c:v>2.0705215320049319E-11</c:v>
                </c:pt>
                <c:pt idx="190">
                  <c:v>1.3386625141720288E-11</c:v>
                </c:pt>
                <c:pt idx="191">
                  <c:v>1.3699263945454732E-11</c:v>
                </c:pt>
                <c:pt idx="192">
                  <c:v>1.9895196601282805E-12</c:v>
                </c:pt>
                <c:pt idx="193">
                  <c:v>3.0908609005564358E-12</c:v>
                </c:pt>
                <c:pt idx="194">
                  <c:v>6.851053058198886E-11</c:v>
                </c:pt>
                <c:pt idx="195">
                  <c:v>9.1890939302174957E-12</c:v>
                </c:pt>
                <c:pt idx="196">
                  <c:v>1.1127099242003169E-10</c:v>
                </c:pt>
                <c:pt idx="197">
                  <c:v>2.1614710021822248E-11</c:v>
                </c:pt>
                <c:pt idx="198">
                  <c:v>1.2380496627883986E-10</c:v>
                </c:pt>
                <c:pt idx="199">
                  <c:v>5.8250293477613013E-11</c:v>
                </c:pt>
                <c:pt idx="200">
                  <c:v>1.6200374375330284E-12</c:v>
                </c:pt>
                <c:pt idx="201">
                  <c:v>8.5265128291212022E-14</c:v>
                </c:pt>
                <c:pt idx="202">
                  <c:v>2.1884716261411086E-12</c:v>
                </c:pt>
                <c:pt idx="203">
                  <c:v>8.5265128291212022E-14</c:v>
                </c:pt>
                <c:pt idx="204">
                  <c:v>5.6559201766503975E-12</c:v>
                </c:pt>
                <c:pt idx="205">
                  <c:v>6.1817218011128716E-13</c:v>
                </c:pt>
                <c:pt idx="206">
                  <c:v>1.5063505998114124E-12</c:v>
                </c:pt>
                <c:pt idx="207">
                  <c:v>1.4779288903810084E-12</c:v>
                </c:pt>
                <c:pt idx="208">
                  <c:v>8.2565065895323642E-12</c:v>
                </c:pt>
                <c:pt idx="209">
                  <c:v>8.0255802004103316E-12</c:v>
                </c:pt>
                <c:pt idx="210">
                  <c:v>3.4880542898463318E-11</c:v>
                </c:pt>
                <c:pt idx="211">
                  <c:v>5.3859139370615594E-12</c:v>
                </c:pt>
                <c:pt idx="212">
                  <c:v>1.5347723092418164E-12</c:v>
                </c:pt>
                <c:pt idx="213">
                  <c:v>1.0871303857129533E-11</c:v>
                </c:pt>
                <c:pt idx="214">
                  <c:v>3.1263880373444408E-13</c:v>
                </c:pt>
                <c:pt idx="215">
                  <c:v>1.4168222151056398E-11</c:v>
                </c:pt>
                <c:pt idx="216">
                  <c:v>7.1525008138451085E-12</c:v>
                </c:pt>
                <c:pt idx="217">
                  <c:v>9.8054897534893826E-13</c:v>
                </c:pt>
                <c:pt idx="218">
                  <c:v>2.6147972675971687E-12</c:v>
                </c:pt>
                <c:pt idx="219">
                  <c:v>3.1858604643275612E-10</c:v>
                </c:pt>
                <c:pt idx="220">
                  <c:v>5.5067062021407764E-12</c:v>
                </c:pt>
                <c:pt idx="221">
                  <c:v>9.5752739071031101E-11</c:v>
                </c:pt>
                <c:pt idx="222">
                  <c:v>3.1263880373444408E-13</c:v>
                </c:pt>
                <c:pt idx="223">
                  <c:v>4.4238390728423838E-11</c:v>
                </c:pt>
                <c:pt idx="224">
                  <c:v>5.6843418860808015E-14</c:v>
                </c:pt>
                <c:pt idx="225">
                  <c:v>7.531752999057062E-13</c:v>
                </c:pt>
                <c:pt idx="226">
                  <c:v>1.8360424292040989E-11</c:v>
                </c:pt>
                <c:pt idx="227">
                  <c:v>2.7995383788947947E-12</c:v>
                </c:pt>
                <c:pt idx="228">
                  <c:v>4.3058889787062071E-12</c:v>
                </c:pt>
                <c:pt idx="229">
                  <c:v>5.6843418860808015E-14</c:v>
                </c:pt>
                <c:pt idx="230">
                  <c:v>7.673861546209082E-13</c:v>
                </c:pt>
                <c:pt idx="231">
                  <c:v>2.9416469260468148E-12</c:v>
                </c:pt>
                <c:pt idx="232">
                  <c:v>1.0658141036401503E-12</c:v>
                </c:pt>
                <c:pt idx="233">
                  <c:v>1.4210854715202004E-13</c:v>
                </c:pt>
                <c:pt idx="234">
                  <c:v>3.5157654565409757E-11</c:v>
                </c:pt>
                <c:pt idx="235">
                  <c:v>2.4691360067663481E-13</c:v>
                </c:pt>
                <c:pt idx="236">
                  <c:v>9.8836494544229936E-12</c:v>
                </c:pt>
                <c:pt idx="237">
                  <c:v>8.2422957348171622E-13</c:v>
                </c:pt>
                <c:pt idx="238">
                  <c:v>1.4551915228366852E-11</c:v>
                </c:pt>
                <c:pt idx="239">
                  <c:v>1.1908696251339279E-11</c:v>
                </c:pt>
                <c:pt idx="240">
                  <c:v>2.5153212845907547E-12</c:v>
                </c:pt>
                <c:pt idx="241">
                  <c:v>1.9582557797548361E-10</c:v>
                </c:pt>
                <c:pt idx="242">
                  <c:v>2.2453150450019166E-12</c:v>
                </c:pt>
                <c:pt idx="243">
                  <c:v>4.7180037654470652E-12</c:v>
                </c:pt>
                <c:pt idx="244">
                  <c:v>3.1928948374115862E-10</c:v>
                </c:pt>
                <c:pt idx="245">
                  <c:v>9.6633812063373625E-13</c:v>
                </c:pt>
                <c:pt idx="246">
                  <c:v>1.3187673175707459E-11</c:v>
                </c:pt>
                <c:pt idx="247">
                  <c:v>4.0500935938325711E-12</c:v>
                </c:pt>
                <c:pt idx="248">
                  <c:v>1.8474111129762605E-13</c:v>
                </c:pt>
                <c:pt idx="249">
                  <c:v>3.2116531656356528E-12</c:v>
                </c:pt>
                <c:pt idx="250">
                  <c:v>2.0250467969162855E-13</c:v>
                </c:pt>
                <c:pt idx="251">
                  <c:v>5.0476955948397517E-11</c:v>
                </c:pt>
                <c:pt idx="252">
                  <c:v>3.2116531656356528E-12</c:v>
                </c:pt>
                <c:pt idx="253">
                  <c:v>1.6344614550689585E-10</c:v>
                </c:pt>
                <c:pt idx="254">
                  <c:v>4.5474735088646412E-13</c:v>
                </c:pt>
                <c:pt idx="255">
                  <c:v>4.2703618419182021E-12</c:v>
                </c:pt>
                <c:pt idx="256">
                  <c:v>1.1688428003253648E-12</c:v>
                </c:pt>
                <c:pt idx="257">
                  <c:v>2.8677504815277644E-11</c:v>
                </c:pt>
                <c:pt idx="258">
                  <c:v>4.9524828682478983E-12</c:v>
                </c:pt>
                <c:pt idx="259">
                  <c:v>6.5369931689929217E-13</c:v>
                </c:pt>
                <c:pt idx="260">
                  <c:v>2.4300561562995426E-12</c:v>
                </c:pt>
                <c:pt idx="261">
                  <c:v>2.3518964553659316E-12</c:v>
                </c:pt>
                <c:pt idx="262">
                  <c:v>6.3948846218409017E-14</c:v>
                </c:pt>
                <c:pt idx="263">
                  <c:v>4.2916781239910051E-12</c:v>
                </c:pt>
                <c:pt idx="264">
                  <c:v>3.2684965844964609E-13</c:v>
                </c:pt>
                <c:pt idx="265">
                  <c:v>4.432365585671505E-11</c:v>
                </c:pt>
                <c:pt idx="266">
                  <c:v>3.0127011996228248E-12</c:v>
                </c:pt>
                <c:pt idx="267">
                  <c:v>6.2527760746888816E-13</c:v>
                </c:pt>
                <c:pt idx="268">
                  <c:v>9.0182084022671916E-11</c:v>
                </c:pt>
                <c:pt idx="269">
                  <c:v>1.6484591469634324E-12</c:v>
                </c:pt>
                <c:pt idx="270">
                  <c:v>4.7890580390230753E-12</c:v>
                </c:pt>
                <c:pt idx="271">
                  <c:v>7.673861546209082E-13</c:v>
                </c:pt>
                <c:pt idx="272">
                  <c:v>0</c:v>
                </c:pt>
                <c:pt idx="273">
                  <c:v>5.1016968427575193E-12</c:v>
                </c:pt>
                <c:pt idx="274">
                  <c:v>2.7000623958883807E-13</c:v>
                </c:pt>
                <c:pt idx="275">
                  <c:v>2.9274360713316128E-12</c:v>
                </c:pt>
                <c:pt idx="276">
                  <c:v>1.1510792319313623E-11</c:v>
                </c:pt>
                <c:pt idx="277">
                  <c:v>1.7195134205394424E-12</c:v>
                </c:pt>
                <c:pt idx="278">
                  <c:v>1.2846612662542611E-11</c:v>
                </c:pt>
                <c:pt idx="279">
                  <c:v>8.5833562479820102E-12</c:v>
                </c:pt>
                <c:pt idx="280">
                  <c:v>2.2595258997171186E-12</c:v>
                </c:pt>
                <c:pt idx="281">
                  <c:v>6.2527760746888816E-13</c:v>
                </c:pt>
                <c:pt idx="282">
                  <c:v>1.2931877790833823E-11</c:v>
                </c:pt>
                <c:pt idx="283">
                  <c:v>1.2168044349891716E-13</c:v>
                </c:pt>
                <c:pt idx="284">
                  <c:v>3.6095570976613089E-12</c:v>
                </c:pt>
                <c:pt idx="285">
                  <c:v>2.2737367544323206E-13</c:v>
                </c:pt>
                <c:pt idx="286">
                  <c:v>5.4700688423281463E-12</c:v>
                </c:pt>
                <c:pt idx="287">
                  <c:v>5.6843418860808015E-13</c:v>
                </c:pt>
                <c:pt idx="288">
                  <c:v>5.6843418860808015E-14</c:v>
                </c:pt>
                <c:pt idx="289">
                  <c:v>9.3791641120333225E-13</c:v>
                </c:pt>
                <c:pt idx="290">
                  <c:v>3.7125857943465235E-12</c:v>
                </c:pt>
                <c:pt idx="291">
                  <c:v>1.1695533430611249E-11</c:v>
                </c:pt>
                <c:pt idx="292">
                  <c:v>3.808509063674137E-12</c:v>
                </c:pt>
                <c:pt idx="293">
                  <c:v>2.6787461138155777E-12</c:v>
                </c:pt>
                <c:pt idx="294">
                  <c:v>1.4495071809506044E-12</c:v>
                </c:pt>
                <c:pt idx="295">
                  <c:v>2.0037305148434825E-12</c:v>
                </c:pt>
                <c:pt idx="296">
                  <c:v>1.3073986337985843E-12</c:v>
                </c:pt>
                <c:pt idx="297">
                  <c:v>9.9085184501745971E-12</c:v>
                </c:pt>
                <c:pt idx="298">
                  <c:v>5.6843418860808015E-13</c:v>
                </c:pt>
                <c:pt idx="299">
                  <c:v>4.6931347696954617E-12</c:v>
                </c:pt>
                <c:pt idx="300">
                  <c:v>3.836930773104541E-13</c:v>
                </c:pt>
                <c:pt idx="301">
                  <c:v>1.0089706847793423E-11</c:v>
                </c:pt>
                <c:pt idx="302">
                  <c:v>8.4696694102603942E-12</c:v>
                </c:pt>
                <c:pt idx="303">
                  <c:v>3.6507685763353948E-11</c:v>
                </c:pt>
                <c:pt idx="304">
                  <c:v>8.6863849446672248E-13</c:v>
                </c:pt>
                <c:pt idx="305">
                  <c:v>9.4502183856093325E-13</c:v>
                </c:pt>
                <c:pt idx="306">
                  <c:v>1.4139800441625994E-12</c:v>
                </c:pt>
                <c:pt idx="307">
                  <c:v>3.979039320256561E-13</c:v>
                </c:pt>
                <c:pt idx="308">
                  <c:v>6.7480243615136715E-11</c:v>
                </c:pt>
                <c:pt idx="309">
                  <c:v>8.3844042819691822E-13</c:v>
                </c:pt>
                <c:pt idx="310">
                  <c:v>1.1780798558902461E-11</c:v>
                </c:pt>
                <c:pt idx="311">
                  <c:v>0</c:v>
                </c:pt>
                <c:pt idx="312">
                  <c:v>5.2153836804791354E-12</c:v>
                </c:pt>
                <c:pt idx="313">
                  <c:v>1.9669599282678973E-11</c:v>
                </c:pt>
                <c:pt idx="314">
                  <c:v>4.5687897909374442E-12</c:v>
                </c:pt>
                <c:pt idx="315">
                  <c:v>1.3285372801874473E-11</c:v>
                </c:pt>
                <c:pt idx="316">
                  <c:v>3.872457909892546E-13</c:v>
                </c:pt>
                <c:pt idx="317">
                  <c:v>3.780087354243733E-12</c:v>
                </c:pt>
                <c:pt idx="318">
                  <c:v>4.9737991503207013E-13</c:v>
                </c:pt>
                <c:pt idx="319">
                  <c:v>2.6343371928305714E-12</c:v>
                </c:pt>
                <c:pt idx="320">
                  <c:v>7.1551653491042089E-12</c:v>
                </c:pt>
                <c:pt idx="321">
                  <c:v>1.9696244635269977E-11</c:v>
                </c:pt>
                <c:pt idx="322">
                  <c:v>3.2400748750660568E-12</c:v>
                </c:pt>
                <c:pt idx="323">
                  <c:v>3.751665644813329E-12</c:v>
                </c:pt>
                <c:pt idx="324">
                  <c:v>0</c:v>
                </c:pt>
                <c:pt idx="325">
                  <c:v>2.4840574042173102E-11</c:v>
                </c:pt>
                <c:pt idx="326">
                  <c:v>6.5725203057809267E-14</c:v>
                </c:pt>
                <c:pt idx="327">
                  <c:v>1.0480505352461478E-13</c:v>
                </c:pt>
                <c:pt idx="328">
                  <c:v>1.3642420526593924E-12</c:v>
                </c:pt>
                <c:pt idx="329">
                  <c:v>8.5265128291212022E-13</c:v>
                </c:pt>
                <c:pt idx="330">
                  <c:v>2.0516921495072893E-12</c:v>
                </c:pt>
                <c:pt idx="331">
                  <c:v>6.6791017161449417E-13</c:v>
                </c:pt>
                <c:pt idx="332">
                  <c:v>3.979039320256561E-13</c:v>
                </c:pt>
                <c:pt idx="333">
                  <c:v>8.5265128291212022E-14</c:v>
                </c:pt>
                <c:pt idx="334">
                  <c:v>7.815970093361102E-14</c:v>
                </c:pt>
                <c:pt idx="335">
                  <c:v>5.7553961596568115E-13</c:v>
                </c:pt>
                <c:pt idx="336">
                  <c:v>2.9842794901924208E-13</c:v>
                </c:pt>
                <c:pt idx="337">
                  <c:v>1.1084466677857563E-12</c:v>
                </c:pt>
                <c:pt idx="338">
                  <c:v>2.4442670110147446E-11</c:v>
                </c:pt>
                <c:pt idx="339">
                  <c:v>1.0800249583553523E-12</c:v>
                </c:pt>
                <c:pt idx="340">
                  <c:v>4.007461029686965E-12</c:v>
                </c:pt>
                <c:pt idx="341">
                  <c:v>9.9475983006414026E-14</c:v>
                </c:pt>
                <c:pt idx="342">
                  <c:v>6.2243543652584776E-12</c:v>
                </c:pt>
                <c:pt idx="343">
                  <c:v>1.0231815394945443E-12</c:v>
                </c:pt>
                <c:pt idx="344">
                  <c:v>1.9895196601282805E-13</c:v>
                </c:pt>
                <c:pt idx="345">
                  <c:v>2.8421709430404007E-14</c:v>
                </c:pt>
                <c:pt idx="346">
                  <c:v>2.4897417461033911E-11</c:v>
                </c:pt>
                <c:pt idx="347">
                  <c:v>9.9475983006414026E-14</c:v>
                </c:pt>
                <c:pt idx="348">
                  <c:v>4.7961634663806763E-14</c:v>
                </c:pt>
                <c:pt idx="349">
                  <c:v>1.4210854715202004E-14</c:v>
                </c:pt>
                <c:pt idx="350">
                  <c:v>3.694822225952521E-13</c:v>
                </c:pt>
                <c:pt idx="351">
                  <c:v>2.3874235921539366E-11</c:v>
                </c:pt>
                <c:pt idx="352">
                  <c:v>1.5969447986208252E-12</c:v>
                </c:pt>
                <c:pt idx="353">
                  <c:v>4.8316906031686813E-13</c:v>
                </c:pt>
                <c:pt idx="354">
                  <c:v>4.2632564145606011E-13</c:v>
                </c:pt>
                <c:pt idx="355">
                  <c:v>1.7053025658242404E-13</c:v>
                </c:pt>
                <c:pt idx="356">
                  <c:v>3.3768543516998761E-11</c:v>
                </c:pt>
                <c:pt idx="357">
                  <c:v>1.0551559626037488E-11</c:v>
                </c:pt>
                <c:pt idx="358">
                  <c:v>1.1368683772161603E-13</c:v>
                </c:pt>
                <c:pt idx="359">
                  <c:v>9.8054897534893826E-13</c:v>
                </c:pt>
                <c:pt idx="360">
                  <c:v>1.8626877817951026E-11</c:v>
                </c:pt>
                <c:pt idx="361">
                  <c:v>1.0601297617540695E-11</c:v>
                </c:pt>
                <c:pt idx="362">
                  <c:v>3.7886138670728542E-11</c:v>
                </c:pt>
                <c:pt idx="363">
                  <c:v>4.2632564145606011E-13</c:v>
                </c:pt>
                <c:pt idx="364">
                  <c:v>3.1263880373444408E-13</c:v>
                </c:pt>
                <c:pt idx="365">
                  <c:v>8.5265128291212022E-14</c:v>
                </c:pt>
                <c:pt idx="366">
                  <c:v>6.5405458826717222E-12</c:v>
                </c:pt>
                <c:pt idx="367">
                  <c:v>2.9674041002181184E-11</c:v>
                </c:pt>
                <c:pt idx="368">
                  <c:v>2.5508484213787597E-12</c:v>
                </c:pt>
                <c:pt idx="369">
                  <c:v>1.7763568394002505E-14</c:v>
                </c:pt>
                <c:pt idx="370">
                  <c:v>1.0658141036401503E-12</c:v>
                </c:pt>
                <c:pt idx="371">
                  <c:v>1.546140993013978E-11</c:v>
                </c:pt>
                <c:pt idx="372">
                  <c:v>2.3874235921539366E-12</c:v>
                </c:pt>
                <c:pt idx="373">
                  <c:v>5.6843418860808015E-13</c:v>
                </c:pt>
                <c:pt idx="374">
                  <c:v>2.5011104298755527E-12</c:v>
                </c:pt>
                <c:pt idx="375">
                  <c:v>7.3043793236138299E-11</c:v>
                </c:pt>
                <c:pt idx="376">
                  <c:v>2.2737367544323206E-13</c:v>
                </c:pt>
                <c:pt idx="377">
                  <c:v>9.0540908104230766E-12</c:v>
                </c:pt>
                <c:pt idx="378">
                  <c:v>8.4625639829027932E-12</c:v>
                </c:pt>
                <c:pt idx="379">
                  <c:v>1.0089706847793423E-12</c:v>
                </c:pt>
                <c:pt idx="380">
                  <c:v>1.7834622667578515E-12</c:v>
                </c:pt>
                <c:pt idx="381">
                  <c:v>2.5579538487363607E-13</c:v>
                </c:pt>
                <c:pt idx="382">
                  <c:v>1.8474111129762605E-13</c:v>
                </c:pt>
                <c:pt idx="383">
                  <c:v>1.4210854715202004E-14</c:v>
                </c:pt>
                <c:pt idx="384">
                  <c:v>1.1084466677857563E-12</c:v>
                </c:pt>
                <c:pt idx="385">
                  <c:v>3.9301895071730542E-13</c:v>
                </c:pt>
                <c:pt idx="386">
                  <c:v>1.1368683772161603E-13</c:v>
                </c:pt>
                <c:pt idx="387">
                  <c:v>6.0964566728216596E-12</c:v>
                </c:pt>
                <c:pt idx="388">
                  <c:v>1.3102408047416247E-11</c:v>
                </c:pt>
                <c:pt idx="389">
                  <c:v>1.4210854715202004E-14</c:v>
                </c:pt>
                <c:pt idx="390">
                  <c:v>7.9189987900463166E-12</c:v>
                </c:pt>
                <c:pt idx="391">
                  <c:v>9.9475983006414026E-14</c:v>
                </c:pt>
                <c:pt idx="392">
                  <c:v>9.6065377874765545E-12</c:v>
                </c:pt>
                <c:pt idx="393">
                  <c:v>7.1622707764618099E-12</c:v>
                </c:pt>
                <c:pt idx="394">
                  <c:v>6.2527760746888816E-13</c:v>
                </c:pt>
                <c:pt idx="395">
                  <c:v>5.4001247917767614E-13</c:v>
                </c:pt>
                <c:pt idx="396">
                  <c:v>9.9475983006414026E-14</c:v>
                </c:pt>
                <c:pt idx="397">
                  <c:v>2.879252392062881E-12</c:v>
                </c:pt>
                <c:pt idx="398">
                  <c:v>8.8107299234252423E-13</c:v>
                </c:pt>
                <c:pt idx="399">
                  <c:v>3.822719918389339E-11</c:v>
                </c:pt>
                <c:pt idx="400">
                  <c:v>1.7763568394002505E-12</c:v>
                </c:pt>
                <c:pt idx="401">
                  <c:v>3.666400516522117E-12</c:v>
                </c:pt>
                <c:pt idx="402">
                  <c:v>1.1191048088221578E-13</c:v>
                </c:pt>
                <c:pt idx="403">
                  <c:v>1.0160761121369433E-12</c:v>
                </c:pt>
                <c:pt idx="404">
                  <c:v>3.1974423109204508E-14</c:v>
                </c:pt>
                <c:pt idx="405">
                  <c:v>1.2221335055073723E-12</c:v>
                </c:pt>
                <c:pt idx="406">
                  <c:v>1.2221335055073723E-12</c:v>
                </c:pt>
                <c:pt idx="407">
                  <c:v>2.8137492336099967E-12</c:v>
                </c:pt>
                <c:pt idx="408">
                  <c:v>1.1368683772161603E-13</c:v>
                </c:pt>
                <c:pt idx="409">
                  <c:v>1.2292389328649733E-12</c:v>
                </c:pt>
                <c:pt idx="410">
                  <c:v>6.8922645368729718E-13</c:v>
                </c:pt>
                <c:pt idx="411">
                  <c:v>3.979039320256561E-13</c:v>
                </c:pt>
                <c:pt idx="412">
                  <c:v>7.0443206823256332E-11</c:v>
                </c:pt>
                <c:pt idx="413">
                  <c:v>7.2830630415410269E-14</c:v>
                </c:pt>
                <c:pt idx="414">
                  <c:v>8.8220986071974039E-11</c:v>
                </c:pt>
                <c:pt idx="415">
                  <c:v>2.1742607714259066E-12</c:v>
                </c:pt>
                <c:pt idx="416">
                  <c:v>9.3791641120333225E-13</c:v>
                </c:pt>
                <c:pt idx="417">
                  <c:v>9.9475983006414026E-13</c:v>
                </c:pt>
                <c:pt idx="418">
                  <c:v>3.0013325158506632E-11</c:v>
                </c:pt>
                <c:pt idx="419">
                  <c:v>9.2370555648813024E-13</c:v>
                </c:pt>
                <c:pt idx="420">
                  <c:v>9.6633812063373625E-12</c:v>
                </c:pt>
                <c:pt idx="421">
                  <c:v>2.0008883439004421E-11</c:v>
                </c:pt>
                <c:pt idx="422">
                  <c:v>2.1032064978498966E-11</c:v>
                </c:pt>
                <c:pt idx="423">
                  <c:v>8.5265128291212022E-14</c:v>
                </c:pt>
                <c:pt idx="424">
                  <c:v>4.1744385725905886E-14</c:v>
                </c:pt>
                <c:pt idx="425">
                  <c:v>2.2041035663278308E-11</c:v>
                </c:pt>
                <c:pt idx="426">
                  <c:v>2.8421709430404007E-14</c:v>
                </c:pt>
                <c:pt idx="427">
                  <c:v>3.1263880373444408E-13</c:v>
                </c:pt>
                <c:pt idx="428">
                  <c:v>1.8562928971732617E-12</c:v>
                </c:pt>
                <c:pt idx="429">
                  <c:v>4.4337866711430252E-12</c:v>
                </c:pt>
                <c:pt idx="430">
                  <c:v>8.5265128291212022E-14</c:v>
                </c:pt>
                <c:pt idx="431">
                  <c:v>4.7748471843078732E-12</c:v>
                </c:pt>
                <c:pt idx="432">
                  <c:v>2.6290081223123707E-13</c:v>
                </c:pt>
                <c:pt idx="433">
                  <c:v>6.0111915445304476E-12</c:v>
                </c:pt>
                <c:pt idx="434">
                  <c:v>6.9633188104489818E-13</c:v>
                </c:pt>
                <c:pt idx="435">
                  <c:v>7.460698725481052E-14</c:v>
                </c:pt>
                <c:pt idx="436">
                  <c:v>6.5426988271610753E-9</c:v>
                </c:pt>
                <c:pt idx="437">
                  <c:v>2.2737367544323206E-13</c:v>
                </c:pt>
                <c:pt idx="438">
                  <c:v>1.3130829756846651E-11</c:v>
                </c:pt>
                <c:pt idx="439">
                  <c:v>2.7853275241795927E-12</c:v>
                </c:pt>
                <c:pt idx="440">
                  <c:v>7.1054273576010019E-13</c:v>
                </c:pt>
                <c:pt idx="441">
                  <c:v>4.2632564145606011E-13</c:v>
                </c:pt>
                <c:pt idx="442">
                  <c:v>6.4517280407017097E-12</c:v>
                </c:pt>
                <c:pt idx="443">
                  <c:v>9.8054897534893826E-13</c:v>
                </c:pt>
                <c:pt idx="444">
                  <c:v>8.5265128291212022E-14</c:v>
                </c:pt>
                <c:pt idx="445">
                  <c:v>1.4210854715202004E-14</c:v>
                </c:pt>
                <c:pt idx="446">
                  <c:v>2.2311041902867146E-12</c:v>
                </c:pt>
                <c:pt idx="447">
                  <c:v>5.1159076974727213E-13</c:v>
                </c:pt>
                <c:pt idx="448">
                  <c:v>8.7823082139948383E-12</c:v>
                </c:pt>
                <c:pt idx="449">
                  <c:v>2.0207835405017249E-11</c:v>
                </c:pt>
                <c:pt idx="450">
                  <c:v>7.1054273576010019E-14</c:v>
                </c:pt>
                <c:pt idx="451">
                  <c:v>1.4637180356658064E-11</c:v>
                </c:pt>
                <c:pt idx="452">
                  <c:v>3.2258640203508548E-12</c:v>
                </c:pt>
                <c:pt idx="453">
                  <c:v>9.0949470177292824E-13</c:v>
                </c:pt>
                <c:pt idx="454">
                  <c:v>7.6283868111204356E-11</c:v>
                </c:pt>
                <c:pt idx="455">
                  <c:v>1.1155520951433573E-12</c:v>
                </c:pt>
                <c:pt idx="456">
                  <c:v>1.2096279533579946E-10</c:v>
                </c:pt>
                <c:pt idx="457">
                  <c:v>6.3948846218409017E-13</c:v>
                </c:pt>
                <c:pt idx="458">
                  <c:v>4.2632564145606011E-14</c:v>
                </c:pt>
                <c:pt idx="459">
                  <c:v>4.1612935319790267E-11</c:v>
                </c:pt>
                <c:pt idx="460">
                  <c:v>6.7643668444361538E-12</c:v>
                </c:pt>
                <c:pt idx="461">
                  <c:v>2.2168933355715126E-12</c:v>
                </c:pt>
                <c:pt idx="462">
                  <c:v>4.9737991503207013E-14</c:v>
                </c:pt>
                <c:pt idx="463">
                  <c:v>1.4210854715202004E-14</c:v>
                </c:pt>
                <c:pt idx="464">
                  <c:v>1.4090062450122787E-11</c:v>
                </c:pt>
                <c:pt idx="465">
                  <c:v>1.0373923942097463E-12</c:v>
                </c:pt>
                <c:pt idx="466">
                  <c:v>1.3983481039758772E-11</c:v>
                </c:pt>
                <c:pt idx="467">
                  <c:v>5.0984994004465989E-11</c:v>
                </c:pt>
                <c:pt idx="468">
                  <c:v>5.6616045185364783E-11</c:v>
                </c:pt>
                <c:pt idx="469">
                  <c:v>7.8514972301491071E-13</c:v>
                </c:pt>
                <c:pt idx="470">
                  <c:v>2.5579538487363607E-13</c:v>
                </c:pt>
                <c:pt idx="471">
                  <c:v>5.4285465012071654E-12</c:v>
                </c:pt>
                <c:pt idx="472">
                  <c:v>6.5369931689929217E-13</c:v>
                </c:pt>
                <c:pt idx="473">
                  <c:v>1.8249579625262413E-10</c:v>
                </c:pt>
                <c:pt idx="474">
                  <c:v>7.1025851866579615E-11</c:v>
                </c:pt>
                <c:pt idx="475">
                  <c:v>3.8667735680064652E-10</c:v>
                </c:pt>
                <c:pt idx="476">
                  <c:v>3.694822225952521E-13</c:v>
                </c:pt>
                <c:pt idx="477">
                  <c:v>1.4210854715202004E-13</c:v>
                </c:pt>
                <c:pt idx="478">
                  <c:v>3.3111291486420669E-11</c:v>
                </c:pt>
                <c:pt idx="479">
                  <c:v>1.4598100506191258E-11</c:v>
                </c:pt>
                <c:pt idx="480">
                  <c:v>1.1056044968427159E-11</c:v>
                </c:pt>
                <c:pt idx="481">
                  <c:v>5.5706550483591855E-12</c:v>
                </c:pt>
                <c:pt idx="482">
                  <c:v>1.7848833522293717E-11</c:v>
                </c:pt>
                <c:pt idx="483">
                  <c:v>7.1409544943890069E-13</c:v>
                </c:pt>
                <c:pt idx="484">
                  <c:v>2.2737367544323206E-13</c:v>
                </c:pt>
                <c:pt idx="485">
                  <c:v>1.4495071809506044E-12</c:v>
                </c:pt>
                <c:pt idx="486">
                  <c:v>4.4337866711430252E-12</c:v>
                </c:pt>
                <c:pt idx="487">
                  <c:v>2.333422344236169E-11</c:v>
                </c:pt>
                <c:pt idx="488">
                  <c:v>6.2527760746888816E-12</c:v>
                </c:pt>
                <c:pt idx="489">
                  <c:v>4.8316906031686813E-13</c:v>
                </c:pt>
                <c:pt idx="490">
                  <c:v>4.3897330215258989E-11</c:v>
                </c:pt>
                <c:pt idx="491">
                  <c:v>1.9539925233402755E-13</c:v>
                </c:pt>
                <c:pt idx="492">
                  <c:v>7.1054273576010019E-14</c:v>
                </c:pt>
                <c:pt idx="493">
                  <c:v>6.6435745793569367E-13</c:v>
                </c:pt>
                <c:pt idx="494">
                  <c:v>3.3395508580724709E-12</c:v>
                </c:pt>
                <c:pt idx="495">
                  <c:v>6.6293637246417347E-12</c:v>
                </c:pt>
                <c:pt idx="496">
                  <c:v>1.7568169141668477E-12</c:v>
                </c:pt>
                <c:pt idx="497">
                  <c:v>2.9842794901924208E-13</c:v>
                </c:pt>
                <c:pt idx="498">
                  <c:v>6.8780536821577698E-12</c:v>
                </c:pt>
                <c:pt idx="499">
                  <c:v>3.979039320256561E-13</c:v>
                </c:pt>
                <c:pt idx="500">
                  <c:v>8.4554585555451922E-13</c:v>
                </c:pt>
                <c:pt idx="501">
                  <c:v>1.4548362514688051E-12</c:v>
                </c:pt>
                <c:pt idx="502">
                  <c:v>3.1263880373444408E-13</c:v>
                </c:pt>
                <c:pt idx="503">
                  <c:v>9.5212726591853425E-13</c:v>
                </c:pt>
                <c:pt idx="504">
                  <c:v>2.5579538487363607E-12</c:v>
                </c:pt>
                <c:pt idx="505">
                  <c:v>9.2370555648813024E-14</c:v>
                </c:pt>
                <c:pt idx="506">
                  <c:v>3.5811353882309049E-12</c:v>
                </c:pt>
                <c:pt idx="507">
                  <c:v>3.836930773104541E-13</c:v>
                </c:pt>
                <c:pt idx="508">
                  <c:v>6.3593574850528967E-12</c:v>
                </c:pt>
                <c:pt idx="509">
                  <c:v>3.694822225952521E-13</c:v>
                </c:pt>
                <c:pt idx="510">
                  <c:v>4.8316906031686813E-13</c:v>
                </c:pt>
                <c:pt idx="511">
                  <c:v>3.6504133049675147E-12</c:v>
                </c:pt>
                <c:pt idx="512">
                  <c:v>5.6843418860808015E-14</c:v>
                </c:pt>
                <c:pt idx="513">
                  <c:v>7.2226669090014184E-12</c:v>
                </c:pt>
                <c:pt idx="514">
                  <c:v>1.9895196601282805E-13</c:v>
                </c:pt>
                <c:pt idx="515">
                  <c:v>3.5527136788005009E-14</c:v>
                </c:pt>
                <c:pt idx="516">
                  <c:v>8.2138740253867581E-12</c:v>
                </c:pt>
                <c:pt idx="517">
                  <c:v>0</c:v>
                </c:pt>
                <c:pt idx="518">
                  <c:v>1.1059597682105959E-11</c:v>
                </c:pt>
                <c:pt idx="519">
                  <c:v>3.5527136788005009E-13</c:v>
                </c:pt>
                <c:pt idx="520">
                  <c:v>5.5138116294983774E-12</c:v>
                </c:pt>
                <c:pt idx="521">
                  <c:v>3.4106051316484809E-13</c:v>
                </c:pt>
                <c:pt idx="522">
                  <c:v>2.4158453015843406E-13</c:v>
                </c:pt>
                <c:pt idx="523">
                  <c:v>1.5916157281026244E-12</c:v>
                </c:pt>
                <c:pt idx="524">
                  <c:v>3.694822225952521E-13</c:v>
                </c:pt>
                <c:pt idx="525">
                  <c:v>4.4906300900038332E-12</c:v>
                </c:pt>
                <c:pt idx="526">
                  <c:v>3.8546943414985435E-11</c:v>
                </c:pt>
                <c:pt idx="527">
                  <c:v>2.0918378140777349E-11</c:v>
                </c:pt>
                <c:pt idx="528">
                  <c:v>1.1368683772161603E-13</c:v>
                </c:pt>
                <c:pt idx="529">
                  <c:v>1.6143530956469476E-11</c:v>
                </c:pt>
                <c:pt idx="530">
                  <c:v>1.4352963262354024E-11</c:v>
                </c:pt>
                <c:pt idx="531">
                  <c:v>2.8421709430404007E-13</c:v>
                </c:pt>
                <c:pt idx="532">
                  <c:v>3.865352482534945E-12</c:v>
                </c:pt>
                <c:pt idx="533">
                  <c:v>4.3200998334214091E-12</c:v>
                </c:pt>
                <c:pt idx="534">
                  <c:v>1.3187673175707459E-11</c:v>
                </c:pt>
                <c:pt idx="535">
                  <c:v>1.9895196601282805E-13</c:v>
                </c:pt>
                <c:pt idx="536">
                  <c:v>1.7763568394002505E-11</c:v>
                </c:pt>
                <c:pt idx="537">
                  <c:v>1.0231815394945443E-12</c:v>
                </c:pt>
                <c:pt idx="538">
                  <c:v>1.9060308886764687E-12</c:v>
                </c:pt>
                <c:pt idx="539">
                  <c:v>8.5265128291212022E-14</c:v>
                </c:pt>
                <c:pt idx="540">
                  <c:v>7.1054273576010019E-13</c:v>
                </c:pt>
                <c:pt idx="541">
                  <c:v>1.9895196601282805E-13</c:v>
                </c:pt>
                <c:pt idx="542">
                  <c:v>3.5527136788005009E-14</c:v>
                </c:pt>
                <c:pt idx="543">
                  <c:v>3.4809488624887308E-11</c:v>
                </c:pt>
                <c:pt idx="544">
                  <c:v>1.9610979506978765E-12</c:v>
                </c:pt>
                <c:pt idx="545">
                  <c:v>1.4210854715202004E-13</c:v>
                </c:pt>
                <c:pt idx="546">
                  <c:v>1.9610979506978765E-12</c:v>
                </c:pt>
                <c:pt idx="547">
                  <c:v>1.6910917111090384E-12</c:v>
                </c:pt>
                <c:pt idx="548">
                  <c:v>3.9612757518625585E-12</c:v>
                </c:pt>
                <c:pt idx="549">
                  <c:v>1.2568079910124652E-10</c:v>
                </c:pt>
                <c:pt idx="550">
                  <c:v>7.673861546209082E-13</c:v>
                </c:pt>
                <c:pt idx="551">
                  <c:v>7.815970093361102E-14</c:v>
                </c:pt>
                <c:pt idx="552">
                  <c:v>3.836930773104541E-13</c:v>
                </c:pt>
                <c:pt idx="553">
                  <c:v>8.1449513800180284E-11</c:v>
                </c:pt>
                <c:pt idx="554">
                  <c:v>2.6858515411731787E-11</c:v>
                </c:pt>
                <c:pt idx="555">
                  <c:v>1.1368683772161603E-12</c:v>
                </c:pt>
                <c:pt idx="556">
                  <c:v>6.7217342802905478E-12</c:v>
                </c:pt>
                <c:pt idx="557">
                  <c:v>8.5265128291212022E-14</c:v>
                </c:pt>
                <c:pt idx="558">
                  <c:v>3.694822225952521E-13</c:v>
                </c:pt>
                <c:pt idx="559">
                  <c:v>5.2210680223652162E-11</c:v>
                </c:pt>
                <c:pt idx="560">
                  <c:v>1.2079226507921703E-12</c:v>
                </c:pt>
                <c:pt idx="561">
                  <c:v>1.4210854715202004E-13</c:v>
                </c:pt>
                <c:pt idx="562">
                  <c:v>4.1211478674085811E-12</c:v>
                </c:pt>
                <c:pt idx="563">
                  <c:v>1.5199930203380063E-10</c:v>
                </c:pt>
                <c:pt idx="564">
                  <c:v>5.1443294069031253E-12</c:v>
                </c:pt>
                <c:pt idx="565">
                  <c:v>0</c:v>
                </c:pt>
                <c:pt idx="566">
                  <c:v>8.7396756498492323E-13</c:v>
                </c:pt>
                <c:pt idx="567">
                  <c:v>3.035438567167148E-11</c:v>
                </c:pt>
                <c:pt idx="568">
                  <c:v>5.6843418860808015E-13</c:v>
                </c:pt>
                <c:pt idx="569">
                  <c:v>1.1890932682945277E-11</c:v>
                </c:pt>
                <c:pt idx="570">
                  <c:v>2.9842794901924208E-13</c:v>
                </c:pt>
                <c:pt idx="571">
                  <c:v>7.3328010330442339E-12</c:v>
                </c:pt>
                <c:pt idx="572">
                  <c:v>5.1159076974727213E-12</c:v>
                </c:pt>
                <c:pt idx="573">
                  <c:v>8.8107299234252423E-13</c:v>
                </c:pt>
                <c:pt idx="574">
                  <c:v>2.5778490453376435E-11</c:v>
                </c:pt>
                <c:pt idx="575">
                  <c:v>6.3948846218409017E-14</c:v>
                </c:pt>
                <c:pt idx="576">
                  <c:v>8.1001871876651421E-13</c:v>
                </c:pt>
                <c:pt idx="577">
                  <c:v>1.8474111129762605E-13</c:v>
                </c:pt>
                <c:pt idx="578">
                  <c:v>1.5063505998114124E-12</c:v>
                </c:pt>
                <c:pt idx="579">
                  <c:v>2.6432189770275727E-12</c:v>
                </c:pt>
                <c:pt idx="580">
                  <c:v>1.482618472437025E-10</c:v>
                </c:pt>
                <c:pt idx="581">
                  <c:v>9.9475983006414026E-14</c:v>
                </c:pt>
                <c:pt idx="582">
                  <c:v>5.2722270993399434E-12</c:v>
                </c:pt>
                <c:pt idx="583">
                  <c:v>3.694822225952521E-13</c:v>
                </c:pt>
                <c:pt idx="584">
                  <c:v>2.2382096176443156E-12</c:v>
                </c:pt>
                <c:pt idx="585">
                  <c:v>1.7365664461976849E-11</c:v>
                </c:pt>
                <c:pt idx="586">
                  <c:v>1.4900081168889301E-11</c:v>
                </c:pt>
                <c:pt idx="587">
                  <c:v>1.8388846001471393E-11</c:v>
                </c:pt>
                <c:pt idx="588">
                  <c:v>1.0906830993917538E-11</c:v>
                </c:pt>
                <c:pt idx="589">
                  <c:v>1.6342482922482304E-13</c:v>
                </c:pt>
                <c:pt idx="590">
                  <c:v>2.8705926524708048E-12</c:v>
                </c:pt>
                <c:pt idx="591">
                  <c:v>1.1084466677857563E-12</c:v>
                </c:pt>
                <c:pt idx="592">
                  <c:v>5.9685589803848416E-13</c:v>
                </c:pt>
                <c:pt idx="593">
                  <c:v>4.1353587221237831E-12</c:v>
                </c:pt>
                <c:pt idx="594">
                  <c:v>2.8421709430404007E-13</c:v>
                </c:pt>
                <c:pt idx="595">
                  <c:v>1.1368683772161603E-13</c:v>
                </c:pt>
                <c:pt idx="596">
                  <c:v>3.5527136788005009E-15</c:v>
                </c:pt>
                <c:pt idx="597">
                  <c:v>8.1001871876651421E-13</c:v>
                </c:pt>
                <c:pt idx="598">
                  <c:v>3.2013502959671314E-11</c:v>
                </c:pt>
                <c:pt idx="599">
                  <c:v>9.8410168902773876E-12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4A-485B-9E23-A099D736DD15}"/>
            </c:ext>
          </c:extLst>
        </c:ser>
        <c:ser>
          <c:idx val="1"/>
          <c:order val="1"/>
          <c:tx>
            <c:strRef>
              <c:f>Direct!$S$2</c:f>
              <c:strCache>
                <c:ptCount val="1"/>
                <c:pt idx="0">
                  <c:v>Longitude GA Δ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Direct!$D$3:$D$602</c:f>
              <c:numCache>
                <c:formatCode>General</c:formatCode>
                <c:ptCount val="600"/>
                <c:pt idx="0">
                  <c:v>22085892.740699999</c:v>
                </c:pt>
                <c:pt idx="1">
                  <c:v>19786754.972199999</c:v>
                </c:pt>
                <c:pt idx="2">
                  <c:v>13647633.196599999</c:v>
                </c:pt>
                <c:pt idx="3">
                  <c:v>5057004.3572000004</c:v>
                </c:pt>
                <c:pt idx="4">
                  <c:v>26211926.041299999</c:v>
                </c:pt>
                <c:pt idx="5">
                  <c:v>5877843.3947999999</c:v>
                </c:pt>
                <c:pt idx="6">
                  <c:v>17353851.458700001</c:v>
                </c:pt>
                <c:pt idx="7">
                  <c:v>11211606.7816</c:v>
                </c:pt>
                <c:pt idx="8">
                  <c:v>13413100.6866</c:v>
                </c:pt>
                <c:pt idx="9">
                  <c:v>10061299.773</c:v>
                </c:pt>
                <c:pt idx="10">
                  <c:v>13574546.633099999</c:v>
                </c:pt>
                <c:pt idx="11">
                  <c:v>5397158.5284000002</c:v>
                </c:pt>
                <c:pt idx="12">
                  <c:v>1974293.5207</c:v>
                </c:pt>
                <c:pt idx="13">
                  <c:v>15153458.335000001</c:v>
                </c:pt>
                <c:pt idx="14">
                  <c:v>11924411.2316</c:v>
                </c:pt>
                <c:pt idx="15">
                  <c:v>24906146.8686</c:v>
                </c:pt>
                <c:pt idx="16">
                  <c:v>22990024.524300002</c:v>
                </c:pt>
                <c:pt idx="17">
                  <c:v>6642422.8748000003</c:v>
                </c:pt>
                <c:pt idx="18">
                  <c:v>12967928.029999999</c:v>
                </c:pt>
                <c:pt idx="19">
                  <c:v>28559805.6105</c:v>
                </c:pt>
                <c:pt idx="20">
                  <c:v>19798139.985599998</c:v>
                </c:pt>
                <c:pt idx="21">
                  <c:v>29611069.5645</c:v>
                </c:pt>
                <c:pt idx="22">
                  <c:v>23819608.177900001</c:v>
                </c:pt>
                <c:pt idx="23">
                  <c:v>9694952.3359999992</c:v>
                </c:pt>
                <c:pt idx="24">
                  <c:v>792391.58459999994</c:v>
                </c:pt>
                <c:pt idx="25">
                  <c:v>29956582.733399998</c:v>
                </c:pt>
                <c:pt idx="26">
                  <c:v>110882.5068</c:v>
                </c:pt>
                <c:pt idx="27">
                  <c:v>6349519.3638000004</c:v>
                </c:pt>
                <c:pt idx="28">
                  <c:v>10318810.0272</c:v>
                </c:pt>
                <c:pt idx="29">
                  <c:v>4453734.6876999997</c:v>
                </c:pt>
                <c:pt idx="30">
                  <c:v>16192411.1173</c:v>
                </c:pt>
                <c:pt idx="31">
                  <c:v>47791.921600000001</c:v>
                </c:pt>
                <c:pt idx="32">
                  <c:v>16379592.8594</c:v>
                </c:pt>
                <c:pt idx="33">
                  <c:v>25941909.833799999</c:v>
                </c:pt>
                <c:pt idx="34">
                  <c:v>19983063.0561</c:v>
                </c:pt>
                <c:pt idx="35">
                  <c:v>14969044.283500001</c:v>
                </c:pt>
                <c:pt idx="36">
                  <c:v>20971884.737199999</c:v>
                </c:pt>
                <c:pt idx="37">
                  <c:v>5018737.5745999999</c:v>
                </c:pt>
                <c:pt idx="38">
                  <c:v>5688651.0158000002</c:v>
                </c:pt>
                <c:pt idx="39">
                  <c:v>24475326.5867</c:v>
                </c:pt>
                <c:pt idx="40">
                  <c:v>11418445.4695</c:v>
                </c:pt>
                <c:pt idx="41">
                  <c:v>21962851.263599999</c:v>
                </c:pt>
                <c:pt idx="42">
                  <c:v>23153552.507599998</c:v>
                </c:pt>
                <c:pt idx="43">
                  <c:v>27457648.3748</c:v>
                </c:pt>
                <c:pt idx="44">
                  <c:v>1594501.6647000001</c:v>
                </c:pt>
                <c:pt idx="45">
                  <c:v>7281691.9382999996</c:v>
                </c:pt>
                <c:pt idx="46">
                  <c:v>23518265.962400001</c:v>
                </c:pt>
                <c:pt idx="47">
                  <c:v>3921469.0978999999</c:v>
                </c:pt>
                <c:pt idx="48">
                  <c:v>8374879.0009000003</c:v>
                </c:pt>
                <c:pt idx="49">
                  <c:v>2583078.8037999999</c:v>
                </c:pt>
                <c:pt idx="50">
                  <c:v>14011974.0339</c:v>
                </c:pt>
                <c:pt idx="51">
                  <c:v>18934734.430599999</c:v>
                </c:pt>
                <c:pt idx="52">
                  <c:v>77993.078200000004</c:v>
                </c:pt>
                <c:pt idx="53">
                  <c:v>12601924.446699999</c:v>
                </c:pt>
                <c:pt idx="54">
                  <c:v>12336200.919199999</c:v>
                </c:pt>
                <c:pt idx="55">
                  <c:v>12949182.965299999</c:v>
                </c:pt>
                <c:pt idx="56">
                  <c:v>3218075.0106000002</c:v>
                </c:pt>
                <c:pt idx="57">
                  <c:v>14250505.172800001</c:v>
                </c:pt>
                <c:pt idx="58">
                  <c:v>29644160.633699998</c:v>
                </c:pt>
                <c:pt idx="59">
                  <c:v>2846281.0967000001</c:v>
                </c:pt>
                <c:pt idx="60">
                  <c:v>24776891.9844</c:v>
                </c:pt>
                <c:pt idx="61">
                  <c:v>21636948.2696</c:v>
                </c:pt>
                <c:pt idx="62">
                  <c:v>5257481.7813999997</c:v>
                </c:pt>
                <c:pt idx="63">
                  <c:v>21811258.481699999</c:v>
                </c:pt>
                <c:pt idx="64">
                  <c:v>27630061.0777</c:v>
                </c:pt>
                <c:pt idx="65">
                  <c:v>27449795.258000001</c:v>
                </c:pt>
                <c:pt idx="66">
                  <c:v>15896057.1261</c:v>
                </c:pt>
                <c:pt idx="67">
                  <c:v>27915776.059</c:v>
                </c:pt>
                <c:pt idx="68">
                  <c:v>27388054.564300001</c:v>
                </c:pt>
                <c:pt idx="69">
                  <c:v>15232450.550100001</c:v>
                </c:pt>
                <c:pt idx="70">
                  <c:v>19523196.9932</c:v>
                </c:pt>
                <c:pt idx="71">
                  <c:v>19262446.867899999</c:v>
                </c:pt>
                <c:pt idx="72">
                  <c:v>12572332.933800001</c:v>
                </c:pt>
                <c:pt idx="73">
                  <c:v>15827008.977499999</c:v>
                </c:pt>
                <c:pt idx="74">
                  <c:v>12061587.573100001</c:v>
                </c:pt>
                <c:pt idx="75">
                  <c:v>15839191.948000001</c:v>
                </c:pt>
                <c:pt idx="76">
                  <c:v>14247699.163000001</c:v>
                </c:pt>
                <c:pt idx="77">
                  <c:v>10751079.3026</c:v>
                </c:pt>
                <c:pt idx="78">
                  <c:v>7288327.9888000004</c:v>
                </c:pt>
                <c:pt idx="79">
                  <c:v>12223215.5745</c:v>
                </c:pt>
                <c:pt idx="80">
                  <c:v>27794550.9263</c:v>
                </c:pt>
                <c:pt idx="81">
                  <c:v>21855867.1241</c:v>
                </c:pt>
                <c:pt idx="82">
                  <c:v>11149450.6668</c:v>
                </c:pt>
                <c:pt idx="83">
                  <c:v>13419455.063300001</c:v>
                </c:pt>
                <c:pt idx="84">
                  <c:v>15406147.542099999</c:v>
                </c:pt>
                <c:pt idx="85">
                  <c:v>12387170.2107</c:v>
                </c:pt>
                <c:pt idx="86">
                  <c:v>2739129.8221</c:v>
                </c:pt>
                <c:pt idx="87">
                  <c:v>10992541.662900001</c:v>
                </c:pt>
                <c:pt idx="88">
                  <c:v>26809519.5977</c:v>
                </c:pt>
                <c:pt idx="89">
                  <c:v>16426525.8873</c:v>
                </c:pt>
                <c:pt idx="90">
                  <c:v>3009187.4501999998</c:v>
                </c:pt>
                <c:pt idx="91">
                  <c:v>14766525.0417</c:v>
                </c:pt>
                <c:pt idx="92">
                  <c:v>11388563.956800001</c:v>
                </c:pt>
                <c:pt idx="93">
                  <c:v>11341171.712300001</c:v>
                </c:pt>
                <c:pt idx="94">
                  <c:v>8308069.4910000004</c:v>
                </c:pt>
                <c:pt idx="95">
                  <c:v>4874355.4786</c:v>
                </c:pt>
                <c:pt idx="96">
                  <c:v>20547852.623500001</c:v>
                </c:pt>
                <c:pt idx="97">
                  <c:v>2696126.9289000002</c:v>
                </c:pt>
                <c:pt idx="98">
                  <c:v>4461921.0270999996</c:v>
                </c:pt>
                <c:pt idx="99">
                  <c:v>8938931.9945999999</c:v>
                </c:pt>
                <c:pt idx="100">
                  <c:v>736539.3763</c:v>
                </c:pt>
                <c:pt idx="101">
                  <c:v>2680862.1616000002</c:v>
                </c:pt>
                <c:pt idx="102">
                  <c:v>2593134.8231000002</c:v>
                </c:pt>
                <c:pt idx="103">
                  <c:v>1124977.1808</c:v>
                </c:pt>
                <c:pt idx="104">
                  <c:v>8704.3340000000007</c:v>
                </c:pt>
                <c:pt idx="105">
                  <c:v>13395.294099999999</c:v>
                </c:pt>
                <c:pt idx="106">
                  <c:v>2002954.9594000001</c:v>
                </c:pt>
                <c:pt idx="107">
                  <c:v>2686520.6908999998</c:v>
                </c:pt>
                <c:pt idx="108">
                  <c:v>798705.37609999999</c:v>
                </c:pt>
                <c:pt idx="109">
                  <c:v>665017.86780000001</c:v>
                </c:pt>
                <c:pt idx="110">
                  <c:v>1950926.7751</c:v>
                </c:pt>
                <c:pt idx="111">
                  <c:v>2303142.2283000001</c:v>
                </c:pt>
                <c:pt idx="112">
                  <c:v>2125350.6011000001</c:v>
                </c:pt>
                <c:pt idx="113">
                  <c:v>1313369.7516000001</c:v>
                </c:pt>
                <c:pt idx="114">
                  <c:v>1139720.7165999999</c:v>
                </c:pt>
                <c:pt idx="115">
                  <c:v>783546.70979999995</c:v>
                </c:pt>
                <c:pt idx="116">
                  <c:v>963166.20239999995</c:v>
                </c:pt>
                <c:pt idx="117">
                  <c:v>2610595.4756999998</c:v>
                </c:pt>
                <c:pt idx="118">
                  <c:v>2662309.7689</c:v>
                </c:pt>
                <c:pt idx="119">
                  <c:v>1821170.4897</c:v>
                </c:pt>
                <c:pt idx="120">
                  <c:v>2787665.4001000002</c:v>
                </c:pt>
                <c:pt idx="121">
                  <c:v>2445529.3056000001</c:v>
                </c:pt>
                <c:pt idx="122">
                  <c:v>344966.30699999997</c:v>
                </c:pt>
                <c:pt idx="123">
                  <c:v>2319961.3678000001</c:v>
                </c:pt>
                <c:pt idx="124">
                  <c:v>181575.44039999999</c:v>
                </c:pt>
                <c:pt idx="125">
                  <c:v>2189603.9449</c:v>
                </c:pt>
                <c:pt idx="126">
                  <c:v>428196.28370000003</c:v>
                </c:pt>
                <c:pt idx="127">
                  <c:v>1626173.7615</c:v>
                </c:pt>
                <c:pt idx="128">
                  <c:v>52780.7088</c:v>
                </c:pt>
                <c:pt idx="129">
                  <c:v>873745.98479999998</c:v>
                </c:pt>
                <c:pt idx="130">
                  <c:v>1467787.2390000001</c:v>
                </c:pt>
                <c:pt idx="131">
                  <c:v>633511.36100000003</c:v>
                </c:pt>
                <c:pt idx="132">
                  <c:v>77703.400999999998</c:v>
                </c:pt>
                <c:pt idx="133">
                  <c:v>2618918.1118000001</c:v>
                </c:pt>
                <c:pt idx="134">
                  <c:v>1139643.1462999999</c:v>
                </c:pt>
                <c:pt idx="135">
                  <c:v>1149778.3717</c:v>
                </c:pt>
                <c:pt idx="136">
                  <c:v>617458.06770000001</c:v>
                </c:pt>
                <c:pt idx="137">
                  <c:v>2770816.5970000001</c:v>
                </c:pt>
                <c:pt idx="138">
                  <c:v>1509940.1052999999</c:v>
                </c:pt>
                <c:pt idx="139">
                  <c:v>2044625.3829000001</c:v>
                </c:pt>
                <c:pt idx="140">
                  <c:v>81952.523000000001</c:v>
                </c:pt>
                <c:pt idx="141">
                  <c:v>1367935.1714999999</c:v>
                </c:pt>
                <c:pt idx="142">
                  <c:v>497647.92460000003</c:v>
                </c:pt>
                <c:pt idx="143">
                  <c:v>2549616.412</c:v>
                </c:pt>
                <c:pt idx="144">
                  <c:v>923961.64540000004</c:v>
                </c:pt>
                <c:pt idx="145">
                  <c:v>436314.18910000002</c:v>
                </c:pt>
                <c:pt idx="146">
                  <c:v>235621.66570000001</c:v>
                </c:pt>
                <c:pt idx="147">
                  <c:v>1297329.2392</c:v>
                </c:pt>
                <c:pt idx="148">
                  <c:v>487865.03379999998</c:v>
                </c:pt>
                <c:pt idx="149">
                  <c:v>2107759.4114999999</c:v>
                </c:pt>
                <c:pt idx="150">
                  <c:v>932904.55359999998</c:v>
                </c:pt>
                <c:pt idx="151">
                  <c:v>1885709.7080000001</c:v>
                </c:pt>
                <c:pt idx="152">
                  <c:v>1874375.6106</c:v>
                </c:pt>
                <c:pt idx="153">
                  <c:v>1483495.4898999999</c:v>
                </c:pt>
                <c:pt idx="154">
                  <c:v>2689115.5479000001</c:v>
                </c:pt>
                <c:pt idx="155">
                  <c:v>1829661.7711</c:v>
                </c:pt>
                <c:pt idx="156">
                  <c:v>734948.68389999995</c:v>
                </c:pt>
                <c:pt idx="157">
                  <c:v>290204.74209999997</c:v>
                </c:pt>
                <c:pt idx="158">
                  <c:v>2348678.6216000002</c:v>
                </c:pt>
                <c:pt idx="159">
                  <c:v>2636.9313999999999</c:v>
                </c:pt>
                <c:pt idx="160">
                  <c:v>1868677.4461000001</c:v>
                </c:pt>
                <c:pt idx="161">
                  <c:v>1326845.2703</c:v>
                </c:pt>
                <c:pt idx="162">
                  <c:v>2618896.7393999998</c:v>
                </c:pt>
                <c:pt idx="163">
                  <c:v>870222.554</c:v>
                </c:pt>
                <c:pt idx="164">
                  <c:v>181242.50839999999</c:v>
                </c:pt>
                <c:pt idx="165">
                  <c:v>2847014.2115000002</c:v>
                </c:pt>
                <c:pt idx="166">
                  <c:v>2605914.9846000001</c:v>
                </c:pt>
                <c:pt idx="167">
                  <c:v>2164002.2919000001</c:v>
                </c:pt>
                <c:pt idx="168">
                  <c:v>2374062.4010000001</c:v>
                </c:pt>
                <c:pt idx="169">
                  <c:v>1445060.1989</c:v>
                </c:pt>
                <c:pt idx="170">
                  <c:v>371706.70150000002</c:v>
                </c:pt>
                <c:pt idx="171">
                  <c:v>473620.68780000001</c:v>
                </c:pt>
                <c:pt idx="172">
                  <c:v>1869949.3873000001</c:v>
                </c:pt>
                <c:pt idx="173">
                  <c:v>1165528.9177999999</c:v>
                </c:pt>
                <c:pt idx="174">
                  <c:v>2133546.6453</c:v>
                </c:pt>
                <c:pt idx="175">
                  <c:v>1948522.8914000001</c:v>
                </c:pt>
                <c:pt idx="176">
                  <c:v>2987346.8437999999</c:v>
                </c:pt>
                <c:pt idx="177">
                  <c:v>2388158.3117999998</c:v>
                </c:pt>
                <c:pt idx="178">
                  <c:v>1516703.9686</c:v>
                </c:pt>
                <c:pt idx="179">
                  <c:v>1158783.3785999999</c:v>
                </c:pt>
                <c:pt idx="180">
                  <c:v>1704611.0134999999</c:v>
                </c:pt>
                <c:pt idx="181">
                  <c:v>1416256.8084</c:v>
                </c:pt>
                <c:pt idx="182">
                  <c:v>37084.650699999998</c:v>
                </c:pt>
                <c:pt idx="183">
                  <c:v>2760978.3983</c:v>
                </c:pt>
                <c:pt idx="184">
                  <c:v>2197247.2039999999</c:v>
                </c:pt>
                <c:pt idx="185">
                  <c:v>2332316.2525999998</c:v>
                </c:pt>
                <c:pt idx="186">
                  <c:v>934757.1679</c:v>
                </c:pt>
                <c:pt idx="187">
                  <c:v>2202448.0323999999</c:v>
                </c:pt>
                <c:pt idx="188">
                  <c:v>1541236.2863</c:v>
                </c:pt>
                <c:pt idx="189">
                  <c:v>2847786.9182000002</c:v>
                </c:pt>
                <c:pt idx="190">
                  <c:v>2278616.4051999999</c:v>
                </c:pt>
                <c:pt idx="191">
                  <c:v>2226010.7078</c:v>
                </c:pt>
                <c:pt idx="192">
                  <c:v>165961.9748</c:v>
                </c:pt>
                <c:pt idx="193">
                  <c:v>176432.5575</c:v>
                </c:pt>
                <c:pt idx="194">
                  <c:v>2913012.5767000001</c:v>
                </c:pt>
                <c:pt idx="195">
                  <c:v>55334.114500000003</c:v>
                </c:pt>
                <c:pt idx="196">
                  <c:v>1237165.5629</c:v>
                </c:pt>
                <c:pt idx="197">
                  <c:v>106597.6541</c:v>
                </c:pt>
                <c:pt idx="198">
                  <c:v>2806480.9803999998</c:v>
                </c:pt>
                <c:pt idx="199">
                  <c:v>2700547.5251000002</c:v>
                </c:pt>
                <c:pt idx="200">
                  <c:v>176914.5307</c:v>
                </c:pt>
                <c:pt idx="201">
                  <c:v>150372.09640000001</c:v>
                </c:pt>
                <c:pt idx="202">
                  <c:v>207159.9688</c:v>
                </c:pt>
                <c:pt idx="203">
                  <c:v>158829.51319999999</c:v>
                </c:pt>
                <c:pt idx="204">
                  <c:v>250931.2175</c:v>
                </c:pt>
                <c:pt idx="205">
                  <c:v>55238.374199999998</c:v>
                </c:pt>
                <c:pt idx="206">
                  <c:v>159268.535</c:v>
                </c:pt>
                <c:pt idx="207">
                  <c:v>239557.7653</c:v>
                </c:pt>
                <c:pt idx="208">
                  <c:v>60041.874300000003</c:v>
                </c:pt>
                <c:pt idx="209">
                  <c:v>155642.25839999999</c:v>
                </c:pt>
                <c:pt idx="210">
                  <c:v>135939.71830000001</c:v>
                </c:pt>
                <c:pt idx="211">
                  <c:v>181052.9467</c:v>
                </c:pt>
                <c:pt idx="212">
                  <c:v>229254.93650000001</c:v>
                </c:pt>
                <c:pt idx="213">
                  <c:v>269764.81349999999</c:v>
                </c:pt>
                <c:pt idx="214">
                  <c:v>109197.39780000001</c:v>
                </c:pt>
                <c:pt idx="215">
                  <c:v>239202.74900000001</c:v>
                </c:pt>
                <c:pt idx="216">
                  <c:v>261627.51920000001</c:v>
                </c:pt>
                <c:pt idx="217">
                  <c:v>288789.2316</c:v>
                </c:pt>
                <c:pt idx="218">
                  <c:v>223681.27929999999</c:v>
                </c:pt>
                <c:pt idx="219">
                  <c:v>250297.2035</c:v>
                </c:pt>
                <c:pt idx="220">
                  <c:v>117917.5376</c:v>
                </c:pt>
                <c:pt idx="221">
                  <c:v>236250.2966</c:v>
                </c:pt>
                <c:pt idx="222">
                  <c:v>152724.31289999999</c:v>
                </c:pt>
                <c:pt idx="223">
                  <c:v>140330.49110000001</c:v>
                </c:pt>
                <c:pt idx="224">
                  <c:v>108131.13069999999</c:v>
                </c:pt>
                <c:pt idx="225">
                  <c:v>234979.94039999999</c:v>
                </c:pt>
                <c:pt idx="226">
                  <c:v>221205.2267</c:v>
                </c:pt>
                <c:pt idx="227">
                  <c:v>77287.303799999994</c:v>
                </c:pt>
                <c:pt idx="228">
                  <c:v>206909.5417</c:v>
                </c:pt>
                <c:pt idx="229">
                  <c:v>55374.978499999997</c:v>
                </c:pt>
                <c:pt idx="230">
                  <c:v>19205.576300000001</c:v>
                </c:pt>
                <c:pt idx="231">
                  <c:v>287624.93400000001</c:v>
                </c:pt>
                <c:pt idx="232">
                  <c:v>28140.0406</c:v>
                </c:pt>
                <c:pt idx="233">
                  <c:v>174600.7726</c:v>
                </c:pt>
                <c:pt idx="234">
                  <c:v>118249.6508</c:v>
                </c:pt>
                <c:pt idx="235">
                  <c:v>199578.12959999999</c:v>
                </c:pt>
                <c:pt idx="236">
                  <c:v>12571.034600000001</c:v>
                </c:pt>
                <c:pt idx="237">
                  <c:v>207268.5889</c:v>
                </c:pt>
                <c:pt idx="238">
                  <c:v>45876.0173</c:v>
                </c:pt>
                <c:pt idx="239">
                  <c:v>97962.3079</c:v>
                </c:pt>
                <c:pt idx="240">
                  <c:v>183912.6581</c:v>
                </c:pt>
                <c:pt idx="241">
                  <c:v>182734.12549999999</c:v>
                </c:pt>
                <c:pt idx="242">
                  <c:v>25367.8884</c:v>
                </c:pt>
                <c:pt idx="243">
                  <c:v>159167.3683</c:v>
                </c:pt>
                <c:pt idx="244">
                  <c:v>292098.01140000002</c:v>
                </c:pt>
                <c:pt idx="245">
                  <c:v>136302.18700000001</c:v>
                </c:pt>
                <c:pt idx="246">
                  <c:v>90021.128100000002</c:v>
                </c:pt>
                <c:pt idx="247">
                  <c:v>34078.6319</c:v>
                </c:pt>
                <c:pt idx="248">
                  <c:v>72338.909400000004</c:v>
                </c:pt>
                <c:pt idx="249">
                  <c:v>114948.1189</c:v>
                </c:pt>
                <c:pt idx="250">
                  <c:v>12919.8554</c:v>
                </c:pt>
                <c:pt idx="251">
                  <c:v>266034.81579999998</c:v>
                </c:pt>
                <c:pt idx="252">
                  <c:v>36730.163999999997</c:v>
                </c:pt>
                <c:pt idx="253">
                  <c:v>195008.64120000001</c:v>
                </c:pt>
                <c:pt idx="254">
                  <c:v>253855.41510000001</c:v>
                </c:pt>
                <c:pt idx="255">
                  <c:v>132081.4932</c:v>
                </c:pt>
                <c:pt idx="256">
                  <c:v>170365.54819999999</c:v>
                </c:pt>
                <c:pt idx="257">
                  <c:v>169355.3083</c:v>
                </c:pt>
                <c:pt idx="258">
                  <c:v>34280.7667</c:v>
                </c:pt>
                <c:pt idx="259">
                  <c:v>95631.720499999996</c:v>
                </c:pt>
                <c:pt idx="260">
                  <c:v>103399.0039</c:v>
                </c:pt>
                <c:pt idx="261">
                  <c:v>198631.8469</c:v>
                </c:pt>
                <c:pt idx="262">
                  <c:v>165946.44219999999</c:v>
                </c:pt>
                <c:pt idx="263">
                  <c:v>177415.48389999999</c:v>
                </c:pt>
                <c:pt idx="264">
                  <c:v>100912.3855</c:v>
                </c:pt>
                <c:pt idx="265">
                  <c:v>165257.90979999999</c:v>
                </c:pt>
                <c:pt idx="266">
                  <c:v>104705.3213</c:v>
                </c:pt>
                <c:pt idx="267">
                  <c:v>186534.3131</c:v>
                </c:pt>
                <c:pt idx="268">
                  <c:v>144966.76180000001</c:v>
                </c:pt>
                <c:pt idx="269">
                  <c:v>130323.55349999999</c:v>
                </c:pt>
                <c:pt idx="270">
                  <c:v>204439.66</c:v>
                </c:pt>
                <c:pt idx="271">
                  <c:v>178801.56409999999</c:v>
                </c:pt>
                <c:pt idx="272">
                  <c:v>83198.181500000006</c:v>
                </c:pt>
                <c:pt idx="273">
                  <c:v>274779.46269999997</c:v>
                </c:pt>
                <c:pt idx="274">
                  <c:v>110341.4342</c:v>
                </c:pt>
                <c:pt idx="275">
                  <c:v>193300.0251</c:v>
                </c:pt>
                <c:pt idx="276">
                  <c:v>77243.746899999998</c:v>
                </c:pt>
                <c:pt idx="277">
                  <c:v>288295.25770000002</c:v>
                </c:pt>
                <c:pt idx="278">
                  <c:v>292025.33350000001</c:v>
                </c:pt>
                <c:pt idx="279">
                  <c:v>222200.34969999999</c:v>
                </c:pt>
                <c:pt idx="280">
                  <c:v>177401.35699999999</c:v>
                </c:pt>
                <c:pt idx="281">
                  <c:v>197105.63070000001</c:v>
                </c:pt>
                <c:pt idx="282">
                  <c:v>262201.39919999999</c:v>
                </c:pt>
                <c:pt idx="283">
                  <c:v>286129.73320000002</c:v>
                </c:pt>
                <c:pt idx="284">
                  <c:v>88781.474700000006</c:v>
                </c:pt>
                <c:pt idx="285">
                  <c:v>25934.422999999999</c:v>
                </c:pt>
                <c:pt idx="286">
                  <c:v>165847.5191</c:v>
                </c:pt>
                <c:pt idx="287">
                  <c:v>135935.63690000001</c:v>
                </c:pt>
                <c:pt idx="288">
                  <c:v>8165.8377</c:v>
                </c:pt>
                <c:pt idx="289">
                  <c:v>297038.68729999999</c:v>
                </c:pt>
                <c:pt idx="290">
                  <c:v>20162.4198</c:v>
                </c:pt>
                <c:pt idx="291">
                  <c:v>164584.4406</c:v>
                </c:pt>
                <c:pt idx="292">
                  <c:v>38397.614699999998</c:v>
                </c:pt>
                <c:pt idx="293">
                  <c:v>215099.4129</c:v>
                </c:pt>
                <c:pt idx="294">
                  <c:v>6297.3679000000002</c:v>
                </c:pt>
                <c:pt idx="295">
                  <c:v>187751.1091</c:v>
                </c:pt>
                <c:pt idx="296">
                  <c:v>152425.64629999999</c:v>
                </c:pt>
                <c:pt idx="297">
                  <c:v>110725.2023</c:v>
                </c:pt>
                <c:pt idx="298">
                  <c:v>71301.474900000001</c:v>
                </c:pt>
                <c:pt idx="299">
                  <c:v>147375.0055</c:v>
                </c:pt>
                <c:pt idx="300">
                  <c:v>7257.9587000000001</c:v>
                </c:pt>
                <c:pt idx="301">
                  <c:v>12132.3408</c:v>
                </c:pt>
                <c:pt idx="302">
                  <c:v>1942.0318</c:v>
                </c:pt>
                <c:pt idx="303">
                  <c:v>17871.3066</c:v>
                </c:pt>
                <c:pt idx="304">
                  <c:v>9537.8850000000002</c:v>
                </c:pt>
                <c:pt idx="305">
                  <c:v>22982.406299999999</c:v>
                </c:pt>
                <c:pt idx="306">
                  <c:v>20848.2294</c:v>
                </c:pt>
                <c:pt idx="307">
                  <c:v>13206.8264</c:v>
                </c:pt>
                <c:pt idx="308">
                  <c:v>7221.5405000000001</c:v>
                </c:pt>
                <c:pt idx="309">
                  <c:v>26715.8367</c:v>
                </c:pt>
                <c:pt idx="310">
                  <c:v>2268.5140000000001</c:v>
                </c:pt>
                <c:pt idx="311">
                  <c:v>3493.4261999999999</c:v>
                </c:pt>
                <c:pt idx="312">
                  <c:v>28650.026600000001</c:v>
                </c:pt>
                <c:pt idx="313">
                  <c:v>17881.781599999998</c:v>
                </c:pt>
                <c:pt idx="314">
                  <c:v>8602.7864000000009</c:v>
                </c:pt>
                <c:pt idx="315">
                  <c:v>4760.5142999999998</c:v>
                </c:pt>
                <c:pt idx="316">
                  <c:v>15629.453799999999</c:v>
                </c:pt>
                <c:pt idx="317">
                  <c:v>8482.1638000000003</c:v>
                </c:pt>
                <c:pt idx="318">
                  <c:v>5976.9780000000001</c:v>
                </c:pt>
                <c:pt idx="319">
                  <c:v>14930.198</c:v>
                </c:pt>
                <c:pt idx="320">
                  <c:v>4443.6885000000002</c:v>
                </c:pt>
                <c:pt idx="321">
                  <c:v>2152.6453000000001</c:v>
                </c:pt>
                <c:pt idx="322">
                  <c:v>15120.408799999999</c:v>
                </c:pt>
                <c:pt idx="323">
                  <c:v>25341.7575</c:v>
                </c:pt>
                <c:pt idx="324">
                  <c:v>3720.5039000000002</c:v>
                </c:pt>
                <c:pt idx="325">
                  <c:v>6894.2614999999996</c:v>
                </c:pt>
                <c:pt idx="326">
                  <c:v>19129.257399999999</c:v>
                </c:pt>
                <c:pt idx="327">
                  <c:v>8139.16</c:v>
                </c:pt>
                <c:pt idx="328">
                  <c:v>10194.331099999999</c:v>
                </c:pt>
                <c:pt idx="329">
                  <c:v>10382.603300000001</c:v>
                </c:pt>
                <c:pt idx="330">
                  <c:v>3685.6846999999998</c:v>
                </c:pt>
                <c:pt idx="331">
                  <c:v>415.12889999999999</c:v>
                </c:pt>
                <c:pt idx="332">
                  <c:v>21589.996299999999</c:v>
                </c:pt>
                <c:pt idx="333">
                  <c:v>6650.0622000000003</c:v>
                </c:pt>
                <c:pt idx="334">
                  <c:v>29162.233</c:v>
                </c:pt>
                <c:pt idx="335">
                  <c:v>23801.801100000001</c:v>
                </c:pt>
                <c:pt idx="336">
                  <c:v>19883.556799999998</c:v>
                </c:pt>
                <c:pt idx="337">
                  <c:v>28786.854500000001</c:v>
                </c:pt>
                <c:pt idx="338">
                  <c:v>20321.9139</c:v>
                </c:pt>
                <c:pt idx="339">
                  <c:v>19106.947899999999</c:v>
                </c:pt>
                <c:pt idx="340">
                  <c:v>19978.191999999999</c:v>
                </c:pt>
                <c:pt idx="341">
                  <c:v>22287.987400000002</c:v>
                </c:pt>
                <c:pt idx="342">
                  <c:v>21229.444200000002</c:v>
                </c:pt>
                <c:pt idx="343">
                  <c:v>5761.8068000000003</c:v>
                </c:pt>
                <c:pt idx="344">
                  <c:v>22381.129499999999</c:v>
                </c:pt>
                <c:pt idx="345">
                  <c:v>20614.375899999999</c:v>
                </c:pt>
                <c:pt idx="346">
                  <c:v>13877.534299999999</c:v>
                </c:pt>
                <c:pt idx="347">
                  <c:v>24868.251799999998</c:v>
                </c:pt>
                <c:pt idx="348">
                  <c:v>7600.4764999999998</c:v>
                </c:pt>
                <c:pt idx="349">
                  <c:v>16591.260399999999</c:v>
                </c:pt>
                <c:pt idx="350">
                  <c:v>9391.4030000000002</c:v>
                </c:pt>
                <c:pt idx="351">
                  <c:v>2792.5965999999999</c:v>
                </c:pt>
                <c:pt idx="352">
                  <c:v>28192.577000000001</c:v>
                </c:pt>
                <c:pt idx="353">
                  <c:v>27140.077000000001</c:v>
                </c:pt>
                <c:pt idx="354">
                  <c:v>11706.651400000001</c:v>
                </c:pt>
                <c:pt idx="355">
                  <c:v>8158.5919000000004</c:v>
                </c:pt>
                <c:pt idx="356">
                  <c:v>1874.9798000000001</c:v>
                </c:pt>
                <c:pt idx="357">
                  <c:v>13484.368700000001</c:v>
                </c:pt>
                <c:pt idx="358">
                  <c:v>23242.379099999998</c:v>
                </c:pt>
                <c:pt idx="359">
                  <c:v>4824.5838999999996</c:v>
                </c:pt>
                <c:pt idx="360">
                  <c:v>11868.7088</c:v>
                </c:pt>
                <c:pt idx="361">
                  <c:v>24911.404200000001</c:v>
                </c:pt>
                <c:pt idx="362">
                  <c:v>501.83679999999998</c:v>
                </c:pt>
                <c:pt idx="363">
                  <c:v>5521.8651</c:v>
                </c:pt>
                <c:pt idx="364">
                  <c:v>2561.4078</c:v>
                </c:pt>
                <c:pt idx="365">
                  <c:v>18639.528399999999</c:v>
                </c:pt>
                <c:pt idx="366">
                  <c:v>4096.0942999999997</c:v>
                </c:pt>
                <c:pt idx="367">
                  <c:v>11243.4959</c:v>
                </c:pt>
                <c:pt idx="368">
                  <c:v>9933.9928</c:v>
                </c:pt>
                <c:pt idx="369">
                  <c:v>8854.6332000000002</c:v>
                </c:pt>
                <c:pt idx="370">
                  <c:v>13118.181200000001</c:v>
                </c:pt>
                <c:pt idx="371">
                  <c:v>19251.567299999999</c:v>
                </c:pt>
                <c:pt idx="372">
                  <c:v>6324.0820000000003</c:v>
                </c:pt>
                <c:pt idx="373">
                  <c:v>17659.712500000001</c:v>
                </c:pt>
                <c:pt idx="374">
                  <c:v>24197.2647</c:v>
                </c:pt>
                <c:pt idx="375">
                  <c:v>11984.5826</c:v>
                </c:pt>
                <c:pt idx="376">
                  <c:v>22940.981500000002</c:v>
                </c:pt>
                <c:pt idx="377">
                  <c:v>1283.5830000000001</c:v>
                </c:pt>
                <c:pt idx="378">
                  <c:v>18201.4208</c:v>
                </c:pt>
                <c:pt idx="379">
                  <c:v>22871.2582</c:v>
                </c:pt>
                <c:pt idx="380">
                  <c:v>23273.973000000002</c:v>
                </c:pt>
                <c:pt idx="381">
                  <c:v>8216.3669000000009</c:v>
                </c:pt>
                <c:pt idx="382">
                  <c:v>13182.615400000001</c:v>
                </c:pt>
                <c:pt idx="383">
                  <c:v>8746.3081999999995</c:v>
                </c:pt>
                <c:pt idx="384">
                  <c:v>14926.705900000001</c:v>
                </c:pt>
                <c:pt idx="385">
                  <c:v>22339.502799999998</c:v>
                </c:pt>
                <c:pt idx="386">
                  <c:v>12379.651</c:v>
                </c:pt>
                <c:pt idx="387">
                  <c:v>9394.1258999999991</c:v>
                </c:pt>
                <c:pt idx="388">
                  <c:v>15742.0088</c:v>
                </c:pt>
                <c:pt idx="389">
                  <c:v>2455.7743</c:v>
                </c:pt>
                <c:pt idx="390">
                  <c:v>8116.2794999999996</c:v>
                </c:pt>
                <c:pt idx="391">
                  <c:v>21432.472000000002</c:v>
                </c:pt>
                <c:pt idx="392">
                  <c:v>13205.754800000001</c:v>
                </c:pt>
                <c:pt idx="393">
                  <c:v>29222.171399999999</c:v>
                </c:pt>
                <c:pt idx="394">
                  <c:v>25749.614000000001</c:v>
                </c:pt>
                <c:pt idx="395">
                  <c:v>13669.7415</c:v>
                </c:pt>
                <c:pt idx="396">
                  <c:v>29773.488300000001</c:v>
                </c:pt>
                <c:pt idx="397">
                  <c:v>29052.516299999999</c:v>
                </c:pt>
                <c:pt idx="398">
                  <c:v>3862.9740000000002</c:v>
                </c:pt>
                <c:pt idx="399">
                  <c:v>26818.222600000001</c:v>
                </c:pt>
                <c:pt idx="400">
                  <c:v>127.5797</c:v>
                </c:pt>
                <c:pt idx="401">
                  <c:v>926.50239999999997</c:v>
                </c:pt>
                <c:pt idx="402">
                  <c:v>2066.0987</c:v>
                </c:pt>
                <c:pt idx="403">
                  <c:v>2378.8726000000001</c:v>
                </c:pt>
                <c:pt idx="404">
                  <c:v>598.16459999999995</c:v>
                </c:pt>
                <c:pt idx="405">
                  <c:v>2658.8733999999999</c:v>
                </c:pt>
                <c:pt idx="406">
                  <c:v>1865.2722000000001</c:v>
                </c:pt>
                <c:pt idx="407">
                  <c:v>2963.6988000000001</c:v>
                </c:pt>
                <c:pt idx="408">
                  <c:v>1864.1994</c:v>
                </c:pt>
                <c:pt idx="409">
                  <c:v>434.13080000000002</c:v>
                </c:pt>
                <c:pt idx="410">
                  <c:v>2755.375</c:v>
                </c:pt>
                <c:pt idx="411">
                  <c:v>551.63620000000003</c:v>
                </c:pt>
                <c:pt idx="412">
                  <c:v>1356.1890000000001</c:v>
                </c:pt>
                <c:pt idx="413">
                  <c:v>914.31590000000006</c:v>
                </c:pt>
                <c:pt idx="414">
                  <c:v>543.87559999999996</c:v>
                </c:pt>
                <c:pt idx="415">
                  <c:v>2619.2867999999999</c:v>
                </c:pt>
                <c:pt idx="416">
                  <c:v>500.95839999999998</c:v>
                </c:pt>
                <c:pt idx="417">
                  <c:v>612.99509999999998</c:v>
                </c:pt>
                <c:pt idx="418">
                  <c:v>2206.3631999999998</c:v>
                </c:pt>
                <c:pt idx="419">
                  <c:v>373.10430000000002</c:v>
                </c:pt>
                <c:pt idx="420">
                  <c:v>968.30229999999995</c:v>
                </c:pt>
                <c:pt idx="421">
                  <c:v>526.63610000000006</c:v>
                </c:pt>
                <c:pt idx="422">
                  <c:v>2120.3481999999999</c:v>
                </c:pt>
                <c:pt idx="423">
                  <c:v>2285.7537000000002</c:v>
                </c:pt>
                <c:pt idx="424">
                  <c:v>1122.5577000000001</c:v>
                </c:pt>
                <c:pt idx="425">
                  <c:v>2974.0944</c:v>
                </c:pt>
                <c:pt idx="426">
                  <c:v>581.15200000000004</c:v>
                </c:pt>
                <c:pt idx="427">
                  <c:v>1778.7229</c:v>
                </c:pt>
                <c:pt idx="428">
                  <c:v>2334.7959999999998</c:v>
                </c:pt>
                <c:pt idx="429">
                  <c:v>2644.8265000000001</c:v>
                </c:pt>
                <c:pt idx="430">
                  <c:v>2982.7921000000001</c:v>
                </c:pt>
                <c:pt idx="431">
                  <c:v>1329.8941</c:v>
                </c:pt>
                <c:pt idx="432">
                  <c:v>270.02050000000003</c:v>
                </c:pt>
                <c:pt idx="433">
                  <c:v>1791.4936</c:v>
                </c:pt>
                <c:pt idx="434">
                  <c:v>1454.0617</c:v>
                </c:pt>
                <c:pt idx="435">
                  <c:v>1584.9976999999999</c:v>
                </c:pt>
                <c:pt idx="436">
                  <c:v>1250.5150000000001</c:v>
                </c:pt>
                <c:pt idx="437">
                  <c:v>2712.2029000000002</c:v>
                </c:pt>
                <c:pt idx="438">
                  <c:v>2240.8114</c:v>
                </c:pt>
                <c:pt idx="439">
                  <c:v>606.53039999999999</c:v>
                </c:pt>
                <c:pt idx="440">
                  <c:v>2875.1604000000002</c:v>
                </c:pt>
                <c:pt idx="441">
                  <c:v>1967.2678000000001</c:v>
                </c:pt>
                <c:pt idx="442">
                  <c:v>1943.4681</c:v>
                </c:pt>
                <c:pt idx="443">
                  <c:v>2836.5140000000001</c:v>
                </c:pt>
                <c:pt idx="444">
                  <c:v>1327.5139999999999</c:v>
                </c:pt>
                <c:pt idx="445">
                  <c:v>509.322</c:v>
                </c:pt>
                <c:pt idx="446">
                  <c:v>1593.0436999999999</c:v>
                </c:pt>
                <c:pt idx="447">
                  <c:v>2276.5025999999998</c:v>
                </c:pt>
                <c:pt idx="448">
                  <c:v>1491.5641000000001</c:v>
                </c:pt>
                <c:pt idx="449">
                  <c:v>2384.1579000000002</c:v>
                </c:pt>
                <c:pt idx="450">
                  <c:v>900.21310000000005</c:v>
                </c:pt>
                <c:pt idx="451">
                  <c:v>1913.3998999999999</c:v>
                </c:pt>
                <c:pt idx="452">
                  <c:v>1380.5322000000001</c:v>
                </c:pt>
                <c:pt idx="453">
                  <c:v>1735.1509000000001</c:v>
                </c:pt>
                <c:pt idx="454">
                  <c:v>2539.4928</c:v>
                </c:pt>
                <c:pt idx="455">
                  <c:v>880.4864</c:v>
                </c:pt>
                <c:pt idx="456">
                  <c:v>1238.2325000000001</c:v>
                </c:pt>
                <c:pt idx="457">
                  <c:v>1481.5454</c:v>
                </c:pt>
                <c:pt idx="458">
                  <c:v>170.26910000000001</c:v>
                </c:pt>
                <c:pt idx="459">
                  <c:v>1191.329</c:v>
                </c:pt>
                <c:pt idx="460">
                  <c:v>952.34939999999995</c:v>
                </c:pt>
                <c:pt idx="461">
                  <c:v>2320.2631999999999</c:v>
                </c:pt>
                <c:pt idx="462">
                  <c:v>1113.6715999999999</c:v>
                </c:pt>
                <c:pt idx="463">
                  <c:v>2897.2872000000002</c:v>
                </c:pt>
                <c:pt idx="464">
                  <c:v>2001.7566999999999</c:v>
                </c:pt>
                <c:pt idx="465">
                  <c:v>167.43340000000001</c:v>
                </c:pt>
                <c:pt idx="466">
                  <c:v>1155.6850999999999</c:v>
                </c:pt>
                <c:pt idx="467">
                  <c:v>2369.3285999999998</c:v>
                </c:pt>
                <c:pt idx="468">
                  <c:v>2099.6320000000001</c:v>
                </c:pt>
                <c:pt idx="469">
                  <c:v>1566.3607999999999</c:v>
                </c:pt>
                <c:pt idx="470">
                  <c:v>1913.6427000000001</c:v>
                </c:pt>
                <c:pt idx="471">
                  <c:v>2141.8692999999998</c:v>
                </c:pt>
                <c:pt idx="472">
                  <c:v>283.83530000000002</c:v>
                </c:pt>
                <c:pt idx="473">
                  <c:v>706.19870000000003</c:v>
                </c:pt>
                <c:pt idx="474">
                  <c:v>1764.5993000000001</c:v>
                </c:pt>
                <c:pt idx="475">
                  <c:v>1206.1131</c:v>
                </c:pt>
                <c:pt idx="476">
                  <c:v>667.92190000000005</c:v>
                </c:pt>
                <c:pt idx="477">
                  <c:v>785.29570000000001</c:v>
                </c:pt>
                <c:pt idx="478">
                  <c:v>1268.9889000000001</c:v>
                </c:pt>
                <c:pt idx="479">
                  <c:v>1835.7257</c:v>
                </c:pt>
                <c:pt idx="480">
                  <c:v>1166.6110000000001</c:v>
                </c:pt>
                <c:pt idx="481">
                  <c:v>662.86389999999994</c:v>
                </c:pt>
                <c:pt idx="482">
                  <c:v>470.29559999999998</c:v>
                </c:pt>
                <c:pt idx="483">
                  <c:v>566.70489999999995</c:v>
                </c:pt>
                <c:pt idx="484">
                  <c:v>2049.8571999999999</c:v>
                </c:pt>
                <c:pt idx="485">
                  <c:v>2794.4827</c:v>
                </c:pt>
                <c:pt idx="486">
                  <c:v>2940.1424000000002</c:v>
                </c:pt>
                <c:pt idx="487">
                  <c:v>1283.4010000000001</c:v>
                </c:pt>
                <c:pt idx="488">
                  <c:v>2161.7483000000002</c:v>
                </c:pt>
                <c:pt idx="489">
                  <c:v>574.19349999999997</c:v>
                </c:pt>
                <c:pt idx="490">
                  <c:v>2322.3270000000002</c:v>
                </c:pt>
                <c:pt idx="491">
                  <c:v>214.89680000000001</c:v>
                </c:pt>
                <c:pt idx="492">
                  <c:v>1289.5731000000001</c:v>
                </c:pt>
                <c:pt idx="493">
                  <c:v>1929.104</c:v>
                </c:pt>
                <c:pt idx="494">
                  <c:v>2028.0549000000001</c:v>
                </c:pt>
                <c:pt idx="495">
                  <c:v>954.67409999999995</c:v>
                </c:pt>
                <c:pt idx="496">
                  <c:v>2645.9000999999998</c:v>
                </c:pt>
                <c:pt idx="497">
                  <c:v>1037.9902</c:v>
                </c:pt>
                <c:pt idx="498">
                  <c:v>2665.431</c:v>
                </c:pt>
                <c:pt idx="499">
                  <c:v>2753.4184</c:v>
                </c:pt>
                <c:pt idx="500">
                  <c:v>264.5086</c:v>
                </c:pt>
                <c:pt idx="501">
                  <c:v>6.3822000000000001</c:v>
                </c:pt>
                <c:pt idx="502">
                  <c:v>131.6283</c:v>
                </c:pt>
                <c:pt idx="503">
                  <c:v>173.012</c:v>
                </c:pt>
                <c:pt idx="504">
                  <c:v>188.12110000000001</c:v>
                </c:pt>
                <c:pt idx="505">
                  <c:v>101.82980000000001</c:v>
                </c:pt>
                <c:pt idx="506">
                  <c:v>65.089699999999993</c:v>
                </c:pt>
                <c:pt idx="507">
                  <c:v>152.2518</c:v>
                </c:pt>
                <c:pt idx="508">
                  <c:v>49.255200000000002</c:v>
                </c:pt>
                <c:pt idx="509">
                  <c:v>232.5444</c:v>
                </c:pt>
                <c:pt idx="510">
                  <c:v>107.157</c:v>
                </c:pt>
                <c:pt idx="511">
                  <c:v>74.548699999999997</c:v>
                </c:pt>
                <c:pt idx="512">
                  <c:v>75.305599999999998</c:v>
                </c:pt>
                <c:pt idx="513">
                  <c:v>194.6788</c:v>
                </c:pt>
                <c:pt idx="514">
                  <c:v>66.631600000000006</c:v>
                </c:pt>
                <c:pt idx="515">
                  <c:v>85.505399999999995</c:v>
                </c:pt>
                <c:pt idx="516">
                  <c:v>92.513499999999993</c:v>
                </c:pt>
                <c:pt idx="517">
                  <c:v>198.68539999999999</c:v>
                </c:pt>
                <c:pt idx="518">
                  <c:v>16.641500000000001</c:v>
                </c:pt>
                <c:pt idx="519">
                  <c:v>22.802299999999999</c:v>
                </c:pt>
                <c:pt idx="520">
                  <c:v>54.732100000000003</c:v>
                </c:pt>
                <c:pt idx="521">
                  <c:v>26.3157</c:v>
                </c:pt>
                <c:pt idx="522">
                  <c:v>287.31920000000002</c:v>
                </c:pt>
                <c:pt idx="523">
                  <c:v>249.56829999999999</c:v>
                </c:pt>
                <c:pt idx="524">
                  <c:v>102.48309999999999</c:v>
                </c:pt>
                <c:pt idx="525">
                  <c:v>112.4393</c:v>
                </c:pt>
                <c:pt idx="526">
                  <c:v>188.01929999999999</c:v>
                </c:pt>
                <c:pt idx="527">
                  <c:v>114.4122</c:v>
                </c:pt>
                <c:pt idx="528">
                  <c:v>125.02719999999999</c:v>
                </c:pt>
                <c:pt idx="529">
                  <c:v>69.067899999999995</c:v>
                </c:pt>
                <c:pt idx="530">
                  <c:v>7.2950999999999997</c:v>
                </c:pt>
                <c:pt idx="531">
                  <c:v>42.905700000000003</c:v>
                </c:pt>
                <c:pt idx="532">
                  <c:v>294.95620000000002</c:v>
                </c:pt>
                <c:pt idx="533">
                  <c:v>219.79079999999999</c:v>
                </c:pt>
                <c:pt idx="534">
                  <c:v>75.439899999999994</c:v>
                </c:pt>
                <c:pt idx="535">
                  <c:v>153.09970000000001</c:v>
                </c:pt>
                <c:pt idx="536">
                  <c:v>275.0976</c:v>
                </c:pt>
                <c:pt idx="537">
                  <c:v>117.9924</c:v>
                </c:pt>
                <c:pt idx="538">
                  <c:v>230.8272</c:v>
                </c:pt>
                <c:pt idx="539">
                  <c:v>50.645099999999999</c:v>
                </c:pt>
                <c:pt idx="540">
                  <c:v>199.2944</c:v>
                </c:pt>
                <c:pt idx="541">
                  <c:v>159.47839999999999</c:v>
                </c:pt>
                <c:pt idx="542">
                  <c:v>65.087299999999999</c:v>
                </c:pt>
                <c:pt idx="543">
                  <c:v>179.26079999999999</c:v>
                </c:pt>
                <c:pt idx="544">
                  <c:v>18.3111</c:v>
                </c:pt>
                <c:pt idx="545">
                  <c:v>2.7016</c:v>
                </c:pt>
                <c:pt idx="546">
                  <c:v>289.99310000000003</c:v>
                </c:pt>
                <c:pt idx="547">
                  <c:v>191.5222</c:v>
                </c:pt>
                <c:pt idx="548">
                  <c:v>288.79849999999999</c:v>
                </c:pt>
                <c:pt idx="549">
                  <c:v>181.3706</c:v>
                </c:pt>
                <c:pt idx="550">
                  <c:v>238.00460000000001</c:v>
                </c:pt>
                <c:pt idx="551">
                  <c:v>230.9863</c:v>
                </c:pt>
                <c:pt idx="552">
                  <c:v>190.0778</c:v>
                </c:pt>
                <c:pt idx="553">
                  <c:v>99.565399999999997</c:v>
                </c:pt>
                <c:pt idx="554">
                  <c:v>29.6218</c:v>
                </c:pt>
                <c:pt idx="555">
                  <c:v>162.2439</c:v>
                </c:pt>
                <c:pt idx="556">
                  <c:v>56.786299999999997</c:v>
                </c:pt>
                <c:pt idx="557">
                  <c:v>144.6337</c:v>
                </c:pt>
                <c:pt idx="558">
                  <c:v>173.5181</c:v>
                </c:pt>
                <c:pt idx="559">
                  <c:v>53.187399999999997</c:v>
                </c:pt>
                <c:pt idx="560">
                  <c:v>147.19309999999999</c:v>
                </c:pt>
                <c:pt idx="561">
                  <c:v>286.26080000000002</c:v>
                </c:pt>
                <c:pt idx="562">
                  <c:v>15.910600000000001</c:v>
                </c:pt>
                <c:pt idx="563">
                  <c:v>1.7715000000000001</c:v>
                </c:pt>
                <c:pt idx="564">
                  <c:v>17.602499999999999</c:v>
                </c:pt>
                <c:pt idx="565">
                  <c:v>41.176900000000003</c:v>
                </c:pt>
                <c:pt idx="566">
                  <c:v>213.721</c:v>
                </c:pt>
                <c:pt idx="567">
                  <c:v>299.5917</c:v>
                </c:pt>
                <c:pt idx="568">
                  <c:v>26.440300000000001</c:v>
                </c:pt>
                <c:pt idx="569">
                  <c:v>113.30110000000001</c:v>
                </c:pt>
                <c:pt idx="570">
                  <c:v>216.56450000000001</c:v>
                </c:pt>
                <c:pt idx="571">
                  <c:v>139.32480000000001</c:v>
                </c:pt>
                <c:pt idx="572">
                  <c:v>131.84719999999999</c:v>
                </c:pt>
                <c:pt idx="573">
                  <c:v>211.75059999999999</c:v>
                </c:pt>
                <c:pt idx="574">
                  <c:v>1.5274000000000001</c:v>
                </c:pt>
                <c:pt idx="575">
                  <c:v>145.38300000000001</c:v>
                </c:pt>
                <c:pt idx="576">
                  <c:v>298.60430000000002</c:v>
                </c:pt>
                <c:pt idx="577">
                  <c:v>134.36859999999999</c:v>
                </c:pt>
                <c:pt idx="578">
                  <c:v>113.09690000000001</c:v>
                </c:pt>
                <c:pt idx="579">
                  <c:v>258.26159999999999</c:v>
                </c:pt>
                <c:pt idx="580">
                  <c:v>245.2526</c:v>
                </c:pt>
                <c:pt idx="581">
                  <c:v>232.00069999999999</c:v>
                </c:pt>
                <c:pt idx="582">
                  <c:v>154.26689999999999</c:v>
                </c:pt>
                <c:pt idx="583">
                  <c:v>133.05260000000001</c:v>
                </c:pt>
                <c:pt idx="584">
                  <c:v>161.2106</c:v>
                </c:pt>
                <c:pt idx="585">
                  <c:v>106.81950000000001</c:v>
                </c:pt>
                <c:pt idx="586">
                  <c:v>46.385199999999998</c:v>
                </c:pt>
                <c:pt idx="587">
                  <c:v>169.67699999999999</c:v>
                </c:pt>
                <c:pt idx="588">
                  <c:v>82.587900000000005</c:v>
                </c:pt>
                <c:pt idx="589">
                  <c:v>90.400300000000001</c:v>
                </c:pt>
                <c:pt idx="590">
                  <c:v>239.33629999999999</c:v>
                </c:pt>
                <c:pt idx="591">
                  <c:v>6.0903</c:v>
                </c:pt>
                <c:pt idx="592">
                  <c:v>133.09180000000001</c:v>
                </c:pt>
                <c:pt idx="593">
                  <c:v>62.752699999999997</c:v>
                </c:pt>
                <c:pt idx="594">
                  <c:v>164.04509999999999</c:v>
                </c:pt>
                <c:pt idx="595">
                  <c:v>165.18979999999999</c:v>
                </c:pt>
                <c:pt idx="596">
                  <c:v>256.2978</c:v>
                </c:pt>
                <c:pt idx="597">
                  <c:v>28.553999999999998</c:v>
                </c:pt>
                <c:pt idx="598">
                  <c:v>8.3794000000000004</c:v>
                </c:pt>
                <c:pt idx="599">
                  <c:v>123.89790000000001</c:v>
                </c:pt>
              </c:numCache>
            </c:numRef>
          </c:xVal>
          <c:yVal>
            <c:numRef>
              <c:f>Direct!$S$3:$S$602</c:f>
              <c:numCache>
                <c:formatCode>0.00000000</c:formatCode>
                <c:ptCount val="600"/>
                <c:pt idx="0">
                  <c:v>6.43979092274094E-10</c:v>
                </c:pt>
                <c:pt idx="1">
                  <c:v>2.2953372535994276E-8</c:v>
                </c:pt>
                <c:pt idx="2">
                  <c:v>3.2234197533398401E-9</c:v>
                </c:pt>
                <c:pt idx="3">
                  <c:v>6.2291860558616463E-10</c:v>
                </c:pt>
                <c:pt idx="4">
                  <c:v>3.6963569982617628E-9</c:v>
                </c:pt>
                <c:pt idx="5">
                  <c:v>4.6398440645134542E-10</c:v>
                </c:pt>
                <c:pt idx="6">
                  <c:v>7.8224502431112342E-9</c:v>
                </c:pt>
                <c:pt idx="7">
                  <c:v>1.4507008927466813E-8</c:v>
                </c:pt>
                <c:pt idx="8">
                  <c:v>3.5635139283840545E-10</c:v>
                </c:pt>
                <c:pt idx="9">
                  <c:v>1.3916690022597322E-9</c:v>
                </c:pt>
                <c:pt idx="10">
                  <c:v>1.6563717508688569E-8</c:v>
                </c:pt>
                <c:pt idx="11">
                  <c:v>7.1517547439725604E-10</c:v>
                </c:pt>
                <c:pt idx="12">
                  <c:v>2.3155735107138753E-9</c:v>
                </c:pt>
                <c:pt idx="13">
                  <c:v>1.1758646678572404E-7</c:v>
                </c:pt>
                <c:pt idx="14">
                  <c:v>1.0149392437597271E-9</c:v>
                </c:pt>
                <c:pt idx="15">
                  <c:v>7.8307778039743425E-9</c:v>
                </c:pt>
                <c:pt idx="16">
                  <c:v>4.7461128360737348E-9</c:v>
                </c:pt>
                <c:pt idx="17">
                  <c:v>1.5964474187057931E-9</c:v>
                </c:pt>
                <c:pt idx="18">
                  <c:v>8.1047346611740068E-10</c:v>
                </c:pt>
                <c:pt idx="19">
                  <c:v>5.6996896091732197E-10</c:v>
                </c:pt>
                <c:pt idx="20">
                  <c:v>2.8846966415585484E-7</c:v>
                </c:pt>
                <c:pt idx="21">
                  <c:v>4.4051972736269818E-8</c:v>
                </c:pt>
                <c:pt idx="22">
                  <c:v>6.7112182478012983E-10</c:v>
                </c:pt>
                <c:pt idx="23">
                  <c:v>5.694857918570051E-10</c:v>
                </c:pt>
                <c:pt idx="24">
                  <c:v>5.1954884838778526E-11</c:v>
                </c:pt>
                <c:pt idx="25">
                  <c:v>3.2376306080550421E-8</c:v>
                </c:pt>
                <c:pt idx="26">
                  <c:v>2.1032064978498966E-10</c:v>
                </c:pt>
                <c:pt idx="27">
                  <c:v>1.3482122085406445E-9</c:v>
                </c:pt>
                <c:pt idx="28">
                  <c:v>6.354383685902576E-9</c:v>
                </c:pt>
                <c:pt idx="29">
                  <c:v>2.4237749585154234E-9</c:v>
                </c:pt>
                <c:pt idx="30">
                  <c:v>8.2241058407817036E-10</c:v>
                </c:pt>
                <c:pt idx="31">
                  <c:v>2.2251356313063297E-10</c:v>
                </c:pt>
                <c:pt idx="32">
                  <c:v>1.7819274944486097E-9</c:v>
                </c:pt>
                <c:pt idx="33">
                  <c:v>4.1154180507874116E-8</c:v>
                </c:pt>
                <c:pt idx="34">
                  <c:v>1.0277892670274014E-7</c:v>
                </c:pt>
                <c:pt idx="35">
                  <c:v>1.7909030702867312E-8</c:v>
                </c:pt>
                <c:pt idx="36">
                  <c:v>6.875677627249388E-8</c:v>
                </c:pt>
                <c:pt idx="37">
                  <c:v>4.0174086279876065E-10</c:v>
                </c:pt>
                <c:pt idx="38">
                  <c:v>4.2928149923682213E-10</c:v>
                </c:pt>
                <c:pt idx="39">
                  <c:v>1.9192299305359484E-8</c:v>
                </c:pt>
                <c:pt idx="40">
                  <c:v>6.5110299374282476E-9</c:v>
                </c:pt>
                <c:pt idx="41">
                  <c:v>3.0141023898977437E-8</c:v>
                </c:pt>
                <c:pt idx="42">
                  <c:v>1.9064174239247222E-8</c:v>
                </c:pt>
                <c:pt idx="43">
                  <c:v>4.2965808688677498E-8</c:v>
                </c:pt>
                <c:pt idx="44">
                  <c:v>1.0111193660122808E-8</c:v>
                </c:pt>
                <c:pt idx="45">
                  <c:v>1.7935235518962145E-9</c:v>
                </c:pt>
                <c:pt idx="46">
                  <c:v>1.5035186606837669E-7</c:v>
                </c:pt>
                <c:pt idx="47">
                  <c:v>1.1098677532572765E-9</c:v>
                </c:pt>
                <c:pt idx="48">
                  <c:v>2.1076118628116092E-10</c:v>
                </c:pt>
                <c:pt idx="49">
                  <c:v>5.0545025942483335E-9</c:v>
                </c:pt>
                <c:pt idx="50">
                  <c:v>7.2968475706147728E-9</c:v>
                </c:pt>
                <c:pt idx="51">
                  <c:v>9.3488949914899422E-9</c:v>
                </c:pt>
                <c:pt idx="52">
                  <c:v>1.0878409284487134E-10</c:v>
                </c:pt>
                <c:pt idx="53">
                  <c:v>3.7171616895648185E-9</c:v>
                </c:pt>
                <c:pt idx="54">
                  <c:v>6.697902676933154E-9</c:v>
                </c:pt>
                <c:pt idx="55">
                  <c:v>3.1505066999670817E-8</c:v>
                </c:pt>
                <c:pt idx="56">
                  <c:v>1.1786539744207403E-8</c:v>
                </c:pt>
                <c:pt idx="57">
                  <c:v>5.2141899686830584E-9</c:v>
                </c:pt>
                <c:pt idx="58">
                  <c:v>1.178808872737136E-8</c:v>
                </c:pt>
                <c:pt idx="59">
                  <c:v>3.2261766591545893E-9</c:v>
                </c:pt>
                <c:pt idx="60">
                  <c:v>1.6803994640213205E-8</c:v>
                </c:pt>
                <c:pt idx="61">
                  <c:v>3.8767780097259674E-9</c:v>
                </c:pt>
                <c:pt idx="62">
                  <c:v>3.1935485367284855E-9</c:v>
                </c:pt>
                <c:pt idx="63">
                  <c:v>1.0251028470520396E-8</c:v>
                </c:pt>
                <c:pt idx="64">
                  <c:v>1.68887765994441E-8</c:v>
                </c:pt>
                <c:pt idx="65">
                  <c:v>9.822826996241929E-10</c:v>
                </c:pt>
                <c:pt idx="66">
                  <c:v>2.8457577627705177E-8</c:v>
                </c:pt>
                <c:pt idx="67">
                  <c:v>3.3207442129423725E-8</c:v>
                </c:pt>
                <c:pt idx="68">
                  <c:v>3.0797764338785782E-9</c:v>
                </c:pt>
                <c:pt idx="69">
                  <c:v>1.1287966117379256E-9</c:v>
                </c:pt>
                <c:pt idx="70">
                  <c:v>4.417950094648404E-8</c:v>
                </c:pt>
                <c:pt idx="71">
                  <c:v>1.90647142517264E-8</c:v>
                </c:pt>
                <c:pt idx="72">
                  <c:v>3.9436827137251385E-9</c:v>
                </c:pt>
                <c:pt idx="73">
                  <c:v>1.9876949863828486E-8</c:v>
                </c:pt>
                <c:pt idx="74">
                  <c:v>1.0349879175919341E-8</c:v>
                </c:pt>
                <c:pt idx="75">
                  <c:v>2.3618213162990287E-8</c:v>
                </c:pt>
                <c:pt idx="76">
                  <c:v>1.5979310319380602E-8</c:v>
                </c:pt>
                <c:pt idx="77">
                  <c:v>8.2139592905150494E-9</c:v>
                </c:pt>
                <c:pt idx="78">
                  <c:v>2.1819346329721157E-10</c:v>
                </c:pt>
                <c:pt idx="79">
                  <c:v>3.1692323432253033E-8</c:v>
                </c:pt>
                <c:pt idx="80">
                  <c:v>2.9271291168697644E-8</c:v>
                </c:pt>
                <c:pt idx="81">
                  <c:v>3.2487321277585579E-8</c:v>
                </c:pt>
                <c:pt idx="82">
                  <c:v>1.8579555671749404E-9</c:v>
                </c:pt>
                <c:pt idx="83">
                  <c:v>3.2265248250951117E-8</c:v>
                </c:pt>
                <c:pt idx="84">
                  <c:v>2.9212117169663543E-9</c:v>
                </c:pt>
                <c:pt idx="85">
                  <c:v>8.9102059064316563E-9</c:v>
                </c:pt>
                <c:pt idx="86">
                  <c:v>3.957438821089454E-10</c:v>
                </c:pt>
                <c:pt idx="87">
                  <c:v>5.1460347094689496E-10</c:v>
                </c:pt>
                <c:pt idx="88">
                  <c:v>2.6782402073877165E-8</c:v>
                </c:pt>
                <c:pt idx="89">
                  <c:v>1.8582028360469849E-8</c:v>
                </c:pt>
                <c:pt idx="90">
                  <c:v>6.4127902987820562E-10</c:v>
                </c:pt>
                <c:pt idx="91">
                  <c:v>1.0122761295860983E-8</c:v>
                </c:pt>
                <c:pt idx="92">
                  <c:v>9.4768779490550514E-9</c:v>
                </c:pt>
                <c:pt idx="93">
                  <c:v>1.6200033314817119E-8</c:v>
                </c:pt>
                <c:pt idx="94">
                  <c:v>7.1111116994870827E-11</c:v>
                </c:pt>
                <c:pt idx="95">
                  <c:v>1.8154651115764864E-9</c:v>
                </c:pt>
                <c:pt idx="96">
                  <c:v>3.2220953016803833E-8</c:v>
                </c:pt>
                <c:pt idx="97">
                  <c:v>7.5267791999067413E-10</c:v>
                </c:pt>
                <c:pt idx="98">
                  <c:v>1.1833947155537317E-9</c:v>
                </c:pt>
                <c:pt idx="99">
                  <c:v>1.6144667824846692E-9</c:v>
                </c:pt>
                <c:pt idx="100">
                  <c:v>3.9193537304527126E-10</c:v>
                </c:pt>
                <c:pt idx="101">
                  <c:v>1.6378436384911765E-9</c:v>
                </c:pt>
                <c:pt idx="102">
                  <c:v>5.4885163081053179E-10</c:v>
                </c:pt>
                <c:pt idx="103">
                  <c:v>4.090537686352036E-9</c:v>
                </c:pt>
                <c:pt idx="104">
                  <c:v>3.659437197711668E-10</c:v>
                </c:pt>
                <c:pt idx="105">
                  <c:v>3.7857716961298138E-10</c:v>
                </c:pt>
                <c:pt idx="106">
                  <c:v>4.7175348072414636E-9</c:v>
                </c:pt>
                <c:pt idx="107">
                  <c:v>2.6682300813263282E-10</c:v>
                </c:pt>
                <c:pt idx="108">
                  <c:v>2.4976998247439042E-10</c:v>
                </c:pt>
                <c:pt idx="109">
                  <c:v>1.0467857691764948E-9</c:v>
                </c:pt>
                <c:pt idx="110">
                  <c:v>1.6591457097092643E-9</c:v>
                </c:pt>
                <c:pt idx="111">
                  <c:v>2.147203304048162E-9</c:v>
                </c:pt>
                <c:pt idx="112">
                  <c:v>4.6651393859065138E-10</c:v>
                </c:pt>
                <c:pt idx="113">
                  <c:v>9.585676252754638E-9</c:v>
                </c:pt>
                <c:pt idx="114">
                  <c:v>6.7780092649627477E-10</c:v>
                </c:pt>
                <c:pt idx="115">
                  <c:v>2.163460521842353E-10</c:v>
                </c:pt>
                <c:pt idx="116">
                  <c:v>5.7264060160377994E-10</c:v>
                </c:pt>
                <c:pt idx="117">
                  <c:v>1.5840271316847065E-9</c:v>
                </c:pt>
                <c:pt idx="118">
                  <c:v>1.1383747278159717E-9</c:v>
                </c:pt>
                <c:pt idx="119">
                  <c:v>7.5522450515563833E-9</c:v>
                </c:pt>
                <c:pt idx="120">
                  <c:v>1.7365948679071153E-9</c:v>
                </c:pt>
                <c:pt idx="121">
                  <c:v>2.3655246650378103E-9</c:v>
                </c:pt>
                <c:pt idx="122">
                  <c:v>3.7722713841503719E-10</c:v>
                </c:pt>
                <c:pt idx="123">
                  <c:v>6.1891114455647767E-10</c:v>
                </c:pt>
                <c:pt idx="124">
                  <c:v>2.3308643903874326E-10</c:v>
                </c:pt>
                <c:pt idx="125">
                  <c:v>5.3017856771475635E-10</c:v>
                </c:pt>
                <c:pt idx="126">
                  <c:v>4.4738612814398948E-10</c:v>
                </c:pt>
                <c:pt idx="127">
                  <c:v>1.3249206176624284E-9</c:v>
                </c:pt>
                <c:pt idx="128">
                  <c:v>4.4704506763082463E-10</c:v>
                </c:pt>
                <c:pt idx="129">
                  <c:v>1.8786749933497049E-10</c:v>
                </c:pt>
                <c:pt idx="130">
                  <c:v>4.8218851134151919E-10</c:v>
                </c:pt>
                <c:pt idx="131">
                  <c:v>1.1544898370630108E-10</c:v>
                </c:pt>
                <c:pt idx="132">
                  <c:v>4.6449599722109269E-10</c:v>
                </c:pt>
                <c:pt idx="133">
                  <c:v>7.6214234923099866E-10</c:v>
                </c:pt>
                <c:pt idx="134">
                  <c:v>6.447038458645693E-10</c:v>
                </c:pt>
                <c:pt idx="135">
                  <c:v>2.0654340460168896E-9</c:v>
                </c:pt>
                <c:pt idx="136">
                  <c:v>3.652758095995523E-10</c:v>
                </c:pt>
                <c:pt idx="137">
                  <c:v>4.4082071326556616E-10</c:v>
                </c:pt>
                <c:pt idx="138">
                  <c:v>1.5856898016863852E-9</c:v>
                </c:pt>
                <c:pt idx="139">
                  <c:v>1.2506689017754979E-9</c:v>
                </c:pt>
                <c:pt idx="140">
                  <c:v>1.3525891517929267E-10</c:v>
                </c:pt>
                <c:pt idx="141">
                  <c:v>9.8006580628862139E-10</c:v>
                </c:pt>
                <c:pt idx="142">
                  <c:v>4.6676973397552501E-10</c:v>
                </c:pt>
                <c:pt idx="143">
                  <c:v>1.7712409317027777E-10</c:v>
                </c:pt>
                <c:pt idx="144">
                  <c:v>1.1368683772161603E-12</c:v>
                </c:pt>
                <c:pt idx="145">
                  <c:v>2.1671553440683056E-10</c:v>
                </c:pt>
                <c:pt idx="146">
                  <c:v>2.6261659513693303E-11</c:v>
                </c:pt>
                <c:pt idx="147">
                  <c:v>7.162839210650418E-10</c:v>
                </c:pt>
                <c:pt idx="148">
                  <c:v>2.915214736276539E-10</c:v>
                </c:pt>
                <c:pt idx="149">
                  <c:v>1.7389524487043673E-8</c:v>
                </c:pt>
                <c:pt idx="150">
                  <c:v>3.3026026358129457E-11</c:v>
                </c:pt>
                <c:pt idx="151">
                  <c:v>1.2880718713859096E-10</c:v>
                </c:pt>
                <c:pt idx="152">
                  <c:v>4.3931436266575474E-10</c:v>
                </c:pt>
                <c:pt idx="153">
                  <c:v>1.3244516594568267E-10</c:v>
                </c:pt>
                <c:pt idx="154">
                  <c:v>6.8473582359729335E-10</c:v>
                </c:pt>
                <c:pt idx="155">
                  <c:v>7.6505557444761507E-10</c:v>
                </c:pt>
                <c:pt idx="156">
                  <c:v>3.8315306483127642E-10</c:v>
                </c:pt>
                <c:pt idx="157">
                  <c:v>4.794173946720548E-10</c:v>
                </c:pt>
                <c:pt idx="158">
                  <c:v>2.0865229544142494E-9</c:v>
                </c:pt>
                <c:pt idx="159">
                  <c:v>4.4239811813895358E-10</c:v>
                </c:pt>
                <c:pt idx="160">
                  <c:v>2.1458390619955026E-9</c:v>
                </c:pt>
                <c:pt idx="161">
                  <c:v>6.0492766351671889E-10</c:v>
                </c:pt>
                <c:pt idx="162">
                  <c:v>8.5356077761389315E-10</c:v>
                </c:pt>
                <c:pt idx="163">
                  <c:v>4.0103032006300054E-10</c:v>
                </c:pt>
                <c:pt idx="164">
                  <c:v>3.1656099963583983E-10</c:v>
                </c:pt>
                <c:pt idx="165">
                  <c:v>5.4382667258323636E-9</c:v>
                </c:pt>
                <c:pt idx="166">
                  <c:v>6.2593699112767354E-9</c:v>
                </c:pt>
                <c:pt idx="167">
                  <c:v>8.8360252448183019E-10</c:v>
                </c:pt>
                <c:pt idx="168">
                  <c:v>4.815774445887655E-10</c:v>
                </c:pt>
                <c:pt idx="169">
                  <c:v>4.5952219807077199E-10</c:v>
                </c:pt>
                <c:pt idx="170">
                  <c:v>2.5596591513021849E-10</c:v>
                </c:pt>
                <c:pt idx="171">
                  <c:v>5.0135895435232669E-10</c:v>
                </c:pt>
                <c:pt idx="172">
                  <c:v>7.9012352216523141E-12</c:v>
                </c:pt>
                <c:pt idx="173">
                  <c:v>6.6506800067145377E-10</c:v>
                </c:pt>
                <c:pt idx="174">
                  <c:v>1.7385275441483827E-9</c:v>
                </c:pt>
                <c:pt idx="175">
                  <c:v>3.0543105822289363E-9</c:v>
                </c:pt>
                <c:pt idx="176">
                  <c:v>3.8760390452807769E-9</c:v>
                </c:pt>
                <c:pt idx="177">
                  <c:v>3.6266101233195513E-10</c:v>
                </c:pt>
                <c:pt idx="178">
                  <c:v>1.44427758641541E-9</c:v>
                </c:pt>
                <c:pt idx="179">
                  <c:v>4.8408992370241322E-9</c:v>
                </c:pt>
                <c:pt idx="180">
                  <c:v>4.156390787102282E-10</c:v>
                </c:pt>
                <c:pt idx="181">
                  <c:v>5.0989683586522005E-9</c:v>
                </c:pt>
                <c:pt idx="182">
                  <c:v>2.2492940843221731E-10</c:v>
                </c:pt>
                <c:pt idx="183">
                  <c:v>3.8761527321184985E-10</c:v>
                </c:pt>
                <c:pt idx="184">
                  <c:v>1.9105073079117574E-10</c:v>
                </c:pt>
                <c:pt idx="185">
                  <c:v>7.0542682806262746E-11</c:v>
                </c:pt>
                <c:pt idx="186">
                  <c:v>1.7581669453647919E-10</c:v>
                </c:pt>
                <c:pt idx="187">
                  <c:v>4.0930387967819115E-9</c:v>
                </c:pt>
                <c:pt idx="188">
                  <c:v>9.3501739684143104E-10</c:v>
                </c:pt>
                <c:pt idx="189">
                  <c:v>7.1456724981544539E-9</c:v>
                </c:pt>
                <c:pt idx="190">
                  <c:v>2.5432171923966962E-9</c:v>
                </c:pt>
                <c:pt idx="191">
                  <c:v>5.5729287851136178E-10</c:v>
                </c:pt>
                <c:pt idx="192">
                  <c:v>1.8810908386512892E-10</c:v>
                </c:pt>
                <c:pt idx="193">
                  <c:v>3.0621549740317278E-10</c:v>
                </c:pt>
                <c:pt idx="194">
                  <c:v>1.5384102880489081E-9</c:v>
                </c:pt>
                <c:pt idx="195">
                  <c:v>4.7168668970698491E-10</c:v>
                </c:pt>
                <c:pt idx="196">
                  <c:v>2.2802453258918831E-9</c:v>
                </c:pt>
                <c:pt idx="197">
                  <c:v>2.3237589630298316E-10</c:v>
                </c:pt>
                <c:pt idx="198">
                  <c:v>3.4727918318822049E-9</c:v>
                </c:pt>
                <c:pt idx="199">
                  <c:v>1.4347278920467943E-9</c:v>
                </c:pt>
                <c:pt idx="200">
                  <c:v>4.3962700146948919E-10</c:v>
                </c:pt>
                <c:pt idx="201">
                  <c:v>2.0338575268397108E-10</c:v>
                </c:pt>
                <c:pt idx="202">
                  <c:v>2.645208496687701E-10</c:v>
                </c:pt>
                <c:pt idx="203">
                  <c:v>1.7891466086439323E-10</c:v>
                </c:pt>
                <c:pt idx="204">
                  <c:v>1.5333512237702962E-10</c:v>
                </c:pt>
                <c:pt idx="205">
                  <c:v>1.0430767360958271E-10</c:v>
                </c:pt>
                <c:pt idx="206">
                  <c:v>1.4269119219534332E-10</c:v>
                </c:pt>
                <c:pt idx="207">
                  <c:v>3.8448888517450541E-10</c:v>
                </c:pt>
                <c:pt idx="208">
                  <c:v>2.6062707547680475E-11</c:v>
                </c:pt>
                <c:pt idx="209">
                  <c:v>1.8292212189408019E-10</c:v>
                </c:pt>
                <c:pt idx="210">
                  <c:v>2.1728396859543864E-10</c:v>
                </c:pt>
                <c:pt idx="211">
                  <c:v>3.8710368244210258E-10</c:v>
                </c:pt>
                <c:pt idx="212">
                  <c:v>2.347633198951371E-11</c:v>
                </c:pt>
                <c:pt idx="213">
                  <c:v>4.7310777517850511E-10</c:v>
                </c:pt>
                <c:pt idx="214">
                  <c:v>3.0769342629355378E-10</c:v>
                </c:pt>
                <c:pt idx="215">
                  <c:v>3.8482994568767026E-10</c:v>
                </c:pt>
                <c:pt idx="216">
                  <c:v>2.3041479835228529E-10</c:v>
                </c:pt>
                <c:pt idx="217">
                  <c:v>8.9812601800076663E-11</c:v>
                </c:pt>
                <c:pt idx="218">
                  <c:v>2.843876245606225E-10</c:v>
                </c:pt>
                <c:pt idx="219">
                  <c:v>1.8101786736224312E-10</c:v>
                </c:pt>
                <c:pt idx="220">
                  <c:v>1.241176050825743E-10</c:v>
                </c:pt>
                <c:pt idx="221">
                  <c:v>3.5129232855979353E-10</c:v>
                </c:pt>
                <c:pt idx="222">
                  <c:v>9.3677954282611609E-11</c:v>
                </c:pt>
                <c:pt idx="223">
                  <c:v>1.9875301404681522E-10</c:v>
                </c:pt>
                <c:pt idx="224">
                  <c:v>2.8683189157163724E-10</c:v>
                </c:pt>
                <c:pt idx="225">
                  <c:v>1.0643930181686301E-10</c:v>
                </c:pt>
                <c:pt idx="226">
                  <c:v>2.6463453650649171E-10</c:v>
                </c:pt>
                <c:pt idx="227">
                  <c:v>1.2451550901459996E-10</c:v>
                </c:pt>
                <c:pt idx="228">
                  <c:v>1.9213075574953109E-11</c:v>
                </c:pt>
                <c:pt idx="229">
                  <c:v>1.843716290750308E-10</c:v>
                </c:pt>
                <c:pt idx="230">
                  <c:v>4.4121861719759181E-10</c:v>
                </c:pt>
                <c:pt idx="231">
                  <c:v>4.6206594106479315E-10</c:v>
                </c:pt>
                <c:pt idx="232">
                  <c:v>3.3941205401788466E-10</c:v>
                </c:pt>
                <c:pt idx="233">
                  <c:v>2.8953195396752562E-10</c:v>
                </c:pt>
                <c:pt idx="234">
                  <c:v>1.0084022505907342E-10</c:v>
                </c:pt>
                <c:pt idx="235">
                  <c:v>6.2897242969484068E-11</c:v>
                </c:pt>
                <c:pt idx="236">
                  <c:v>1.9724666344700381E-11</c:v>
                </c:pt>
                <c:pt idx="237">
                  <c:v>4.3957015805062838E-10</c:v>
                </c:pt>
                <c:pt idx="238">
                  <c:v>4.1595171751396265E-10</c:v>
                </c:pt>
                <c:pt idx="239">
                  <c:v>3.6692426874651574E-10</c:v>
                </c:pt>
                <c:pt idx="240">
                  <c:v>3.7152858567424119E-10</c:v>
                </c:pt>
                <c:pt idx="241">
                  <c:v>5.482547749124933E-11</c:v>
                </c:pt>
                <c:pt idx="242">
                  <c:v>4.9766413212637417E-11</c:v>
                </c:pt>
                <c:pt idx="243">
                  <c:v>4.3328896026650909E-10</c:v>
                </c:pt>
                <c:pt idx="244">
                  <c:v>9.2711616161977872E-11</c:v>
                </c:pt>
                <c:pt idx="245">
                  <c:v>2.5897861632984132E-10</c:v>
                </c:pt>
                <c:pt idx="246">
                  <c:v>3.0809133022557944E-11</c:v>
                </c:pt>
                <c:pt idx="247">
                  <c:v>2.2544099920196459E-10</c:v>
                </c:pt>
                <c:pt idx="248">
                  <c:v>2.1782398107461631E-10</c:v>
                </c:pt>
                <c:pt idx="249">
                  <c:v>3.07778691421845E-10</c:v>
                </c:pt>
                <c:pt idx="250">
                  <c:v>4.0500935938325711E-10</c:v>
                </c:pt>
                <c:pt idx="251">
                  <c:v>4.9965365178650245E-11</c:v>
                </c:pt>
                <c:pt idx="252">
                  <c:v>4.8771653382573277E-11</c:v>
                </c:pt>
                <c:pt idx="253">
                  <c:v>5.5649707064731047E-11</c:v>
                </c:pt>
                <c:pt idx="254">
                  <c:v>7.8529183156206273E-11</c:v>
                </c:pt>
                <c:pt idx="255">
                  <c:v>3.5026914702029899E-10</c:v>
                </c:pt>
                <c:pt idx="256">
                  <c:v>7.1338490670314059E-12</c:v>
                </c:pt>
                <c:pt idx="257">
                  <c:v>7.8671291703358293E-11</c:v>
                </c:pt>
                <c:pt idx="258">
                  <c:v>2.2453150450019166E-12</c:v>
                </c:pt>
                <c:pt idx="259">
                  <c:v>2.3165114271250786E-10</c:v>
                </c:pt>
                <c:pt idx="260">
                  <c:v>4.7846526740613626E-10</c:v>
                </c:pt>
                <c:pt idx="261">
                  <c:v>4.0645886656420771E-10</c:v>
                </c:pt>
                <c:pt idx="262">
                  <c:v>1.4557599570252933E-10</c:v>
                </c:pt>
                <c:pt idx="263">
                  <c:v>2.1168489183764905E-10</c:v>
                </c:pt>
                <c:pt idx="264">
                  <c:v>1.2403233995428309E-10</c:v>
                </c:pt>
                <c:pt idx="265">
                  <c:v>4.4877879190607928E-11</c:v>
                </c:pt>
                <c:pt idx="266">
                  <c:v>4.0461145545123145E-10</c:v>
                </c:pt>
                <c:pt idx="267">
                  <c:v>1.7075763025786728E-10</c:v>
                </c:pt>
                <c:pt idx="268">
                  <c:v>1.5381829143734649E-10</c:v>
                </c:pt>
                <c:pt idx="269">
                  <c:v>4.7384673962369561E-10</c:v>
                </c:pt>
                <c:pt idx="270">
                  <c:v>4.3377212932682596E-10</c:v>
                </c:pt>
                <c:pt idx="271">
                  <c:v>2.666524778760504E-10</c:v>
                </c:pt>
                <c:pt idx="272">
                  <c:v>1.4269119219534332E-10</c:v>
                </c:pt>
                <c:pt idx="273">
                  <c:v>2.680735633475706E-10</c:v>
                </c:pt>
                <c:pt idx="274">
                  <c:v>2.432898327242583E-10</c:v>
                </c:pt>
                <c:pt idx="275">
                  <c:v>4.4559556044987403E-10</c:v>
                </c:pt>
                <c:pt idx="276">
                  <c:v>2.6560087462712545E-10</c:v>
                </c:pt>
                <c:pt idx="277">
                  <c:v>6.3380412029800937E-11</c:v>
                </c:pt>
                <c:pt idx="278">
                  <c:v>2.4414248400717042E-10</c:v>
                </c:pt>
                <c:pt idx="279">
                  <c:v>4.0890313357522245E-10</c:v>
                </c:pt>
                <c:pt idx="280">
                  <c:v>4.3127101889695041E-10</c:v>
                </c:pt>
                <c:pt idx="281">
                  <c:v>3.9656811168242712E-10</c:v>
                </c:pt>
                <c:pt idx="282">
                  <c:v>3.5072389437118545E-11</c:v>
                </c:pt>
                <c:pt idx="283">
                  <c:v>2.1739765543316025E-10</c:v>
                </c:pt>
                <c:pt idx="284">
                  <c:v>1.3659473552252166E-10</c:v>
                </c:pt>
                <c:pt idx="285">
                  <c:v>3.3077185435104184E-10</c:v>
                </c:pt>
                <c:pt idx="286">
                  <c:v>2.2902213459019549E-10</c:v>
                </c:pt>
                <c:pt idx="287">
                  <c:v>3.3566038837307133E-11</c:v>
                </c:pt>
                <c:pt idx="288">
                  <c:v>1.1465317584224977E-10</c:v>
                </c:pt>
                <c:pt idx="289">
                  <c:v>4.1936232264561113E-10</c:v>
                </c:pt>
                <c:pt idx="290">
                  <c:v>3.0820501706330106E-10</c:v>
                </c:pt>
                <c:pt idx="291">
                  <c:v>1.5728573998785578E-10</c:v>
                </c:pt>
                <c:pt idx="292">
                  <c:v>3.7098857319506351E-10</c:v>
                </c:pt>
                <c:pt idx="293">
                  <c:v>4.5062620301905554E-10</c:v>
                </c:pt>
                <c:pt idx="294">
                  <c:v>4.8385118134319782E-10</c:v>
                </c:pt>
                <c:pt idx="295">
                  <c:v>4.0529357647756115E-10</c:v>
                </c:pt>
                <c:pt idx="296">
                  <c:v>9.4701135822106153E-11</c:v>
                </c:pt>
                <c:pt idx="297">
                  <c:v>4.2868464333878364E-10</c:v>
                </c:pt>
                <c:pt idx="298">
                  <c:v>1.375610736431554E-10</c:v>
                </c:pt>
                <c:pt idx="299">
                  <c:v>3.6934011404810008E-10</c:v>
                </c:pt>
                <c:pt idx="300">
                  <c:v>2.9535840440075845E-10</c:v>
                </c:pt>
                <c:pt idx="301">
                  <c:v>3.2690650186850689E-10</c:v>
                </c:pt>
                <c:pt idx="302">
                  <c:v>3.9051428757375106E-10</c:v>
                </c:pt>
                <c:pt idx="303">
                  <c:v>9.9419139587553218E-11</c:v>
                </c:pt>
                <c:pt idx="304">
                  <c:v>2.8538238439068664E-10</c:v>
                </c:pt>
                <c:pt idx="305">
                  <c:v>6.7544192461355124E-11</c:v>
                </c:pt>
                <c:pt idx="306">
                  <c:v>4.0537884160585236E-10</c:v>
                </c:pt>
                <c:pt idx="307">
                  <c:v>2.8200020096846856E-10</c:v>
                </c:pt>
                <c:pt idx="308">
                  <c:v>3.9031533560773823E-10</c:v>
                </c:pt>
                <c:pt idx="309">
                  <c:v>4.1836756281554699E-11</c:v>
                </c:pt>
                <c:pt idx="310">
                  <c:v>8.7709395302226767E-11</c:v>
                </c:pt>
                <c:pt idx="311">
                  <c:v>4.8885340220294893E-11</c:v>
                </c:pt>
                <c:pt idx="312">
                  <c:v>1.4887291399645619E-10</c:v>
                </c:pt>
                <c:pt idx="313">
                  <c:v>9.4644292403245345E-11</c:v>
                </c:pt>
                <c:pt idx="314">
                  <c:v>4.1580960896681063E-11</c:v>
                </c:pt>
                <c:pt idx="315">
                  <c:v>4.7415937842743006E-10</c:v>
                </c:pt>
                <c:pt idx="316">
                  <c:v>1.213038558489643E-10</c:v>
                </c:pt>
                <c:pt idx="317">
                  <c:v>4.9777781896409579E-10</c:v>
                </c:pt>
                <c:pt idx="318">
                  <c:v>2.6139446163142566E-10</c:v>
                </c:pt>
                <c:pt idx="319">
                  <c:v>3.2852653930603992E-10</c:v>
                </c:pt>
                <c:pt idx="320">
                  <c:v>6.134825980552705E-11</c:v>
                </c:pt>
                <c:pt idx="321">
                  <c:v>2.3868551579653285E-10</c:v>
                </c:pt>
                <c:pt idx="322">
                  <c:v>3.7778136174893007E-10</c:v>
                </c:pt>
                <c:pt idx="323">
                  <c:v>2.6304292077838909E-10</c:v>
                </c:pt>
                <c:pt idx="324">
                  <c:v>6.269829100347124E-11</c:v>
                </c:pt>
                <c:pt idx="325">
                  <c:v>4.7384673962369561E-10</c:v>
                </c:pt>
                <c:pt idx="326">
                  <c:v>2.3146640160121024E-10</c:v>
                </c:pt>
                <c:pt idx="327">
                  <c:v>1.9116441762889735E-10</c:v>
                </c:pt>
                <c:pt idx="328">
                  <c:v>1.2232703738845885E-10</c:v>
                </c:pt>
                <c:pt idx="329">
                  <c:v>1.6484591469634324E-10</c:v>
                </c:pt>
                <c:pt idx="330">
                  <c:v>2.2959056877880357E-10</c:v>
                </c:pt>
                <c:pt idx="331">
                  <c:v>5.0488324632169679E-10</c:v>
                </c:pt>
                <c:pt idx="332">
                  <c:v>3.1343461159849539E-10</c:v>
                </c:pt>
                <c:pt idx="333">
                  <c:v>4.1018211049959064E-10</c:v>
                </c:pt>
                <c:pt idx="334">
                  <c:v>3.2662228477420285E-10</c:v>
                </c:pt>
                <c:pt idx="335">
                  <c:v>1.8826540326699615E-10</c:v>
                </c:pt>
                <c:pt idx="336">
                  <c:v>4.4531134335556999E-10</c:v>
                </c:pt>
                <c:pt idx="337">
                  <c:v>4.2211922846036032E-10</c:v>
                </c:pt>
                <c:pt idx="338">
                  <c:v>9.4587448984384537E-11</c:v>
                </c:pt>
                <c:pt idx="339">
                  <c:v>3.2605385058559477E-10</c:v>
                </c:pt>
                <c:pt idx="340">
                  <c:v>4.9601567297941074E-10</c:v>
                </c:pt>
                <c:pt idx="341">
                  <c:v>2.0389734345371835E-10</c:v>
                </c:pt>
                <c:pt idx="342">
                  <c:v>5.8491878007771447E-11</c:v>
                </c:pt>
                <c:pt idx="343">
                  <c:v>4.3669956539815757E-11</c:v>
                </c:pt>
                <c:pt idx="344">
                  <c:v>3.8176040106918663E-10</c:v>
                </c:pt>
                <c:pt idx="345">
                  <c:v>1.6206058717216365E-10</c:v>
                </c:pt>
                <c:pt idx="346">
                  <c:v>4.510525286605116E-11</c:v>
                </c:pt>
                <c:pt idx="347">
                  <c:v>4.6819081944704521E-10</c:v>
                </c:pt>
                <c:pt idx="348">
                  <c:v>4.2615511119947769E-10</c:v>
                </c:pt>
                <c:pt idx="349">
                  <c:v>1.5418777365994174E-10</c:v>
                </c:pt>
                <c:pt idx="350">
                  <c:v>4.8464698920724913E-10</c:v>
                </c:pt>
                <c:pt idx="351">
                  <c:v>1.0112444215337746E-10</c:v>
                </c:pt>
                <c:pt idx="352">
                  <c:v>8.4924067778047174E-11</c:v>
                </c:pt>
                <c:pt idx="353">
                  <c:v>1.5850787349336315E-10</c:v>
                </c:pt>
                <c:pt idx="354">
                  <c:v>1.2528289516922086E-10</c:v>
                </c:pt>
                <c:pt idx="355">
                  <c:v>2.3317170416703448E-10</c:v>
                </c:pt>
                <c:pt idx="356">
                  <c:v>3.2497382562723942E-10</c:v>
                </c:pt>
                <c:pt idx="357">
                  <c:v>4.7484149945375975E-10</c:v>
                </c:pt>
                <c:pt idx="358">
                  <c:v>2.8589397516043391E-10</c:v>
                </c:pt>
                <c:pt idx="359">
                  <c:v>4.6418335841735825E-10</c:v>
                </c:pt>
                <c:pt idx="360">
                  <c:v>2.2680524125462398E-11</c:v>
                </c:pt>
                <c:pt idx="361">
                  <c:v>3.979039320256561E-12</c:v>
                </c:pt>
                <c:pt idx="362">
                  <c:v>1.4011902749189176E-10</c:v>
                </c:pt>
                <c:pt idx="363">
                  <c:v>3.0541968953912146E-10</c:v>
                </c:pt>
                <c:pt idx="364">
                  <c:v>2.007141119975131E-10</c:v>
                </c:pt>
                <c:pt idx="365">
                  <c:v>2.3908341972855851E-10</c:v>
                </c:pt>
                <c:pt idx="366">
                  <c:v>3.1144509193836711E-10</c:v>
                </c:pt>
                <c:pt idx="367">
                  <c:v>1.3167777979106177E-10</c:v>
                </c:pt>
                <c:pt idx="368">
                  <c:v>1.0754774848464876E-10</c:v>
                </c:pt>
                <c:pt idx="369">
                  <c:v>1.198827703774441E-10</c:v>
                </c:pt>
                <c:pt idx="370">
                  <c:v>1.8216894659417449E-10</c:v>
                </c:pt>
                <c:pt idx="371">
                  <c:v>2.6432189770275727E-12</c:v>
                </c:pt>
                <c:pt idx="372">
                  <c:v>1.4836132322670892E-10</c:v>
                </c:pt>
                <c:pt idx="373">
                  <c:v>5.8946625358657911E-11</c:v>
                </c:pt>
                <c:pt idx="374">
                  <c:v>8.4526163846021518E-11</c:v>
                </c:pt>
                <c:pt idx="375">
                  <c:v>4.4053649617126212E-11</c:v>
                </c:pt>
                <c:pt idx="376">
                  <c:v>1.0970779840135947E-11</c:v>
                </c:pt>
                <c:pt idx="377">
                  <c:v>2.957278866233537E-10</c:v>
                </c:pt>
                <c:pt idx="378">
                  <c:v>4.0253667066281196E-10</c:v>
                </c:pt>
                <c:pt idx="379">
                  <c:v>1.7740831026458181E-10</c:v>
                </c:pt>
                <c:pt idx="380">
                  <c:v>3.9457859202229884E-10</c:v>
                </c:pt>
                <c:pt idx="381">
                  <c:v>2.1128698790562339E-10</c:v>
                </c:pt>
                <c:pt idx="382">
                  <c:v>2.5332269615319092E-10</c:v>
                </c:pt>
                <c:pt idx="383">
                  <c:v>4.8100901040015742E-10</c:v>
                </c:pt>
                <c:pt idx="384">
                  <c:v>1.1002043720509391E-10</c:v>
                </c:pt>
                <c:pt idx="385">
                  <c:v>3.4521008274168707E-10</c:v>
                </c:pt>
                <c:pt idx="386">
                  <c:v>2.801243681460619E-10</c:v>
                </c:pt>
                <c:pt idx="387">
                  <c:v>6.0026650317013264E-11</c:v>
                </c:pt>
                <c:pt idx="388">
                  <c:v>2.7199575924896635E-10</c:v>
                </c:pt>
                <c:pt idx="389">
                  <c:v>2.6957991394738201E-10</c:v>
                </c:pt>
                <c:pt idx="390">
                  <c:v>1.2047962627548259E-10</c:v>
                </c:pt>
                <c:pt idx="391">
                  <c:v>1.0909673164860578E-10</c:v>
                </c:pt>
                <c:pt idx="392">
                  <c:v>2.9139357593521709E-10</c:v>
                </c:pt>
                <c:pt idx="393">
                  <c:v>4.1313796828035265E-10</c:v>
                </c:pt>
                <c:pt idx="394">
                  <c:v>3.0097169201326324E-10</c:v>
                </c:pt>
                <c:pt idx="395">
                  <c:v>3.8482994568767026E-11</c:v>
                </c:pt>
                <c:pt idx="396">
                  <c:v>7.6795458880951628E-11</c:v>
                </c:pt>
                <c:pt idx="397">
                  <c:v>1.9838353182421997E-11</c:v>
                </c:pt>
                <c:pt idx="398">
                  <c:v>1.6285639503621496E-10</c:v>
                </c:pt>
                <c:pt idx="399">
                  <c:v>4.872333647654159E-10</c:v>
                </c:pt>
                <c:pt idx="400">
                  <c:v>7.4919626058544964E-11</c:v>
                </c:pt>
                <c:pt idx="401">
                  <c:v>2.943352228612639E-10</c:v>
                </c:pt>
                <c:pt idx="402">
                  <c:v>4.1779912862693891E-11</c:v>
                </c:pt>
                <c:pt idx="403">
                  <c:v>4.9587356443225872E-10</c:v>
                </c:pt>
                <c:pt idx="404">
                  <c:v>1.4674128578917589E-10</c:v>
                </c:pt>
                <c:pt idx="405">
                  <c:v>4.6679815568495542E-10</c:v>
                </c:pt>
                <c:pt idx="406">
                  <c:v>8.0774498201208189E-11</c:v>
                </c:pt>
                <c:pt idx="407">
                  <c:v>7.6198602982913144E-11</c:v>
                </c:pt>
                <c:pt idx="408">
                  <c:v>2.2518520381709095E-10</c:v>
                </c:pt>
                <c:pt idx="409">
                  <c:v>3.4137315196858253E-10</c:v>
                </c:pt>
                <c:pt idx="410">
                  <c:v>4.9112713895738125E-11</c:v>
                </c:pt>
                <c:pt idx="411">
                  <c:v>9.269740530726267E-11</c:v>
                </c:pt>
                <c:pt idx="412">
                  <c:v>1.9656454242067412E-10</c:v>
                </c:pt>
                <c:pt idx="413">
                  <c:v>4.2771830521814991E-10</c:v>
                </c:pt>
                <c:pt idx="414">
                  <c:v>1.1621636986092199E-10</c:v>
                </c:pt>
                <c:pt idx="415">
                  <c:v>5.0420112529536709E-11</c:v>
                </c:pt>
                <c:pt idx="416">
                  <c:v>1.4307488527265377E-10</c:v>
                </c:pt>
                <c:pt idx="417">
                  <c:v>3.9702285903331358E-10</c:v>
                </c:pt>
                <c:pt idx="418">
                  <c:v>2.7398527890909463E-10</c:v>
                </c:pt>
                <c:pt idx="419">
                  <c:v>2.8983038191654487E-10</c:v>
                </c:pt>
                <c:pt idx="420">
                  <c:v>1.3068301996099763E-10</c:v>
                </c:pt>
                <c:pt idx="421">
                  <c:v>2.9001512302784249E-10</c:v>
                </c:pt>
                <c:pt idx="422">
                  <c:v>3.6800429370487109E-10</c:v>
                </c:pt>
                <c:pt idx="423">
                  <c:v>2.9791635824949481E-10</c:v>
                </c:pt>
                <c:pt idx="424">
                  <c:v>4.9129766921396367E-10</c:v>
                </c:pt>
                <c:pt idx="425">
                  <c:v>3.1195668270811439E-10</c:v>
                </c:pt>
                <c:pt idx="426">
                  <c:v>4.0228087527793832E-10</c:v>
                </c:pt>
                <c:pt idx="427">
                  <c:v>2.4334667614311911E-10</c:v>
                </c:pt>
                <c:pt idx="428">
                  <c:v>9.5980112746474333E-11</c:v>
                </c:pt>
                <c:pt idx="429">
                  <c:v>2.3345592126133852E-10</c:v>
                </c:pt>
                <c:pt idx="430">
                  <c:v>4.9908521759789437E-11</c:v>
                </c:pt>
                <c:pt idx="431">
                  <c:v>4.6412651499849744E-10</c:v>
                </c:pt>
                <c:pt idx="432">
                  <c:v>3.9744918467476964E-10</c:v>
                </c:pt>
                <c:pt idx="433">
                  <c:v>3.2940761229838245E-10</c:v>
                </c:pt>
                <c:pt idx="434">
                  <c:v>2.9370994525379501E-10</c:v>
                </c:pt>
                <c:pt idx="435">
                  <c:v>1.5512569007114507E-10</c:v>
                </c:pt>
                <c:pt idx="436">
                  <c:v>6.0867932916153222E-9</c:v>
                </c:pt>
                <c:pt idx="437">
                  <c:v>2.3925394998514093E-10</c:v>
                </c:pt>
                <c:pt idx="438">
                  <c:v>7.9865003499435261E-11</c:v>
                </c:pt>
                <c:pt idx="439">
                  <c:v>1.4239276424632408E-10</c:v>
                </c:pt>
                <c:pt idx="440">
                  <c:v>4.4491343942354433E-10</c:v>
                </c:pt>
                <c:pt idx="441">
                  <c:v>1.41824330057716E-10</c:v>
                </c:pt>
                <c:pt idx="442">
                  <c:v>3.1164404390437994E-10</c:v>
                </c:pt>
                <c:pt idx="443">
                  <c:v>2.3999291443033144E-10</c:v>
                </c:pt>
                <c:pt idx="444">
                  <c:v>2.7401370061852504E-10</c:v>
                </c:pt>
                <c:pt idx="445">
                  <c:v>3.6123992686043493E-10</c:v>
                </c:pt>
                <c:pt idx="446">
                  <c:v>1.8678747437661514E-10</c:v>
                </c:pt>
                <c:pt idx="447">
                  <c:v>2.9450575311784633E-10</c:v>
                </c:pt>
                <c:pt idx="448">
                  <c:v>2.46785702984198E-10</c:v>
                </c:pt>
                <c:pt idx="449">
                  <c:v>3.2122215998242609E-10</c:v>
                </c:pt>
                <c:pt idx="450">
                  <c:v>9.0949470177292824E-11</c:v>
                </c:pt>
                <c:pt idx="451">
                  <c:v>1.8064838513964787E-10</c:v>
                </c:pt>
                <c:pt idx="452">
                  <c:v>4.4366288420860656E-10</c:v>
                </c:pt>
                <c:pt idx="453">
                  <c:v>4.4559556044987403E-10</c:v>
                </c:pt>
                <c:pt idx="454">
                  <c:v>3.837214990198845E-10</c:v>
                </c:pt>
                <c:pt idx="455">
                  <c:v>4.0017766878008842E-10</c:v>
                </c:pt>
                <c:pt idx="456">
                  <c:v>3.333298081997782E-10</c:v>
                </c:pt>
                <c:pt idx="457">
                  <c:v>3.673505943879718E-10</c:v>
                </c:pt>
                <c:pt idx="458">
                  <c:v>2.4158453015843406E-11</c:v>
                </c:pt>
                <c:pt idx="459">
                  <c:v>4.617106696969131E-10</c:v>
                </c:pt>
                <c:pt idx="460">
                  <c:v>8.0774498201208189E-11</c:v>
                </c:pt>
                <c:pt idx="461">
                  <c:v>9.021050573210232E-11</c:v>
                </c:pt>
                <c:pt idx="462">
                  <c:v>4.8834181143320166E-10</c:v>
                </c:pt>
                <c:pt idx="463">
                  <c:v>4.6918557927710935E-10</c:v>
                </c:pt>
                <c:pt idx="464">
                  <c:v>4.1100634007307235E-10</c:v>
                </c:pt>
                <c:pt idx="465">
                  <c:v>2.4886048777261749E-10</c:v>
                </c:pt>
                <c:pt idx="466">
                  <c:v>1.6399326341343112E-10</c:v>
                </c:pt>
                <c:pt idx="467">
                  <c:v>2.0818902157770935E-10</c:v>
                </c:pt>
                <c:pt idx="468">
                  <c:v>2.2157564671942964E-10</c:v>
                </c:pt>
                <c:pt idx="469">
                  <c:v>3.8971847970969975E-10</c:v>
                </c:pt>
                <c:pt idx="470">
                  <c:v>3.6624214772018604E-10</c:v>
                </c:pt>
                <c:pt idx="471">
                  <c:v>4.3142733829881763E-10</c:v>
                </c:pt>
                <c:pt idx="472">
                  <c:v>7.1651129474048503E-11</c:v>
                </c:pt>
                <c:pt idx="473">
                  <c:v>2.7949909053859301E-10</c:v>
                </c:pt>
                <c:pt idx="474">
                  <c:v>3.7300651456462219E-10</c:v>
                </c:pt>
                <c:pt idx="475">
                  <c:v>6.5367089518986177E-10</c:v>
                </c:pt>
                <c:pt idx="476">
                  <c:v>6.1618266045115888E-11</c:v>
                </c:pt>
                <c:pt idx="477">
                  <c:v>1.7686829778540414E-10</c:v>
                </c:pt>
                <c:pt idx="478">
                  <c:v>2.8211388780619018E-10</c:v>
                </c:pt>
                <c:pt idx="479">
                  <c:v>2.227125150966458E-10</c:v>
                </c:pt>
                <c:pt idx="480">
                  <c:v>3.0695446184836328E-12</c:v>
                </c:pt>
                <c:pt idx="481">
                  <c:v>4.0745362639427185E-10</c:v>
                </c:pt>
                <c:pt idx="482">
                  <c:v>1.7416823538951576E-10</c:v>
                </c:pt>
                <c:pt idx="483">
                  <c:v>7.0514261096832342E-11</c:v>
                </c:pt>
                <c:pt idx="484">
                  <c:v>1.7624302017793525E-10</c:v>
                </c:pt>
                <c:pt idx="485">
                  <c:v>4.5156411943025887E-10</c:v>
                </c:pt>
                <c:pt idx="486">
                  <c:v>1.4355805433297064E-10</c:v>
                </c:pt>
                <c:pt idx="487">
                  <c:v>2.9686475500056986E-10</c:v>
                </c:pt>
                <c:pt idx="488">
                  <c:v>3.7934455576760229E-10</c:v>
                </c:pt>
                <c:pt idx="489">
                  <c:v>2.9882585295126773E-10</c:v>
                </c:pt>
                <c:pt idx="490">
                  <c:v>1.588773557159584E-10</c:v>
                </c:pt>
                <c:pt idx="491">
                  <c:v>2.9751845431746915E-10</c:v>
                </c:pt>
                <c:pt idx="492">
                  <c:v>1.680717787166941E-10</c:v>
                </c:pt>
                <c:pt idx="493">
                  <c:v>1.5347723092418164E-12</c:v>
                </c:pt>
                <c:pt idx="494">
                  <c:v>1.9313972643431043E-10</c:v>
                </c:pt>
                <c:pt idx="495">
                  <c:v>9.4871666078688577E-11</c:v>
                </c:pt>
                <c:pt idx="496">
                  <c:v>7.1253225542022847E-11</c:v>
                </c:pt>
                <c:pt idx="497">
                  <c:v>4.5687897909374442E-11</c:v>
                </c:pt>
                <c:pt idx="498">
                  <c:v>3.5208813642384484E-10</c:v>
                </c:pt>
                <c:pt idx="499">
                  <c:v>4.7037929107318632E-10</c:v>
                </c:pt>
                <c:pt idx="500">
                  <c:v>4.7995740715123247E-10</c:v>
                </c:pt>
                <c:pt idx="501">
                  <c:v>3.3850255931611173E-11</c:v>
                </c:pt>
                <c:pt idx="502">
                  <c:v>2.163176304748049E-10</c:v>
                </c:pt>
                <c:pt idx="503">
                  <c:v>4.1895020785887027E-10</c:v>
                </c:pt>
                <c:pt idx="504">
                  <c:v>1.8845014437829377E-10</c:v>
                </c:pt>
                <c:pt idx="505">
                  <c:v>3.1229774322127923E-10</c:v>
                </c:pt>
                <c:pt idx="506">
                  <c:v>3.6141045711701736E-10</c:v>
                </c:pt>
                <c:pt idx="507">
                  <c:v>2.5352164811920375E-11</c:v>
                </c:pt>
                <c:pt idx="508">
                  <c:v>3.41827899319469E-10</c:v>
                </c:pt>
                <c:pt idx="509">
                  <c:v>4.3365844248910435E-10</c:v>
                </c:pt>
                <c:pt idx="510">
                  <c:v>3.9446490518457722E-10</c:v>
                </c:pt>
                <c:pt idx="511">
                  <c:v>1.4054535313334782E-10</c:v>
                </c:pt>
                <c:pt idx="512">
                  <c:v>3.1926106203172822E-10</c:v>
                </c:pt>
                <c:pt idx="513">
                  <c:v>1.5057821656228043E-10</c:v>
                </c:pt>
                <c:pt idx="514">
                  <c:v>1.708997388050193E-10</c:v>
                </c:pt>
                <c:pt idx="515">
                  <c:v>4.7151615945040248E-11</c:v>
                </c:pt>
                <c:pt idx="516">
                  <c:v>3.1380409382109065E-10</c:v>
                </c:pt>
                <c:pt idx="517">
                  <c:v>9.6974872576538473E-11</c:v>
                </c:pt>
                <c:pt idx="518">
                  <c:v>4.4096282181271818E-10</c:v>
                </c:pt>
                <c:pt idx="519">
                  <c:v>4.6335912884387653E-10</c:v>
                </c:pt>
                <c:pt idx="520">
                  <c:v>1.5120349416974932E-10</c:v>
                </c:pt>
                <c:pt idx="521">
                  <c:v>1.5364776118076406E-10</c:v>
                </c:pt>
                <c:pt idx="522">
                  <c:v>3.0274804885266349E-10</c:v>
                </c:pt>
                <c:pt idx="523">
                  <c:v>2.6955149223795161E-10</c:v>
                </c:pt>
                <c:pt idx="524">
                  <c:v>5.7639226724859327E-11</c:v>
                </c:pt>
                <c:pt idx="525">
                  <c:v>1.5148771126405336E-10</c:v>
                </c:pt>
                <c:pt idx="526">
                  <c:v>3.3236347007914446E-10</c:v>
                </c:pt>
                <c:pt idx="527">
                  <c:v>1.8806645130098332E-10</c:v>
                </c:pt>
                <c:pt idx="528">
                  <c:v>4.4582293412531726E-10</c:v>
                </c:pt>
                <c:pt idx="529">
                  <c:v>2.7182522899238393E-10</c:v>
                </c:pt>
                <c:pt idx="530">
                  <c:v>3.5865355130226817E-10</c:v>
                </c:pt>
                <c:pt idx="531">
                  <c:v>1.5526779861829709E-10</c:v>
                </c:pt>
                <c:pt idx="532">
                  <c:v>3.8812686398159713E-10</c:v>
                </c:pt>
                <c:pt idx="533">
                  <c:v>4.4332182369544171E-10</c:v>
                </c:pt>
                <c:pt idx="534">
                  <c:v>1.701891960692592E-10</c:v>
                </c:pt>
                <c:pt idx="535">
                  <c:v>1.9980461729574017E-10</c:v>
                </c:pt>
                <c:pt idx="536">
                  <c:v>2.0077095541637391E-10</c:v>
                </c:pt>
                <c:pt idx="537">
                  <c:v>2.2603785510000307E-10</c:v>
                </c:pt>
                <c:pt idx="538">
                  <c:v>3.6834535421803594E-11</c:v>
                </c:pt>
                <c:pt idx="539">
                  <c:v>7.9083406490099151E-11</c:v>
                </c:pt>
                <c:pt idx="540">
                  <c:v>4.6532022679457441E-10</c:v>
                </c:pt>
                <c:pt idx="541">
                  <c:v>3.6720848584081978E-10</c:v>
                </c:pt>
                <c:pt idx="542">
                  <c:v>9.1972651716787368E-11</c:v>
                </c:pt>
                <c:pt idx="543">
                  <c:v>2.6631141736288555E-10</c:v>
                </c:pt>
                <c:pt idx="544">
                  <c:v>2.4095925255096518E-10</c:v>
                </c:pt>
                <c:pt idx="545">
                  <c:v>4.0813574742060155E-10</c:v>
                </c:pt>
                <c:pt idx="546">
                  <c:v>3.3804781196522526E-10</c:v>
                </c:pt>
                <c:pt idx="547">
                  <c:v>1.5830892152735032E-10</c:v>
                </c:pt>
                <c:pt idx="548">
                  <c:v>3.4913227864308283E-10</c:v>
                </c:pt>
                <c:pt idx="549">
                  <c:v>1.1968381841143128E-10</c:v>
                </c:pt>
                <c:pt idx="550">
                  <c:v>4.1620751289883628E-10</c:v>
                </c:pt>
                <c:pt idx="551">
                  <c:v>4.6156856114976108E-10</c:v>
                </c:pt>
                <c:pt idx="552">
                  <c:v>2.4462565306748729E-10</c:v>
                </c:pt>
                <c:pt idx="553">
                  <c:v>1.3173462320992257E-10</c:v>
                </c:pt>
                <c:pt idx="554">
                  <c:v>6.2470917328028008E-11</c:v>
                </c:pt>
                <c:pt idx="555">
                  <c:v>4.7185721996356733E-10</c:v>
                </c:pt>
                <c:pt idx="556">
                  <c:v>1.4773604561924003E-10</c:v>
                </c:pt>
                <c:pt idx="557">
                  <c:v>4.0228087527793832E-10</c:v>
                </c:pt>
                <c:pt idx="558">
                  <c:v>3.7564973354164977E-10</c:v>
                </c:pt>
                <c:pt idx="559">
                  <c:v>1.5521095519943628E-10</c:v>
                </c:pt>
                <c:pt idx="560">
                  <c:v>2.6921043172478676E-10</c:v>
                </c:pt>
                <c:pt idx="561">
                  <c:v>1.758593271006248E-10</c:v>
                </c:pt>
                <c:pt idx="562">
                  <c:v>4.6986770030343905E-10</c:v>
                </c:pt>
                <c:pt idx="563">
                  <c:v>2.2700419322063681E-10</c:v>
                </c:pt>
                <c:pt idx="564">
                  <c:v>1.4514967006107327E-10</c:v>
                </c:pt>
                <c:pt idx="565">
                  <c:v>3.7459813029272482E-10</c:v>
                </c:pt>
                <c:pt idx="566">
                  <c:v>1.9463186617940664E-10</c:v>
                </c:pt>
                <c:pt idx="567">
                  <c:v>2.6966517907567322E-10</c:v>
                </c:pt>
                <c:pt idx="568">
                  <c:v>3.4094682632712647E-10</c:v>
                </c:pt>
                <c:pt idx="569">
                  <c:v>3.475122412055498E-10</c:v>
                </c:pt>
                <c:pt idx="570">
                  <c:v>2.85126589005813E-10</c:v>
                </c:pt>
                <c:pt idx="571">
                  <c:v>4.7737103159306571E-10</c:v>
                </c:pt>
                <c:pt idx="572">
                  <c:v>1.2789769243681803E-12</c:v>
                </c:pt>
                <c:pt idx="573">
                  <c:v>3.4279423744010273E-10</c:v>
                </c:pt>
                <c:pt idx="574">
                  <c:v>1.8877699403674342E-10</c:v>
                </c:pt>
                <c:pt idx="575">
                  <c:v>3.5043967727688141E-11</c:v>
                </c:pt>
                <c:pt idx="576">
                  <c:v>4.298215117159998E-10</c:v>
                </c:pt>
                <c:pt idx="577">
                  <c:v>3.518039193295408E-10</c:v>
                </c:pt>
                <c:pt idx="578">
                  <c:v>3.5788616514764726E-10</c:v>
                </c:pt>
                <c:pt idx="579">
                  <c:v>2.581543867563596E-10</c:v>
                </c:pt>
                <c:pt idx="580">
                  <c:v>3.5225866668042727E-10</c:v>
                </c:pt>
                <c:pt idx="581">
                  <c:v>1.0413714335300028E-10</c:v>
                </c:pt>
                <c:pt idx="582">
                  <c:v>4.1163161768054124E-10</c:v>
                </c:pt>
                <c:pt idx="583">
                  <c:v>2.1437074337882223E-10</c:v>
                </c:pt>
                <c:pt idx="584">
                  <c:v>2.1242385628283955E-10</c:v>
                </c:pt>
                <c:pt idx="585">
                  <c:v>1.163300566986436E-10</c:v>
                </c:pt>
                <c:pt idx="586">
                  <c:v>6.5199401433346793E-11</c:v>
                </c:pt>
                <c:pt idx="587">
                  <c:v>1.5540990716544911E-10</c:v>
                </c:pt>
                <c:pt idx="588">
                  <c:v>4.7998582886066288E-10</c:v>
                </c:pt>
                <c:pt idx="589">
                  <c:v>1.4813394955126569E-10</c:v>
                </c:pt>
                <c:pt idx="590">
                  <c:v>3.3338665161863901E-11</c:v>
                </c:pt>
                <c:pt idx="591">
                  <c:v>1.2289547157706693E-10</c:v>
                </c:pt>
                <c:pt idx="592">
                  <c:v>1.985824837902328E-10</c:v>
                </c:pt>
                <c:pt idx="593">
                  <c:v>3.0587443689000793E-10</c:v>
                </c:pt>
                <c:pt idx="594">
                  <c:v>7.4294348451076075E-11</c:v>
                </c:pt>
                <c:pt idx="595">
                  <c:v>3.8841108107590117E-10</c:v>
                </c:pt>
                <c:pt idx="596">
                  <c:v>4.3598902266239747E-11</c:v>
                </c:pt>
                <c:pt idx="597">
                  <c:v>1.6619594589428743E-10</c:v>
                </c:pt>
                <c:pt idx="598">
                  <c:v>3.567208750610007E-10</c:v>
                </c:pt>
                <c:pt idx="599">
                  <c:v>3.5964831113233231E-10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4A-485B-9E23-A099D736DD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5032712"/>
        <c:axId val="556023152"/>
      </c:scatterChart>
      <c:valAx>
        <c:axId val="445032712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baseline="0">
                    <a:effectLst/>
                  </a:rPr>
                  <a:t>distance [m]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6023152"/>
        <c:crosses val="autoZero"/>
        <c:crossBetween val="midCat"/>
      </c:valAx>
      <c:valAx>
        <c:axId val="556023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/>
                  <a:t>Δ </a:t>
                </a:r>
                <a:r>
                  <a:rPr lang="en-US"/>
                  <a:t>longitude [degrees]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032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Direct</a:t>
            </a:r>
            <a:r>
              <a:rPr lang="en-US" baseline="0"/>
              <a:t> Results Comparison - RevAzimuth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Direct!$U$2</c:f>
              <c:strCache>
                <c:ptCount val="1"/>
                <c:pt idx="0">
                  <c:v>RevAzimuth GL Δ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Direct!$D$3:$D$602</c:f>
              <c:numCache>
                <c:formatCode>General</c:formatCode>
                <c:ptCount val="600"/>
                <c:pt idx="0">
                  <c:v>22085892.740699999</c:v>
                </c:pt>
                <c:pt idx="1">
                  <c:v>19786754.972199999</c:v>
                </c:pt>
                <c:pt idx="2">
                  <c:v>13647633.196599999</c:v>
                </c:pt>
                <c:pt idx="3">
                  <c:v>5057004.3572000004</c:v>
                </c:pt>
                <c:pt idx="4">
                  <c:v>26211926.041299999</c:v>
                </c:pt>
                <c:pt idx="5">
                  <c:v>5877843.3947999999</c:v>
                </c:pt>
                <c:pt idx="6">
                  <c:v>17353851.458700001</c:v>
                </c:pt>
                <c:pt idx="7">
                  <c:v>11211606.7816</c:v>
                </c:pt>
                <c:pt idx="8">
                  <c:v>13413100.6866</c:v>
                </c:pt>
                <c:pt idx="9">
                  <c:v>10061299.773</c:v>
                </c:pt>
                <c:pt idx="10">
                  <c:v>13574546.633099999</c:v>
                </c:pt>
                <c:pt idx="11">
                  <c:v>5397158.5284000002</c:v>
                </c:pt>
                <c:pt idx="12">
                  <c:v>1974293.5207</c:v>
                </c:pt>
                <c:pt idx="13">
                  <c:v>15153458.335000001</c:v>
                </c:pt>
                <c:pt idx="14">
                  <c:v>11924411.2316</c:v>
                </c:pt>
                <c:pt idx="15">
                  <c:v>24906146.8686</c:v>
                </c:pt>
                <c:pt idx="16">
                  <c:v>22990024.524300002</c:v>
                </c:pt>
                <c:pt idx="17">
                  <c:v>6642422.8748000003</c:v>
                </c:pt>
                <c:pt idx="18">
                  <c:v>12967928.029999999</c:v>
                </c:pt>
                <c:pt idx="19">
                  <c:v>28559805.6105</c:v>
                </c:pt>
                <c:pt idx="20">
                  <c:v>19798139.985599998</c:v>
                </c:pt>
                <c:pt idx="21">
                  <c:v>29611069.5645</c:v>
                </c:pt>
                <c:pt idx="22">
                  <c:v>23819608.177900001</c:v>
                </c:pt>
                <c:pt idx="23">
                  <c:v>9694952.3359999992</c:v>
                </c:pt>
                <c:pt idx="24">
                  <c:v>792391.58459999994</c:v>
                </c:pt>
                <c:pt idx="25">
                  <c:v>29956582.733399998</c:v>
                </c:pt>
                <c:pt idx="26">
                  <c:v>110882.5068</c:v>
                </c:pt>
                <c:pt idx="27">
                  <c:v>6349519.3638000004</c:v>
                </c:pt>
                <c:pt idx="28">
                  <c:v>10318810.0272</c:v>
                </c:pt>
                <c:pt idx="29">
                  <c:v>4453734.6876999997</c:v>
                </c:pt>
                <c:pt idx="30">
                  <c:v>16192411.1173</c:v>
                </c:pt>
                <c:pt idx="31">
                  <c:v>47791.921600000001</c:v>
                </c:pt>
                <c:pt idx="32">
                  <c:v>16379592.8594</c:v>
                </c:pt>
                <c:pt idx="33">
                  <c:v>25941909.833799999</c:v>
                </c:pt>
                <c:pt idx="34">
                  <c:v>19983063.0561</c:v>
                </c:pt>
                <c:pt idx="35">
                  <c:v>14969044.283500001</c:v>
                </c:pt>
                <c:pt idx="36">
                  <c:v>20971884.737199999</c:v>
                </c:pt>
                <c:pt idx="37">
                  <c:v>5018737.5745999999</c:v>
                </c:pt>
                <c:pt idx="38">
                  <c:v>5688651.0158000002</c:v>
                </c:pt>
                <c:pt idx="39">
                  <c:v>24475326.5867</c:v>
                </c:pt>
                <c:pt idx="40">
                  <c:v>11418445.4695</c:v>
                </c:pt>
                <c:pt idx="41">
                  <c:v>21962851.263599999</c:v>
                </c:pt>
                <c:pt idx="42">
                  <c:v>23153552.507599998</c:v>
                </c:pt>
                <c:pt idx="43">
                  <c:v>27457648.3748</c:v>
                </c:pt>
                <c:pt idx="44">
                  <c:v>1594501.6647000001</c:v>
                </c:pt>
                <c:pt idx="45">
                  <c:v>7281691.9382999996</c:v>
                </c:pt>
                <c:pt idx="46">
                  <c:v>23518265.962400001</c:v>
                </c:pt>
                <c:pt idx="47">
                  <c:v>3921469.0978999999</c:v>
                </c:pt>
                <c:pt idx="48">
                  <c:v>8374879.0009000003</c:v>
                </c:pt>
                <c:pt idx="49">
                  <c:v>2583078.8037999999</c:v>
                </c:pt>
                <c:pt idx="50">
                  <c:v>14011974.0339</c:v>
                </c:pt>
                <c:pt idx="51">
                  <c:v>18934734.430599999</c:v>
                </c:pt>
                <c:pt idx="52">
                  <c:v>77993.078200000004</c:v>
                </c:pt>
                <c:pt idx="53">
                  <c:v>12601924.446699999</c:v>
                </c:pt>
                <c:pt idx="54">
                  <c:v>12336200.919199999</c:v>
                </c:pt>
                <c:pt idx="55">
                  <c:v>12949182.965299999</c:v>
                </c:pt>
                <c:pt idx="56">
                  <c:v>3218075.0106000002</c:v>
                </c:pt>
                <c:pt idx="57">
                  <c:v>14250505.172800001</c:v>
                </c:pt>
                <c:pt idx="58">
                  <c:v>29644160.633699998</c:v>
                </c:pt>
                <c:pt idx="59">
                  <c:v>2846281.0967000001</c:v>
                </c:pt>
                <c:pt idx="60">
                  <c:v>24776891.9844</c:v>
                </c:pt>
                <c:pt idx="61">
                  <c:v>21636948.2696</c:v>
                </c:pt>
                <c:pt idx="62">
                  <c:v>5257481.7813999997</c:v>
                </c:pt>
                <c:pt idx="63">
                  <c:v>21811258.481699999</c:v>
                </c:pt>
                <c:pt idx="64">
                  <c:v>27630061.0777</c:v>
                </c:pt>
                <c:pt idx="65">
                  <c:v>27449795.258000001</c:v>
                </c:pt>
                <c:pt idx="66">
                  <c:v>15896057.1261</c:v>
                </c:pt>
                <c:pt idx="67">
                  <c:v>27915776.059</c:v>
                </c:pt>
                <c:pt idx="68">
                  <c:v>27388054.564300001</c:v>
                </c:pt>
                <c:pt idx="69">
                  <c:v>15232450.550100001</c:v>
                </c:pt>
                <c:pt idx="70">
                  <c:v>19523196.9932</c:v>
                </c:pt>
                <c:pt idx="71">
                  <c:v>19262446.867899999</c:v>
                </c:pt>
                <c:pt idx="72">
                  <c:v>12572332.933800001</c:v>
                </c:pt>
                <c:pt idx="73">
                  <c:v>15827008.977499999</c:v>
                </c:pt>
                <c:pt idx="74">
                  <c:v>12061587.573100001</c:v>
                </c:pt>
                <c:pt idx="75">
                  <c:v>15839191.948000001</c:v>
                </c:pt>
                <c:pt idx="76">
                  <c:v>14247699.163000001</c:v>
                </c:pt>
                <c:pt idx="77">
                  <c:v>10751079.3026</c:v>
                </c:pt>
                <c:pt idx="78">
                  <c:v>7288327.9888000004</c:v>
                </c:pt>
                <c:pt idx="79">
                  <c:v>12223215.5745</c:v>
                </c:pt>
                <c:pt idx="80">
                  <c:v>27794550.9263</c:v>
                </c:pt>
                <c:pt idx="81">
                  <c:v>21855867.1241</c:v>
                </c:pt>
                <c:pt idx="82">
                  <c:v>11149450.6668</c:v>
                </c:pt>
                <c:pt idx="83">
                  <c:v>13419455.063300001</c:v>
                </c:pt>
                <c:pt idx="84">
                  <c:v>15406147.542099999</c:v>
                </c:pt>
                <c:pt idx="85">
                  <c:v>12387170.2107</c:v>
                </c:pt>
                <c:pt idx="86">
                  <c:v>2739129.8221</c:v>
                </c:pt>
                <c:pt idx="87">
                  <c:v>10992541.662900001</c:v>
                </c:pt>
                <c:pt idx="88">
                  <c:v>26809519.5977</c:v>
                </c:pt>
                <c:pt idx="89">
                  <c:v>16426525.8873</c:v>
                </c:pt>
                <c:pt idx="90">
                  <c:v>3009187.4501999998</c:v>
                </c:pt>
                <c:pt idx="91">
                  <c:v>14766525.0417</c:v>
                </c:pt>
                <c:pt idx="92">
                  <c:v>11388563.956800001</c:v>
                </c:pt>
                <c:pt idx="93">
                  <c:v>11341171.712300001</c:v>
                </c:pt>
                <c:pt idx="94">
                  <c:v>8308069.4910000004</c:v>
                </c:pt>
                <c:pt idx="95">
                  <c:v>4874355.4786</c:v>
                </c:pt>
                <c:pt idx="96">
                  <c:v>20547852.623500001</c:v>
                </c:pt>
                <c:pt idx="97">
                  <c:v>2696126.9289000002</c:v>
                </c:pt>
                <c:pt idx="98">
                  <c:v>4461921.0270999996</c:v>
                </c:pt>
                <c:pt idx="99">
                  <c:v>8938931.9945999999</c:v>
                </c:pt>
                <c:pt idx="100">
                  <c:v>736539.3763</c:v>
                </c:pt>
                <c:pt idx="101">
                  <c:v>2680862.1616000002</c:v>
                </c:pt>
                <c:pt idx="102">
                  <c:v>2593134.8231000002</c:v>
                </c:pt>
                <c:pt idx="103">
                  <c:v>1124977.1808</c:v>
                </c:pt>
                <c:pt idx="104">
                  <c:v>8704.3340000000007</c:v>
                </c:pt>
                <c:pt idx="105">
                  <c:v>13395.294099999999</c:v>
                </c:pt>
                <c:pt idx="106">
                  <c:v>2002954.9594000001</c:v>
                </c:pt>
                <c:pt idx="107">
                  <c:v>2686520.6908999998</c:v>
                </c:pt>
                <c:pt idx="108">
                  <c:v>798705.37609999999</c:v>
                </c:pt>
                <c:pt idx="109">
                  <c:v>665017.86780000001</c:v>
                </c:pt>
                <c:pt idx="110">
                  <c:v>1950926.7751</c:v>
                </c:pt>
                <c:pt idx="111">
                  <c:v>2303142.2283000001</c:v>
                </c:pt>
                <c:pt idx="112">
                  <c:v>2125350.6011000001</c:v>
                </c:pt>
                <c:pt idx="113">
                  <c:v>1313369.7516000001</c:v>
                </c:pt>
                <c:pt idx="114">
                  <c:v>1139720.7165999999</c:v>
                </c:pt>
                <c:pt idx="115">
                  <c:v>783546.70979999995</c:v>
                </c:pt>
                <c:pt idx="116">
                  <c:v>963166.20239999995</c:v>
                </c:pt>
                <c:pt idx="117">
                  <c:v>2610595.4756999998</c:v>
                </c:pt>
                <c:pt idx="118">
                  <c:v>2662309.7689</c:v>
                </c:pt>
                <c:pt idx="119">
                  <c:v>1821170.4897</c:v>
                </c:pt>
                <c:pt idx="120">
                  <c:v>2787665.4001000002</c:v>
                </c:pt>
                <c:pt idx="121">
                  <c:v>2445529.3056000001</c:v>
                </c:pt>
                <c:pt idx="122">
                  <c:v>344966.30699999997</c:v>
                </c:pt>
                <c:pt idx="123">
                  <c:v>2319961.3678000001</c:v>
                </c:pt>
                <c:pt idx="124">
                  <c:v>181575.44039999999</c:v>
                </c:pt>
                <c:pt idx="125">
                  <c:v>2189603.9449</c:v>
                </c:pt>
                <c:pt idx="126">
                  <c:v>428196.28370000003</c:v>
                </c:pt>
                <c:pt idx="127">
                  <c:v>1626173.7615</c:v>
                </c:pt>
                <c:pt idx="128">
                  <c:v>52780.7088</c:v>
                </c:pt>
                <c:pt idx="129">
                  <c:v>873745.98479999998</c:v>
                </c:pt>
                <c:pt idx="130">
                  <c:v>1467787.2390000001</c:v>
                </c:pt>
                <c:pt idx="131">
                  <c:v>633511.36100000003</c:v>
                </c:pt>
                <c:pt idx="132">
                  <c:v>77703.400999999998</c:v>
                </c:pt>
                <c:pt idx="133">
                  <c:v>2618918.1118000001</c:v>
                </c:pt>
                <c:pt idx="134">
                  <c:v>1139643.1462999999</c:v>
                </c:pt>
                <c:pt idx="135">
                  <c:v>1149778.3717</c:v>
                </c:pt>
                <c:pt idx="136">
                  <c:v>617458.06770000001</c:v>
                </c:pt>
                <c:pt idx="137">
                  <c:v>2770816.5970000001</c:v>
                </c:pt>
                <c:pt idx="138">
                  <c:v>1509940.1052999999</c:v>
                </c:pt>
                <c:pt idx="139">
                  <c:v>2044625.3829000001</c:v>
                </c:pt>
                <c:pt idx="140">
                  <c:v>81952.523000000001</c:v>
                </c:pt>
                <c:pt idx="141">
                  <c:v>1367935.1714999999</c:v>
                </c:pt>
                <c:pt idx="142">
                  <c:v>497647.92460000003</c:v>
                </c:pt>
                <c:pt idx="143">
                  <c:v>2549616.412</c:v>
                </c:pt>
                <c:pt idx="144">
                  <c:v>923961.64540000004</c:v>
                </c:pt>
                <c:pt idx="145">
                  <c:v>436314.18910000002</c:v>
                </c:pt>
                <c:pt idx="146">
                  <c:v>235621.66570000001</c:v>
                </c:pt>
                <c:pt idx="147">
                  <c:v>1297329.2392</c:v>
                </c:pt>
                <c:pt idx="148">
                  <c:v>487865.03379999998</c:v>
                </c:pt>
                <c:pt idx="149">
                  <c:v>2107759.4114999999</c:v>
                </c:pt>
                <c:pt idx="150">
                  <c:v>932904.55359999998</c:v>
                </c:pt>
                <c:pt idx="151">
                  <c:v>1885709.7080000001</c:v>
                </c:pt>
                <c:pt idx="152">
                  <c:v>1874375.6106</c:v>
                </c:pt>
                <c:pt idx="153">
                  <c:v>1483495.4898999999</c:v>
                </c:pt>
                <c:pt idx="154">
                  <c:v>2689115.5479000001</c:v>
                </c:pt>
                <c:pt idx="155">
                  <c:v>1829661.7711</c:v>
                </c:pt>
                <c:pt idx="156">
                  <c:v>734948.68389999995</c:v>
                </c:pt>
                <c:pt idx="157">
                  <c:v>290204.74209999997</c:v>
                </c:pt>
                <c:pt idx="158">
                  <c:v>2348678.6216000002</c:v>
                </c:pt>
                <c:pt idx="159">
                  <c:v>2636.9313999999999</c:v>
                </c:pt>
                <c:pt idx="160">
                  <c:v>1868677.4461000001</c:v>
                </c:pt>
                <c:pt idx="161">
                  <c:v>1326845.2703</c:v>
                </c:pt>
                <c:pt idx="162">
                  <c:v>2618896.7393999998</c:v>
                </c:pt>
                <c:pt idx="163">
                  <c:v>870222.554</c:v>
                </c:pt>
                <c:pt idx="164">
                  <c:v>181242.50839999999</c:v>
                </c:pt>
                <c:pt idx="165">
                  <c:v>2847014.2115000002</c:v>
                </c:pt>
                <c:pt idx="166">
                  <c:v>2605914.9846000001</c:v>
                </c:pt>
                <c:pt idx="167">
                  <c:v>2164002.2919000001</c:v>
                </c:pt>
                <c:pt idx="168">
                  <c:v>2374062.4010000001</c:v>
                </c:pt>
                <c:pt idx="169">
                  <c:v>1445060.1989</c:v>
                </c:pt>
                <c:pt idx="170">
                  <c:v>371706.70150000002</c:v>
                </c:pt>
                <c:pt idx="171">
                  <c:v>473620.68780000001</c:v>
                </c:pt>
                <c:pt idx="172">
                  <c:v>1869949.3873000001</c:v>
                </c:pt>
                <c:pt idx="173">
                  <c:v>1165528.9177999999</c:v>
                </c:pt>
                <c:pt idx="174">
                  <c:v>2133546.6453</c:v>
                </c:pt>
                <c:pt idx="175">
                  <c:v>1948522.8914000001</c:v>
                </c:pt>
                <c:pt idx="176">
                  <c:v>2987346.8437999999</c:v>
                </c:pt>
                <c:pt idx="177">
                  <c:v>2388158.3117999998</c:v>
                </c:pt>
                <c:pt idx="178">
                  <c:v>1516703.9686</c:v>
                </c:pt>
                <c:pt idx="179">
                  <c:v>1158783.3785999999</c:v>
                </c:pt>
                <c:pt idx="180">
                  <c:v>1704611.0134999999</c:v>
                </c:pt>
                <c:pt idx="181">
                  <c:v>1416256.8084</c:v>
                </c:pt>
                <c:pt idx="182">
                  <c:v>37084.650699999998</c:v>
                </c:pt>
                <c:pt idx="183">
                  <c:v>2760978.3983</c:v>
                </c:pt>
                <c:pt idx="184">
                  <c:v>2197247.2039999999</c:v>
                </c:pt>
                <c:pt idx="185">
                  <c:v>2332316.2525999998</c:v>
                </c:pt>
                <c:pt idx="186">
                  <c:v>934757.1679</c:v>
                </c:pt>
                <c:pt idx="187">
                  <c:v>2202448.0323999999</c:v>
                </c:pt>
                <c:pt idx="188">
                  <c:v>1541236.2863</c:v>
                </c:pt>
                <c:pt idx="189">
                  <c:v>2847786.9182000002</c:v>
                </c:pt>
                <c:pt idx="190">
                  <c:v>2278616.4051999999</c:v>
                </c:pt>
                <c:pt idx="191">
                  <c:v>2226010.7078</c:v>
                </c:pt>
                <c:pt idx="192">
                  <c:v>165961.9748</c:v>
                </c:pt>
                <c:pt idx="193">
                  <c:v>176432.5575</c:v>
                </c:pt>
                <c:pt idx="194">
                  <c:v>2913012.5767000001</c:v>
                </c:pt>
                <c:pt idx="195">
                  <c:v>55334.114500000003</c:v>
                </c:pt>
                <c:pt idx="196">
                  <c:v>1237165.5629</c:v>
                </c:pt>
                <c:pt idx="197">
                  <c:v>106597.6541</c:v>
                </c:pt>
                <c:pt idx="198">
                  <c:v>2806480.9803999998</c:v>
                </c:pt>
                <c:pt idx="199">
                  <c:v>2700547.5251000002</c:v>
                </c:pt>
                <c:pt idx="200">
                  <c:v>176914.5307</c:v>
                </c:pt>
                <c:pt idx="201">
                  <c:v>150372.09640000001</c:v>
                </c:pt>
                <c:pt idx="202">
                  <c:v>207159.9688</c:v>
                </c:pt>
                <c:pt idx="203">
                  <c:v>158829.51319999999</c:v>
                </c:pt>
                <c:pt idx="204">
                  <c:v>250931.2175</c:v>
                </c:pt>
                <c:pt idx="205">
                  <c:v>55238.374199999998</c:v>
                </c:pt>
                <c:pt idx="206">
                  <c:v>159268.535</c:v>
                </c:pt>
                <c:pt idx="207">
                  <c:v>239557.7653</c:v>
                </c:pt>
                <c:pt idx="208">
                  <c:v>60041.874300000003</c:v>
                </c:pt>
                <c:pt idx="209">
                  <c:v>155642.25839999999</c:v>
                </c:pt>
                <c:pt idx="210">
                  <c:v>135939.71830000001</c:v>
                </c:pt>
                <c:pt idx="211">
                  <c:v>181052.9467</c:v>
                </c:pt>
                <c:pt idx="212">
                  <c:v>229254.93650000001</c:v>
                </c:pt>
                <c:pt idx="213">
                  <c:v>269764.81349999999</c:v>
                </c:pt>
                <c:pt idx="214">
                  <c:v>109197.39780000001</c:v>
                </c:pt>
                <c:pt idx="215">
                  <c:v>239202.74900000001</c:v>
                </c:pt>
                <c:pt idx="216">
                  <c:v>261627.51920000001</c:v>
                </c:pt>
                <c:pt idx="217">
                  <c:v>288789.2316</c:v>
                </c:pt>
                <c:pt idx="218">
                  <c:v>223681.27929999999</c:v>
                </c:pt>
                <c:pt idx="219">
                  <c:v>250297.2035</c:v>
                </c:pt>
                <c:pt idx="220">
                  <c:v>117917.5376</c:v>
                </c:pt>
                <c:pt idx="221">
                  <c:v>236250.2966</c:v>
                </c:pt>
                <c:pt idx="222">
                  <c:v>152724.31289999999</c:v>
                </c:pt>
                <c:pt idx="223">
                  <c:v>140330.49110000001</c:v>
                </c:pt>
                <c:pt idx="224">
                  <c:v>108131.13069999999</c:v>
                </c:pt>
                <c:pt idx="225">
                  <c:v>234979.94039999999</c:v>
                </c:pt>
                <c:pt idx="226">
                  <c:v>221205.2267</c:v>
                </c:pt>
                <c:pt idx="227">
                  <c:v>77287.303799999994</c:v>
                </c:pt>
                <c:pt idx="228">
                  <c:v>206909.5417</c:v>
                </c:pt>
                <c:pt idx="229">
                  <c:v>55374.978499999997</c:v>
                </c:pt>
                <c:pt idx="230">
                  <c:v>19205.576300000001</c:v>
                </c:pt>
                <c:pt idx="231">
                  <c:v>287624.93400000001</c:v>
                </c:pt>
                <c:pt idx="232">
                  <c:v>28140.0406</c:v>
                </c:pt>
                <c:pt idx="233">
                  <c:v>174600.7726</c:v>
                </c:pt>
                <c:pt idx="234">
                  <c:v>118249.6508</c:v>
                </c:pt>
                <c:pt idx="235">
                  <c:v>199578.12959999999</c:v>
                </c:pt>
                <c:pt idx="236">
                  <c:v>12571.034600000001</c:v>
                </c:pt>
                <c:pt idx="237">
                  <c:v>207268.5889</c:v>
                </c:pt>
                <c:pt idx="238">
                  <c:v>45876.0173</c:v>
                </c:pt>
                <c:pt idx="239">
                  <c:v>97962.3079</c:v>
                </c:pt>
                <c:pt idx="240">
                  <c:v>183912.6581</c:v>
                </c:pt>
                <c:pt idx="241">
                  <c:v>182734.12549999999</c:v>
                </c:pt>
                <c:pt idx="242">
                  <c:v>25367.8884</c:v>
                </c:pt>
                <c:pt idx="243">
                  <c:v>159167.3683</c:v>
                </c:pt>
                <c:pt idx="244">
                  <c:v>292098.01140000002</c:v>
                </c:pt>
                <c:pt idx="245">
                  <c:v>136302.18700000001</c:v>
                </c:pt>
                <c:pt idx="246">
                  <c:v>90021.128100000002</c:v>
                </c:pt>
                <c:pt idx="247">
                  <c:v>34078.6319</c:v>
                </c:pt>
                <c:pt idx="248">
                  <c:v>72338.909400000004</c:v>
                </c:pt>
                <c:pt idx="249">
                  <c:v>114948.1189</c:v>
                </c:pt>
                <c:pt idx="250">
                  <c:v>12919.8554</c:v>
                </c:pt>
                <c:pt idx="251">
                  <c:v>266034.81579999998</c:v>
                </c:pt>
                <c:pt idx="252">
                  <c:v>36730.163999999997</c:v>
                </c:pt>
                <c:pt idx="253">
                  <c:v>195008.64120000001</c:v>
                </c:pt>
                <c:pt idx="254">
                  <c:v>253855.41510000001</c:v>
                </c:pt>
                <c:pt idx="255">
                  <c:v>132081.4932</c:v>
                </c:pt>
                <c:pt idx="256">
                  <c:v>170365.54819999999</c:v>
                </c:pt>
                <c:pt idx="257">
                  <c:v>169355.3083</c:v>
                </c:pt>
                <c:pt idx="258">
                  <c:v>34280.7667</c:v>
                </c:pt>
                <c:pt idx="259">
                  <c:v>95631.720499999996</c:v>
                </c:pt>
                <c:pt idx="260">
                  <c:v>103399.0039</c:v>
                </c:pt>
                <c:pt idx="261">
                  <c:v>198631.8469</c:v>
                </c:pt>
                <c:pt idx="262">
                  <c:v>165946.44219999999</c:v>
                </c:pt>
                <c:pt idx="263">
                  <c:v>177415.48389999999</c:v>
                </c:pt>
                <c:pt idx="264">
                  <c:v>100912.3855</c:v>
                </c:pt>
                <c:pt idx="265">
                  <c:v>165257.90979999999</c:v>
                </c:pt>
                <c:pt idx="266">
                  <c:v>104705.3213</c:v>
                </c:pt>
                <c:pt idx="267">
                  <c:v>186534.3131</c:v>
                </c:pt>
                <c:pt idx="268">
                  <c:v>144966.76180000001</c:v>
                </c:pt>
                <c:pt idx="269">
                  <c:v>130323.55349999999</c:v>
                </c:pt>
                <c:pt idx="270">
                  <c:v>204439.66</c:v>
                </c:pt>
                <c:pt idx="271">
                  <c:v>178801.56409999999</c:v>
                </c:pt>
                <c:pt idx="272">
                  <c:v>83198.181500000006</c:v>
                </c:pt>
                <c:pt idx="273">
                  <c:v>274779.46269999997</c:v>
                </c:pt>
                <c:pt idx="274">
                  <c:v>110341.4342</c:v>
                </c:pt>
                <c:pt idx="275">
                  <c:v>193300.0251</c:v>
                </c:pt>
                <c:pt idx="276">
                  <c:v>77243.746899999998</c:v>
                </c:pt>
                <c:pt idx="277">
                  <c:v>288295.25770000002</c:v>
                </c:pt>
                <c:pt idx="278">
                  <c:v>292025.33350000001</c:v>
                </c:pt>
                <c:pt idx="279">
                  <c:v>222200.34969999999</c:v>
                </c:pt>
                <c:pt idx="280">
                  <c:v>177401.35699999999</c:v>
                </c:pt>
                <c:pt idx="281">
                  <c:v>197105.63070000001</c:v>
                </c:pt>
                <c:pt idx="282">
                  <c:v>262201.39919999999</c:v>
                </c:pt>
                <c:pt idx="283">
                  <c:v>286129.73320000002</c:v>
                </c:pt>
                <c:pt idx="284">
                  <c:v>88781.474700000006</c:v>
                </c:pt>
                <c:pt idx="285">
                  <c:v>25934.422999999999</c:v>
                </c:pt>
                <c:pt idx="286">
                  <c:v>165847.5191</c:v>
                </c:pt>
                <c:pt idx="287">
                  <c:v>135935.63690000001</c:v>
                </c:pt>
                <c:pt idx="288">
                  <c:v>8165.8377</c:v>
                </c:pt>
                <c:pt idx="289">
                  <c:v>297038.68729999999</c:v>
                </c:pt>
                <c:pt idx="290">
                  <c:v>20162.4198</c:v>
                </c:pt>
                <c:pt idx="291">
                  <c:v>164584.4406</c:v>
                </c:pt>
                <c:pt idx="292">
                  <c:v>38397.614699999998</c:v>
                </c:pt>
                <c:pt idx="293">
                  <c:v>215099.4129</c:v>
                </c:pt>
                <c:pt idx="294">
                  <c:v>6297.3679000000002</c:v>
                </c:pt>
                <c:pt idx="295">
                  <c:v>187751.1091</c:v>
                </c:pt>
                <c:pt idx="296">
                  <c:v>152425.64629999999</c:v>
                </c:pt>
                <c:pt idx="297">
                  <c:v>110725.2023</c:v>
                </c:pt>
                <c:pt idx="298">
                  <c:v>71301.474900000001</c:v>
                </c:pt>
                <c:pt idx="299">
                  <c:v>147375.0055</c:v>
                </c:pt>
                <c:pt idx="300">
                  <c:v>7257.9587000000001</c:v>
                </c:pt>
                <c:pt idx="301">
                  <c:v>12132.3408</c:v>
                </c:pt>
                <c:pt idx="302">
                  <c:v>1942.0318</c:v>
                </c:pt>
                <c:pt idx="303">
                  <c:v>17871.3066</c:v>
                </c:pt>
                <c:pt idx="304">
                  <c:v>9537.8850000000002</c:v>
                </c:pt>
                <c:pt idx="305">
                  <c:v>22982.406299999999</c:v>
                </c:pt>
                <c:pt idx="306">
                  <c:v>20848.2294</c:v>
                </c:pt>
                <c:pt idx="307">
                  <c:v>13206.8264</c:v>
                </c:pt>
                <c:pt idx="308">
                  <c:v>7221.5405000000001</c:v>
                </c:pt>
                <c:pt idx="309">
                  <c:v>26715.8367</c:v>
                </c:pt>
                <c:pt idx="310">
                  <c:v>2268.5140000000001</c:v>
                </c:pt>
                <c:pt idx="311">
                  <c:v>3493.4261999999999</c:v>
                </c:pt>
                <c:pt idx="312">
                  <c:v>28650.026600000001</c:v>
                </c:pt>
                <c:pt idx="313">
                  <c:v>17881.781599999998</c:v>
                </c:pt>
                <c:pt idx="314">
                  <c:v>8602.7864000000009</c:v>
                </c:pt>
                <c:pt idx="315">
                  <c:v>4760.5142999999998</c:v>
                </c:pt>
                <c:pt idx="316">
                  <c:v>15629.453799999999</c:v>
                </c:pt>
                <c:pt idx="317">
                  <c:v>8482.1638000000003</c:v>
                </c:pt>
                <c:pt idx="318">
                  <c:v>5976.9780000000001</c:v>
                </c:pt>
                <c:pt idx="319">
                  <c:v>14930.198</c:v>
                </c:pt>
                <c:pt idx="320">
                  <c:v>4443.6885000000002</c:v>
                </c:pt>
                <c:pt idx="321">
                  <c:v>2152.6453000000001</c:v>
                </c:pt>
                <c:pt idx="322">
                  <c:v>15120.408799999999</c:v>
                </c:pt>
                <c:pt idx="323">
                  <c:v>25341.7575</c:v>
                </c:pt>
                <c:pt idx="324">
                  <c:v>3720.5039000000002</c:v>
                </c:pt>
                <c:pt idx="325">
                  <c:v>6894.2614999999996</c:v>
                </c:pt>
                <c:pt idx="326">
                  <c:v>19129.257399999999</c:v>
                </c:pt>
                <c:pt idx="327">
                  <c:v>8139.16</c:v>
                </c:pt>
                <c:pt idx="328">
                  <c:v>10194.331099999999</c:v>
                </c:pt>
                <c:pt idx="329">
                  <c:v>10382.603300000001</c:v>
                </c:pt>
                <c:pt idx="330">
                  <c:v>3685.6846999999998</c:v>
                </c:pt>
                <c:pt idx="331">
                  <c:v>415.12889999999999</c:v>
                </c:pt>
                <c:pt idx="332">
                  <c:v>21589.996299999999</c:v>
                </c:pt>
                <c:pt idx="333">
                  <c:v>6650.0622000000003</c:v>
                </c:pt>
                <c:pt idx="334">
                  <c:v>29162.233</c:v>
                </c:pt>
                <c:pt idx="335">
                  <c:v>23801.801100000001</c:v>
                </c:pt>
                <c:pt idx="336">
                  <c:v>19883.556799999998</c:v>
                </c:pt>
                <c:pt idx="337">
                  <c:v>28786.854500000001</c:v>
                </c:pt>
                <c:pt idx="338">
                  <c:v>20321.9139</c:v>
                </c:pt>
                <c:pt idx="339">
                  <c:v>19106.947899999999</c:v>
                </c:pt>
                <c:pt idx="340">
                  <c:v>19978.191999999999</c:v>
                </c:pt>
                <c:pt idx="341">
                  <c:v>22287.987400000002</c:v>
                </c:pt>
                <c:pt idx="342">
                  <c:v>21229.444200000002</c:v>
                </c:pt>
                <c:pt idx="343">
                  <c:v>5761.8068000000003</c:v>
                </c:pt>
                <c:pt idx="344">
                  <c:v>22381.129499999999</c:v>
                </c:pt>
                <c:pt idx="345">
                  <c:v>20614.375899999999</c:v>
                </c:pt>
                <c:pt idx="346">
                  <c:v>13877.534299999999</c:v>
                </c:pt>
                <c:pt idx="347">
                  <c:v>24868.251799999998</c:v>
                </c:pt>
                <c:pt idx="348">
                  <c:v>7600.4764999999998</c:v>
                </c:pt>
                <c:pt idx="349">
                  <c:v>16591.260399999999</c:v>
                </c:pt>
                <c:pt idx="350">
                  <c:v>9391.4030000000002</c:v>
                </c:pt>
                <c:pt idx="351">
                  <c:v>2792.5965999999999</c:v>
                </c:pt>
                <c:pt idx="352">
                  <c:v>28192.577000000001</c:v>
                </c:pt>
                <c:pt idx="353">
                  <c:v>27140.077000000001</c:v>
                </c:pt>
                <c:pt idx="354">
                  <c:v>11706.651400000001</c:v>
                </c:pt>
                <c:pt idx="355">
                  <c:v>8158.5919000000004</c:v>
                </c:pt>
                <c:pt idx="356">
                  <c:v>1874.9798000000001</c:v>
                </c:pt>
                <c:pt idx="357">
                  <c:v>13484.368700000001</c:v>
                </c:pt>
                <c:pt idx="358">
                  <c:v>23242.379099999998</c:v>
                </c:pt>
                <c:pt idx="359">
                  <c:v>4824.5838999999996</c:v>
                </c:pt>
                <c:pt idx="360">
                  <c:v>11868.7088</c:v>
                </c:pt>
                <c:pt idx="361">
                  <c:v>24911.404200000001</c:v>
                </c:pt>
                <c:pt idx="362">
                  <c:v>501.83679999999998</c:v>
                </c:pt>
                <c:pt idx="363">
                  <c:v>5521.8651</c:v>
                </c:pt>
                <c:pt idx="364">
                  <c:v>2561.4078</c:v>
                </c:pt>
                <c:pt idx="365">
                  <c:v>18639.528399999999</c:v>
                </c:pt>
                <c:pt idx="366">
                  <c:v>4096.0942999999997</c:v>
                </c:pt>
                <c:pt idx="367">
                  <c:v>11243.4959</c:v>
                </c:pt>
                <c:pt idx="368">
                  <c:v>9933.9928</c:v>
                </c:pt>
                <c:pt idx="369">
                  <c:v>8854.6332000000002</c:v>
                </c:pt>
                <c:pt idx="370">
                  <c:v>13118.181200000001</c:v>
                </c:pt>
                <c:pt idx="371">
                  <c:v>19251.567299999999</c:v>
                </c:pt>
                <c:pt idx="372">
                  <c:v>6324.0820000000003</c:v>
                </c:pt>
                <c:pt idx="373">
                  <c:v>17659.712500000001</c:v>
                </c:pt>
                <c:pt idx="374">
                  <c:v>24197.2647</c:v>
                </c:pt>
                <c:pt idx="375">
                  <c:v>11984.5826</c:v>
                </c:pt>
                <c:pt idx="376">
                  <c:v>22940.981500000002</c:v>
                </c:pt>
                <c:pt idx="377">
                  <c:v>1283.5830000000001</c:v>
                </c:pt>
                <c:pt idx="378">
                  <c:v>18201.4208</c:v>
                </c:pt>
                <c:pt idx="379">
                  <c:v>22871.2582</c:v>
                </c:pt>
                <c:pt idx="380">
                  <c:v>23273.973000000002</c:v>
                </c:pt>
                <c:pt idx="381">
                  <c:v>8216.3669000000009</c:v>
                </c:pt>
                <c:pt idx="382">
                  <c:v>13182.615400000001</c:v>
                </c:pt>
                <c:pt idx="383">
                  <c:v>8746.3081999999995</c:v>
                </c:pt>
                <c:pt idx="384">
                  <c:v>14926.705900000001</c:v>
                </c:pt>
                <c:pt idx="385">
                  <c:v>22339.502799999998</c:v>
                </c:pt>
                <c:pt idx="386">
                  <c:v>12379.651</c:v>
                </c:pt>
                <c:pt idx="387">
                  <c:v>9394.1258999999991</c:v>
                </c:pt>
                <c:pt idx="388">
                  <c:v>15742.0088</c:v>
                </c:pt>
                <c:pt idx="389">
                  <c:v>2455.7743</c:v>
                </c:pt>
                <c:pt idx="390">
                  <c:v>8116.2794999999996</c:v>
                </c:pt>
                <c:pt idx="391">
                  <c:v>21432.472000000002</c:v>
                </c:pt>
                <c:pt idx="392">
                  <c:v>13205.754800000001</c:v>
                </c:pt>
                <c:pt idx="393">
                  <c:v>29222.171399999999</c:v>
                </c:pt>
                <c:pt idx="394">
                  <c:v>25749.614000000001</c:v>
                </c:pt>
                <c:pt idx="395">
                  <c:v>13669.7415</c:v>
                </c:pt>
                <c:pt idx="396">
                  <c:v>29773.488300000001</c:v>
                </c:pt>
                <c:pt idx="397">
                  <c:v>29052.516299999999</c:v>
                </c:pt>
                <c:pt idx="398">
                  <c:v>3862.9740000000002</c:v>
                </c:pt>
                <c:pt idx="399">
                  <c:v>26818.222600000001</c:v>
                </c:pt>
                <c:pt idx="400">
                  <c:v>127.5797</c:v>
                </c:pt>
                <c:pt idx="401">
                  <c:v>926.50239999999997</c:v>
                </c:pt>
                <c:pt idx="402">
                  <c:v>2066.0987</c:v>
                </c:pt>
                <c:pt idx="403">
                  <c:v>2378.8726000000001</c:v>
                </c:pt>
                <c:pt idx="404">
                  <c:v>598.16459999999995</c:v>
                </c:pt>
                <c:pt idx="405">
                  <c:v>2658.8733999999999</c:v>
                </c:pt>
                <c:pt idx="406">
                  <c:v>1865.2722000000001</c:v>
                </c:pt>
                <c:pt idx="407">
                  <c:v>2963.6988000000001</c:v>
                </c:pt>
                <c:pt idx="408">
                  <c:v>1864.1994</c:v>
                </c:pt>
                <c:pt idx="409">
                  <c:v>434.13080000000002</c:v>
                </c:pt>
                <c:pt idx="410">
                  <c:v>2755.375</c:v>
                </c:pt>
                <c:pt idx="411">
                  <c:v>551.63620000000003</c:v>
                </c:pt>
                <c:pt idx="412">
                  <c:v>1356.1890000000001</c:v>
                </c:pt>
                <c:pt idx="413">
                  <c:v>914.31590000000006</c:v>
                </c:pt>
                <c:pt idx="414">
                  <c:v>543.87559999999996</c:v>
                </c:pt>
                <c:pt idx="415">
                  <c:v>2619.2867999999999</c:v>
                </c:pt>
                <c:pt idx="416">
                  <c:v>500.95839999999998</c:v>
                </c:pt>
                <c:pt idx="417">
                  <c:v>612.99509999999998</c:v>
                </c:pt>
                <c:pt idx="418">
                  <c:v>2206.3631999999998</c:v>
                </c:pt>
                <c:pt idx="419">
                  <c:v>373.10430000000002</c:v>
                </c:pt>
                <c:pt idx="420">
                  <c:v>968.30229999999995</c:v>
                </c:pt>
                <c:pt idx="421">
                  <c:v>526.63610000000006</c:v>
                </c:pt>
                <c:pt idx="422">
                  <c:v>2120.3481999999999</c:v>
                </c:pt>
                <c:pt idx="423">
                  <c:v>2285.7537000000002</c:v>
                </c:pt>
                <c:pt idx="424">
                  <c:v>1122.5577000000001</c:v>
                </c:pt>
                <c:pt idx="425">
                  <c:v>2974.0944</c:v>
                </c:pt>
                <c:pt idx="426">
                  <c:v>581.15200000000004</c:v>
                </c:pt>
                <c:pt idx="427">
                  <c:v>1778.7229</c:v>
                </c:pt>
                <c:pt idx="428">
                  <c:v>2334.7959999999998</c:v>
                </c:pt>
                <c:pt idx="429">
                  <c:v>2644.8265000000001</c:v>
                </c:pt>
                <c:pt idx="430">
                  <c:v>2982.7921000000001</c:v>
                </c:pt>
                <c:pt idx="431">
                  <c:v>1329.8941</c:v>
                </c:pt>
                <c:pt idx="432">
                  <c:v>270.02050000000003</c:v>
                </c:pt>
                <c:pt idx="433">
                  <c:v>1791.4936</c:v>
                </c:pt>
                <c:pt idx="434">
                  <c:v>1454.0617</c:v>
                </c:pt>
                <c:pt idx="435">
                  <c:v>1584.9976999999999</c:v>
                </c:pt>
                <c:pt idx="436">
                  <c:v>1250.5150000000001</c:v>
                </c:pt>
                <c:pt idx="437">
                  <c:v>2712.2029000000002</c:v>
                </c:pt>
                <c:pt idx="438">
                  <c:v>2240.8114</c:v>
                </c:pt>
                <c:pt idx="439">
                  <c:v>606.53039999999999</c:v>
                </c:pt>
                <c:pt idx="440">
                  <c:v>2875.1604000000002</c:v>
                </c:pt>
                <c:pt idx="441">
                  <c:v>1967.2678000000001</c:v>
                </c:pt>
                <c:pt idx="442">
                  <c:v>1943.4681</c:v>
                </c:pt>
                <c:pt idx="443">
                  <c:v>2836.5140000000001</c:v>
                </c:pt>
                <c:pt idx="444">
                  <c:v>1327.5139999999999</c:v>
                </c:pt>
                <c:pt idx="445">
                  <c:v>509.322</c:v>
                </c:pt>
                <c:pt idx="446">
                  <c:v>1593.0436999999999</c:v>
                </c:pt>
                <c:pt idx="447">
                  <c:v>2276.5025999999998</c:v>
                </c:pt>
                <c:pt idx="448">
                  <c:v>1491.5641000000001</c:v>
                </c:pt>
                <c:pt idx="449">
                  <c:v>2384.1579000000002</c:v>
                </c:pt>
                <c:pt idx="450">
                  <c:v>900.21310000000005</c:v>
                </c:pt>
                <c:pt idx="451">
                  <c:v>1913.3998999999999</c:v>
                </c:pt>
                <c:pt idx="452">
                  <c:v>1380.5322000000001</c:v>
                </c:pt>
                <c:pt idx="453">
                  <c:v>1735.1509000000001</c:v>
                </c:pt>
                <c:pt idx="454">
                  <c:v>2539.4928</c:v>
                </c:pt>
                <c:pt idx="455">
                  <c:v>880.4864</c:v>
                </c:pt>
                <c:pt idx="456">
                  <c:v>1238.2325000000001</c:v>
                </c:pt>
                <c:pt idx="457">
                  <c:v>1481.5454</c:v>
                </c:pt>
                <c:pt idx="458">
                  <c:v>170.26910000000001</c:v>
                </c:pt>
                <c:pt idx="459">
                  <c:v>1191.329</c:v>
                </c:pt>
                <c:pt idx="460">
                  <c:v>952.34939999999995</c:v>
                </c:pt>
                <c:pt idx="461">
                  <c:v>2320.2631999999999</c:v>
                </c:pt>
                <c:pt idx="462">
                  <c:v>1113.6715999999999</c:v>
                </c:pt>
                <c:pt idx="463">
                  <c:v>2897.2872000000002</c:v>
                </c:pt>
                <c:pt idx="464">
                  <c:v>2001.7566999999999</c:v>
                </c:pt>
                <c:pt idx="465">
                  <c:v>167.43340000000001</c:v>
                </c:pt>
                <c:pt idx="466">
                  <c:v>1155.6850999999999</c:v>
                </c:pt>
                <c:pt idx="467">
                  <c:v>2369.3285999999998</c:v>
                </c:pt>
                <c:pt idx="468">
                  <c:v>2099.6320000000001</c:v>
                </c:pt>
                <c:pt idx="469">
                  <c:v>1566.3607999999999</c:v>
                </c:pt>
                <c:pt idx="470">
                  <c:v>1913.6427000000001</c:v>
                </c:pt>
                <c:pt idx="471">
                  <c:v>2141.8692999999998</c:v>
                </c:pt>
                <c:pt idx="472">
                  <c:v>283.83530000000002</c:v>
                </c:pt>
                <c:pt idx="473">
                  <c:v>706.19870000000003</c:v>
                </c:pt>
                <c:pt idx="474">
                  <c:v>1764.5993000000001</c:v>
                </c:pt>
                <c:pt idx="475">
                  <c:v>1206.1131</c:v>
                </c:pt>
                <c:pt idx="476">
                  <c:v>667.92190000000005</c:v>
                </c:pt>
                <c:pt idx="477">
                  <c:v>785.29570000000001</c:v>
                </c:pt>
                <c:pt idx="478">
                  <c:v>1268.9889000000001</c:v>
                </c:pt>
                <c:pt idx="479">
                  <c:v>1835.7257</c:v>
                </c:pt>
                <c:pt idx="480">
                  <c:v>1166.6110000000001</c:v>
                </c:pt>
                <c:pt idx="481">
                  <c:v>662.86389999999994</c:v>
                </c:pt>
                <c:pt idx="482">
                  <c:v>470.29559999999998</c:v>
                </c:pt>
                <c:pt idx="483">
                  <c:v>566.70489999999995</c:v>
                </c:pt>
                <c:pt idx="484">
                  <c:v>2049.8571999999999</c:v>
                </c:pt>
                <c:pt idx="485">
                  <c:v>2794.4827</c:v>
                </c:pt>
                <c:pt idx="486">
                  <c:v>2940.1424000000002</c:v>
                </c:pt>
                <c:pt idx="487">
                  <c:v>1283.4010000000001</c:v>
                </c:pt>
                <c:pt idx="488">
                  <c:v>2161.7483000000002</c:v>
                </c:pt>
                <c:pt idx="489">
                  <c:v>574.19349999999997</c:v>
                </c:pt>
                <c:pt idx="490">
                  <c:v>2322.3270000000002</c:v>
                </c:pt>
                <c:pt idx="491">
                  <c:v>214.89680000000001</c:v>
                </c:pt>
                <c:pt idx="492">
                  <c:v>1289.5731000000001</c:v>
                </c:pt>
                <c:pt idx="493">
                  <c:v>1929.104</c:v>
                </c:pt>
                <c:pt idx="494">
                  <c:v>2028.0549000000001</c:v>
                </c:pt>
                <c:pt idx="495">
                  <c:v>954.67409999999995</c:v>
                </c:pt>
                <c:pt idx="496">
                  <c:v>2645.9000999999998</c:v>
                </c:pt>
                <c:pt idx="497">
                  <c:v>1037.9902</c:v>
                </c:pt>
                <c:pt idx="498">
                  <c:v>2665.431</c:v>
                </c:pt>
                <c:pt idx="499">
                  <c:v>2753.4184</c:v>
                </c:pt>
                <c:pt idx="500">
                  <c:v>264.5086</c:v>
                </c:pt>
                <c:pt idx="501">
                  <c:v>6.3822000000000001</c:v>
                </c:pt>
                <c:pt idx="502">
                  <c:v>131.6283</c:v>
                </c:pt>
                <c:pt idx="503">
                  <c:v>173.012</c:v>
                </c:pt>
                <c:pt idx="504">
                  <c:v>188.12110000000001</c:v>
                </c:pt>
                <c:pt idx="505">
                  <c:v>101.82980000000001</c:v>
                </c:pt>
                <c:pt idx="506">
                  <c:v>65.089699999999993</c:v>
                </c:pt>
                <c:pt idx="507">
                  <c:v>152.2518</c:v>
                </c:pt>
                <c:pt idx="508">
                  <c:v>49.255200000000002</c:v>
                </c:pt>
                <c:pt idx="509">
                  <c:v>232.5444</c:v>
                </c:pt>
                <c:pt idx="510">
                  <c:v>107.157</c:v>
                </c:pt>
                <c:pt idx="511">
                  <c:v>74.548699999999997</c:v>
                </c:pt>
                <c:pt idx="512">
                  <c:v>75.305599999999998</c:v>
                </c:pt>
                <c:pt idx="513">
                  <c:v>194.6788</c:v>
                </c:pt>
                <c:pt idx="514">
                  <c:v>66.631600000000006</c:v>
                </c:pt>
                <c:pt idx="515">
                  <c:v>85.505399999999995</c:v>
                </c:pt>
                <c:pt idx="516">
                  <c:v>92.513499999999993</c:v>
                </c:pt>
                <c:pt idx="517">
                  <c:v>198.68539999999999</c:v>
                </c:pt>
                <c:pt idx="518">
                  <c:v>16.641500000000001</c:v>
                </c:pt>
                <c:pt idx="519">
                  <c:v>22.802299999999999</c:v>
                </c:pt>
                <c:pt idx="520">
                  <c:v>54.732100000000003</c:v>
                </c:pt>
                <c:pt idx="521">
                  <c:v>26.3157</c:v>
                </c:pt>
                <c:pt idx="522">
                  <c:v>287.31920000000002</c:v>
                </c:pt>
                <c:pt idx="523">
                  <c:v>249.56829999999999</c:v>
                </c:pt>
                <c:pt idx="524">
                  <c:v>102.48309999999999</c:v>
                </c:pt>
                <c:pt idx="525">
                  <c:v>112.4393</c:v>
                </c:pt>
                <c:pt idx="526">
                  <c:v>188.01929999999999</c:v>
                </c:pt>
                <c:pt idx="527">
                  <c:v>114.4122</c:v>
                </c:pt>
                <c:pt idx="528">
                  <c:v>125.02719999999999</c:v>
                </c:pt>
                <c:pt idx="529">
                  <c:v>69.067899999999995</c:v>
                </c:pt>
                <c:pt idx="530">
                  <c:v>7.2950999999999997</c:v>
                </c:pt>
                <c:pt idx="531">
                  <c:v>42.905700000000003</c:v>
                </c:pt>
                <c:pt idx="532">
                  <c:v>294.95620000000002</c:v>
                </c:pt>
                <c:pt idx="533">
                  <c:v>219.79079999999999</c:v>
                </c:pt>
                <c:pt idx="534">
                  <c:v>75.439899999999994</c:v>
                </c:pt>
                <c:pt idx="535">
                  <c:v>153.09970000000001</c:v>
                </c:pt>
                <c:pt idx="536">
                  <c:v>275.0976</c:v>
                </c:pt>
                <c:pt idx="537">
                  <c:v>117.9924</c:v>
                </c:pt>
                <c:pt idx="538">
                  <c:v>230.8272</c:v>
                </c:pt>
                <c:pt idx="539">
                  <c:v>50.645099999999999</c:v>
                </c:pt>
                <c:pt idx="540">
                  <c:v>199.2944</c:v>
                </c:pt>
                <c:pt idx="541">
                  <c:v>159.47839999999999</c:v>
                </c:pt>
                <c:pt idx="542">
                  <c:v>65.087299999999999</c:v>
                </c:pt>
                <c:pt idx="543">
                  <c:v>179.26079999999999</c:v>
                </c:pt>
                <c:pt idx="544">
                  <c:v>18.3111</c:v>
                </c:pt>
                <c:pt idx="545">
                  <c:v>2.7016</c:v>
                </c:pt>
                <c:pt idx="546">
                  <c:v>289.99310000000003</c:v>
                </c:pt>
                <c:pt idx="547">
                  <c:v>191.5222</c:v>
                </c:pt>
                <c:pt idx="548">
                  <c:v>288.79849999999999</c:v>
                </c:pt>
                <c:pt idx="549">
                  <c:v>181.3706</c:v>
                </c:pt>
                <c:pt idx="550">
                  <c:v>238.00460000000001</c:v>
                </c:pt>
                <c:pt idx="551">
                  <c:v>230.9863</c:v>
                </c:pt>
                <c:pt idx="552">
                  <c:v>190.0778</c:v>
                </c:pt>
                <c:pt idx="553">
                  <c:v>99.565399999999997</c:v>
                </c:pt>
                <c:pt idx="554">
                  <c:v>29.6218</c:v>
                </c:pt>
                <c:pt idx="555">
                  <c:v>162.2439</c:v>
                </c:pt>
                <c:pt idx="556">
                  <c:v>56.786299999999997</c:v>
                </c:pt>
                <c:pt idx="557">
                  <c:v>144.6337</c:v>
                </c:pt>
                <c:pt idx="558">
                  <c:v>173.5181</c:v>
                </c:pt>
                <c:pt idx="559">
                  <c:v>53.187399999999997</c:v>
                </c:pt>
                <c:pt idx="560">
                  <c:v>147.19309999999999</c:v>
                </c:pt>
                <c:pt idx="561">
                  <c:v>286.26080000000002</c:v>
                </c:pt>
                <c:pt idx="562">
                  <c:v>15.910600000000001</c:v>
                </c:pt>
                <c:pt idx="563">
                  <c:v>1.7715000000000001</c:v>
                </c:pt>
                <c:pt idx="564">
                  <c:v>17.602499999999999</c:v>
                </c:pt>
                <c:pt idx="565">
                  <c:v>41.176900000000003</c:v>
                </c:pt>
                <c:pt idx="566">
                  <c:v>213.721</c:v>
                </c:pt>
                <c:pt idx="567">
                  <c:v>299.5917</c:v>
                </c:pt>
                <c:pt idx="568">
                  <c:v>26.440300000000001</c:v>
                </c:pt>
                <c:pt idx="569">
                  <c:v>113.30110000000001</c:v>
                </c:pt>
                <c:pt idx="570">
                  <c:v>216.56450000000001</c:v>
                </c:pt>
                <c:pt idx="571">
                  <c:v>139.32480000000001</c:v>
                </c:pt>
                <c:pt idx="572">
                  <c:v>131.84719999999999</c:v>
                </c:pt>
                <c:pt idx="573">
                  <c:v>211.75059999999999</c:v>
                </c:pt>
                <c:pt idx="574">
                  <c:v>1.5274000000000001</c:v>
                </c:pt>
                <c:pt idx="575">
                  <c:v>145.38300000000001</c:v>
                </c:pt>
                <c:pt idx="576">
                  <c:v>298.60430000000002</c:v>
                </c:pt>
                <c:pt idx="577">
                  <c:v>134.36859999999999</c:v>
                </c:pt>
                <c:pt idx="578">
                  <c:v>113.09690000000001</c:v>
                </c:pt>
                <c:pt idx="579">
                  <c:v>258.26159999999999</c:v>
                </c:pt>
                <c:pt idx="580">
                  <c:v>245.2526</c:v>
                </c:pt>
                <c:pt idx="581">
                  <c:v>232.00069999999999</c:v>
                </c:pt>
                <c:pt idx="582">
                  <c:v>154.26689999999999</c:v>
                </c:pt>
                <c:pt idx="583">
                  <c:v>133.05260000000001</c:v>
                </c:pt>
                <c:pt idx="584">
                  <c:v>161.2106</c:v>
                </c:pt>
                <c:pt idx="585">
                  <c:v>106.81950000000001</c:v>
                </c:pt>
                <c:pt idx="586">
                  <c:v>46.385199999999998</c:v>
                </c:pt>
                <c:pt idx="587">
                  <c:v>169.67699999999999</c:v>
                </c:pt>
                <c:pt idx="588">
                  <c:v>82.587900000000005</c:v>
                </c:pt>
                <c:pt idx="589">
                  <c:v>90.400300000000001</c:v>
                </c:pt>
                <c:pt idx="590">
                  <c:v>239.33629999999999</c:v>
                </c:pt>
                <c:pt idx="591">
                  <c:v>6.0903</c:v>
                </c:pt>
                <c:pt idx="592">
                  <c:v>133.09180000000001</c:v>
                </c:pt>
                <c:pt idx="593">
                  <c:v>62.752699999999997</c:v>
                </c:pt>
                <c:pt idx="594">
                  <c:v>164.04509999999999</c:v>
                </c:pt>
                <c:pt idx="595">
                  <c:v>165.18979999999999</c:v>
                </c:pt>
                <c:pt idx="596">
                  <c:v>256.2978</c:v>
                </c:pt>
                <c:pt idx="597">
                  <c:v>28.553999999999998</c:v>
                </c:pt>
                <c:pt idx="598">
                  <c:v>8.3794000000000004</c:v>
                </c:pt>
                <c:pt idx="599">
                  <c:v>123.89790000000001</c:v>
                </c:pt>
              </c:numCache>
            </c:numRef>
          </c:xVal>
          <c:yVal>
            <c:numRef>
              <c:f>Direct!$U$3:$U$602</c:f>
              <c:numCache>
                <c:formatCode>0.00000000</c:formatCode>
                <c:ptCount val="600"/>
                <c:pt idx="0">
                  <c:v>3.4532376957940869E-11</c:v>
                </c:pt>
                <c:pt idx="1">
                  <c:v>6.4346750150434673E-10</c:v>
                </c:pt>
                <c:pt idx="2">
                  <c:v>1.2022383089060895E-11</c:v>
                </c:pt>
                <c:pt idx="3">
                  <c:v>4.8885340220294893E-12</c:v>
                </c:pt>
                <c:pt idx="4">
                  <c:v>6.5098149093500979E-11</c:v>
                </c:pt>
                <c:pt idx="5">
                  <c:v>1.7905676941154525E-11</c:v>
                </c:pt>
                <c:pt idx="6">
                  <c:v>3.5835867606692773E-10</c:v>
                </c:pt>
                <c:pt idx="7">
                  <c:v>2.4624569050502032E-10</c:v>
                </c:pt>
                <c:pt idx="8">
                  <c:v>6.5654148784233257E-12</c:v>
                </c:pt>
                <c:pt idx="9">
                  <c:v>1.4779288903810084E-12</c:v>
                </c:pt>
                <c:pt idx="10">
                  <c:v>6.8098415795248002E-11</c:v>
                </c:pt>
                <c:pt idx="11">
                  <c:v>6.8212102632969618E-13</c:v>
                </c:pt>
                <c:pt idx="12">
                  <c:v>2.8137492336099967E-11</c:v>
                </c:pt>
                <c:pt idx="13">
                  <c:v>1.6065655472630169E-9</c:v>
                </c:pt>
                <c:pt idx="14">
                  <c:v>4.7748471843078732E-12</c:v>
                </c:pt>
                <c:pt idx="15">
                  <c:v>3.0379965210158844E-10</c:v>
                </c:pt>
                <c:pt idx="16">
                  <c:v>6.8359984339849689E-11</c:v>
                </c:pt>
                <c:pt idx="17">
                  <c:v>1.6588330709055299E-10</c:v>
                </c:pt>
                <c:pt idx="18">
                  <c:v>7.667040335945785E-10</c:v>
                </c:pt>
                <c:pt idx="19">
                  <c:v>4.3385739445511717E-11</c:v>
                </c:pt>
                <c:pt idx="20">
                  <c:v>4.9882515895660617E-9</c:v>
                </c:pt>
                <c:pt idx="21">
                  <c:v>7.9702999755681958E-10</c:v>
                </c:pt>
                <c:pt idx="22">
                  <c:v>1.7422507880837657E-11</c:v>
                </c:pt>
                <c:pt idx="23">
                  <c:v>8.5947249317541718E-11</c:v>
                </c:pt>
                <c:pt idx="24">
                  <c:v>1.5639489703289655E-11</c:v>
                </c:pt>
                <c:pt idx="25">
                  <c:v>2.8691715669992846E-10</c:v>
                </c:pt>
                <c:pt idx="26">
                  <c:v>5.1159076974727213E-13</c:v>
                </c:pt>
                <c:pt idx="27">
                  <c:v>5.4058091336628422E-11</c:v>
                </c:pt>
                <c:pt idx="28">
                  <c:v>3.4788172342814505E-11</c:v>
                </c:pt>
                <c:pt idx="29">
                  <c:v>8.4014573076274246E-11</c:v>
                </c:pt>
                <c:pt idx="30">
                  <c:v>1.1567635738174431E-11</c:v>
                </c:pt>
                <c:pt idx="31">
                  <c:v>4.8316906031686813E-13</c:v>
                </c:pt>
                <c:pt idx="32">
                  <c:v>1.836610863392707E-10</c:v>
                </c:pt>
                <c:pt idx="33">
                  <c:v>9.7566044132690877E-10</c:v>
                </c:pt>
                <c:pt idx="34">
                  <c:v>2.0191350813547615E-9</c:v>
                </c:pt>
                <c:pt idx="35">
                  <c:v>4.5055514874547953E-11</c:v>
                </c:pt>
                <c:pt idx="36">
                  <c:v>1.8103492038790137E-9</c:v>
                </c:pt>
                <c:pt idx="37">
                  <c:v>7.787548383930698E-12</c:v>
                </c:pt>
                <c:pt idx="38">
                  <c:v>8.9528384705772623E-12</c:v>
                </c:pt>
                <c:pt idx="39">
                  <c:v>2.9686475500056986E-10</c:v>
                </c:pt>
                <c:pt idx="40">
                  <c:v>8.6183149505814072E-10</c:v>
                </c:pt>
                <c:pt idx="41">
                  <c:v>2.1123014448676258E-10</c:v>
                </c:pt>
                <c:pt idx="42">
                  <c:v>5.6891735766839702E-10</c:v>
                </c:pt>
                <c:pt idx="43">
                  <c:v>8.1288220599162742E-10</c:v>
                </c:pt>
                <c:pt idx="44">
                  <c:v>2.0321522242738865E-11</c:v>
                </c:pt>
                <c:pt idx="45">
                  <c:v>1.8911094912255066E-11</c:v>
                </c:pt>
                <c:pt idx="46">
                  <c:v>4.7561030669385218E-9</c:v>
                </c:pt>
                <c:pt idx="47">
                  <c:v>3.5242919693700969E-11</c:v>
                </c:pt>
                <c:pt idx="48">
                  <c:v>3.666400516522117E-11</c:v>
                </c:pt>
                <c:pt idx="49">
                  <c:v>1.0095391189679503E-10</c:v>
                </c:pt>
                <c:pt idx="50">
                  <c:v>7.759126674500294E-11</c:v>
                </c:pt>
                <c:pt idx="51">
                  <c:v>1.0444409781484865E-9</c:v>
                </c:pt>
                <c:pt idx="52">
                  <c:v>3.979039320256561E-13</c:v>
                </c:pt>
                <c:pt idx="53">
                  <c:v>1.6370904631912708E-11</c:v>
                </c:pt>
                <c:pt idx="54">
                  <c:v>2.567617229942698E-10</c:v>
                </c:pt>
                <c:pt idx="55">
                  <c:v>2.1005774897275842E-10</c:v>
                </c:pt>
                <c:pt idx="56">
                  <c:v>6.2527760746888816E-11</c:v>
                </c:pt>
                <c:pt idx="57">
                  <c:v>4.6696868594153784E-11</c:v>
                </c:pt>
                <c:pt idx="58">
                  <c:v>4.2973624658770859E-11</c:v>
                </c:pt>
                <c:pt idx="59">
                  <c:v>8.2536644185893238E-11</c:v>
                </c:pt>
                <c:pt idx="60">
                  <c:v>3.340616672176111E-11</c:v>
                </c:pt>
                <c:pt idx="61">
                  <c:v>9.773089004738722E-10</c:v>
                </c:pt>
                <c:pt idx="62">
                  <c:v>1.3301360013429075E-11</c:v>
                </c:pt>
                <c:pt idx="63">
                  <c:v>4.2519410214936215E-10</c:v>
                </c:pt>
                <c:pt idx="64">
                  <c:v>2.6464164193384931E-10</c:v>
                </c:pt>
                <c:pt idx="65">
                  <c:v>1.4068746168049984E-11</c:v>
                </c:pt>
                <c:pt idx="66">
                  <c:v>1.5799628272361588E-10</c:v>
                </c:pt>
                <c:pt idx="67">
                  <c:v>3.5380196550249821E-9</c:v>
                </c:pt>
                <c:pt idx="68">
                  <c:v>2.3078428057488054E-11</c:v>
                </c:pt>
                <c:pt idx="69">
                  <c:v>3.3057290238502901E-10</c:v>
                </c:pt>
                <c:pt idx="70">
                  <c:v>9.3356788966048043E-10</c:v>
                </c:pt>
                <c:pt idx="71">
                  <c:v>4.2311398829042446E-10</c:v>
                </c:pt>
                <c:pt idx="72">
                  <c:v>6.9446670636352792E-12</c:v>
                </c:pt>
                <c:pt idx="73">
                  <c:v>1.6157741811184678E-10</c:v>
                </c:pt>
                <c:pt idx="74">
                  <c:v>2.3590018827235326E-11</c:v>
                </c:pt>
                <c:pt idx="75">
                  <c:v>7.1298700277111493E-10</c:v>
                </c:pt>
                <c:pt idx="76">
                  <c:v>9.2086338554508984E-11</c:v>
                </c:pt>
                <c:pt idx="77">
                  <c:v>5.1528559197322465E-11</c:v>
                </c:pt>
                <c:pt idx="78">
                  <c:v>2.4925839170464315E-11</c:v>
                </c:pt>
                <c:pt idx="79">
                  <c:v>2.3248958314070478E-10</c:v>
                </c:pt>
                <c:pt idx="80">
                  <c:v>2.8717295208480209E-10</c:v>
                </c:pt>
                <c:pt idx="81">
                  <c:v>3.1025138014229015E-10</c:v>
                </c:pt>
                <c:pt idx="82">
                  <c:v>1.3704593015972932E-12</c:v>
                </c:pt>
                <c:pt idx="83">
                  <c:v>2.446540747769177E-10</c:v>
                </c:pt>
                <c:pt idx="84">
                  <c:v>3.8356873233169608E-11</c:v>
                </c:pt>
                <c:pt idx="85">
                  <c:v>6.7177552409702912E-10</c:v>
                </c:pt>
                <c:pt idx="86">
                  <c:v>2.0918378140777349E-11</c:v>
                </c:pt>
                <c:pt idx="87">
                  <c:v>9.8165919837356341E-13</c:v>
                </c:pt>
                <c:pt idx="88">
                  <c:v>1.1272618394286837E-9</c:v>
                </c:pt>
                <c:pt idx="89">
                  <c:v>1.7439560906495899E-10</c:v>
                </c:pt>
                <c:pt idx="90">
                  <c:v>7.4571460118022515E-12</c:v>
                </c:pt>
                <c:pt idx="91">
                  <c:v>3.2463276511407457E-10</c:v>
                </c:pt>
                <c:pt idx="92">
                  <c:v>5.6417093219351955E-11</c:v>
                </c:pt>
                <c:pt idx="93">
                  <c:v>8.4583007264882326E-11</c:v>
                </c:pt>
                <c:pt idx="94">
                  <c:v>9.163159120362252E-11</c:v>
                </c:pt>
                <c:pt idx="95">
                  <c:v>2.9153568448236911E-11</c:v>
                </c:pt>
                <c:pt idx="96">
                  <c:v>1.48929757415317E-11</c:v>
                </c:pt>
                <c:pt idx="97">
                  <c:v>1.9952040020143613E-11</c:v>
                </c:pt>
                <c:pt idx="98">
                  <c:v>9.2398977358243428E-11</c:v>
                </c:pt>
                <c:pt idx="99">
                  <c:v>5.5301541124208597E-11</c:v>
                </c:pt>
                <c:pt idx="100">
                  <c:v>3.993250174971763E-12</c:v>
                </c:pt>
                <c:pt idx="101">
                  <c:v>5.1329607231309637E-11</c:v>
                </c:pt>
                <c:pt idx="102">
                  <c:v>5.6843418860808015E-12</c:v>
                </c:pt>
                <c:pt idx="103">
                  <c:v>2.1884716261411086E-11</c:v>
                </c:pt>
                <c:pt idx="104">
                  <c:v>3.4106051316484809E-13</c:v>
                </c:pt>
                <c:pt idx="105">
                  <c:v>2.2737367544323206E-13</c:v>
                </c:pt>
                <c:pt idx="106">
                  <c:v>2.9046987037872896E-11</c:v>
                </c:pt>
                <c:pt idx="107">
                  <c:v>3.723243935382925E-12</c:v>
                </c:pt>
                <c:pt idx="108">
                  <c:v>6.1355365232884651E-12</c:v>
                </c:pt>
                <c:pt idx="109">
                  <c:v>1.2747705113724805E-9</c:v>
                </c:pt>
                <c:pt idx="110">
                  <c:v>1.4779288903810084E-11</c:v>
                </c:pt>
                <c:pt idx="111">
                  <c:v>4.1168846109940205E-11</c:v>
                </c:pt>
                <c:pt idx="112">
                  <c:v>1.6349588349839905E-11</c:v>
                </c:pt>
                <c:pt idx="113">
                  <c:v>6.5369931689929217E-13</c:v>
                </c:pt>
                <c:pt idx="114">
                  <c:v>3.3839597790574771E-12</c:v>
                </c:pt>
                <c:pt idx="115">
                  <c:v>5.5536020227009431E-11</c:v>
                </c:pt>
                <c:pt idx="116">
                  <c:v>1.2427392448444152E-10</c:v>
                </c:pt>
                <c:pt idx="117">
                  <c:v>1.9809931472991593E-11</c:v>
                </c:pt>
                <c:pt idx="118">
                  <c:v>4.6583181756432168E-11</c:v>
                </c:pt>
                <c:pt idx="119">
                  <c:v>8.3559825725387782E-12</c:v>
                </c:pt>
                <c:pt idx="120">
                  <c:v>8.9869445218937472E-11</c:v>
                </c:pt>
                <c:pt idx="121">
                  <c:v>2.3078428057488054E-11</c:v>
                </c:pt>
                <c:pt idx="122">
                  <c:v>1.0004441719502211E-11</c:v>
                </c:pt>
                <c:pt idx="123">
                  <c:v>3.1565861036142451E-11</c:v>
                </c:pt>
                <c:pt idx="124">
                  <c:v>3.865352482534945E-12</c:v>
                </c:pt>
                <c:pt idx="125">
                  <c:v>1.7341683644644945E-13</c:v>
                </c:pt>
                <c:pt idx="126">
                  <c:v>6.4233063312713057E-12</c:v>
                </c:pt>
                <c:pt idx="127">
                  <c:v>1.63140612130519E-11</c:v>
                </c:pt>
                <c:pt idx="128">
                  <c:v>2.4655832930875476E-12</c:v>
                </c:pt>
                <c:pt idx="129">
                  <c:v>7.645439836778678E-12</c:v>
                </c:pt>
                <c:pt idx="130">
                  <c:v>8.5265128291212022E-14</c:v>
                </c:pt>
                <c:pt idx="131">
                  <c:v>4.5417891669785604E-11</c:v>
                </c:pt>
                <c:pt idx="132">
                  <c:v>7.0485839387401938E-12</c:v>
                </c:pt>
                <c:pt idx="133">
                  <c:v>1.4097167877480388E-11</c:v>
                </c:pt>
                <c:pt idx="134">
                  <c:v>4.5474735088646412E-13</c:v>
                </c:pt>
                <c:pt idx="135">
                  <c:v>1.9269918993813917E-11</c:v>
                </c:pt>
                <c:pt idx="136">
                  <c:v>3.6202152386977104E-12</c:v>
                </c:pt>
                <c:pt idx="137">
                  <c:v>3.5811353882309049E-12</c:v>
                </c:pt>
                <c:pt idx="138">
                  <c:v>2.0691004465334117E-11</c:v>
                </c:pt>
                <c:pt idx="139">
                  <c:v>1.0132339411939029E-11</c:v>
                </c:pt>
                <c:pt idx="140">
                  <c:v>4.5474735088646412E-13</c:v>
                </c:pt>
                <c:pt idx="141">
                  <c:v>8.5265128291212022E-13</c:v>
                </c:pt>
                <c:pt idx="142">
                  <c:v>1.1141310096718371E-11</c:v>
                </c:pt>
                <c:pt idx="143">
                  <c:v>4.6043169277254492E-12</c:v>
                </c:pt>
                <c:pt idx="144">
                  <c:v>6.5938365878537297E-12</c:v>
                </c:pt>
                <c:pt idx="145">
                  <c:v>1.2278178473934531E-11</c:v>
                </c:pt>
                <c:pt idx="146">
                  <c:v>1.1368683772161603E-12</c:v>
                </c:pt>
                <c:pt idx="147">
                  <c:v>1.0800249583553523E-12</c:v>
                </c:pt>
                <c:pt idx="148">
                  <c:v>1.7621459846850485E-12</c:v>
                </c:pt>
                <c:pt idx="149">
                  <c:v>6.87947476762929E-11</c:v>
                </c:pt>
                <c:pt idx="150">
                  <c:v>1.659827830735594E-11</c:v>
                </c:pt>
                <c:pt idx="151">
                  <c:v>3.0809133022557944E-11</c:v>
                </c:pt>
                <c:pt idx="152">
                  <c:v>5.4853899200679734E-12</c:v>
                </c:pt>
                <c:pt idx="153">
                  <c:v>1.7621459846850485E-12</c:v>
                </c:pt>
                <c:pt idx="154">
                  <c:v>1.9895196601282805E-13</c:v>
                </c:pt>
                <c:pt idx="155">
                  <c:v>4.553157850750722E-11</c:v>
                </c:pt>
                <c:pt idx="156">
                  <c:v>4.8032688937382773E-12</c:v>
                </c:pt>
                <c:pt idx="157">
                  <c:v>9.6633812063373625E-13</c:v>
                </c:pt>
                <c:pt idx="158">
                  <c:v>2.4215296434704214E-11</c:v>
                </c:pt>
                <c:pt idx="159">
                  <c:v>5.1159076974727213E-13</c:v>
                </c:pt>
                <c:pt idx="160">
                  <c:v>7.0812689045851585E-11</c:v>
                </c:pt>
                <c:pt idx="161">
                  <c:v>6.8212102632969618E-13</c:v>
                </c:pt>
                <c:pt idx="162">
                  <c:v>2.0463630789890885E-12</c:v>
                </c:pt>
                <c:pt idx="163">
                  <c:v>4.4906300900038332E-12</c:v>
                </c:pt>
                <c:pt idx="164">
                  <c:v>5.6843418860808015E-13</c:v>
                </c:pt>
                <c:pt idx="165">
                  <c:v>9.3962171376915649E-11</c:v>
                </c:pt>
                <c:pt idx="166">
                  <c:v>1.6484591469634324E-12</c:v>
                </c:pt>
                <c:pt idx="167">
                  <c:v>2.5792701308091637E-11</c:v>
                </c:pt>
                <c:pt idx="168">
                  <c:v>3.4106051316484809E-12</c:v>
                </c:pt>
                <c:pt idx="169">
                  <c:v>3.9733549783704802E-11</c:v>
                </c:pt>
                <c:pt idx="170">
                  <c:v>6.3948846218409017E-12</c:v>
                </c:pt>
                <c:pt idx="171">
                  <c:v>4.3200998334214091E-12</c:v>
                </c:pt>
                <c:pt idx="172">
                  <c:v>4.0927261579781771E-12</c:v>
                </c:pt>
                <c:pt idx="173">
                  <c:v>1.1254996934439987E-11</c:v>
                </c:pt>
                <c:pt idx="174">
                  <c:v>2.3305801732931286E-12</c:v>
                </c:pt>
                <c:pt idx="175">
                  <c:v>4.1694647734402679E-11</c:v>
                </c:pt>
                <c:pt idx="176">
                  <c:v>1.3125145414960571E-10</c:v>
                </c:pt>
                <c:pt idx="177">
                  <c:v>1.1368683772161603E-13</c:v>
                </c:pt>
                <c:pt idx="178">
                  <c:v>1.2160938922534115E-11</c:v>
                </c:pt>
                <c:pt idx="179">
                  <c:v>3.6209257814334705E-11</c:v>
                </c:pt>
                <c:pt idx="180">
                  <c:v>2.8421709430404007E-13</c:v>
                </c:pt>
                <c:pt idx="181">
                  <c:v>1.3415046851150692E-11</c:v>
                </c:pt>
                <c:pt idx="182">
                  <c:v>3.979039320256561E-13</c:v>
                </c:pt>
                <c:pt idx="183">
                  <c:v>4.7180037654470652E-12</c:v>
                </c:pt>
                <c:pt idx="184">
                  <c:v>2.8848035071860068E-12</c:v>
                </c:pt>
                <c:pt idx="185">
                  <c:v>5.4001247917767614E-13</c:v>
                </c:pt>
                <c:pt idx="186">
                  <c:v>6.2527760746888816E-13</c:v>
                </c:pt>
                <c:pt idx="187">
                  <c:v>5.2580162446247414E-12</c:v>
                </c:pt>
                <c:pt idx="188">
                  <c:v>2.5579538487363607E-12</c:v>
                </c:pt>
                <c:pt idx="189">
                  <c:v>4.8004267227952369E-11</c:v>
                </c:pt>
                <c:pt idx="190">
                  <c:v>6.9661609813920222E-11</c:v>
                </c:pt>
                <c:pt idx="191">
                  <c:v>4.8885340220294893E-12</c:v>
                </c:pt>
                <c:pt idx="192">
                  <c:v>2.6325608359911712E-12</c:v>
                </c:pt>
                <c:pt idx="193">
                  <c:v>1.8758328224066645E-12</c:v>
                </c:pt>
                <c:pt idx="194">
                  <c:v>2.9444890969898552E-11</c:v>
                </c:pt>
                <c:pt idx="195">
                  <c:v>9.0096818894380704E-12</c:v>
                </c:pt>
                <c:pt idx="196">
                  <c:v>7.9069195635383949E-11</c:v>
                </c:pt>
                <c:pt idx="197">
                  <c:v>2.0520474208751693E-11</c:v>
                </c:pt>
                <c:pt idx="198">
                  <c:v>2.879119165299926E-11</c:v>
                </c:pt>
                <c:pt idx="199">
                  <c:v>7.2191141953226179E-12</c:v>
                </c:pt>
                <c:pt idx="200">
                  <c:v>6.8212102632969618E-13</c:v>
                </c:pt>
                <c:pt idx="201">
                  <c:v>1.7337242752546445E-12</c:v>
                </c:pt>
                <c:pt idx="202">
                  <c:v>5.0022208597511053E-12</c:v>
                </c:pt>
                <c:pt idx="203">
                  <c:v>4.5474735088646412E-13</c:v>
                </c:pt>
                <c:pt idx="204">
                  <c:v>6.0822458181064576E-12</c:v>
                </c:pt>
                <c:pt idx="205">
                  <c:v>1.0516032489249483E-12</c:v>
                </c:pt>
                <c:pt idx="206">
                  <c:v>4.4622083805734292E-12</c:v>
                </c:pt>
                <c:pt idx="207">
                  <c:v>9.0949470177292824E-13</c:v>
                </c:pt>
                <c:pt idx="208">
                  <c:v>7.0201622293097898E-12</c:v>
                </c:pt>
                <c:pt idx="209">
                  <c:v>9.6633812063373625E-13</c:v>
                </c:pt>
                <c:pt idx="210">
                  <c:v>3.2002844818634912E-11</c:v>
                </c:pt>
                <c:pt idx="211">
                  <c:v>9.3791641120333225E-13</c:v>
                </c:pt>
                <c:pt idx="212">
                  <c:v>5.1159076974727213E-12</c:v>
                </c:pt>
                <c:pt idx="213">
                  <c:v>6.5085714595625177E-12</c:v>
                </c:pt>
                <c:pt idx="214">
                  <c:v>8.5265128291212022E-13</c:v>
                </c:pt>
                <c:pt idx="215">
                  <c:v>1.3500311979441904E-12</c:v>
                </c:pt>
                <c:pt idx="216">
                  <c:v>6.7075234255753458E-12</c:v>
                </c:pt>
                <c:pt idx="217">
                  <c:v>7.489120434911456E-12</c:v>
                </c:pt>
                <c:pt idx="218">
                  <c:v>5.7411853049416095E-12</c:v>
                </c:pt>
                <c:pt idx="219">
                  <c:v>3.1695890356786549E-10</c:v>
                </c:pt>
                <c:pt idx="220">
                  <c:v>4.7180037654470652E-12</c:v>
                </c:pt>
                <c:pt idx="221">
                  <c:v>9.3677954282611609E-11</c:v>
                </c:pt>
                <c:pt idx="222">
                  <c:v>3.694822225952521E-13</c:v>
                </c:pt>
                <c:pt idx="223">
                  <c:v>2.9956481739645824E-11</c:v>
                </c:pt>
                <c:pt idx="224">
                  <c:v>3.2400748750660568E-12</c:v>
                </c:pt>
                <c:pt idx="225">
                  <c:v>3.808509063674137E-12</c:v>
                </c:pt>
                <c:pt idx="226">
                  <c:v>1.5859313862165436E-11</c:v>
                </c:pt>
                <c:pt idx="227">
                  <c:v>2.2737367544323206E-13</c:v>
                </c:pt>
                <c:pt idx="228">
                  <c:v>4.6043169277254492E-12</c:v>
                </c:pt>
                <c:pt idx="229">
                  <c:v>2.8421709430404007E-13</c:v>
                </c:pt>
                <c:pt idx="230">
                  <c:v>2.5579538487363607E-13</c:v>
                </c:pt>
                <c:pt idx="231">
                  <c:v>6.8212102632969618E-12</c:v>
                </c:pt>
                <c:pt idx="232">
                  <c:v>9.2015284280932974E-13</c:v>
                </c:pt>
                <c:pt idx="233">
                  <c:v>1.603162047558726E-13</c:v>
                </c:pt>
                <c:pt idx="234">
                  <c:v>3.3878677641041577E-11</c:v>
                </c:pt>
                <c:pt idx="235">
                  <c:v>5.3645976549887564E-13</c:v>
                </c:pt>
                <c:pt idx="236">
                  <c:v>1.0061285138363019E-11</c:v>
                </c:pt>
                <c:pt idx="237">
                  <c:v>2.1955770534987096E-12</c:v>
                </c:pt>
                <c:pt idx="238">
                  <c:v>3.1974423109204508E-12</c:v>
                </c:pt>
                <c:pt idx="239">
                  <c:v>2.1600499167107046E-12</c:v>
                </c:pt>
                <c:pt idx="240">
                  <c:v>1.8474111129762605E-12</c:v>
                </c:pt>
                <c:pt idx="241">
                  <c:v>1.9451817934168503E-10</c:v>
                </c:pt>
                <c:pt idx="242">
                  <c:v>1.9042545318370685E-12</c:v>
                </c:pt>
                <c:pt idx="243">
                  <c:v>2.1600499167107046E-12</c:v>
                </c:pt>
                <c:pt idx="244">
                  <c:v>3.1815261536394246E-10</c:v>
                </c:pt>
                <c:pt idx="245">
                  <c:v>3.4106051316484809E-13</c:v>
                </c:pt>
                <c:pt idx="246">
                  <c:v>7.8443918027915061E-12</c:v>
                </c:pt>
                <c:pt idx="247">
                  <c:v>1.9895196601282805E-12</c:v>
                </c:pt>
                <c:pt idx="248">
                  <c:v>1.1368683772161603E-13</c:v>
                </c:pt>
                <c:pt idx="249">
                  <c:v>3.4106051316484809E-12</c:v>
                </c:pt>
                <c:pt idx="250">
                  <c:v>1.6342482922482304E-13</c:v>
                </c:pt>
                <c:pt idx="251">
                  <c:v>4.7208459363901056E-11</c:v>
                </c:pt>
                <c:pt idx="252">
                  <c:v>2.7284841053187847E-12</c:v>
                </c:pt>
                <c:pt idx="253">
                  <c:v>1.6353851606254466E-10</c:v>
                </c:pt>
                <c:pt idx="254">
                  <c:v>2.2737367544323206E-13</c:v>
                </c:pt>
                <c:pt idx="255">
                  <c:v>2.6005864128819667E-12</c:v>
                </c:pt>
                <c:pt idx="256">
                  <c:v>1.1368683772161603E-13</c:v>
                </c:pt>
                <c:pt idx="257">
                  <c:v>2.6773250283440575E-11</c:v>
                </c:pt>
                <c:pt idx="258">
                  <c:v>2.0676793610618915E-12</c:v>
                </c:pt>
                <c:pt idx="259">
                  <c:v>1.5987211554602254E-13</c:v>
                </c:pt>
                <c:pt idx="260">
                  <c:v>9.9475983006414026E-13</c:v>
                </c:pt>
                <c:pt idx="261">
                  <c:v>3.0979663279140368E-12</c:v>
                </c:pt>
                <c:pt idx="262">
                  <c:v>7.9936057773011271E-15</c:v>
                </c:pt>
                <c:pt idx="263">
                  <c:v>5.6132876125047915E-13</c:v>
                </c:pt>
                <c:pt idx="264">
                  <c:v>2.7000623958883807E-12</c:v>
                </c:pt>
                <c:pt idx="265">
                  <c:v>4.1367798075953033E-11</c:v>
                </c:pt>
                <c:pt idx="266">
                  <c:v>1.5489831639570184E-12</c:v>
                </c:pt>
                <c:pt idx="267">
                  <c:v>7.3896444519050419E-13</c:v>
                </c:pt>
                <c:pt idx="268">
                  <c:v>8.9229956756753381E-11</c:v>
                </c:pt>
                <c:pt idx="269">
                  <c:v>3.1832314562052488E-12</c:v>
                </c:pt>
                <c:pt idx="270">
                  <c:v>9.9475983006414026E-13</c:v>
                </c:pt>
                <c:pt idx="271">
                  <c:v>5.8930638147103309E-13</c:v>
                </c:pt>
                <c:pt idx="272">
                  <c:v>3.4106051316484809E-13</c:v>
                </c:pt>
                <c:pt idx="273">
                  <c:v>8.6686213762732223E-13</c:v>
                </c:pt>
                <c:pt idx="274">
                  <c:v>2.6858515411731787E-12</c:v>
                </c:pt>
                <c:pt idx="275">
                  <c:v>2.8421709430404007E-12</c:v>
                </c:pt>
                <c:pt idx="276">
                  <c:v>1.1294076784906792E-11</c:v>
                </c:pt>
                <c:pt idx="277">
                  <c:v>7.503331289626658E-12</c:v>
                </c:pt>
                <c:pt idx="278">
                  <c:v>2.4442670110147446E-12</c:v>
                </c:pt>
                <c:pt idx="279">
                  <c:v>7.1906924858922139E-12</c:v>
                </c:pt>
                <c:pt idx="280">
                  <c:v>2.8421709430404007E-13</c:v>
                </c:pt>
                <c:pt idx="281">
                  <c:v>0</c:v>
                </c:pt>
                <c:pt idx="282">
                  <c:v>2.4868995751603507E-13</c:v>
                </c:pt>
                <c:pt idx="283">
                  <c:v>6.5369931689929217E-13</c:v>
                </c:pt>
                <c:pt idx="284">
                  <c:v>3.964828465541359E-12</c:v>
                </c:pt>
                <c:pt idx="285">
                  <c:v>6.2527760746888816E-13</c:v>
                </c:pt>
                <c:pt idx="286">
                  <c:v>1.6626700016786344E-12</c:v>
                </c:pt>
                <c:pt idx="287">
                  <c:v>3.979039320256561E-13</c:v>
                </c:pt>
                <c:pt idx="288">
                  <c:v>1.7763568394002505E-15</c:v>
                </c:pt>
                <c:pt idx="289">
                  <c:v>2.2453150450019166E-12</c:v>
                </c:pt>
                <c:pt idx="290">
                  <c:v>3.3537617127876729E-12</c:v>
                </c:pt>
                <c:pt idx="291">
                  <c:v>6.5227823142777197E-12</c:v>
                </c:pt>
                <c:pt idx="292">
                  <c:v>3.2400748750660568E-12</c:v>
                </c:pt>
                <c:pt idx="293">
                  <c:v>1.3358203432289883E-12</c:v>
                </c:pt>
                <c:pt idx="294">
                  <c:v>1.0800249583553523E-12</c:v>
                </c:pt>
                <c:pt idx="295">
                  <c:v>2.6147972675971687E-12</c:v>
                </c:pt>
                <c:pt idx="296">
                  <c:v>2.1600499167107046E-12</c:v>
                </c:pt>
                <c:pt idx="297">
                  <c:v>9.1802121460204944E-12</c:v>
                </c:pt>
                <c:pt idx="298">
                  <c:v>1.0231815394945443E-12</c:v>
                </c:pt>
                <c:pt idx="299">
                  <c:v>3.694822225952521E-13</c:v>
                </c:pt>
                <c:pt idx="300">
                  <c:v>9.2370555648813024E-14</c:v>
                </c:pt>
                <c:pt idx="301">
                  <c:v>4.9595882956054993E-12</c:v>
                </c:pt>
                <c:pt idx="302">
                  <c:v>2.2168933355715126E-12</c:v>
                </c:pt>
                <c:pt idx="303">
                  <c:v>2.751932015598868E-11</c:v>
                </c:pt>
                <c:pt idx="304">
                  <c:v>8.5265128291212022E-14</c:v>
                </c:pt>
                <c:pt idx="305">
                  <c:v>1.1368683772161603E-12</c:v>
                </c:pt>
                <c:pt idx="306">
                  <c:v>1.9326762412674725E-12</c:v>
                </c:pt>
                <c:pt idx="307">
                  <c:v>5.6843418860808015E-14</c:v>
                </c:pt>
                <c:pt idx="308">
                  <c:v>5.7582383305998519E-11</c:v>
                </c:pt>
                <c:pt idx="309">
                  <c:v>2.5579538487363607E-13</c:v>
                </c:pt>
                <c:pt idx="310">
                  <c:v>3.694822225952521E-12</c:v>
                </c:pt>
                <c:pt idx="311">
                  <c:v>3.4106051316484809E-13</c:v>
                </c:pt>
                <c:pt idx="312">
                  <c:v>5.0590642786119133E-12</c:v>
                </c:pt>
                <c:pt idx="313">
                  <c:v>1.3301360013429075E-11</c:v>
                </c:pt>
                <c:pt idx="314">
                  <c:v>3.979039320256561E-13</c:v>
                </c:pt>
                <c:pt idx="315">
                  <c:v>1.6484591469634324E-12</c:v>
                </c:pt>
                <c:pt idx="316">
                  <c:v>4.5474735088646412E-13</c:v>
                </c:pt>
                <c:pt idx="317">
                  <c:v>3.5811353882309049E-12</c:v>
                </c:pt>
                <c:pt idx="318">
                  <c:v>4.2632564145606011E-13</c:v>
                </c:pt>
                <c:pt idx="319">
                  <c:v>2.2168933355715126E-12</c:v>
                </c:pt>
                <c:pt idx="320">
                  <c:v>6.8780536821577698E-12</c:v>
                </c:pt>
                <c:pt idx="321">
                  <c:v>2.3021584638627246E-12</c:v>
                </c:pt>
                <c:pt idx="322">
                  <c:v>3.3537617127876729E-12</c:v>
                </c:pt>
                <c:pt idx="323">
                  <c:v>3.2542857297812589E-12</c:v>
                </c:pt>
                <c:pt idx="324">
                  <c:v>8.5265128291212022E-14</c:v>
                </c:pt>
                <c:pt idx="325">
                  <c:v>3.680611371237319E-12</c:v>
                </c:pt>
                <c:pt idx="326">
                  <c:v>8.7041485130612273E-14</c:v>
                </c:pt>
                <c:pt idx="327">
                  <c:v>6.2527760746888816E-13</c:v>
                </c:pt>
                <c:pt idx="328">
                  <c:v>8.1712414612411521E-13</c:v>
                </c:pt>
                <c:pt idx="329">
                  <c:v>4.5474735088646412E-13</c:v>
                </c:pt>
                <c:pt idx="330">
                  <c:v>1.9113599591946695E-12</c:v>
                </c:pt>
                <c:pt idx="331">
                  <c:v>2.8421709430404007E-13</c:v>
                </c:pt>
                <c:pt idx="332">
                  <c:v>1.4210854715202004E-13</c:v>
                </c:pt>
                <c:pt idx="333">
                  <c:v>5.6843418860808015E-13</c:v>
                </c:pt>
                <c:pt idx="334">
                  <c:v>0</c:v>
                </c:pt>
                <c:pt idx="335">
                  <c:v>8.5265128291212022E-13</c:v>
                </c:pt>
                <c:pt idx="336">
                  <c:v>1.7053025658242404E-13</c:v>
                </c:pt>
                <c:pt idx="337">
                  <c:v>2.1316282072803006E-14</c:v>
                </c:pt>
                <c:pt idx="338">
                  <c:v>1.503508428868372E-11</c:v>
                </c:pt>
                <c:pt idx="339">
                  <c:v>8.8107299234252423E-13</c:v>
                </c:pt>
                <c:pt idx="340">
                  <c:v>3.6095570976613089E-12</c:v>
                </c:pt>
                <c:pt idx="341">
                  <c:v>1.3500311979441904E-13</c:v>
                </c:pt>
                <c:pt idx="342">
                  <c:v>2.5579538487363607E-12</c:v>
                </c:pt>
                <c:pt idx="343">
                  <c:v>7.2475359047530219E-13</c:v>
                </c:pt>
                <c:pt idx="344">
                  <c:v>6.8212102632969618E-13</c:v>
                </c:pt>
                <c:pt idx="345">
                  <c:v>3.5527136788005009E-15</c:v>
                </c:pt>
                <c:pt idx="346">
                  <c:v>2.4897417461033911E-11</c:v>
                </c:pt>
                <c:pt idx="347">
                  <c:v>2.2737367544323206E-13</c:v>
                </c:pt>
                <c:pt idx="348">
                  <c:v>3.979039320256561E-13</c:v>
                </c:pt>
                <c:pt idx="349">
                  <c:v>1.865174681370263E-14</c:v>
                </c:pt>
                <c:pt idx="350">
                  <c:v>7.1054273576010019E-14</c:v>
                </c:pt>
                <c:pt idx="351">
                  <c:v>1.9781509763561189E-11</c:v>
                </c:pt>
                <c:pt idx="352">
                  <c:v>5.6843418860808015E-14</c:v>
                </c:pt>
                <c:pt idx="353">
                  <c:v>6.8212102632969618E-13</c:v>
                </c:pt>
                <c:pt idx="354">
                  <c:v>8.8107299234252423E-13</c:v>
                </c:pt>
                <c:pt idx="355">
                  <c:v>2.5579538487363607E-13</c:v>
                </c:pt>
                <c:pt idx="356">
                  <c:v>3.0013325158506632E-11</c:v>
                </c:pt>
                <c:pt idx="357">
                  <c:v>1.0603073974380095E-11</c:v>
                </c:pt>
                <c:pt idx="358">
                  <c:v>5.4001247917767614E-13</c:v>
                </c:pt>
                <c:pt idx="359">
                  <c:v>8.5509377356629557E-13</c:v>
                </c:pt>
                <c:pt idx="360">
                  <c:v>1.8303580873180181E-11</c:v>
                </c:pt>
                <c:pt idx="361">
                  <c:v>5.5138116294983774E-12</c:v>
                </c:pt>
                <c:pt idx="362">
                  <c:v>3.5825564737024251E-11</c:v>
                </c:pt>
                <c:pt idx="363">
                  <c:v>3.979039320256561E-13</c:v>
                </c:pt>
                <c:pt idx="364">
                  <c:v>2.5579538487363607E-13</c:v>
                </c:pt>
                <c:pt idx="365">
                  <c:v>1.1368683772161603E-13</c:v>
                </c:pt>
                <c:pt idx="366">
                  <c:v>6.1390892369672656E-12</c:v>
                </c:pt>
                <c:pt idx="367">
                  <c:v>2.992806003021542E-11</c:v>
                </c:pt>
                <c:pt idx="368">
                  <c:v>2.5224267119483557E-12</c:v>
                </c:pt>
                <c:pt idx="369">
                  <c:v>3.4106051316484809E-13</c:v>
                </c:pt>
                <c:pt idx="370">
                  <c:v>6.3238303482648917E-13</c:v>
                </c:pt>
                <c:pt idx="371">
                  <c:v>1.5063505998114124E-11</c:v>
                </c:pt>
                <c:pt idx="372">
                  <c:v>3.1263880373444408E-12</c:v>
                </c:pt>
                <c:pt idx="373">
                  <c:v>1.2789769243681803E-13</c:v>
                </c:pt>
                <c:pt idx="374">
                  <c:v>2.5011104298755527E-12</c:v>
                </c:pt>
                <c:pt idx="375">
                  <c:v>5.4342308430932462E-11</c:v>
                </c:pt>
                <c:pt idx="376">
                  <c:v>4.2632564145606011E-14</c:v>
                </c:pt>
                <c:pt idx="377">
                  <c:v>1.5916157281026244E-12</c:v>
                </c:pt>
                <c:pt idx="378">
                  <c:v>4.7180037654470652E-12</c:v>
                </c:pt>
                <c:pt idx="379">
                  <c:v>9.9475983006414026E-13</c:v>
                </c:pt>
                <c:pt idx="380">
                  <c:v>8.5265128291212022E-13</c:v>
                </c:pt>
                <c:pt idx="381">
                  <c:v>7.815970093361102E-14</c:v>
                </c:pt>
                <c:pt idx="382">
                  <c:v>3.979039320256561E-13</c:v>
                </c:pt>
                <c:pt idx="383">
                  <c:v>2.2737367544323206E-13</c:v>
                </c:pt>
                <c:pt idx="384">
                  <c:v>9.0616403269905277E-13</c:v>
                </c:pt>
                <c:pt idx="385">
                  <c:v>5.6843418860808015E-13</c:v>
                </c:pt>
                <c:pt idx="386">
                  <c:v>4.2632564145606011E-13</c:v>
                </c:pt>
                <c:pt idx="387">
                  <c:v>2.7284841053187847E-12</c:v>
                </c:pt>
                <c:pt idx="388">
                  <c:v>8.2280848801019602E-12</c:v>
                </c:pt>
                <c:pt idx="389">
                  <c:v>2.8421709430404007E-13</c:v>
                </c:pt>
                <c:pt idx="390">
                  <c:v>5.5138116294983774E-12</c:v>
                </c:pt>
                <c:pt idx="391">
                  <c:v>6.2172489379008766E-14</c:v>
                </c:pt>
                <c:pt idx="392">
                  <c:v>6.9348971010185778E-12</c:v>
                </c:pt>
                <c:pt idx="393">
                  <c:v>6.3664629124104977E-12</c:v>
                </c:pt>
                <c:pt idx="394">
                  <c:v>3.1263880373444408E-13</c:v>
                </c:pt>
                <c:pt idx="395">
                  <c:v>5.6843418860808015E-13</c:v>
                </c:pt>
                <c:pt idx="396">
                  <c:v>4.5474735088646412E-13</c:v>
                </c:pt>
                <c:pt idx="397">
                  <c:v>2.1174173525650986E-12</c:v>
                </c:pt>
                <c:pt idx="398">
                  <c:v>1.7053025658242404E-13</c:v>
                </c:pt>
                <c:pt idx="399">
                  <c:v>2.9530156098189764E-11</c:v>
                </c:pt>
                <c:pt idx="400">
                  <c:v>1.9895196601282805E-12</c:v>
                </c:pt>
                <c:pt idx="401">
                  <c:v>3.3826275114279269E-12</c:v>
                </c:pt>
                <c:pt idx="402">
                  <c:v>1.1368683772161603E-13</c:v>
                </c:pt>
                <c:pt idx="403">
                  <c:v>6.8212102632969618E-13</c:v>
                </c:pt>
                <c:pt idx="404">
                  <c:v>5.1159076974727213E-13</c:v>
                </c:pt>
                <c:pt idx="405">
                  <c:v>3.1263880373444408E-13</c:v>
                </c:pt>
                <c:pt idx="406">
                  <c:v>3.979039320256561E-13</c:v>
                </c:pt>
                <c:pt idx="407">
                  <c:v>2.1884716261411086E-12</c:v>
                </c:pt>
                <c:pt idx="408">
                  <c:v>1.5631940186722204E-13</c:v>
                </c:pt>
                <c:pt idx="409">
                  <c:v>1.1937117960769683E-12</c:v>
                </c:pt>
                <c:pt idx="410">
                  <c:v>7.531752999057062E-13</c:v>
                </c:pt>
                <c:pt idx="411">
                  <c:v>2.0605739337042905E-13</c:v>
                </c:pt>
                <c:pt idx="412">
                  <c:v>6.4858340920181945E-11</c:v>
                </c:pt>
                <c:pt idx="413">
                  <c:v>2.2737367544323206E-13</c:v>
                </c:pt>
                <c:pt idx="414">
                  <c:v>8.5776719060959294E-11</c:v>
                </c:pt>
                <c:pt idx="415">
                  <c:v>1.7017498521454399E-12</c:v>
                </c:pt>
                <c:pt idx="416">
                  <c:v>2.1760371282653068E-13</c:v>
                </c:pt>
                <c:pt idx="417">
                  <c:v>4.6895820560166612E-13</c:v>
                </c:pt>
                <c:pt idx="418">
                  <c:v>3.0183855415089056E-11</c:v>
                </c:pt>
                <c:pt idx="419">
                  <c:v>2.8421709430404007E-13</c:v>
                </c:pt>
                <c:pt idx="420">
                  <c:v>5.1159076974727213E-13</c:v>
                </c:pt>
                <c:pt idx="421">
                  <c:v>1.7436718735552859E-11</c:v>
                </c:pt>
                <c:pt idx="422">
                  <c:v>1.6967760529951192E-11</c:v>
                </c:pt>
                <c:pt idx="423">
                  <c:v>1.2789769243681803E-13</c:v>
                </c:pt>
                <c:pt idx="424">
                  <c:v>2.8421709430404007E-13</c:v>
                </c:pt>
                <c:pt idx="425">
                  <c:v>1.7109869077103212E-11</c:v>
                </c:pt>
                <c:pt idx="426">
                  <c:v>4.8316906031686813E-13</c:v>
                </c:pt>
                <c:pt idx="427">
                  <c:v>8.5265128291212022E-14</c:v>
                </c:pt>
                <c:pt idx="428">
                  <c:v>2.5011104298755527E-12</c:v>
                </c:pt>
                <c:pt idx="429">
                  <c:v>1.5845103007450234E-12</c:v>
                </c:pt>
                <c:pt idx="430">
                  <c:v>5.6843418860808015E-14</c:v>
                </c:pt>
                <c:pt idx="431">
                  <c:v>4.2064129956997931E-12</c:v>
                </c:pt>
                <c:pt idx="432">
                  <c:v>2.8421709430404007E-14</c:v>
                </c:pt>
                <c:pt idx="433">
                  <c:v>6.1959326558280736E-12</c:v>
                </c:pt>
                <c:pt idx="434">
                  <c:v>7.9580786405131221E-13</c:v>
                </c:pt>
                <c:pt idx="435">
                  <c:v>4.2632564145606011E-14</c:v>
                </c:pt>
                <c:pt idx="436">
                  <c:v>6.5425567186139233E-9</c:v>
                </c:pt>
                <c:pt idx="437">
                  <c:v>4.8316906031686813E-13</c:v>
                </c:pt>
                <c:pt idx="438">
                  <c:v>8.7538865045644343E-12</c:v>
                </c:pt>
                <c:pt idx="439">
                  <c:v>1.8474111129762605E-12</c:v>
                </c:pt>
                <c:pt idx="440">
                  <c:v>7.673861546209082E-13</c:v>
                </c:pt>
                <c:pt idx="441">
                  <c:v>7.673861546209082E-13</c:v>
                </c:pt>
                <c:pt idx="442">
                  <c:v>1.8474111129762605E-13</c:v>
                </c:pt>
                <c:pt idx="443">
                  <c:v>1.5631940186722204E-12</c:v>
                </c:pt>
                <c:pt idx="444">
                  <c:v>7.460698725481052E-14</c:v>
                </c:pt>
                <c:pt idx="445">
                  <c:v>3.1263880373444408E-13</c:v>
                </c:pt>
                <c:pt idx="446">
                  <c:v>8.5265128291212022E-14</c:v>
                </c:pt>
                <c:pt idx="447">
                  <c:v>5.6843418860808015E-14</c:v>
                </c:pt>
                <c:pt idx="448">
                  <c:v>5.6274984672199935E-12</c:v>
                </c:pt>
                <c:pt idx="449">
                  <c:v>1.4694023775518872E-11</c:v>
                </c:pt>
                <c:pt idx="450">
                  <c:v>3.2684965844964609E-13</c:v>
                </c:pt>
                <c:pt idx="451">
                  <c:v>3.4106051316484809E-12</c:v>
                </c:pt>
                <c:pt idx="452">
                  <c:v>3.1121771826292388E-12</c:v>
                </c:pt>
                <c:pt idx="453">
                  <c:v>4.5474735088646412E-13</c:v>
                </c:pt>
                <c:pt idx="454">
                  <c:v>6.7259975367051084E-11</c:v>
                </c:pt>
                <c:pt idx="455">
                  <c:v>8.2422957348171622E-13</c:v>
                </c:pt>
                <c:pt idx="456">
                  <c:v>1.1625900242506759E-10</c:v>
                </c:pt>
                <c:pt idx="457">
                  <c:v>8.8107299234252423E-13</c:v>
                </c:pt>
                <c:pt idx="458">
                  <c:v>3.836930773104541E-13</c:v>
                </c:pt>
                <c:pt idx="459">
                  <c:v>3.6578740036929958E-11</c:v>
                </c:pt>
                <c:pt idx="460">
                  <c:v>4.7748471843078732E-12</c:v>
                </c:pt>
                <c:pt idx="461">
                  <c:v>8.6686213762732223E-13</c:v>
                </c:pt>
                <c:pt idx="462">
                  <c:v>2.2737367544323206E-13</c:v>
                </c:pt>
                <c:pt idx="463">
                  <c:v>3.979039320256561E-13</c:v>
                </c:pt>
                <c:pt idx="464">
                  <c:v>1.0444978215673473E-11</c:v>
                </c:pt>
                <c:pt idx="465">
                  <c:v>1.1368683772161603E-13</c:v>
                </c:pt>
                <c:pt idx="466">
                  <c:v>1.0430767360958271E-11</c:v>
                </c:pt>
                <c:pt idx="467">
                  <c:v>4.1524117477820255E-11</c:v>
                </c:pt>
                <c:pt idx="468">
                  <c:v>5.6260773817484733E-11</c:v>
                </c:pt>
                <c:pt idx="469">
                  <c:v>9.9475983006414026E-13</c:v>
                </c:pt>
                <c:pt idx="470">
                  <c:v>1.3322676295501878E-15</c:v>
                </c:pt>
                <c:pt idx="471">
                  <c:v>4.3840486796398181E-12</c:v>
                </c:pt>
                <c:pt idx="472">
                  <c:v>6.5369931689929217E-13</c:v>
                </c:pt>
                <c:pt idx="473">
                  <c:v>1.808189153962303E-10</c:v>
                </c:pt>
                <c:pt idx="474">
                  <c:v>6.7764460709440755E-11</c:v>
                </c:pt>
                <c:pt idx="475">
                  <c:v>3.8394887269532774E-10</c:v>
                </c:pt>
                <c:pt idx="476">
                  <c:v>3.4106051316484809E-13</c:v>
                </c:pt>
                <c:pt idx="477">
                  <c:v>1.1368683772161603E-13</c:v>
                </c:pt>
                <c:pt idx="478">
                  <c:v>3.205968823749572E-11</c:v>
                </c:pt>
                <c:pt idx="479">
                  <c:v>1.2136069926782511E-11</c:v>
                </c:pt>
                <c:pt idx="480">
                  <c:v>5.9330318435968366E-13</c:v>
                </c:pt>
                <c:pt idx="481">
                  <c:v>3.979039320256561E-13</c:v>
                </c:pt>
                <c:pt idx="482">
                  <c:v>6.1248783822520636E-12</c:v>
                </c:pt>
                <c:pt idx="483">
                  <c:v>1.0231815394945443E-12</c:v>
                </c:pt>
                <c:pt idx="484">
                  <c:v>1.4210854715202004E-13</c:v>
                </c:pt>
                <c:pt idx="485">
                  <c:v>8.5265128291212022E-13</c:v>
                </c:pt>
                <c:pt idx="486">
                  <c:v>1.8758328224066645E-12</c:v>
                </c:pt>
                <c:pt idx="487">
                  <c:v>1.9383605831535533E-11</c:v>
                </c:pt>
                <c:pt idx="488">
                  <c:v>4.1211478674085811E-12</c:v>
                </c:pt>
                <c:pt idx="489">
                  <c:v>1.9184653865522705E-13</c:v>
                </c:pt>
                <c:pt idx="490">
                  <c:v>3.5171865420124959E-11</c:v>
                </c:pt>
                <c:pt idx="491">
                  <c:v>8.5265128291212022E-14</c:v>
                </c:pt>
                <c:pt idx="492">
                  <c:v>3.979039320256561E-13</c:v>
                </c:pt>
                <c:pt idx="493">
                  <c:v>9.0949470177292824E-13</c:v>
                </c:pt>
                <c:pt idx="494">
                  <c:v>1.9326762412674725E-12</c:v>
                </c:pt>
                <c:pt idx="495">
                  <c:v>5.0022208597511053E-12</c:v>
                </c:pt>
                <c:pt idx="496">
                  <c:v>7.1054273576010019E-13</c:v>
                </c:pt>
                <c:pt idx="497">
                  <c:v>1.1368683772161603E-13</c:v>
                </c:pt>
                <c:pt idx="498">
                  <c:v>1.8189894035458565E-12</c:v>
                </c:pt>
                <c:pt idx="499">
                  <c:v>2.5579538487363607E-13</c:v>
                </c:pt>
                <c:pt idx="500">
                  <c:v>1.0231815394945443E-12</c:v>
                </c:pt>
                <c:pt idx="501">
                  <c:v>2.2737367544323206E-13</c:v>
                </c:pt>
                <c:pt idx="502">
                  <c:v>6.0396132539608516E-14</c:v>
                </c:pt>
                <c:pt idx="503">
                  <c:v>6.3948846218409017E-14</c:v>
                </c:pt>
                <c:pt idx="504">
                  <c:v>1.9326762412674725E-12</c:v>
                </c:pt>
                <c:pt idx="505">
                  <c:v>8.5265128291212022E-14</c:v>
                </c:pt>
                <c:pt idx="506">
                  <c:v>2.7355895326763857E-12</c:v>
                </c:pt>
                <c:pt idx="507">
                  <c:v>1.7053025658242404E-13</c:v>
                </c:pt>
                <c:pt idx="508">
                  <c:v>6.5938365878537297E-12</c:v>
                </c:pt>
                <c:pt idx="509">
                  <c:v>1.7053025658242404E-13</c:v>
                </c:pt>
                <c:pt idx="510">
                  <c:v>2.8421709430404007E-13</c:v>
                </c:pt>
                <c:pt idx="511">
                  <c:v>3.4390268410788849E-12</c:v>
                </c:pt>
                <c:pt idx="512">
                  <c:v>3.4106051316484809E-13</c:v>
                </c:pt>
                <c:pt idx="513">
                  <c:v>1.5347723092418164E-12</c:v>
                </c:pt>
                <c:pt idx="514">
                  <c:v>4.5474735088646412E-13</c:v>
                </c:pt>
                <c:pt idx="515">
                  <c:v>2.8421709430404007E-14</c:v>
                </c:pt>
                <c:pt idx="516">
                  <c:v>3.787192781601334E-12</c:v>
                </c:pt>
                <c:pt idx="517">
                  <c:v>6.4392935428259079E-15</c:v>
                </c:pt>
                <c:pt idx="518">
                  <c:v>1.0913936421275139E-11</c:v>
                </c:pt>
                <c:pt idx="519">
                  <c:v>2.8421709430404007E-13</c:v>
                </c:pt>
                <c:pt idx="520">
                  <c:v>5.2935433814127464E-12</c:v>
                </c:pt>
                <c:pt idx="521">
                  <c:v>7.815970093361102E-14</c:v>
                </c:pt>
                <c:pt idx="522">
                  <c:v>3.4106051316484809E-13</c:v>
                </c:pt>
                <c:pt idx="523">
                  <c:v>3.694822225952521E-13</c:v>
                </c:pt>
                <c:pt idx="524">
                  <c:v>1.7053025658242404E-13</c:v>
                </c:pt>
                <c:pt idx="525">
                  <c:v>4.2206238504149951E-12</c:v>
                </c:pt>
                <c:pt idx="526">
                  <c:v>3.8198777474462986E-11</c:v>
                </c:pt>
                <c:pt idx="527">
                  <c:v>2.1259438653942198E-11</c:v>
                </c:pt>
                <c:pt idx="528">
                  <c:v>6.3948846218409017E-14</c:v>
                </c:pt>
                <c:pt idx="529">
                  <c:v>5.6274984672199935E-12</c:v>
                </c:pt>
                <c:pt idx="530">
                  <c:v>7.617018127348274E-12</c:v>
                </c:pt>
                <c:pt idx="531">
                  <c:v>4.5474735088646412E-13</c:v>
                </c:pt>
                <c:pt idx="532">
                  <c:v>4.3200998334214091E-12</c:v>
                </c:pt>
                <c:pt idx="533">
                  <c:v>4.2348347051301971E-12</c:v>
                </c:pt>
                <c:pt idx="534">
                  <c:v>1.3017142919125035E-11</c:v>
                </c:pt>
                <c:pt idx="535">
                  <c:v>2.8421709430404007E-13</c:v>
                </c:pt>
                <c:pt idx="536">
                  <c:v>1.6711965145077556E-11</c:v>
                </c:pt>
                <c:pt idx="537">
                  <c:v>7.3896444519050419E-13</c:v>
                </c:pt>
                <c:pt idx="538">
                  <c:v>1.0231815394945443E-12</c:v>
                </c:pt>
                <c:pt idx="539">
                  <c:v>5.4001247917767614E-13</c:v>
                </c:pt>
                <c:pt idx="540">
                  <c:v>1.9895196601282805E-13</c:v>
                </c:pt>
                <c:pt idx="541">
                  <c:v>5.1159076974727213E-13</c:v>
                </c:pt>
                <c:pt idx="542">
                  <c:v>1.7053025658242404E-13</c:v>
                </c:pt>
                <c:pt idx="543">
                  <c:v>3.4731328923953697E-11</c:v>
                </c:pt>
                <c:pt idx="544">
                  <c:v>1.0800249583553523E-12</c:v>
                </c:pt>
                <c:pt idx="545">
                  <c:v>5.6843418860808015E-13</c:v>
                </c:pt>
                <c:pt idx="546">
                  <c:v>9.0949470177292824E-13</c:v>
                </c:pt>
                <c:pt idx="547">
                  <c:v>7.673861546209082E-13</c:v>
                </c:pt>
                <c:pt idx="548">
                  <c:v>2.9700686354772188E-12</c:v>
                </c:pt>
                <c:pt idx="549">
                  <c:v>1.2531131687865127E-10</c:v>
                </c:pt>
                <c:pt idx="550">
                  <c:v>6.8212102632969618E-13</c:v>
                </c:pt>
                <c:pt idx="551">
                  <c:v>1.4210854715202004E-13</c:v>
                </c:pt>
                <c:pt idx="552">
                  <c:v>2.8421709430404007E-13</c:v>
                </c:pt>
                <c:pt idx="553">
                  <c:v>8.0859763329499401E-11</c:v>
                </c:pt>
                <c:pt idx="554">
                  <c:v>2.6659563445718959E-11</c:v>
                </c:pt>
                <c:pt idx="555">
                  <c:v>7.1054273576010019E-14</c:v>
                </c:pt>
                <c:pt idx="556">
                  <c:v>3.808509063674137E-12</c:v>
                </c:pt>
                <c:pt idx="557">
                  <c:v>3.5527136788005009E-14</c:v>
                </c:pt>
                <c:pt idx="558">
                  <c:v>1.3500311979441904E-13</c:v>
                </c:pt>
                <c:pt idx="559">
                  <c:v>2.2851054382044822E-11</c:v>
                </c:pt>
                <c:pt idx="560">
                  <c:v>7.531752999057062E-13</c:v>
                </c:pt>
                <c:pt idx="561">
                  <c:v>2.2737367544323206E-13</c:v>
                </c:pt>
                <c:pt idx="562">
                  <c:v>3.4958702599396929E-12</c:v>
                </c:pt>
                <c:pt idx="563">
                  <c:v>1.4946976989449468E-10</c:v>
                </c:pt>
                <c:pt idx="564">
                  <c:v>2.0463630789890885E-12</c:v>
                </c:pt>
                <c:pt idx="565">
                  <c:v>2.8421709430404007E-14</c:v>
                </c:pt>
                <c:pt idx="566">
                  <c:v>4.5474735088646412E-13</c:v>
                </c:pt>
                <c:pt idx="567">
                  <c:v>3.0098590286797844E-11</c:v>
                </c:pt>
                <c:pt idx="568">
                  <c:v>6.2527760746888816E-13</c:v>
                </c:pt>
                <c:pt idx="569">
                  <c:v>1.1254996934439987E-11</c:v>
                </c:pt>
                <c:pt idx="570">
                  <c:v>7.673861546209082E-13</c:v>
                </c:pt>
                <c:pt idx="571">
                  <c:v>6.5369931689929217E-12</c:v>
                </c:pt>
                <c:pt idx="572">
                  <c:v>4.8423487442050828E-12</c:v>
                </c:pt>
                <c:pt idx="573">
                  <c:v>3.1263880373444408E-13</c:v>
                </c:pt>
                <c:pt idx="574">
                  <c:v>2.1742607714259066E-11</c:v>
                </c:pt>
                <c:pt idx="575">
                  <c:v>3.2684965844964609E-13</c:v>
                </c:pt>
                <c:pt idx="576">
                  <c:v>2.8066438062523957E-13</c:v>
                </c:pt>
                <c:pt idx="577">
                  <c:v>4.2632564145606011E-14</c:v>
                </c:pt>
                <c:pt idx="578">
                  <c:v>8.5265128291212022E-13</c:v>
                </c:pt>
                <c:pt idx="579">
                  <c:v>3.4106051316484809E-13</c:v>
                </c:pt>
                <c:pt idx="580">
                  <c:v>1.4858869690215215E-10</c:v>
                </c:pt>
                <c:pt idx="581">
                  <c:v>2.7000623958883807E-13</c:v>
                </c:pt>
                <c:pt idx="582">
                  <c:v>5.1159076974727213E-12</c:v>
                </c:pt>
                <c:pt idx="583">
                  <c:v>2.8421709430404007E-13</c:v>
                </c:pt>
                <c:pt idx="584">
                  <c:v>1.7053025658242404E-12</c:v>
                </c:pt>
                <c:pt idx="585">
                  <c:v>3.836930773104541E-12</c:v>
                </c:pt>
                <c:pt idx="586">
                  <c:v>6.1390892369672656E-12</c:v>
                </c:pt>
                <c:pt idx="587">
                  <c:v>1.8019363778876141E-11</c:v>
                </c:pt>
                <c:pt idx="588">
                  <c:v>1.0743406164692715E-11</c:v>
                </c:pt>
                <c:pt idx="589">
                  <c:v>1.0302869668521453E-13</c:v>
                </c:pt>
                <c:pt idx="590">
                  <c:v>2.3305801732931286E-12</c:v>
                </c:pt>
                <c:pt idx="591">
                  <c:v>8.5265128291212022E-13</c:v>
                </c:pt>
                <c:pt idx="592">
                  <c:v>0</c:v>
                </c:pt>
                <c:pt idx="593">
                  <c:v>3.5242919693700969E-12</c:v>
                </c:pt>
                <c:pt idx="594">
                  <c:v>3.1263880373444408E-13</c:v>
                </c:pt>
                <c:pt idx="595">
                  <c:v>8.5265128291212022E-14</c:v>
                </c:pt>
                <c:pt idx="596">
                  <c:v>1.4210854715202004E-13</c:v>
                </c:pt>
                <c:pt idx="597">
                  <c:v>6.5369931689929217E-13</c:v>
                </c:pt>
                <c:pt idx="598">
                  <c:v>1.8815171642927453E-11</c:v>
                </c:pt>
                <c:pt idx="599">
                  <c:v>9.4360075308941305E-12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0B-4BDF-81FE-31228514EBD7}"/>
            </c:ext>
          </c:extLst>
        </c:ser>
        <c:ser>
          <c:idx val="1"/>
          <c:order val="1"/>
          <c:tx>
            <c:strRef>
              <c:f>Direct!$V$2</c:f>
              <c:strCache>
                <c:ptCount val="1"/>
                <c:pt idx="0">
                  <c:v>revAzimuth GA Δ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Direct!$D$3:$D$602</c:f>
              <c:numCache>
                <c:formatCode>General</c:formatCode>
                <c:ptCount val="600"/>
                <c:pt idx="0">
                  <c:v>22085892.740699999</c:v>
                </c:pt>
                <c:pt idx="1">
                  <c:v>19786754.972199999</c:v>
                </c:pt>
                <c:pt idx="2">
                  <c:v>13647633.196599999</c:v>
                </c:pt>
                <c:pt idx="3">
                  <c:v>5057004.3572000004</c:v>
                </c:pt>
                <c:pt idx="4">
                  <c:v>26211926.041299999</c:v>
                </c:pt>
                <c:pt idx="5">
                  <c:v>5877843.3947999999</c:v>
                </c:pt>
                <c:pt idx="6">
                  <c:v>17353851.458700001</c:v>
                </c:pt>
                <c:pt idx="7">
                  <c:v>11211606.7816</c:v>
                </c:pt>
                <c:pt idx="8">
                  <c:v>13413100.6866</c:v>
                </c:pt>
                <c:pt idx="9">
                  <c:v>10061299.773</c:v>
                </c:pt>
                <c:pt idx="10">
                  <c:v>13574546.633099999</c:v>
                </c:pt>
                <c:pt idx="11">
                  <c:v>5397158.5284000002</c:v>
                </c:pt>
                <c:pt idx="12">
                  <c:v>1974293.5207</c:v>
                </c:pt>
                <c:pt idx="13">
                  <c:v>15153458.335000001</c:v>
                </c:pt>
                <c:pt idx="14">
                  <c:v>11924411.2316</c:v>
                </c:pt>
                <c:pt idx="15">
                  <c:v>24906146.8686</c:v>
                </c:pt>
                <c:pt idx="16">
                  <c:v>22990024.524300002</c:v>
                </c:pt>
                <c:pt idx="17">
                  <c:v>6642422.8748000003</c:v>
                </c:pt>
                <c:pt idx="18">
                  <c:v>12967928.029999999</c:v>
                </c:pt>
                <c:pt idx="19">
                  <c:v>28559805.6105</c:v>
                </c:pt>
                <c:pt idx="20">
                  <c:v>19798139.985599998</c:v>
                </c:pt>
                <c:pt idx="21">
                  <c:v>29611069.5645</c:v>
                </c:pt>
                <c:pt idx="22">
                  <c:v>23819608.177900001</c:v>
                </c:pt>
                <c:pt idx="23">
                  <c:v>9694952.3359999992</c:v>
                </c:pt>
                <c:pt idx="24">
                  <c:v>792391.58459999994</c:v>
                </c:pt>
                <c:pt idx="25">
                  <c:v>29956582.733399998</c:v>
                </c:pt>
                <c:pt idx="26">
                  <c:v>110882.5068</c:v>
                </c:pt>
                <c:pt idx="27">
                  <c:v>6349519.3638000004</c:v>
                </c:pt>
                <c:pt idx="28">
                  <c:v>10318810.0272</c:v>
                </c:pt>
                <c:pt idx="29">
                  <c:v>4453734.6876999997</c:v>
                </c:pt>
                <c:pt idx="30">
                  <c:v>16192411.1173</c:v>
                </c:pt>
                <c:pt idx="31">
                  <c:v>47791.921600000001</c:v>
                </c:pt>
                <c:pt idx="32">
                  <c:v>16379592.8594</c:v>
                </c:pt>
                <c:pt idx="33">
                  <c:v>25941909.833799999</c:v>
                </c:pt>
                <c:pt idx="34">
                  <c:v>19983063.0561</c:v>
                </c:pt>
                <c:pt idx="35">
                  <c:v>14969044.283500001</c:v>
                </c:pt>
                <c:pt idx="36">
                  <c:v>20971884.737199999</c:v>
                </c:pt>
                <c:pt idx="37">
                  <c:v>5018737.5745999999</c:v>
                </c:pt>
                <c:pt idx="38">
                  <c:v>5688651.0158000002</c:v>
                </c:pt>
                <c:pt idx="39">
                  <c:v>24475326.5867</c:v>
                </c:pt>
                <c:pt idx="40">
                  <c:v>11418445.4695</c:v>
                </c:pt>
                <c:pt idx="41">
                  <c:v>21962851.263599999</c:v>
                </c:pt>
                <c:pt idx="42">
                  <c:v>23153552.507599998</c:v>
                </c:pt>
                <c:pt idx="43">
                  <c:v>27457648.3748</c:v>
                </c:pt>
                <c:pt idx="44">
                  <c:v>1594501.6647000001</c:v>
                </c:pt>
                <c:pt idx="45">
                  <c:v>7281691.9382999996</c:v>
                </c:pt>
                <c:pt idx="46">
                  <c:v>23518265.962400001</c:v>
                </c:pt>
                <c:pt idx="47">
                  <c:v>3921469.0978999999</c:v>
                </c:pt>
                <c:pt idx="48">
                  <c:v>8374879.0009000003</c:v>
                </c:pt>
                <c:pt idx="49">
                  <c:v>2583078.8037999999</c:v>
                </c:pt>
                <c:pt idx="50">
                  <c:v>14011974.0339</c:v>
                </c:pt>
                <c:pt idx="51">
                  <c:v>18934734.430599999</c:v>
                </c:pt>
                <c:pt idx="52">
                  <c:v>77993.078200000004</c:v>
                </c:pt>
                <c:pt idx="53">
                  <c:v>12601924.446699999</c:v>
                </c:pt>
                <c:pt idx="54">
                  <c:v>12336200.919199999</c:v>
                </c:pt>
                <c:pt idx="55">
                  <c:v>12949182.965299999</c:v>
                </c:pt>
                <c:pt idx="56">
                  <c:v>3218075.0106000002</c:v>
                </c:pt>
                <c:pt idx="57">
                  <c:v>14250505.172800001</c:v>
                </c:pt>
                <c:pt idx="58">
                  <c:v>29644160.633699998</c:v>
                </c:pt>
                <c:pt idx="59">
                  <c:v>2846281.0967000001</c:v>
                </c:pt>
                <c:pt idx="60">
                  <c:v>24776891.9844</c:v>
                </c:pt>
                <c:pt idx="61">
                  <c:v>21636948.2696</c:v>
                </c:pt>
                <c:pt idx="62">
                  <c:v>5257481.7813999997</c:v>
                </c:pt>
                <c:pt idx="63">
                  <c:v>21811258.481699999</c:v>
                </c:pt>
                <c:pt idx="64">
                  <c:v>27630061.0777</c:v>
                </c:pt>
                <c:pt idx="65">
                  <c:v>27449795.258000001</c:v>
                </c:pt>
                <c:pt idx="66">
                  <c:v>15896057.1261</c:v>
                </c:pt>
                <c:pt idx="67">
                  <c:v>27915776.059</c:v>
                </c:pt>
                <c:pt idx="68">
                  <c:v>27388054.564300001</c:v>
                </c:pt>
                <c:pt idx="69">
                  <c:v>15232450.550100001</c:v>
                </c:pt>
                <c:pt idx="70">
                  <c:v>19523196.9932</c:v>
                </c:pt>
                <c:pt idx="71">
                  <c:v>19262446.867899999</c:v>
                </c:pt>
                <c:pt idx="72">
                  <c:v>12572332.933800001</c:v>
                </c:pt>
                <c:pt idx="73">
                  <c:v>15827008.977499999</c:v>
                </c:pt>
                <c:pt idx="74">
                  <c:v>12061587.573100001</c:v>
                </c:pt>
                <c:pt idx="75">
                  <c:v>15839191.948000001</c:v>
                </c:pt>
                <c:pt idx="76">
                  <c:v>14247699.163000001</c:v>
                </c:pt>
                <c:pt idx="77">
                  <c:v>10751079.3026</c:v>
                </c:pt>
                <c:pt idx="78">
                  <c:v>7288327.9888000004</c:v>
                </c:pt>
                <c:pt idx="79">
                  <c:v>12223215.5745</c:v>
                </c:pt>
                <c:pt idx="80">
                  <c:v>27794550.9263</c:v>
                </c:pt>
                <c:pt idx="81">
                  <c:v>21855867.1241</c:v>
                </c:pt>
                <c:pt idx="82">
                  <c:v>11149450.6668</c:v>
                </c:pt>
                <c:pt idx="83">
                  <c:v>13419455.063300001</c:v>
                </c:pt>
                <c:pt idx="84">
                  <c:v>15406147.542099999</c:v>
                </c:pt>
                <c:pt idx="85">
                  <c:v>12387170.2107</c:v>
                </c:pt>
                <c:pt idx="86">
                  <c:v>2739129.8221</c:v>
                </c:pt>
                <c:pt idx="87">
                  <c:v>10992541.662900001</c:v>
                </c:pt>
                <c:pt idx="88">
                  <c:v>26809519.5977</c:v>
                </c:pt>
                <c:pt idx="89">
                  <c:v>16426525.8873</c:v>
                </c:pt>
                <c:pt idx="90">
                  <c:v>3009187.4501999998</c:v>
                </c:pt>
                <c:pt idx="91">
                  <c:v>14766525.0417</c:v>
                </c:pt>
                <c:pt idx="92">
                  <c:v>11388563.956800001</c:v>
                </c:pt>
                <c:pt idx="93">
                  <c:v>11341171.712300001</c:v>
                </c:pt>
                <c:pt idx="94">
                  <c:v>8308069.4910000004</c:v>
                </c:pt>
                <c:pt idx="95">
                  <c:v>4874355.4786</c:v>
                </c:pt>
                <c:pt idx="96">
                  <c:v>20547852.623500001</c:v>
                </c:pt>
                <c:pt idx="97">
                  <c:v>2696126.9289000002</c:v>
                </c:pt>
                <c:pt idx="98">
                  <c:v>4461921.0270999996</c:v>
                </c:pt>
                <c:pt idx="99">
                  <c:v>8938931.9945999999</c:v>
                </c:pt>
                <c:pt idx="100">
                  <c:v>736539.3763</c:v>
                </c:pt>
                <c:pt idx="101">
                  <c:v>2680862.1616000002</c:v>
                </c:pt>
                <c:pt idx="102">
                  <c:v>2593134.8231000002</c:v>
                </c:pt>
                <c:pt idx="103">
                  <c:v>1124977.1808</c:v>
                </c:pt>
                <c:pt idx="104">
                  <c:v>8704.3340000000007</c:v>
                </c:pt>
                <c:pt idx="105">
                  <c:v>13395.294099999999</c:v>
                </c:pt>
                <c:pt idx="106">
                  <c:v>2002954.9594000001</c:v>
                </c:pt>
                <c:pt idx="107">
                  <c:v>2686520.6908999998</c:v>
                </c:pt>
                <c:pt idx="108">
                  <c:v>798705.37609999999</c:v>
                </c:pt>
                <c:pt idx="109">
                  <c:v>665017.86780000001</c:v>
                </c:pt>
                <c:pt idx="110">
                  <c:v>1950926.7751</c:v>
                </c:pt>
                <c:pt idx="111">
                  <c:v>2303142.2283000001</c:v>
                </c:pt>
                <c:pt idx="112">
                  <c:v>2125350.6011000001</c:v>
                </c:pt>
                <c:pt idx="113">
                  <c:v>1313369.7516000001</c:v>
                </c:pt>
                <c:pt idx="114">
                  <c:v>1139720.7165999999</c:v>
                </c:pt>
                <c:pt idx="115">
                  <c:v>783546.70979999995</c:v>
                </c:pt>
                <c:pt idx="116">
                  <c:v>963166.20239999995</c:v>
                </c:pt>
                <c:pt idx="117">
                  <c:v>2610595.4756999998</c:v>
                </c:pt>
                <c:pt idx="118">
                  <c:v>2662309.7689</c:v>
                </c:pt>
                <c:pt idx="119">
                  <c:v>1821170.4897</c:v>
                </c:pt>
                <c:pt idx="120">
                  <c:v>2787665.4001000002</c:v>
                </c:pt>
                <c:pt idx="121">
                  <c:v>2445529.3056000001</c:v>
                </c:pt>
                <c:pt idx="122">
                  <c:v>344966.30699999997</c:v>
                </c:pt>
                <c:pt idx="123">
                  <c:v>2319961.3678000001</c:v>
                </c:pt>
                <c:pt idx="124">
                  <c:v>181575.44039999999</c:v>
                </c:pt>
                <c:pt idx="125">
                  <c:v>2189603.9449</c:v>
                </c:pt>
                <c:pt idx="126">
                  <c:v>428196.28370000003</c:v>
                </c:pt>
                <c:pt idx="127">
                  <c:v>1626173.7615</c:v>
                </c:pt>
                <c:pt idx="128">
                  <c:v>52780.7088</c:v>
                </c:pt>
                <c:pt idx="129">
                  <c:v>873745.98479999998</c:v>
                </c:pt>
                <c:pt idx="130">
                  <c:v>1467787.2390000001</c:v>
                </c:pt>
                <c:pt idx="131">
                  <c:v>633511.36100000003</c:v>
                </c:pt>
                <c:pt idx="132">
                  <c:v>77703.400999999998</c:v>
                </c:pt>
                <c:pt idx="133">
                  <c:v>2618918.1118000001</c:v>
                </c:pt>
                <c:pt idx="134">
                  <c:v>1139643.1462999999</c:v>
                </c:pt>
                <c:pt idx="135">
                  <c:v>1149778.3717</c:v>
                </c:pt>
                <c:pt idx="136">
                  <c:v>617458.06770000001</c:v>
                </c:pt>
                <c:pt idx="137">
                  <c:v>2770816.5970000001</c:v>
                </c:pt>
                <c:pt idx="138">
                  <c:v>1509940.1052999999</c:v>
                </c:pt>
                <c:pt idx="139">
                  <c:v>2044625.3829000001</c:v>
                </c:pt>
                <c:pt idx="140">
                  <c:v>81952.523000000001</c:v>
                </c:pt>
                <c:pt idx="141">
                  <c:v>1367935.1714999999</c:v>
                </c:pt>
                <c:pt idx="142">
                  <c:v>497647.92460000003</c:v>
                </c:pt>
                <c:pt idx="143">
                  <c:v>2549616.412</c:v>
                </c:pt>
                <c:pt idx="144">
                  <c:v>923961.64540000004</c:v>
                </c:pt>
                <c:pt idx="145">
                  <c:v>436314.18910000002</c:v>
                </c:pt>
                <c:pt idx="146">
                  <c:v>235621.66570000001</c:v>
                </c:pt>
                <c:pt idx="147">
                  <c:v>1297329.2392</c:v>
                </c:pt>
                <c:pt idx="148">
                  <c:v>487865.03379999998</c:v>
                </c:pt>
                <c:pt idx="149">
                  <c:v>2107759.4114999999</c:v>
                </c:pt>
                <c:pt idx="150">
                  <c:v>932904.55359999998</c:v>
                </c:pt>
                <c:pt idx="151">
                  <c:v>1885709.7080000001</c:v>
                </c:pt>
                <c:pt idx="152">
                  <c:v>1874375.6106</c:v>
                </c:pt>
                <c:pt idx="153">
                  <c:v>1483495.4898999999</c:v>
                </c:pt>
                <c:pt idx="154">
                  <c:v>2689115.5479000001</c:v>
                </c:pt>
                <c:pt idx="155">
                  <c:v>1829661.7711</c:v>
                </c:pt>
                <c:pt idx="156">
                  <c:v>734948.68389999995</c:v>
                </c:pt>
                <c:pt idx="157">
                  <c:v>290204.74209999997</c:v>
                </c:pt>
                <c:pt idx="158">
                  <c:v>2348678.6216000002</c:v>
                </c:pt>
                <c:pt idx="159">
                  <c:v>2636.9313999999999</c:v>
                </c:pt>
                <c:pt idx="160">
                  <c:v>1868677.4461000001</c:v>
                </c:pt>
                <c:pt idx="161">
                  <c:v>1326845.2703</c:v>
                </c:pt>
                <c:pt idx="162">
                  <c:v>2618896.7393999998</c:v>
                </c:pt>
                <c:pt idx="163">
                  <c:v>870222.554</c:v>
                </c:pt>
                <c:pt idx="164">
                  <c:v>181242.50839999999</c:v>
                </c:pt>
                <c:pt idx="165">
                  <c:v>2847014.2115000002</c:v>
                </c:pt>
                <c:pt idx="166">
                  <c:v>2605914.9846000001</c:v>
                </c:pt>
                <c:pt idx="167">
                  <c:v>2164002.2919000001</c:v>
                </c:pt>
                <c:pt idx="168">
                  <c:v>2374062.4010000001</c:v>
                </c:pt>
                <c:pt idx="169">
                  <c:v>1445060.1989</c:v>
                </c:pt>
                <c:pt idx="170">
                  <c:v>371706.70150000002</c:v>
                </c:pt>
                <c:pt idx="171">
                  <c:v>473620.68780000001</c:v>
                </c:pt>
                <c:pt idx="172">
                  <c:v>1869949.3873000001</c:v>
                </c:pt>
                <c:pt idx="173">
                  <c:v>1165528.9177999999</c:v>
                </c:pt>
                <c:pt idx="174">
                  <c:v>2133546.6453</c:v>
                </c:pt>
                <c:pt idx="175">
                  <c:v>1948522.8914000001</c:v>
                </c:pt>
                <c:pt idx="176">
                  <c:v>2987346.8437999999</c:v>
                </c:pt>
                <c:pt idx="177">
                  <c:v>2388158.3117999998</c:v>
                </c:pt>
                <c:pt idx="178">
                  <c:v>1516703.9686</c:v>
                </c:pt>
                <c:pt idx="179">
                  <c:v>1158783.3785999999</c:v>
                </c:pt>
                <c:pt idx="180">
                  <c:v>1704611.0134999999</c:v>
                </c:pt>
                <c:pt idx="181">
                  <c:v>1416256.8084</c:v>
                </c:pt>
                <c:pt idx="182">
                  <c:v>37084.650699999998</c:v>
                </c:pt>
                <c:pt idx="183">
                  <c:v>2760978.3983</c:v>
                </c:pt>
                <c:pt idx="184">
                  <c:v>2197247.2039999999</c:v>
                </c:pt>
                <c:pt idx="185">
                  <c:v>2332316.2525999998</c:v>
                </c:pt>
                <c:pt idx="186">
                  <c:v>934757.1679</c:v>
                </c:pt>
                <c:pt idx="187">
                  <c:v>2202448.0323999999</c:v>
                </c:pt>
                <c:pt idx="188">
                  <c:v>1541236.2863</c:v>
                </c:pt>
                <c:pt idx="189">
                  <c:v>2847786.9182000002</c:v>
                </c:pt>
                <c:pt idx="190">
                  <c:v>2278616.4051999999</c:v>
                </c:pt>
                <c:pt idx="191">
                  <c:v>2226010.7078</c:v>
                </c:pt>
                <c:pt idx="192">
                  <c:v>165961.9748</c:v>
                </c:pt>
                <c:pt idx="193">
                  <c:v>176432.5575</c:v>
                </c:pt>
                <c:pt idx="194">
                  <c:v>2913012.5767000001</c:v>
                </c:pt>
                <c:pt idx="195">
                  <c:v>55334.114500000003</c:v>
                </c:pt>
                <c:pt idx="196">
                  <c:v>1237165.5629</c:v>
                </c:pt>
                <c:pt idx="197">
                  <c:v>106597.6541</c:v>
                </c:pt>
                <c:pt idx="198">
                  <c:v>2806480.9803999998</c:v>
                </c:pt>
                <c:pt idx="199">
                  <c:v>2700547.5251000002</c:v>
                </c:pt>
                <c:pt idx="200">
                  <c:v>176914.5307</c:v>
                </c:pt>
                <c:pt idx="201">
                  <c:v>150372.09640000001</c:v>
                </c:pt>
                <c:pt idx="202">
                  <c:v>207159.9688</c:v>
                </c:pt>
                <c:pt idx="203">
                  <c:v>158829.51319999999</c:v>
                </c:pt>
                <c:pt idx="204">
                  <c:v>250931.2175</c:v>
                </c:pt>
                <c:pt idx="205">
                  <c:v>55238.374199999998</c:v>
                </c:pt>
                <c:pt idx="206">
                  <c:v>159268.535</c:v>
                </c:pt>
                <c:pt idx="207">
                  <c:v>239557.7653</c:v>
                </c:pt>
                <c:pt idx="208">
                  <c:v>60041.874300000003</c:v>
                </c:pt>
                <c:pt idx="209">
                  <c:v>155642.25839999999</c:v>
                </c:pt>
                <c:pt idx="210">
                  <c:v>135939.71830000001</c:v>
                </c:pt>
                <c:pt idx="211">
                  <c:v>181052.9467</c:v>
                </c:pt>
                <c:pt idx="212">
                  <c:v>229254.93650000001</c:v>
                </c:pt>
                <c:pt idx="213">
                  <c:v>269764.81349999999</c:v>
                </c:pt>
                <c:pt idx="214">
                  <c:v>109197.39780000001</c:v>
                </c:pt>
                <c:pt idx="215">
                  <c:v>239202.74900000001</c:v>
                </c:pt>
                <c:pt idx="216">
                  <c:v>261627.51920000001</c:v>
                </c:pt>
                <c:pt idx="217">
                  <c:v>288789.2316</c:v>
                </c:pt>
                <c:pt idx="218">
                  <c:v>223681.27929999999</c:v>
                </c:pt>
                <c:pt idx="219">
                  <c:v>250297.2035</c:v>
                </c:pt>
                <c:pt idx="220">
                  <c:v>117917.5376</c:v>
                </c:pt>
                <c:pt idx="221">
                  <c:v>236250.2966</c:v>
                </c:pt>
                <c:pt idx="222">
                  <c:v>152724.31289999999</c:v>
                </c:pt>
                <c:pt idx="223">
                  <c:v>140330.49110000001</c:v>
                </c:pt>
                <c:pt idx="224">
                  <c:v>108131.13069999999</c:v>
                </c:pt>
                <c:pt idx="225">
                  <c:v>234979.94039999999</c:v>
                </c:pt>
                <c:pt idx="226">
                  <c:v>221205.2267</c:v>
                </c:pt>
                <c:pt idx="227">
                  <c:v>77287.303799999994</c:v>
                </c:pt>
                <c:pt idx="228">
                  <c:v>206909.5417</c:v>
                </c:pt>
                <c:pt idx="229">
                  <c:v>55374.978499999997</c:v>
                </c:pt>
                <c:pt idx="230">
                  <c:v>19205.576300000001</c:v>
                </c:pt>
                <c:pt idx="231">
                  <c:v>287624.93400000001</c:v>
                </c:pt>
                <c:pt idx="232">
                  <c:v>28140.0406</c:v>
                </c:pt>
                <c:pt idx="233">
                  <c:v>174600.7726</c:v>
                </c:pt>
                <c:pt idx="234">
                  <c:v>118249.6508</c:v>
                </c:pt>
                <c:pt idx="235">
                  <c:v>199578.12959999999</c:v>
                </c:pt>
                <c:pt idx="236">
                  <c:v>12571.034600000001</c:v>
                </c:pt>
                <c:pt idx="237">
                  <c:v>207268.5889</c:v>
                </c:pt>
                <c:pt idx="238">
                  <c:v>45876.0173</c:v>
                </c:pt>
                <c:pt idx="239">
                  <c:v>97962.3079</c:v>
                </c:pt>
                <c:pt idx="240">
                  <c:v>183912.6581</c:v>
                </c:pt>
                <c:pt idx="241">
                  <c:v>182734.12549999999</c:v>
                </c:pt>
                <c:pt idx="242">
                  <c:v>25367.8884</c:v>
                </c:pt>
                <c:pt idx="243">
                  <c:v>159167.3683</c:v>
                </c:pt>
                <c:pt idx="244">
                  <c:v>292098.01140000002</c:v>
                </c:pt>
                <c:pt idx="245">
                  <c:v>136302.18700000001</c:v>
                </c:pt>
                <c:pt idx="246">
                  <c:v>90021.128100000002</c:v>
                </c:pt>
                <c:pt idx="247">
                  <c:v>34078.6319</c:v>
                </c:pt>
                <c:pt idx="248">
                  <c:v>72338.909400000004</c:v>
                </c:pt>
                <c:pt idx="249">
                  <c:v>114948.1189</c:v>
                </c:pt>
                <c:pt idx="250">
                  <c:v>12919.8554</c:v>
                </c:pt>
                <c:pt idx="251">
                  <c:v>266034.81579999998</c:v>
                </c:pt>
                <c:pt idx="252">
                  <c:v>36730.163999999997</c:v>
                </c:pt>
                <c:pt idx="253">
                  <c:v>195008.64120000001</c:v>
                </c:pt>
                <c:pt idx="254">
                  <c:v>253855.41510000001</c:v>
                </c:pt>
                <c:pt idx="255">
                  <c:v>132081.4932</c:v>
                </c:pt>
                <c:pt idx="256">
                  <c:v>170365.54819999999</c:v>
                </c:pt>
                <c:pt idx="257">
                  <c:v>169355.3083</c:v>
                </c:pt>
                <c:pt idx="258">
                  <c:v>34280.7667</c:v>
                </c:pt>
                <c:pt idx="259">
                  <c:v>95631.720499999996</c:v>
                </c:pt>
                <c:pt idx="260">
                  <c:v>103399.0039</c:v>
                </c:pt>
                <c:pt idx="261">
                  <c:v>198631.8469</c:v>
                </c:pt>
                <c:pt idx="262">
                  <c:v>165946.44219999999</c:v>
                </c:pt>
                <c:pt idx="263">
                  <c:v>177415.48389999999</c:v>
                </c:pt>
                <c:pt idx="264">
                  <c:v>100912.3855</c:v>
                </c:pt>
                <c:pt idx="265">
                  <c:v>165257.90979999999</c:v>
                </c:pt>
                <c:pt idx="266">
                  <c:v>104705.3213</c:v>
                </c:pt>
                <c:pt idx="267">
                  <c:v>186534.3131</c:v>
                </c:pt>
                <c:pt idx="268">
                  <c:v>144966.76180000001</c:v>
                </c:pt>
                <c:pt idx="269">
                  <c:v>130323.55349999999</c:v>
                </c:pt>
                <c:pt idx="270">
                  <c:v>204439.66</c:v>
                </c:pt>
                <c:pt idx="271">
                  <c:v>178801.56409999999</c:v>
                </c:pt>
                <c:pt idx="272">
                  <c:v>83198.181500000006</c:v>
                </c:pt>
                <c:pt idx="273">
                  <c:v>274779.46269999997</c:v>
                </c:pt>
                <c:pt idx="274">
                  <c:v>110341.4342</c:v>
                </c:pt>
                <c:pt idx="275">
                  <c:v>193300.0251</c:v>
                </c:pt>
                <c:pt idx="276">
                  <c:v>77243.746899999998</c:v>
                </c:pt>
                <c:pt idx="277">
                  <c:v>288295.25770000002</c:v>
                </c:pt>
                <c:pt idx="278">
                  <c:v>292025.33350000001</c:v>
                </c:pt>
                <c:pt idx="279">
                  <c:v>222200.34969999999</c:v>
                </c:pt>
                <c:pt idx="280">
                  <c:v>177401.35699999999</c:v>
                </c:pt>
                <c:pt idx="281">
                  <c:v>197105.63070000001</c:v>
                </c:pt>
                <c:pt idx="282">
                  <c:v>262201.39919999999</c:v>
                </c:pt>
                <c:pt idx="283">
                  <c:v>286129.73320000002</c:v>
                </c:pt>
                <c:pt idx="284">
                  <c:v>88781.474700000006</c:v>
                </c:pt>
                <c:pt idx="285">
                  <c:v>25934.422999999999</c:v>
                </c:pt>
                <c:pt idx="286">
                  <c:v>165847.5191</c:v>
                </c:pt>
                <c:pt idx="287">
                  <c:v>135935.63690000001</c:v>
                </c:pt>
                <c:pt idx="288">
                  <c:v>8165.8377</c:v>
                </c:pt>
                <c:pt idx="289">
                  <c:v>297038.68729999999</c:v>
                </c:pt>
                <c:pt idx="290">
                  <c:v>20162.4198</c:v>
                </c:pt>
                <c:pt idx="291">
                  <c:v>164584.4406</c:v>
                </c:pt>
                <c:pt idx="292">
                  <c:v>38397.614699999998</c:v>
                </c:pt>
                <c:pt idx="293">
                  <c:v>215099.4129</c:v>
                </c:pt>
                <c:pt idx="294">
                  <c:v>6297.3679000000002</c:v>
                </c:pt>
                <c:pt idx="295">
                  <c:v>187751.1091</c:v>
                </c:pt>
                <c:pt idx="296">
                  <c:v>152425.64629999999</c:v>
                </c:pt>
                <c:pt idx="297">
                  <c:v>110725.2023</c:v>
                </c:pt>
                <c:pt idx="298">
                  <c:v>71301.474900000001</c:v>
                </c:pt>
                <c:pt idx="299">
                  <c:v>147375.0055</c:v>
                </c:pt>
                <c:pt idx="300">
                  <c:v>7257.9587000000001</c:v>
                </c:pt>
                <c:pt idx="301">
                  <c:v>12132.3408</c:v>
                </c:pt>
                <c:pt idx="302">
                  <c:v>1942.0318</c:v>
                </c:pt>
                <c:pt idx="303">
                  <c:v>17871.3066</c:v>
                </c:pt>
                <c:pt idx="304">
                  <c:v>9537.8850000000002</c:v>
                </c:pt>
                <c:pt idx="305">
                  <c:v>22982.406299999999</c:v>
                </c:pt>
                <c:pt idx="306">
                  <c:v>20848.2294</c:v>
                </c:pt>
                <c:pt idx="307">
                  <c:v>13206.8264</c:v>
                </c:pt>
                <c:pt idx="308">
                  <c:v>7221.5405000000001</c:v>
                </c:pt>
                <c:pt idx="309">
                  <c:v>26715.8367</c:v>
                </c:pt>
                <c:pt idx="310">
                  <c:v>2268.5140000000001</c:v>
                </c:pt>
                <c:pt idx="311">
                  <c:v>3493.4261999999999</c:v>
                </c:pt>
                <c:pt idx="312">
                  <c:v>28650.026600000001</c:v>
                </c:pt>
                <c:pt idx="313">
                  <c:v>17881.781599999998</c:v>
                </c:pt>
                <c:pt idx="314">
                  <c:v>8602.7864000000009</c:v>
                </c:pt>
                <c:pt idx="315">
                  <c:v>4760.5142999999998</c:v>
                </c:pt>
                <c:pt idx="316">
                  <c:v>15629.453799999999</c:v>
                </c:pt>
                <c:pt idx="317">
                  <c:v>8482.1638000000003</c:v>
                </c:pt>
                <c:pt idx="318">
                  <c:v>5976.9780000000001</c:v>
                </c:pt>
                <c:pt idx="319">
                  <c:v>14930.198</c:v>
                </c:pt>
                <c:pt idx="320">
                  <c:v>4443.6885000000002</c:v>
                </c:pt>
                <c:pt idx="321">
                  <c:v>2152.6453000000001</c:v>
                </c:pt>
                <c:pt idx="322">
                  <c:v>15120.408799999999</c:v>
                </c:pt>
                <c:pt idx="323">
                  <c:v>25341.7575</c:v>
                </c:pt>
                <c:pt idx="324">
                  <c:v>3720.5039000000002</c:v>
                </c:pt>
                <c:pt idx="325">
                  <c:v>6894.2614999999996</c:v>
                </c:pt>
                <c:pt idx="326">
                  <c:v>19129.257399999999</c:v>
                </c:pt>
                <c:pt idx="327">
                  <c:v>8139.16</c:v>
                </c:pt>
                <c:pt idx="328">
                  <c:v>10194.331099999999</c:v>
                </c:pt>
                <c:pt idx="329">
                  <c:v>10382.603300000001</c:v>
                </c:pt>
                <c:pt idx="330">
                  <c:v>3685.6846999999998</c:v>
                </c:pt>
                <c:pt idx="331">
                  <c:v>415.12889999999999</c:v>
                </c:pt>
                <c:pt idx="332">
                  <c:v>21589.996299999999</c:v>
                </c:pt>
                <c:pt idx="333">
                  <c:v>6650.0622000000003</c:v>
                </c:pt>
                <c:pt idx="334">
                  <c:v>29162.233</c:v>
                </c:pt>
                <c:pt idx="335">
                  <c:v>23801.801100000001</c:v>
                </c:pt>
                <c:pt idx="336">
                  <c:v>19883.556799999998</c:v>
                </c:pt>
                <c:pt idx="337">
                  <c:v>28786.854500000001</c:v>
                </c:pt>
                <c:pt idx="338">
                  <c:v>20321.9139</c:v>
                </c:pt>
                <c:pt idx="339">
                  <c:v>19106.947899999999</c:v>
                </c:pt>
                <c:pt idx="340">
                  <c:v>19978.191999999999</c:v>
                </c:pt>
                <c:pt idx="341">
                  <c:v>22287.987400000002</c:v>
                </c:pt>
                <c:pt idx="342">
                  <c:v>21229.444200000002</c:v>
                </c:pt>
                <c:pt idx="343">
                  <c:v>5761.8068000000003</c:v>
                </c:pt>
                <c:pt idx="344">
                  <c:v>22381.129499999999</c:v>
                </c:pt>
                <c:pt idx="345">
                  <c:v>20614.375899999999</c:v>
                </c:pt>
                <c:pt idx="346">
                  <c:v>13877.534299999999</c:v>
                </c:pt>
                <c:pt idx="347">
                  <c:v>24868.251799999998</c:v>
                </c:pt>
                <c:pt idx="348">
                  <c:v>7600.4764999999998</c:v>
                </c:pt>
                <c:pt idx="349">
                  <c:v>16591.260399999999</c:v>
                </c:pt>
                <c:pt idx="350">
                  <c:v>9391.4030000000002</c:v>
                </c:pt>
                <c:pt idx="351">
                  <c:v>2792.5965999999999</c:v>
                </c:pt>
                <c:pt idx="352">
                  <c:v>28192.577000000001</c:v>
                </c:pt>
                <c:pt idx="353">
                  <c:v>27140.077000000001</c:v>
                </c:pt>
                <c:pt idx="354">
                  <c:v>11706.651400000001</c:v>
                </c:pt>
                <c:pt idx="355">
                  <c:v>8158.5919000000004</c:v>
                </c:pt>
                <c:pt idx="356">
                  <c:v>1874.9798000000001</c:v>
                </c:pt>
                <c:pt idx="357">
                  <c:v>13484.368700000001</c:v>
                </c:pt>
                <c:pt idx="358">
                  <c:v>23242.379099999998</c:v>
                </c:pt>
                <c:pt idx="359">
                  <c:v>4824.5838999999996</c:v>
                </c:pt>
                <c:pt idx="360">
                  <c:v>11868.7088</c:v>
                </c:pt>
                <c:pt idx="361">
                  <c:v>24911.404200000001</c:v>
                </c:pt>
                <c:pt idx="362">
                  <c:v>501.83679999999998</c:v>
                </c:pt>
                <c:pt idx="363">
                  <c:v>5521.8651</c:v>
                </c:pt>
                <c:pt idx="364">
                  <c:v>2561.4078</c:v>
                </c:pt>
                <c:pt idx="365">
                  <c:v>18639.528399999999</c:v>
                </c:pt>
                <c:pt idx="366">
                  <c:v>4096.0942999999997</c:v>
                </c:pt>
                <c:pt idx="367">
                  <c:v>11243.4959</c:v>
                </c:pt>
                <c:pt idx="368">
                  <c:v>9933.9928</c:v>
                </c:pt>
                <c:pt idx="369">
                  <c:v>8854.6332000000002</c:v>
                </c:pt>
                <c:pt idx="370">
                  <c:v>13118.181200000001</c:v>
                </c:pt>
                <c:pt idx="371">
                  <c:v>19251.567299999999</c:v>
                </c:pt>
                <c:pt idx="372">
                  <c:v>6324.0820000000003</c:v>
                </c:pt>
                <c:pt idx="373">
                  <c:v>17659.712500000001</c:v>
                </c:pt>
                <c:pt idx="374">
                  <c:v>24197.2647</c:v>
                </c:pt>
                <c:pt idx="375">
                  <c:v>11984.5826</c:v>
                </c:pt>
                <c:pt idx="376">
                  <c:v>22940.981500000002</c:v>
                </c:pt>
                <c:pt idx="377">
                  <c:v>1283.5830000000001</c:v>
                </c:pt>
                <c:pt idx="378">
                  <c:v>18201.4208</c:v>
                </c:pt>
                <c:pt idx="379">
                  <c:v>22871.2582</c:v>
                </c:pt>
                <c:pt idx="380">
                  <c:v>23273.973000000002</c:v>
                </c:pt>
                <c:pt idx="381">
                  <c:v>8216.3669000000009</c:v>
                </c:pt>
                <c:pt idx="382">
                  <c:v>13182.615400000001</c:v>
                </c:pt>
                <c:pt idx="383">
                  <c:v>8746.3081999999995</c:v>
                </c:pt>
                <c:pt idx="384">
                  <c:v>14926.705900000001</c:v>
                </c:pt>
                <c:pt idx="385">
                  <c:v>22339.502799999998</c:v>
                </c:pt>
                <c:pt idx="386">
                  <c:v>12379.651</c:v>
                </c:pt>
                <c:pt idx="387">
                  <c:v>9394.1258999999991</c:v>
                </c:pt>
                <c:pt idx="388">
                  <c:v>15742.0088</c:v>
                </c:pt>
                <c:pt idx="389">
                  <c:v>2455.7743</c:v>
                </c:pt>
                <c:pt idx="390">
                  <c:v>8116.2794999999996</c:v>
                </c:pt>
                <c:pt idx="391">
                  <c:v>21432.472000000002</c:v>
                </c:pt>
                <c:pt idx="392">
                  <c:v>13205.754800000001</c:v>
                </c:pt>
                <c:pt idx="393">
                  <c:v>29222.171399999999</c:v>
                </c:pt>
                <c:pt idx="394">
                  <c:v>25749.614000000001</c:v>
                </c:pt>
                <c:pt idx="395">
                  <c:v>13669.7415</c:v>
                </c:pt>
                <c:pt idx="396">
                  <c:v>29773.488300000001</c:v>
                </c:pt>
                <c:pt idx="397">
                  <c:v>29052.516299999999</c:v>
                </c:pt>
                <c:pt idx="398">
                  <c:v>3862.9740000000002</c:v>
                </c:pt>
                <c:pt idx="399">
                  <c:v>26818.222600000001</c:v>
                </c:pt>
                <c:pt idx="400">
                  <c:v>127.5797</c:v>
                </c:pt>
                <c:pt idx="401">
                  <c:v>926.50239999999997</c:v>
                </c:pt>
                <c:pt idx="402">
                  <c:v>2066.0987</c:v>
                </c:pt>
                <c:pt idx="403">
                  <c:v>2378.8726000000001</c:v>
                </c:pt>
                <c:pt idx="404">
                  <c:v>598.16459999999995</c:v>
                </c:pt>
                <c:pt idx="405">
                  <c:v>2658.8733999999999</c:v>
                </c:pt>
                <c:pt idx="406">
                  <c:v>1865.2722000000001</c:v>
                </c:pt>
                <c:pt idx="407">
                  <c:v>2963.6988000000001</c:v>
                </c:pt>
                <c:pt idx="408">
                  <c:v>1864.1994</c:v>
                </c:pt>
                <c:pt idx="409">
                  <c:v>434.13080000000002</c:v>
                </c:pt>
                <c:pt idx="410">
                  <c:v>2755.375</c:v>
                </c:pt>
                <c:pt idx="411">
                  <c:v>551.63620000000003</c:v>
                </c:pt>
                <c:pt idx="412">
                  <c:v>1356.1890000000001</c:v>
                </c:pt>
                <c:pt idx="413">
                  <c:v>914.31590000000006</c:v>
                </c:pt>
                <c:pt idx="414">
                  <c:v>543.87559999999996</c:v>
                </c:pt>
                <c:pt idx="415">
                  <c:v>2619.2867999999999</c:v>
                </c:pt>
                <c:pt idx="416">
                  <c:v>500.95839999999998</c:v>
                </c:pt>
                <c:pt idx="417">
                  <c:v>612.99509999999998</c:v>
                </c:pt>
                <c:pt idx="418">
                  <c:v>2206.3631999999998</c:v>
                </c:pt>
                <c:pt idx="419">
                  <c:v>373.10430000000002</c:v>
                </c:pt>
                <c:pt idx="420">
                  <c:v>968.30229999999995</c:v>
                </c:pt>
                <c:pt idx="421">
                  <c:v>526.63610000000006</c:v>
                </c:pt>
                <c:pt idx="422">
                  <c:v>2120.3481999999999</c:v>
                </c:pt>
                <c:pt idx="423">
                  <c:v>2285.7537000000002</c:v>
                </c:pt>
                <c:pt idx="424">
                  <c:v>1122.5577000000001</c:v>
                </c:pt>
                <c:pt idx="425">
                  <c:v>2974.0944</c:v>
                </c:pt>
                <c:pt idx="426">
                  <c:v>581.15200000000004</c:v>
                </c:pt>
                <c:pt idx="427">
                  <c:v>1778.7229</c:v>
                </c:pt>
                <c:pt idx="428">
                  <c:v>2334.7959999999998</c:v>
                </c:pt>
                <c:pt idx="429">
                  <c:v>2644.8265000000001</c:v>
                </c:pt>
                <c:pt idx="430">
                  <c:v>2982.7921000000001</c:v>
                </c:pt>
                <c:pt idx="431">
                  <c:v>1329.8941</c:v>
                </c:pt>
                <c:pt idx="432">
                  <c:v>270.02050000000003</c:v>
                </c:pt>
                <c:pt idx="433">
                  <c:v>1791.4936</c:v>
                </c:pt>
                <c:pt idx="434">
                  <c:v>1454.0617</c:v>
                </c:pt>
                <c:pt idx="435">
                  <c:v>1584.9976999999999</c:v>
                </c:pt>
                <c:pt idx="436">
                  <c:v>1250.5150000000001</c:v>
                </c:pt>
                <c:pt idx="437">
                  <c:v>2712.2029000000002</c:v>
                </c:pt>
                <c:pt idx="438">
                  <c:v>2240.8114</c:v>
                </c:pt>
                <c:pt idx="439">
                  <c:v>606.53039999999999</c:v>
                </c:pt>
                <c:pt idx="440">
                  <c:v>2875.1604000000002</c:v>
                </c:pt>
                <c:pt idx="441">
                  <c:v>1967.2678000000001</c:v>
                </c:pt>
                <c:pt idx="442">
                  <c:v>1943.4681</c:v>
                </c:pt>
                <c:pt idx="443">
                  <c:v>2836.5140000000001</c:v>
                </c:pt>
                <c:pt idx="444">
                  <c:v>1327.5139999999999</c:v>
                </c:pt>
                <c:pt idx="445">
                  <c:v>509.322</c:v>
                </c:pt>
                <c:pt idx="446">
                  <c:v>1593.0436999999999</c:v>
                </c:pt>
                <c:pt idx="447">
                  <c:v>2276.5025999999998</c:v>
                </c:pt>
                <c:pt idx="448">
                  <c:v>1491.5641000000001</c:v>
                </c:pt>
                <c:pt idx="449">
                  <c:v>2384.1579000000002</c:v>
                </c:pt>
                <c:pt idx="450">
                  <c:v>900.21310000000005</c:v>
                </c:pt>
                <c:pt idx="451">
                  <c:v>1913.3998999999999</c:v>
                </c:pt>
                <c:pt idx="452">
                  <c:v>1380.5322000000001</c:v>
                </c:pt>
                <c:pt idx="453">
                  <c:v>1735.1509000000001</c:v>
                </c:pt>
                <c:pt idx="454">
                  <c:v>2539.4928</c:v>
                </c:pt>
                <c:pt idx="455">
                  <c:v>880.4864</c:v>
                </c:pt>
                <c:pt idx="456">
                  <c:v>1238.2325000000001</c:v>
                </c:pt>
                <c:pt idx="457">
                  <c:v>1481.5454</c:v>
                </c:pt>
                <c:pt idx="458">
                  <c:v>170.26910000000001</c:v>
                </c:pt>
                <c:pt idx="459">
                  <c:v>1191.329</c:v>
                </c:pt>
                <c:pt idx="460">
                  <c:v>952.34939999999995</c:v>
                </c:pt>
                <c:pt idx="461">
                  <c:v>2320.2631999999999</c:v>
                </c:pt>
                <c:pt idx="462">
                  <c:v>1113.6715999999999</c:v>
                </c:pt>
                <c:pt idx="463">
                  <c:v>2897.2872000000002</c:v>
                </c:pt>
                <c:pt idx="464">
                  <c:v>2001.7566999999999</c:v>
                </c:pt>
                <c:pt idx="465">
                  <c:v>167.43340000000001</c:v>
                </c:pt>
                <c:pt idx="466">
                  <c:v>1155.6850999999999</c:v>
                </c:pt>
                <c:pt idx="467">
                  <c:v>2369.3285999999998</c:v>
                </c:pt>
                <c:pt idx="468">
                  <c:v>2099.6320000000001</c:v>
                </c:pt>
                <c:pt idx="469">
                  <c:v>1566.3607999999999</c:v>
                </c:pt>
                <c:pt idx="470">
                  <c:v>1913.6427000000001</c:v>
                </c:pt>
                <c:pt idx="471">
                  <c:v>2141.8692999999998</c:v>
                </c:pt>
                <c:pt idx="472">
                  <c:v>283.83530000000002</c:v>
                </c:pt>
                <c:pt idx="473">
                  <c:v>706.19870000000003</c:v>
                </c:pt>
                <c:pt idx="474">
                  <c:v>1764.5993000000001</c:v>
                </c:pt>
                <c:pt idx="475">
                  <c:v>1206.1131</c:v>
                </c:pt>
                <c:pt idx="476">
                  <c:v>667.92190000000005</c:v>
                </c:pt>
                <c:pt idx="477">
                  <c:v>785.29570000000001</c:v>
                </c:pt>
                <c:pt idx="478">
                  <c:v>1268.9889000000001</c:v>
                </c:pt>
                <c:pt idx="479">
                  <c:v>1835.7257</c:v>
                </c:pt>
                <c:pt idx="480">
                  <c:v>1166.6110000000001</c:v>
                </c:pt>
                <c:pt idx="481">
                  <c:v>662.86389999999994</c:v>
                </c:pt>
                <c:pt idx="482">
                  <c:v>470.29559999999998</c:v>
                </c:pt>
                <c:pt idx="483">
                  <c:v>566.70489999999995</c:v>
                </c:pt>
                <c:pt idx="484">
                  <c:v>2049.8571999999999</c:v>
                </c:pt>
                <c:pt idx="485">
                  <c:v>2794.4827</c:v>
                </c:pt>
                <c:pt idx="486">
                  <c:v>2940.1424000000002</c:v>
                </c:pt>
                <c:pt idx="487">
                  <c:v>1283.4010000000001</c:v>
                </c:pt>
                <c:pt idx="488">
                  <c:v>2161.7483000000002</c:v>
                </c:pt>
                <c:pt idx="489">
                  <c:v>574.19349999999997</c:v>
                </c:pt>
                <c:pt idx="490">
                  <c:v>2322.3270000000002</c:v>
                </c:pt>
                <c:pt idx="491">
                  <c:v>214.89680000000001</c:v>
                </c:pt>
                <c:pt idx="492">
                  <c:v>1289.5731000000001</c:v>
                </c:pt>
                <c:pt idx="493">
                  <c:v>1929.104</c:v>
                </c:pt>
                <c:pt idx="494">
                  <c:v>2028.0549000000001</c:v>
                </c:pt>
                <c:pt idx="495">
                  <c:v>954.67409999999995</c:v>
                </c:pt>
                <c:pt idx="496">
                  <c:v>2645.9000999999998</c:v>
                </c:pt>
                <c:pt idx="497">
                  <c:v>1037.9902</c:v>
                </c:pt>
                <c:pt idx="498">
                  <c:v>2665.431</c:v>
                </c:pt>
                <c:pt idx="499">
                  <c:v>2753.4184</c:v>
                </c:pt>
                <c:pt idx="500">
                  <c:v>264.5086</c:v>
                </c:pt>
                <c:pt idx="501">
                  <c:v>6.3822000000000001</c:v>
                </c:pt>
                <c:pt idx="502">
                  <c:v>131.6283</c:v>
                </c:pt>
                <c:pt idx="503">
                  <c:v>173.012</c:v>
                </c:pt>
                <c:pt idx="504">
                  <c:v>188.12110000000001</c:v>
                </c:pt>
                <c:pt idx="505">
                  <c:v>101.82980000000001</c:v>
                </c:pt>
                <c:pt idx="506">
                  <c:v>65.089699999999993</c:v>
                </c:pt>
                <c:pt idx="507">
                  <c:v>152.2518</c:v>
                </c:pt>
                <c:pt idx="508">
                  <c:v>49.255200000000002</c:v>
                </c:pt>
                <c:pt idx="509">
                  <c:v>232.5444</c:v>
                </c:pt>
                <c:pt idx="510">
                  <c:v>107.157</c:v>
                </c:pt>
                <c:pt idx="511">
                  <c:v>74.548699999999997</c:v>
                </c:pt>
                <c:pt idx="512">
                  <c:v>75.305599999999998</c:v>
                </c:pt>
                <c:pt idx="513">
                  <c:v>194.6788</c:v>
                </c:pt>
                <c:pt idx="514">
                  <c:v>66.631600000000006</c:v>
                </c:pt>
                <c:pt idx="515">
                  <c:v>85.505399999999995</c:v>
                </c:pt>
                <c:pt idx="516">
                  <c:v>92.513499999999993</c:v>
                </c:pt>
                <c:pt idx="517">
                  <c:v>198.68539999999999</c:v>
                </c:pt>
                <c:pt idx="518">
                  <c:v>16.641500000000001</c:v>
                </c:pt>
                <c:pt idx="519">
                  <c:v>22.802299999999999</c:v>
                </c:pt>
                <c:pt idx="520">
                  <c:v>54.732100000000003</c:v>
                </c:pt>
                <c:pt idx="521">
                  <c:v>26.3157</c:v>
                </c:pt>
                <c:pt idx="522">
                  <c:v>287.31920000000002</c:v>
                </c:pt>
                <c:pt idx="523">
                  <c:v>249.56829999999999</c:v>
                </c:pt>
                <c:pt idx="524">
                  <c:v>102.48309999999999</c:v>
                </c:pt>
                <c:pt idx="525">
                  <c:v>112.4393</c:v>
                </c:pt>
                <c:pt idx="526">
                  <c:v>188.01929999999999</c:v>
                </c:pt>
                <c:pt idx="527">
                  <c:v>114.4122</c:v>
                </c:pt>
                <c:pt idx="528">
                  <c:v>125.02719999999999</c:v>
                </c:pt>
                <c:pt idx="529">
                  <c:v>69.067899999999995</c:v>
                </c:pt>
                <c:pt idx="530">
                  <c:v>7.2950999999999997</c:v>
                </c:pt>
                <c:pt idx="531">
                  <c:v>42.905700000000003</c:v>
                </c:pt>
                <c:pt idx="532">
                  <c:v>294.95620000000002</c:v>
                </c:pt>
                <c:pt idx="533">
                  <c:v>219.79079999999999</c:v>
                </c:pt>
                <c:pt idx="534">
                  <c:v>75.439899999999994</c:v>
                </c:pt>
                <c:pt idx="535">
                  <c:v>153.09970000000001</c:v>
                </c:pt>
                <c:pt idx="536">
                  <c:v>275.0976</c:v>
                </c:pt>
                <c:pt idx="537">
                  <c:v>117.9924</c:v>
                </c:pt>
                <c:pt idx="538">
                  <c:v>230.8272</c:v>
                </c:pt>
                <c:pt idx="539">
                  <c:v>50.645099999999999</c:v>
                </c:pt>
                <c:pt idx="540">
                  <c:v>199.2944</c:v>
                </c:pt>
                <c:pt idx="541">
                  <c:v>159.47839999999999</c:v>
                </c:pt>
                <c:pt idx="542">
                  <c:v>65.087299999999999</c:v>
                </c:pt>
                <c:pt idx="543">
                  <c:v>179.26079999999999</c:v>
                </c:pt>
                <c:pt idx="544">
                  <c:v>18.3111</c:v>
                </c:pt>
                <c:pt idx="545">
                  <c:v>2.7016</c:v>
                </c:pt>
                <c:pt idx="546">
                  <c:v>289.99310000000003</c:v>
                </c:pt>
                <c:pt idx="547">
                  <c:v>191.5222</c:v>
                </c:pt>
                <c:pt idx="548">
                  <c:v>288.79849999999999</c:v>
                </c:pt>
                <c:pt idx="549">
                  <c:v>181.3706</c:v>
                </c:pt>
                <c:pt idx="550">
                  <c:v>238.00460000000001</c:v>
                </c:pt>
                <c:pt idx="551">
                  <c:v>230.9863</c:v>
                </c:pt>
                <c:pt idx="552">
                  <c:v>190.0778</c:v>
                </c:pt>
                <c:pt idx="553">
                  <c:v>99.565399999999997</c:v>
                </c:pt>
                <c:pt idx="554">
                  <c:v>29.6218</c:v>
                </c:pt>
                <c:pt idx="555">
                  <c:v>162.2439</c:v>
                </c:pt>
                <c:pt idx="556">
                  <c:v>56.786299999999997</c:v>
                </c:pt>
                <c:pt idx="557">
                  <c:v>144.6337</c:v>
                </c:pt>
                <c:pt idx="558">
                  <c:v>173.5181</c:v>
                </c:pt>
                <c:pt idx="559">
                  <c:v>53.187399999999997</c:v>
                </c:pt>
                <c:pt idx="560">
                  <c:v>147.19309999999999</c:v>
                </c:pt>
                <c:pt idx="561">
                  <c:v>286.26080000000002</c:v>
                </c:pt>
                <c:pt idx="562">
                  <c:v>15.910600000000001</c:v>
                </c:pt>
                <c:pt idx="563">
                  <c:v>1.7715000000000001</c:v>
                </c:pt>
                <c:pt idx="564">
                  <c:v>17.602499999999999</c:v>
                </c:pt>
                <c:pt idx="565">
                  <c:v>41.176900000000003</c:v>
                </c:pt>
                <c:pt idx="566">
                  <c:v>213.721</c:v>
                </c:pt>
                <c:pt idx="567">
                  <c:v>299.5917</c:v>
                </c:pt>
                <c:pt idx="568">
                  <c:v>26.440300000000001</c:v>
                </c:pt>
                <c:pt idx="569">
                  <c:v>113.30110000000001</c:v>
                </c:pt>
                <c:pt idx="570">
                  <c:v>216.56450000000001</c:v>
                </c:pt>
                <c:pt idx="571">
                  <c:v>139.32480000000001</c:v>
                </c:pt>
                <c:pt idx="572">
                  <c:v>131.84719999999999</c:v>
                </c:pt>
                <c:pt idx="573">
                  <c:v>211.75059999999999</c:v>
                </c:pt>
                <c:pt idx="574">
                  <c:v>1.5274000000000001</c:v>
                </c:pt>
                <c:pt idx="575">
                  <c:v>145.38300000000001</c:v>
                </c:pt>
                <c:pt idx="576">
                  <c:v>298.60430000000002</c:v>
                </c:pt>
                <c:pt idx="577">
                  <c:v>134.36859999999999</c:v>
                </c:pt>
                <c:pt idx="578">
                  <c:v>113.09690000000001</c:v>
                </c:pt>
                <c:pt idx="579">
                  <c:v>258.26159999999999</c:v>
                </c:pt>
                <c:pt idx="580">
                  <c:v>245.2526</c:v>
                </c:pt>
                <c:pt idx="581">
                  <c:v>232.00069999999999</c:v>
                </c:pt>
                <c:pt idx="582">
                  <c:v>154.26689999999999</c:v>
                </c:pt>
                <c:pt idx="583">
                  <c:v>133.05260000000001</c:v>
                </c:pt>
                <c:pt idx="584">
                  <c:v>161.2106</c:v>
                </c:pt>
                <c:pt idx="585">
                  <c:v>106.81950000000001</c:v>
                </c:pt>
                <c:pt idx="586">
                  <c:v>46.385199999999998</c:v>
                </c:pt>
                <c:pt idx="587">
                  <c:v>169.67699999999999</c:v>
                </c:pt>
                <c:pt idx="588">
                  <c:v>82.587900000000005</c:v>
                </c:pt>
                <c:pt idx="589">
                  <c:v>90.400300000000001</c:v>
                </c:pt>
                <c:pt idx="590">
                  <c:v>239.33629999999999</c:v>
                </c:pt>
                <c:pt idx="591">
                  <c:v>6.0903</c:v>
                </c:pt>
                <c:pt idx="592">
                  <c:v>133.09180000000001</c:v>
                </c:pt>
                <c:pt idx="593">
                  <c:v>62.752699999999997</c:v>
                </c:pt>
                <c:pt idx="594">
                  <c:v>164.04509999999999</c:v>
                </c:pt>
                <c:pt idx="595">
                  <c:v>165.18979999999999</c:v>
                </c:pt>
                <c:pt idx="596">
                  <c:v>256.2978</c:v>
                </c:pt>
                <c:pt idx="597">
                  <c:v>28.553999999999998</c:v>
                </c:pt>
                <c:pt idx="598">
                  <c:v>8.3794000000000004</c:v>
                </c:pt>
                <c:pt idx="599">
                  <c:v>123.89790000000001</c:v>
                </c:pt>
              </c:numCache>
            </c:numRef>
          </c:xVal>
          <c:yVal>
            <c:numRef>
              <c:f>Direct!$V$3:$V$602</c:f>
              <c:numCache>
                <c:formatCode>0.00000000</c:formatCode>
                <c:ptCount val="600"/>
                <c:pt idx="0">
                  <c:v>3.3687146583361027E-7</c:v>
                </c:pt>
                <c:pt idx="1">
                  <c:v>5.0476700153012644E-7</c:v>
                </c:pt>
                <c:pt idx="2">
                  <c:v>1.442909933757619E-7</c:v>
                </c:pt>
                <c:pt idx="3">
                  <c:v>4.5104690116204438E-7</c:v>
                </c:pt>
                <c:pt idx="4">
                  <c:v>3.7402076102921455E-7</c:v>
                </c:pt>
                <c:pt idx="5">
                  <c:v>3.5154482702637324E-7</c:v>
                </c:pt>
                <c:pt idx="6">
                  <c:v>2.8108345873079088E-8</c:v>
                </c:pt>
                <c:pt idx="7">
                  <c:v>7.5444233971211361E-8</c:v>
                </c:pt>
                <c:pt idx="8">
                  <c:v>4.2522756871221645E-7</c:v>
                </c:pt>
                <c:pt idx="9">
                  <c:v>2.8254532935534371E-8</c:v>
                </c:pt>
                <c:pt idx="10">
                  <c:v>2.2766309371036186E-7</c:v>
                </c:pt>
                <c:pt idx="11">
                  <c:v>1.8605166474117141E-7</c:v>
                </c:pt>
                <c:pt idx="12">
                  <c:v>4.5132856030249968E-7</c:v>
                </c:pt>
                <c:pt idx="13">
                  <c:v>2.1814099682160304E-7</c:v>
                </c:pt>
                <c:pt idx="14">
                  <c:v>4.0772323472992866E-7</c:v>
                </c:pt>
                <c:pt idx="15">
                  <c:v>3.2337936772819376E-9</c:v>
                </c:pt>
                <c:pt idx="16">
                  <c:v>3.9051241618182075E-7</c:v>
                </c:pt>
                <c:pt idx="17">
                  <c:v>2.7815180203560885E-7</c:v>
                </c:pt>
                <c:pt idx="18">
                  <c:v>1.8506531773709867E-7</c:v>
                </c:pt>
                <c:pt idx="19">
                  <c:v>1.4308744500368675E-7</c:v>
                </c:pt>
                <c:pt idx="20">
                  <c:v>1.5766843830533617E-8</c:v>
                </c:pt>
                <c:pt idx="21">
                  <c:v>2.192610395468364E-7</c:v>
                </c:pt>
                <c:pt idx="22">
                  <c:v>5.5596416359549039E-8</c:v>
                </c:pt>
                <c:pt idx="23">
                  <c:v>2.0733233441205812E-7</c:v>
                </c:pt>
                <c:pt idx="24">
                  <c:v>1.5590102453444388E-7</c:v>
                </c:pt>
                <c:pt idx="25">
                  <c:v>4.2645338282909506E-7</c:v>
                </c:pt>
                <c:pt idx="26">
                  <c:v>7.9475057646050118E-9</c:v>
                </c:pt>
                <c:pt idx="27">
                  <c:v>8.8192166458611609E-8</c:v>
                </c:pt>
                <c:pt idx="28">
                  <c:v>3.4193698184026289E-7</c:v>
                </c:pt>
                <c:pt idx="29">
                  <c:v>1.4002398529555649E-7</c:v>
                </c:pt>
                <c:pt idx="30">
                  <c:v>2.9578256999229779E-7</c:v>
                </c:pt>
                <c:pt idx="31">
                  <c:v>2.5618450649744773E-7</c:v>
                </c:pt>
                <c:pt idx="32">
                  <c:v>4.4260735876378021E-7</c:v>
                </c:pt>
                <c:pt idx="33">
                  <c:v>1.8068064377985138E-7</c:v>
                </c:pt>
                <c:pt idx="34">
                  <c:v>3.0898587510819198E-7</c:v>
                </c:pt>
                <c:pt idx="35">
                  <c:v>3.9045346511557E-8</c:v>
                </c:pt>
                <c:pt idx="36">
                  <c:v>3.2913015957092284E-7</c:v>
                </c:pt>
                <c:pt idx="37">
                  <c:v>3.3196471349583589E-7</c:v>
                </c:pt>
                <c:pt idx="38">
                  <c:v>3.7989192946952244E-7</c:v>
                </c:pt>
                <c:pt idx="39">
                  <c:v>2.0423712498995883E-7</c:v>
                </c:pt>
                <c:pt idx="40">
                  <c:v>4.7001717007333355E-7</c:v>
                </c:pt>
                <c:pt idx="41">
                  <c:v>3.6564176753017819E-7</c:v>
                </c:pt>
                <c:pt idx="42">
                  <c:v>4.9696804893528679E-7</c:v>
                </c:pt>
                <c:pt idx="43">
                  <c:v>5.8974265471078979E-9</c:v>
                </c:pt>
                <c:pt idx="44">
                  <c:v>2.4636391060539609E-7</c:v>
                </c:pt>
                <c:pt idx="45">
                  <c:v>2.2722321801893486E-7</c:v>
                </c:pt>
                <c:pt idx="46">
                  <c:v>1.1898011109678919E-7</c:v>
                </c:pt>
                <c:pt idx="47">
                  <c:v>2.0104812392673921E-7</c:v>
                </c:pt>
                <c:pt idx="48">
                  <c:v>2.6481168902137142E-7</c:v>
                </c:pt>
                <c:pt idx="49">
                  <c:v>1.3412034149951069E-8</c:v>
                </c:pt>
                <c:pt idx="50">
                  <c:v>1.3667158782482147E-7</c:v>
                </c:pt>
                <c:pt idx="51">
                  <c:v>3.1272843159513286E-7</c:v>
                </c:pt>
                <c:pt idx="52">
                  <c:v>1.3096610018692445E-8</c:v>
                </c:pt>
                <c:pt idx="53">
                  <c:v>2.8482770630944287E-7</c:v>
                </c:pt>
                <c:pt idx="54">
                  <c:v>2.3443274699275207E-7</c:v>
                </c:pt>
                <c:pt idx="55">
                  <c:v>4.2686929901947224E-7</c:v>
                </c:pt>
                <c:pt idx="56">
                  <c:v>9.7937459031527396E-8</c:v>
                </c:pt>
                <c:pt idx="57">
                  <c:v>2.0952626300640986E-8</c:v>
                </c:pt>
                <c:pt idx="58">
                  <c:v>3.7409390074572002E-7</c:v>
                </c:pt>
                <c:pt idx="59">
                  <c:v>1.2448111874618917E-7</c:v>
                </c:pt>
                <c:pt idx="60">
                  <c:v>3.4332519405211315E-7</c:v>
                </c:pt>
                <c:pt idx="61">
                  <c:v>2.8613681024580728E-7</c:v>
                </c:pt>
                <c:pt idx="62">
                  <c:v>1.5417526810779236E-7</c:v>
                </c:pt>
                <c:pt idx="63">
                  <c:v>4.1319098365022455E-7</c:v>
                </c:pt>
                <c:pt idx="64">
                  <c:v>4.8285095033406833E-7</c:v>
                </c:pt>
                <c:pt idx="65">
                  <c:v>1.9923800209653564E-7</c:v>
                </c:pt>
                <c:pt idx="66">
                  <c:v>4.1717498788784724E-7</c:v>
                </c:pt>
                <c:pt idx="67">
                  <c:v>3.5332701031620672E-7</c:v>
                </c:pt>
                <c:pt idx="68">
                  <c:v>2.8058690304533229E-7</c:v>
                </c:pt>
                <c:pt idx="69">
                  <c:v>4.2415942402840301E-7</c:v>
                </c:pt>
                <c:pt idx="70">
                  <c:v>1.9234741444051906E-7</c:v>
                </c:pt>
                <c:pt idx="71">
                  <c:v>2.5212828802523291E-7</c:v>
                </c:pt>
                <c:pt idx="72">
                  <c:v>3.8046214712039728E-7</c:v>
                </c:pt>
                <c:pt idx="73">
                  <c:v>1.9818941154881031E-7</c:v>
                </c:pt>
                <c:pt idx="74">
                  <c:v>1.0831055874405138E-7</c:v>
                </c:pt>
                <c:pt idx="75">
                  <c:v>2.2292803691925656E-7</c:v>
                </c:pt>
                <c:pt idx="76">
                  <c:v>1.0778106229736295E-7</c:v>
                </c:pt>
                <c:pt idx="77">
                  <c:v>1.4140945836516039E-7</c:v>
                </c:pt>
                <c:pt idx="78">
                  <c:v>3.9149938402260887E-8</c:v>
                </c:pt>
                <c:pt idx="79">
                  <c:v>4.5325992914513336E-7</c:v>
                </c:pt>
                <c:pt idx="80">
                  <c:v>3.8359968357326579E-7</c:v>
                </c:pt>
                <c:pt idx="81">
                  <c:v>4.1091459479503101E-7</c:v>
                </c:pt>
                <c:pt idx="82">
                  <c:v>3.8734598950540544E-7</c:v>
                </c:pt>
                <c:pt idx="83">
                  <c:v>9.884382734526298E-8</c:v>
                </c:pt>
                <c:pt idx="84">
                  <c:v>4.4519790520780589E-7</c:v>
                </c:pt>
                <c:pt idx="85">
                  <c:v>1.9224077618673618E-7</c:v>
                </c:pt>
                <c:pt idx="86">
                  <c:v>3.8290889392555982E-7</c:v>
                </c:pt>
                <c:pt idx="87">
                  <c:v>3.4752552635630707E-7</c:v>
                </c:pt>
                <c:pt idx="88">
                  <c:v>6.425227638828801E-8</c:v>
                </c:pt>
                <c:pt idx="89">
                  <c:v>1.7829671605795738E-7</c:v>
                </c:pt>
                <c:pt idx="90">
                  <c:v>4.5336464893352968E-7</c:v>
                </c:pt>
                <c:pt idx="91">
                  <c:v>3.0388241611944977E-7</c:v>
                </c:pt>
                <c:pt idx="92">
                  <c:v>4.2072255723724084E-7</c:v>
                </c:pt>
                <c:pt idx="93">
                  <c:v>8.1394432527304161E-8</c:v>
                </c:pt>
                <c:pt idx="94">
                  <c:v>3.2698261520636152E-7</c:v>
                </c:pt>
                <c:pt idx="95">
                  <c:v>3.3214224970379291E-7</c:v>
                </c:pt>
                <c:pt idx="96">
                  <c:v>1.537292177999916E-7</c:v>
                </c:pt>
                <c:pt idx="97">
                  <c:v>2.5749696419552492E-7</c:v>
                </c:pt>
                <c:pt idx="98">
                  <c:v>1.49811654637233E-7</c:v>
                </c:pt>
                <c:pt idx="99">
                  <c:v>1.6469510555339184E-7</c:v>
                </c:pt>
                <c:pt idx="100">
                  <c:v>3.1352779572557665E-7</c:v>
                </c:pt>
                <c:pt idx="101">
                  <c:v>1.1008484079866321E-7</c:v>
                </c:pt>
                <c:pt idx="102">
                  <c:v>7.1786985245125834E-9</c:v>
                </c:pt>
                <c:pt idx="103">
                  <c:v>4.5929442649139673E-7</c:v>
                </c:pt>
                <c:pt idx="104">
                  <c:v>5.5165855883387849E-8</c:v>
                </c:pt>
                <c:pt idx="105">
                  <c:v>2.4018777367018629E-7</c:v>
                </c:pt>
                <c:pt idx="106">
                  <c:v>1.5859058066780563E-8</c:v>
                </c:pt>
                <c:pt idx="107">
                  <c:v>9.5583743586757919E-8</c:v>
                </c:pt>
                <c:pt idx="108">
                  <c:v>4.4369356544393668E-7</c:v>
                </c:pt>
                <c:pt idx="109">
                  <c:v>4.7421053750440478E-7</c:v>
                </c:pt>
                <c:pt idx="110">
                  <c:v>4.043729404656915E-7</c:v>
                </c:pt>
                <c:pt idx="111">
                  <c:v>3.6112916745878465E-7</c:v>
                </c:pt>
                <c:pt idx="112">
                  <c:v>2.8430861220840598E-7</c:v>
                </c:pt>
                <c:pt idx="113">
                  <c:v>2.7521664947016689E-7</c:v>
                </c:pt>
                <c:pt idx="114">
                  <c:v>4.8958449649916247E-7</c:v>
                </c:pt>
                <c:pt idx="115">
                  <c:v>4.6354637106560403E-7</c:v>
                </c:pt>
                <c:pt idx="116">
                  <c:v>1.0130257521723252E-7</c:v>
                </c:pt>
                <c:pt idx="117">
                  <c:v>8.7471164533781121E-8</c:v>
                </c:pt>
                <c:pt idx="118">
                  <c:v>4.0926860833678802E-7</c:v>
                </c:pt>
                <c:pt idx="119">
                  <c:v>3.8054463402659167E-7</c:v>
                </c:pt>
                <c:pt idx="120">
                  <c:v>4.8754253612059983E-7</c:v>
                </c:pt>
                <c:pt idx="121">
                  <c:v>2.0397459365995019E-7</c:v>
                </c:pt>
                <c:pt idx="122">
                  <c:v>2.0190896066196728E-7</c:v>
                </c:pt>
                <c:pt idx="123">
                  <c:v>1.0729048582902578E-7</c:v>
                </c:pt>
                <c:pt idx="124">
                  <c:v>3.0687374419358093E-8</c:v>
                </c:pt>
                <c:pt idx="125">
                  <c:v>9.1203759655655858E-8</c:v>
                </c:pt>
                <c:pt idx="126">
                  <c:v>3.6261855029806611E-7</c:v>
                </c:pt>
                <c:pt idx="127">
                  <c:v>4.9786069666879484E-7</c:v>
                </c:pt>
                <c:pt idx="128">
                  <c:v>2.7866893859140873E-7</c:v>
                </c:pt>
                <c:pt idx="129">
                  <c:v>3.7395633967207687E-7</c:v>
                </c:pt>
                <c:pt idx="130">
                  <c:v>1.3769491147286317E-7</c:v>
                </c:pt>
                <c:pt idx="131">
                  <c:v>3.6255187296774238E-8</c:v>
                </c:pt>
                <c:pt idx="132">
                  <c:v>1.0290932550560683E-9</c:v>
                </c:pt>
                <c:pt idx="133">
                  <c:v>1.3407748156168964E-7</c:v>
                </c:pt>
                <c:pt idx="134">
                  <c:v>1.8935952539322898E-7</c:v>
                </c:pt>
                <c:pt idx="135">
                  <c:v>2.368995239976357E-7</c:v>
                </c:pt>
                <c:pt idx="136">
                  <c:v>4.8208969616325703E-7</c:v>
                </c:pt>
                <c:pt idx="137">
                  <c:v>4.7069440256564121E-7</c:v>
                </c:pt>
                <c:pt idx="138">
                  <c:v>1.210448203892156E-7</c:v>
                </c:pt>
                <c:pt idx="139">
                  <c:v>3.2272509997710586E-7</c:v>
                </c:pt>
                <c:pt idx="140">
                  <c:v>1.3874350202058849E-7</c:v>
                </c:pt>
                <c:pt idx="141">
                  <c:v>8.4073150219410309E-8</c:v>
                </c:pt>
                <c:pt idx="142">
                  <c:v>9.9897164318463183E-8</c:v>
                </c:pt>
                <c:pt idx="143">
                  <c:v>3.2200205168919638E-8</c:v>
                </c:pt>
                <c:pt idx="144">
                  <c:v>4.9036407290259376E-7</c:v>
                </c:pt>
                <c:pt idx="145">
                  <c:v>2.5037127215910004E-7</c:v>
                </c:pt>
                <c:pt idx="146">
                  <c:v>3.2044346198745188E-7</c:v>
                </c:pt>
                <c:pt idx="147">
                  <c:v>2.7856037831952563E-7</c:v>
                </c:pt>
                <c:pt idx="148">
                  <c:v>1.7584591205377365E-7</c:v>
                </c:pt>
                <c:pt idx="149">
                  <c:v>1.7663518292465596E-7</c:v>
                </c:pt>
                <c:pt idx="150">
                  <c:v>1.9249659999331925E-7</c:v>
                </c:pt>
                <c:pt idx="151">
                  <c:v>2.4019581701395509E-7</c:v>
                </c:pt>
                <c:pt idx="152">
                  <c:v>3.4294353667974065E-7</c:v>
                </c:pt>
                <c:pt idx="153">
                  <c:v>1.9267923789811903E-7</c:v>
                </c:pt>
                <c:pt idx="154">
                  <c:v>3.9212878277794516E-7</c:v>
                </c:pt>
                <c:pt idx="155">
                  <c:v>1.2063770782333449E-7</c:v>
                </c:pt>
                <c:pt idx="156">
                  <c:v>9.8446207630331628E-8</c:v>
                </c:pt>
                <c:pt idx="157">
                  <c:v>4.708704182121437E-8</c:v>
                </c:pt>
                <c:pt idx="158">
                  <c:v>2.0943181766597263E-7</c:v>
                </c:pt>
                <c:pt idx="159">
                  <c:v>2.8208563662701636E-7</c:v>
                </c:pt>
                <c:pt idx="160">
                  <c:v>3.7365516902809759E-7</c:v>
                </c:pt>
                <c:pt idx="161">
                  <c:v>1.28825547562883E-7</c:v>
                </c:pt>
                <c:pt idx="162">
                  <c:v>3.1951995538292977E-7</c:v>
                </c:pt>
                <c:pt idx="163">
                  <c:v>7.592467454742291E-8</c:v>
                </c:pt>
                <c:pt idx="164">
                  <c:v>3.6115284274274018E-7</c:v>
                </c:pt>
                <c:pt idx="165">
                  <c:v>4.8668573526811088E-7</c:v>
                </c:pt>
                <c:pt idx="166">
                  <c:v>1.7344032698929368E-7</c:v>
                </c:pt>
                <c:pt idx="167">
                  <c:v>1.6699121374585957E-7</c:v>
                </c:pt>
                <c:pt idx="168">
                  <c:v>7.4386775850143749E-8</c:v>
                </c:pt>
                <c:pt idx="169">
                  <c:v>3.3174124780543934E-7</c:v>
                </c:pt>
                <c:pt idx="170">
                  <c:v>3.4647413826860429E-8</c:v>
                </c:pt>
                <c:pt idx="171">
                  <c:v>3.3775097563193412E-7</c:v>
                </c:pt>
                <c:pt idx="172">
                  <c:v>4.1044927456823643E-8</c:v>
                </c:pt>
                <c:pt idx="173">
                  <c:v>2.9483823027476319E-7</c:v>
                </c:pt>
                <c:pt idx="174">
                  <c:v>4.3638132751766534E-7</c:v>
                </c:pt>
                <c:pt idx="175">
                  <c:v>1.3269884391320375E-7</c:v>
                </c:pt>
                <c:pt idx="176">
                  <c:v>3.2076724210128305E-7</c:v>
                </c:pt>
                <c:pt idx="177">
                  <c:v>4.9258886747338693E-7</c:v>
                </c:pt>
                <c:pt idx="178">
                  <c:v>2.4427455258546615E-7</c:v>
                </c:pt>
                <c:pt idx="179">
                  <c:v>7.496299758713576E-8</c:v>
                </c:pt>
                <c:pt idx="180">
                  <c:v>4.0393771882918372E-7</c:v>
                </c:pt>
                <c:pt idx="181">
                  <c:v>4.155175474807038E-7</c:v>
                </c:pt>
                <c:pt idx="182">
                  <c:v>1.5623658100594184E-7</c:v>
                </c:pt>
                <c:pt idx="183">
                  <c:v>1.0380153980804607E-7</c:v>
                </c:pt>
                <c:pt idx="184">
                  <c:v>5.5617121574869088E-8</c:v>
                </c:pt>
                <c:pt idx="185">
                  <c:v>7.2575431886434671E-8</c:v>
                </c:pt>
                <c:pt idx="186">
                  <c:v>2.6911430950349313E-7</c:v>
                </c:pt>
                <c:pt idx="187">
                  <c:v>8.8286242316826247E-8</c:v>
                </c:pt>
                <c:pt idx="188">
                  <c:v>4.5306149942803131E-8</c:v>
                </c:pt>
                <c:pt idx="189">
                  <c:v>4.8742600711193518E-7</c:v>
                </c:pt>
                <c:pt idx="190">
                  <c:v>3.1312923454152042E-7</c:v>
                </c:pt>
                <c:pt idx="191">
                  <c:v>2.8521185413410421E-9</c:v>
                </c:pt>
                <c:pt idx="192">
                  <c:v>2.6505926342679231E-7</c:v>
                </c:pt>
                <c:pt idx="193">
                  <c:v>3.0685512797390402E-7</c:v>
                </c:pt>
                <c:pt idx="194">
                  <c:v>3.7471596670002327E-7</c:v>
                </c:pt>
                <c:pt idx="195">
                  <c:v>2.7581401695897512E-7</c:v>
                </c:pt>
                <c:pt idx="196">
                  <c:v>3.6051983443030622E-7</c:v>
                </c:pt>
                <c:pt idx="197">
                  <c:v>4.0141750901057094E-7</c:v>
                </c:pt>
                <c:pt idx="198">
                  <c:v>9.3530786671180977E-8</c:v>
                </c:pt>
                <c:pt idx="199">
                  <c:v>2.0006019951779308E-7</c:v>
                </c:pt>
                <c:pt idx="200">
                  <c:v>8.3587679000629578E-8</c:v>
                </c:pt>
                <c:pt idx="201">
                  <c:v>4.6919774376874557E-7</c:v>
                </c:pt>
                <c:pt idx="202">
                  <c:v>3.5076399740319175E-7</c:v>
                </c:pt>
                <c:pt idx="203">
                  <c:v>1.0810245498760196E-7</c:v>
                </c:pt>
                <c:pt idx="204">
                  <c:v>3.6607070796890184E-7</c:v>
                </c:pt>
                <c:pt idx="205">
                  <c:v>8.5076848677090311E-8</c:v>
                </c:pt>
                <c:pt idx="206">
                  <c:v>4.2560446900097304E-7</c:v>
                </c:pt>
                <c:pt idx="207">
                  <c:v>3.1179109782897285E-7</c:v>
                </c:pt>
                <c:pt idx="208">
                  <c:v>2.8021685238854843E-7</c:v>
                </c:pt>
                <c:pt idx="209">
                  <c:v>1.2572796492804628E-7</c:v>
                </c:pt>
                <c:pt idx="210">
                  <c:v>7.2654927407711511E-8</c:v>
                </c:pt>
                <c:pt idx="211">
                  <c:v>4.769519534875144E-7</c:v>
                </c:pt>
                <c:pt idx="212">
                  <c:v>8.5287751971918624E-8</c:v>
                </c:pt>
                <c:pt idx="213">
                  <c:v>2.5465482167419395E-8</c:v>
                </c:pt>
                <c:pt idx="214">
                  <c:v>2.3450414232684125E-7</c:v>
                </c:pt>
                <c:pt idx="215">
                  <c:v>4.2492173690789059E-7</c:v>
                </c:pt>
                <c:pt idx="216">
                  <c:v>4.1177770526701352E-7</c:v>
                </c:pt>
                <c:pt idx="217">
                  <c:v>4.8313351896922541E-7</c:v>
                </c:pt>
                <c:pt idx="218">
                  <c:v>1.6184475271074916E-7</c:v>
                </c:pt>
                <c:pt idx="219">
                  <c:v>2.2825315681984648E-7</c:v>
                </c:pt>
                <c:pt idx="220">
                  <c:v>4.554551651381189E-7</c:v>
                </c:pt>
                <c:pt idx="221">
                  <c:v>4.0035172332864022E-7</c:v>
                </c:pt>
                <c:pt idx="222">
                  <c:v>2.9195359729783377E-7</c:v>
                </c:pt>
                <c:pt idx="223">
                  <c:v>3.7009095876783249E-7</c:v>
                </c:pt>
                <c:pt idx="224">
                  <c:v>1.3582746305473847E-7</c:v>
                </c:pt>
                <c:pt idx="225">
                  <c:v>4.978828087587317E-7</c:v>
                </c:pt>
                <c:pt idx="226">
                  <c:v>2.7071394015365513E-9</c:v>
                </c:pt>
                <c:pt idx="227">
                  <c:v>1.4821776517237595E-7</c:v>
                </c:pt>
                <c:pt idx="228">
                  <c:v>4.171374712313991E-8</c:v>
                </c:pt>
                <c:pt idx="229">
                  <c:v>5.029070848650008E-8</c:v>
                </c:pt>
                <c:pt idx="230">
                  <c:v>1.7318126310783555E-7</c:v>
                </c:pt>
                <c:pt idx="231">
                  <c:v>2.8745523650286486E-7</c:v>
                </c:pt>
                <c:pt idx="232">
                  <c:v>5.6156573613463934E-8</c:v>
                </c:pt>
                <c:pt idx="233">
                  <c:v>2.7559280146860488E-7</c:v>
                </c:pt>
                <c:pt idx="234">
                  <c:v>2.0245289533704636E-7</c:v>
                </c:pt>
                <c:pt idx="235">
                  <c:v>3.165007917971252E-7</c:v>
                </c:pt>
                <c:pt idx="236">
                  <c:v>2.9709707405345398E-7</c:v>
                </c:pt>
                <c:pt idx="237">
                  <c:v>4.9749913699770332E-7</c:v>
                </c:pt>
                <c:pt idx="238">
                  <c:v>3.9798081274966535E-7</c:v>
                </c:pt>
                <c:pt idx="239">
                  <c:v>2.2873817329127633E-7</c:v>
                </c:pt>
                <c:pt idx="240">
                  <c:v>1.2440585805961746E-7</c:v>
                </c:pt>
                <c:pt idx="241">
                  <c:v>3.2214779821515549E-7</c:v>
                </c:pt>
                <c:pt idx="242">
                  <c:v>2.0785907395293179E-7</c:v>
                </c:pt>
                <c:pt idx="243">
                  <c:v>4.344761634911265E-7</c:v>
                </c:pt>
                <c:pt idx="244">
                  <c:v>2.9985181981828646E-7</c:v>
                </c:pt>
                <c:pt idx="245">
                  <c:v>3.5636776374303736E-7</c:v>
                </c:pt>
                <c:pt idx="246">
                  <c:v>5.5012833399814554E-8</c:v>
                </c:pt>
                <c:pt idx="247">
                  <c:v>2.8970703169761691E-7</c:v>
                </c:pt>
                <c:pt idx="248">
                  <c:v>4.4339788018987747E-7</c:v>
                </c:pt>
                <c:pt idx="249">
                  <c:v>5.5715702274028445E-8</c:v>
                </c:pt>
                <c:pt idx="250">
                  <c:v>2.2310641156764177E-7</c:v>
                </c:pt>
                <c:pt idx="251">
                  <c:v>9.4827214525139425E-8</c:v>
                </c:pt>
                <c:pt idx="252">
                  <c:v>1.5753471416246612E-8</c:v>
                </c:pt>
                <c:pt idx="253">
                  <c:v>3.0070816592342453E-7</c:v>
                </c:pt>
                <c:pt idx="254">
                  <c:v>3.395102510239667E-7</c:v>
                </c:pt>
                <c:pt idx="255">
                  <c:v>4.1462897115707165E-8</c:v>
                </c:pt>
                <c:pt idx="256">
                  <c:v>3.0190557254172745E-7</c:v>
                </c:pt>
                <c:pt idx="257">
                  <c:v>1.7493324122597187E-7</c:v>
                </c:pt>
                <c:pt idx="258">
                  <c:v>9.1504304577938456E-8</c:v>
                </c:pt>
                <c:pt idx="259">
                  <c:v>1.6953505710404215E-8</c:v>
                </c:pt>
                <c:pt idx="260">
                  <c:v>6.4876019223447656E-8</c:v>
                </c:pt>
                <c:pt idx="261">
                  <c:v>1.4299411077445257E-7</c:v>
                </c:pt>
                <c:pt idx="262">
                  <c:v>3.4063993403776749E-7</c:v>
                </c:pt>
                <c:pt idx="263">
                  <c:v>1.7923355244420236E-8</c:v>
                </c:pt>
                <c:pt idx="264">
                  <c:v>1.8215230568330298E-7</c:v>
                </c:pt>
                <c:pt idx="265">
                  <c:v>4.3772737967628927E-7</c:v>
                </c:pt>
                <c:pt idx="266">
                  <c:v>3.5257615849104695E-7</c:v>
                </c:pt>
                <c:pt idx="267">
                  <c:v>3.378227404482459E-7</c:v>
                </c:pt>
                <c:pt idx="268">
                  <c:v>4.6936631292737729E-7</c:v>
                </c:pt>
                <c:pt idx="269">
                  <c:v>3.3519648923174827E-7</c:v>
                </c:pt>
                <c:pt idx="270">
                  <c:v>4.4196701765031321E-7</c:v>
                </c:pt>
                <c:pt idx="271">
                  <c:v>2.9307553262025721E-7</c:v>
                </c:pt>
                <c:pt idx="272">
                  <c:v>1.445762904950243E-7</c:v>
                </c:pt>
                <c:pt idx="273">
                  <c:v>3.2434256524993543E-7</c:v>
                </c:pt>
                <c:pt idx="274">
                  <c:v>4.6104595696760953E-8</c:v>
                </c:pt>
                <c:pt idx="275">
                  <c:v>2.1618848222715314E-7</c:v>
                </c:pt>
                <c:pt idx="276">
                  <c:v>1.3581679780827471E-8</c:v>
                </c:pt>
                <c:pt idx="277">
                  <c:v>4.1003801243277849E-7</c:v>
                </c:pt>
                <c:pt idx="278">
                  <c:v>2.522594400033995E-7</c:v>
                </c:pt>
                <c:pt idx="279">
                  <c:v>8.6971851942507783E-9</c:v>
                </c:pt>
                <c:pt idx="280">
                  <c:v>3.4029270068458572E-7</c:v>
                </c:pt>
                <c:pt idx="281">
                  <c:v>2.546229893596319E-7</c:v>
                </c:pt>
                <c:pt idx="282">
                  <c:v>2.1429244156934146E-8</c:v>
                </c:pt>
                <c:pt idx="283">
                  <c:v>2.3878942556621041E-7</c:v>
                </c:pt>
                <c:pt idx="284">
                  <c:v>2.3214106192881445E-8</c:v>
                </c:pt>
                <c:pt idx="285">
                  <c:v>3.2906737601479108E-7</c:v>
                </c:pt>
                <c:pt idx="286">
                  <c:v>1.9358477487685377E-7</c:v>
                </c:pt>
                <c:pt idx="287">
                  <c:v>2.9359182462940225E-7</c:v>
                </c:pt>
                <c:pt idx="288">
                  <c:v>5.3680498268704469E-8</c:v>
                </c:pt>
                <c:pt idx="289">
                  <c:v>4.6726626123927417E-7</c:v>
                </c:pt>
                <c:pt idx="290">
                  <c:v>6.3359664181916742E-8</c:v>
                </c:pt>
                <c:pt idx="291">
                  <c:v>4.6570343670282455E-7</c:v>
                </c:pt>
                <c:pt idx="292">
                  <c:v>4.7488623522440321E-7</c:v>
                </c:pt>
                <c:pt idx="293">
                  <c:v>3.269086619184236E-7</c:v>
                </c:pt>
                <c:pt idx="294">
                  <c:v>5.4734300647396594E-8</c:v>
                </c:pt>
                <c:pt idx="295">
                  <c:v>4.2250837850588141E-7</c:v>
                </c:pt>
                <c:pt idx="296">
                  <c:v>2.0663685518229613E-7</c:v>
                </c:pt>
                <c:pt idx="297">
                  <c:v>4.4689616629511875E-7</c:v>
                </c:pt>
                <c:pt idx="298">
                  <c:v>3.0531901984431897E-7</c:v>
                </c:pt>
                <c:pt idx="299">
                  <c:v>4.4515999775285309E-7</c:v>
                </c:pt>
                <c:pt idx="300">
                  <c:v>7.2309802590098116E-10</c:v>
                </c:pt>
                <c:pt idx="301">
                  <c:v>4.2226145779977742E-7</c:v>
                </c:pt>
                <c:pt idx="302">
                  <c:v>2.0670177036663517E-7</c:v>
                </c:pt>
                <c:pt idx="303">
                  <c:v>2.0860092320162948E-8</c:v>
                </c:pt>
                <c:pt idx="304">
                  <c:v>4.1854491428239271E-7</c:v>
                </c:pt>
                <c:pt idx="305">
                  <c:v>2.1645786318913451E-7</c:v>
                </c:pt>
                <c:pt idx="306">
                  <c:v>2.3714392227702774E-7</c:v>
                </c:pt>
                <c:pt idx="307">
                  <c:v>2.0995095439957367E-7</c:v>
                </c:pt>
                <c:pt idx="308">
                  <c:v>2.5557324079272803E-7</c:v>
                </c:pt>
                <c:pt idx="309">
                  <c:v>2.3869607446158625E-7</c:v>
                </c:pt>
                <c:pt idx="310">
                  <c:v>4.4384302100297646E-7</c:v>
                </c:pt>
                <c:pt idx="311">
                  <c:v>1.8135881418857025E-7</c:v>
                </c:pt>
                <c:pt idx="312">
                  <c:v>3.7513905226660427E-7</c:v>
                </c:pt>
                <c:pt idx="313">
                  <c:v>4.2139291167586634E-8</c:v>
                </c:pt>
                <c:pt idx="314">
                  <c:v>2.59833385030106E-7</c:v>
                </c:pt>
                <c:pt idx="315">
                  <c:v>2.1768414626421873E-7</c:v>
                </c:pt>
                <c:pt idx="316">
                  <c:v>4.9034883886633907E-7</c:v>
                </c:pt>
                <c:pt idx="317">
                  <c:v>1.7331921497998337E-7</c:v>
                </c:pt>
                <c:pt idx="318">
                  <c:v>3.8532840562766069E-7</c:v>
                </c:pt>
                <c:pt idx="319">
                  <c:v>1.9005078399914055E-7</c:v>
                </c:pt>
                <c:pt idx="320">
                  <c:v>2.3161476292443695E-7</c:v>
                </c:pt>
                <c:pt idx="321">
                  <c:v>2.461117105667654E-7</c:v>
                </c:pt>
                <c:pt idx="322">
                  <c:v>4.8984534828377946E-7</c:v>
                </c:pt>
                <c:pt idx="323">
                  <c:v>1.2012301908725931E-7</c:v>
                </c:pt>
                <c:pt idx="324">
                  <c:v>3.1247790843735856E-7</c:v>
                </c:pt>
                <c:pt idx="325">
                  <c:v>4.1820082685717352E-7</c:v>
                </c:pt>
                <c:pt idx="326">
                  <c:v>2.7095551580202937E-7</c:v>
                </c:pt>
                <c:pt idx="327">
                  <c:v>2.1188640175751061E-7</c:v>
                </c:pt>
                <c:pt idx="328">
                  <c:v>2.2857988568603105E-7</c:v>
                </c:pt>
                <c:pt idx="329">
                  <c:v>2.4502645601387485E-7</c:v>
                </c:pt>
                <c:pt idx="330">
                  <c:v>4.4968814449930505E-8</c:v>
                </c:pt>
                <c:pt idx="331">
                  <c:v>4.734367280434526E-7</c:v>
                </c:pt>
                <c:pt idx="332">
                  <c:v>3.0145417895255378E-7</c:v>
                </c:pt>
                <c:pt idx="333">
                  <c:v>1.5577342082906398E-7</c:v>
                </c:pt>
                <c:pt idx="334">
                  <c:v>4.8446500500176626E-7</c:v>
                </c:pt>
                <c:pt idx="335">
                  <c:v>1.2606335531017976E-8</c:v>
                </c:pt>
                <c:pt idx="336">
                  <c:v>1.8103968102423096E-7</c:v>
                </c:pt>
                <c:pt idx="337">
                  <c:v>8.1467703694215743E-8</c:v>
                </c:pt>
                <c:pt idx="338">
                  <c:v>3.0129504580145294E-7</c:v>
                </c:pt>
                <c:pt idx="339">
                  <c:v>4.0667885059519904E-8</c:v>
                </c:pt>
                <c:pt idx="340">
                  <c:v>5.0024802078496577E-8</c:v>
                </c:pt>
                <c:pt idx="341">
                  <c:v>2.8010489927510207E-7</c:v>
                </c:pt>
                <c:pt idx="342">
                  <c:v>2.9026557513134321E-7</c:v>
                </c:pt>
                <c:pt idx="343">
                  <c:v>4.5823277616818814E-7</c:v>
                </c:pt>
                <c:pt idx="344">
                  <c:v>2.8725946776830824E-7</c:v>
                </c:pt>
                <c:pt idx="345">
                  <c:v>2.6105471917503564E-7</c:v>
                </c:pt>
                <c:pt idx="346">
                  <c:v>1.1458688220500335E-7</c:v>
                </c:pt>
                <c:pt idx="347">
                  <c:v>1.4619877219956834E-7</c:v>
                </c:pt>
                <c:pt idx="348">
                  <c:v>1.0210868595095235E-7</c:v>
                </c:pt>
                <c:pt idx="349">
                  <c:v>3.9059197387558697E-7</c:v>
                </c:pt>
                <c:pt idx="350">
                  <c:v>1.2267229010376468E-8</c:v>
                </c:pt>
                <c:pt idx="351">
                  <c:v>2.371481855334423E-7</c:v>
                </c:pt>
                <c:pt idx="352">
                  <c:v>3.3697392609610688E-7</c:v>
                </c:pt>
                <c:pt idx="353">
                  <c:v>3.5781832252723689E-7</c:v>
                </c:pt>
                <c:pt idx="354">
                  <c:v>2.3072811927704606E-7</c:v>
                </c:pt>
                <c:pt idx="355">
                  <c:v>7.697923365412862E-8</c:v>
                </c:pt>
                <c:pt idx="356">
                  <c:v>1.5840697642488522E-7</c:v>
                </c:pt>
                <c:pt idx="357">
                  <c:v>4.1461410305032587E-7</c:v>
                </c:pt>
                <c:pt idx="358">
                  <c:v>3.7421162346618075E-7</c:v>
                </c:pt>
                <c:pt idx="359">
                  <c:v>8.0050938544573569E-8</c:v>
                </c:pt>
                <c:pt idx="360">
                  <c:v>2.5350269083901367E-7</c:v>
                </c:pt>
                <c:pt idx="361">
                  <c:v>3.5778900553395943E-7</c:v>
                </c:pt>
                <c:pt idx="362">
                  <c:v>3.2687225370864326E-7</c:v>
                </c:pt>
                <c:pt idx="363">
                  <c:v>2.2267360577643558E-7</c:v>
                </c:pt>
                <c:pt idx="364">
                  <c:v>2.1190280108385195E-7</c:v>
                </c:pt>
                <c:pt idx="365">
                  <c:v>7.6918297509109834E-8</c:v>
                </c:pt>
                <c:pt idx="366">
                  <c:v>2.5280016302531294E-7</c:v>
                </c:pt>
                <c:pt idx="367">
                  <c:v>2.6353106363785628E-7</c:v>
                </c:pt>
                <c:pt idx="368">
                  <c:v>4.120678482877338E-7</c:v>
                </c:pt>
                <c:pt idx="369">
                  <c:v>1.7558323861521785E-7</c:v>
                </c:pt>
                <c:pt idx="370">
                  <c:v>2.8221366310532403E-7</c:v>
                </c:pt>
                <c:pt idx="371">
                  <c:v>1.0595289268167107E-7</c:v>
                </c:pt>
                <c:pt idx="372">
                  <c:v>1.4880578191878158E-7</c:v>
                </c:pt>
                <c:pt idx="373">
                  <c:v>1.5413476006642668E-7</c:v>
                </c:pt>
                <c:pt idx="374">
                  <c:v>2.4391471242779517E-7</c:v>
                </c:pt>
                <c:pt idx="375">
                  <c:v>1.9177966237293731E-7</c:v>
                </c:pt>
                <c:pt idx="376">
                  <c:v>3.149789549183879E-7</c:v>
                </c:pt>
                <c:pt idx="377">
                  <c:v>1.0452740184518916E-7</c:v>
                </c:pt>
                <c:pt idx="378">
                  <c:v>2.7592091100814287E-7</c:v>
                </c:pt>
                <c:pt idx="379">
                  <c:v>5.8797979818336898E-8</c:v>
                </c:pt>
                <c:pt idx="380">
                  <c:v>3.4309789498365717E-7</c:v>
                </c:pt>
                <c:pt idx="381">
                  <c:v>3.7954186637989551E-7</c:v>
                </c:pt>
                <c:pt idx="382">
                  <c:v>1.8276560354024696E-7</c:v>
                </c:pt>
                <c:pt idx="383">
                  <c:v>2.5591215546683088E-7</c:v>
                </c:pt>
                <c:pt idx="384">
                  <c:v>1.3003049348370155E-7</c:v>
                </c:pt>
                <c:pt idx="385">
                  <c:v>2.2415258627006551E-7</c:v>
                </c:pt>
                <c:pt idx="386">
                  <c:v>2.1978942754685704E-7</c:v>
                </c:pt>
                <c:pt idx="387">
                  <c:v>4.7909866651707489E-7</c:v>
                </c:pt>
                <c:pt idx="388">
                  <c:v>1.3726524628054904E-7</c:v>
                </c:pt>
                <c:pt idx="389">
                  <c:v>3.0948041285228101E-7</c:v>
                </c:pt>
                <c:pt idx="390">
                  <c:v>1.2327748777352099E-7</c:v>
                </c:pt>
                <c:pt idx="391">
                  <c:v>1.4129071956858752E-7</c:v>
                </c:pt>
                <c:pt idx="392">
                  <c:v>4.9937392532228841E-7</c:v>
                </c:pt>
                <c:pt idx="393">
                  <c:v>2.2390136678041017E-7</c:v>
                </c:pt>
                <c:pt idx="394">
                  <c:v>2.8752569392054284E-7</c:v>
                </c:pt>
                <c:pt idx="395">
                  <c:v>1.2638599855563371E-7</c:v>
                </c:pt>
                <c:pt idx="396">
                  <c:v>4.8778346695144137E-7</c:v>
                </c:pt>
                <c:pt idx="397">
                  <c:v>9.7031588097706845E-8</c:v>
                </c:pt>
                <c:pt idx="398">
                  <c:v>2.2819369860371808E-7</c:v>
                </c:pt>
                <c:pt idx="399">
                  <c:v>2.5333730491183815E-7</c:v>
                </c:pt>
                <c:pt idx="400">
                  <c:v>1.2472628441173583E-7</c:v>
                </c:pt>
                <c:pt idx="401">
                  <c:v>5.7101190442665484E-8</c:v>
                </c:pt>
                <c:pt idx="402">
                  <c:v>3.8004756675036333E-7</c:v>
                </c:pt>
                <c:pt idx="403">
                  <c:v>2.2666839072371658E-7</c:v>
                </c:pt>
                <c:pt idx="404">
                  <c:v>4.606134922369165E-7</c:v>
                </c:pt>
                <c:pt idx="405">
                  <c:v>3.7283871279214509E-7</c:v>
                </c:pt>
                <c:pt idx="406">
                  <c:v>3.4207738508484908E-7</c:v>
                </c:pt>
                <c:pt idx="407">
                  <c:v>4.5480382482310233E-7</c:v>
                </c:pt>
                <c:pt idx="408">
                  <c:v>7.2924564165077754E-8</c:v>
                </c:pt>
                <c:pt idx="409">
                  <c:v>3.2814480732668017E-7</c:v>
                </c:pt>
                <c:pt idx="410">
                  <c:v>7.2051946631290775E-9</c:v>
                </c:pt>
                <c:pt idx="411">
                  <c:v>2.9291506464801387E-7</c:v>
                </c:pt>
                <c:pt idx="412">
                  <c:v>4.6880222726031207E-7</c:v>
                </c:pt>
                <c:pt idx="413">
                  <c:v>3.1811723033570161E-7</c:v>
                </c:pt>
                <c:pt idx="414">
                  <c:v>4.7164417082967702E-7</c:v>
                </c:pt>
                <c:pt idx="415">
                  <c:v>2.2216081063675119E-7</c:v>
                </c:pt>
                <c:pt idx="416">
                  <c:v>1.2515445213523435E-7</c:v>
                </c:pt>
                <c:pt idx="417">
                  <c:v>5.515874335060289E-8</c:v>
                </c:pt>
                <c:pt idx="418">
                  <c:v>4.8968047394737368E-7</c:v>
                </c:pt>
                <c:pt idx="419">
                  <c:v>2.0172828385511821E-7</c:v>
                </c:pt>
                <c:pt idx="420">
                  <c:v>3.030014852356544E-7</c:v>
                </c:pt>
                <c:pt idx="421">
                  <c:v>1.2386242076445342E-7</c:v>
                </c:pt>
                <c:pt idx="422">
                  <c:v>1.3568896406468411E-7</c:v>
                </c:pt>
                <c:pt idx="423">
                  <c:v>1.1685814627071522E-7</c:v>
                </c:pt>
                <c:pt idx="424">
                  <c:v>5.4187239584280178E-8</c:v>
                </c:pt>
                <c:pt idx="425">
                  <c:v>4.4788760078517953E-7</c:v>
                </c:pt>
                <c:pt idx="426">
                  <c:v>2.0953351054231462E-7</c:v>
                </c:pt>
                <c:pt idx="427">
                  <c:v>4.8167707689117378E-7</c:v>
                </c:pt>
                <c:pt idx="428">
                  <c:v>2.7947493208557717E-8</c:v>
                </c:pt>
                <c:pt idx="429">
                  <c:v>4.9236816579423248E-7</c:v>
                </c:pt>
                <c:pt idx="430">
                  <c:v>3.2042474629179196E-7</c:v>
                </c:pt>
                <c:pt idx="431">
                  <c:v>4.5769880330226442E-7</c:v>
                </c:pt>
                <c:pt idx="432">
                  <c:v>4.9305705829283397E-7</c:v>
                </c:pt>
                <c:pt idx="433">
                  <c:v>2.0397521893755766E-7</c:v>
                </c:pt>
                <c:pt idx="434">
                  <c:v>1.5614125459251227E-7</c:v>
                </c:pt>
                <c:pt idx="435">
                  <c:v>2.0089605357043183E-7</c:v>
                </c:pt>
                <c:pt idx="436">
                  <c:v>3.2491444557081195E-7</c:v>
                </c:pt>
                <c:pt idx="437">
                  <c:v>1.3117848141064314E-7</c:v>
                </c:pt>
                <c:pt idx="438">
                  <c:v>4.2083433982043061E-7</c:v>
                </c:pt>
                <c:pt idx="439">
                  <c:v>1.2779655378380994E-7</c:v>
                </c:pt>
                <c:pt idx="440">
                  <c:v>2.003638428504928E-7</c:v>
                </c:pt>
                <c:pt idx="441">
                  <c:v>3.0761975722271018E-7</c:v>
                </c:pt>
                <c:pt idx="442">
                  <c:v>3.7345578363101595E-7</c:v>
                </c:pt>
                <c:pt idx="443">
                  <c:v>1.4633876332936779E-7</c:v>
                </c:pt>
                <c:pt idx="444">
                  <c:v>4.7879166942266238E-7</c:v>
                </c:pt>
                <c:pt idx="445">
                  <c:v>1.6505174471603823E-7</c:v>
                </c:pt>
                <c:pt idx="446">
                  <c:v>3.4970497608810547E-8</c:v>
                </c:pt>
                <c:pt idx="447">
                  <c:v>1.6809053704491816E-8</c:v>
                </c:pt>
                <c:pt idx="448">
                  <c:v>3.0712936904819799E-7</c:v>
                </c:pt>
                <c:pt idx="449">
                  <c:v>7.5703312063524208E-8</c:v>
                </c:pt>
                <c:pt idx="450">
                  <c:v>1.3635670370604203E-8</c:v>
                </c:pt>
                <c:pt idx="451">
                  <c:v>1.6534704627702013E-7</c:v>
                </c:pt>
                <c:pt idx="452">
                  <c:v>3.0486609148283605E-7</c:v>
                </c:pt>
                <c:pt idx="453">
                  <c:v>1.7360434867441654E-7</c:v>
                </c:pt>
                <c:pt idx="454">
                  <c:v>2.2808671928942204E-7</c:v>
                </c:pt>
                <c:pt idx="455">
                  <c:v>1.8652383459993871E-7</c:v>
                </c:pt>
                <c:pt idx="456">
                  <c:v>3.5135286680088029E-7</c:v>
                </c:pt>
                <c:pt idx="457">
                  <c:v>6.5088158862636192E-8</c:v>
                </c:pt>
                <c:pt idx="458">
                  <c:v>4.2707759462246031E-7</c:v>
                </c:pt>
                <c:pt idx="459">
                  <c:v>2.9926441413863358E-7</c:v>
                </c:pt>
                <c:pt idx="460">
                  <c:v>2.1529021410060523E-7</c:v>
                </c:pt>
                <c:pt idx="461">
                  <c:v>9.1766139576066053E-8</c:v>
                </c:pt>
                <c:pt idx="462">
                  <c:v>4.5641229462489719E-8</c:v>
                </c:pt>
                <c:pt idx="463">
                  <c:v>3.4406514259899268E-7</c:v>
                </c:pt>
                <c:pt idx="464">
                  <c:v>1.9079942603639211E-7</c:v>
                </c:pt>
                <c:pt idx="465">
                  <c:v>1.569255800859537E-7</c:v>
                </c:pt>
                <c:pt idx="466">
                  <c:v>4.3286956952215405E-7</c:v>
                </c:pt>
                <c:pt idx="467">
                  <c:v>2.791573194826924E-8</c:v>
                </c:pt>
                <c:pt idx="468">
                  <c:v>2.377977779133289E-7</c:v>
                </c:pt>
                <c:pt idx="469">
                  <c:v>2.9669701007151161E-7</c:v>
                </c:pt>
                <c:pt idx="470">
                  <c:v>1.3040806945419092E-7</c:v>
                </c:pt>
                <c:pt idx="471">
                  <c:v>1.8669230428258743E-7</c:v>
                </c:pt>
                <c:pt idx="472">
                  <c:v>1.0329665656172438E-7</c:v>
                </c:pt>
                <c:pt idx="473">
                  <c:v>2.8239062288548666E-7</c:v>
                </c:pt>
                <c:pt idx="474">
                  <c:v>3.5110539542415609E-7</c:v>
                </c:pt>
                <c:pt idx="475">
                  <c:v>1.185309486118058E-7</c:v>
                </c:pt>
                <c:pt idx="476">
                  <c:v>2.5525275759719079E-7</c:v>
                </c:pt>
                <c:pt idx="477">
                  <c:v>4.20877981355261E-7</c:v>
                </c:pt>
                <c:pt idx="478">
                  <c:v>1.1907786756637506E-7</c:v>
                </c:pt>
                <c:pt idx="479">
                  <c:v>4.2471813799238589E-7</c:v>
                </c:pt>
                <c:pt idx="480">
                  <c:v>2.292266039205515E-7</c:v>
                </c:pt>
                <c:pt idx="481">
                  <c:v>2.9189661177042581E-7</c:v>
                </c:pt>
                <c:pt idx="482">
                  <c:v>1.0128712801815709E-7</c:v>
                </c:pt>
                <c:pt idx="483">
                  <c:v>6.8279007336968789E-8</c:v>
                </c:pt>
                <c:pt idx="484">
                  <c:v>9.1048661943204934E-9</c:v>
                </c:pt>
                <c:pt idx="485">
                  <c:v>9.689583180261252E-8</c:v>
                </c:pt>
                <c:pt idx="486">
                  <c:v>1.422570505837939E-7</c:v>
                </c:pt>
                <c:pt idx="487">
                  <c:v>5.4738734434067737E-8</c:v>
                </c:pt>
                <c:pt idx="488">
                  <c:v>2.5195186026394367E-7</c:v>
                </c:pt>
                <c:pt idx="489">
                  <c:v>1.3846179314214169E-7</c:v>
                </c:pt>
                <c:pt idx="490">
                  <c:v>4.2467534910883842E-7</c:v>
                </c:pt>
                <c:pt idx="491">
                  <c:v>3.8677808333886787E-7</c:v>
                </c:pt>
                <c:pt idx="492">
                  <c:v>4.7677843895144179E-7</c:v>
                </c:pt>
                <c:pt idx="493">
                  <c:v>4.6668992581544444E-7</c:v>
                </c:pt>
                <c:pt idx="494">
                  <c:v>1.9936067019443726E-8</c:v>
                </c:pt>
                <c:pt idx="495">
                  <c:v>2.2935557808523299E-7</c:v>
                </c:pt>
                <c:pt idx="496">
                  <c:v>4.6778708906458633E-8</c:v>
                </c:pt>
                <c:pt idx="497">
                  <c:v>3.7620992543452303E-7</c:v>
                </c:pt>
                <c:pt idx="498">
                  <c:v>3.1942704481480177E-7</c:v>
                </c:pt>
                <c:pt idx="499">
                  <c:v>2.8341071356408065E-7</c:v>
                </c:pt>
                <c:pt idx="500">
                  <c:v>3.0982096177467611E-7</c:v>
                </c:pt>
                <c:pt idx="501">
                  <c:v>2.9222934472272755E-7</c:v>
                </c:pt>
                <c:pt idx="502">
                  <c:v>4.7076746056973207E-8</c:v>
                </c:pt>
                <c:pt idx="503">
                  <c:v>2.615542129547066E-7</c:v>
                </c:pt>
                <c:pt idx="504">
                  <c:v>4.1217106172553031E-7</c:v>
                </c:pt>
                <c:pt idx="505">
                  <c:v>9.7334080351174634E-8</c:v>
                </c:pt>
                <c:pt idx="506">
                  <c:v>1.3539519727601146E-8</c:v>
                </c:pt>
                <c:pt idx="507">
                  <c:v>5.8737839481182164E-8</c:v>
                </c:pt>
                <c:pt idx="508">
                  <c:v>4.4519595121528255E-7</c:v>
                </c:pt>
                <c:pt idx="509">
                  <c:v>9.631474995330791E-8</c:v>
                </c:pt>
                <c:pt idx="510">
                  <c:v>3.3339341598548344E-7</c:v>
                </c:pt>
                <c:pt idx="511">
                  <c:v>3.8374446376110427E-7</c:v>
                </c:pt>
                <c:pt idx="512">
                  <c:v>1.4594814956581104E-7</c:v>
                </c:pt>
                <c:pt idx="513">
                  <c:v>4.3909136593356379E-7</c:v>
                </c:pt>
                <c:pt idx="514">
                  <c:v>2.1214964363025501E-7</c:v>
                </c:pt>
                <c:pt idx="515">
                  <c:v>3.1658606758355745E-7</c:v>
                </c:pt>
                <c:pt idx="516">
                  <c:v>1.2799198856328076E-7</c:v>
                </c:pt>
                <c:pt idx="517">
                  <c:v>1.9241527704494388E-8</c:v>
                </c:pt>
                <c:pt idx="518">
                  <c:v>4.1268910422331828E-7</c:v>
                </c:pt>
                <c:pt idx="519">
                  <c:v>3.689773393489304E-7</c:v>
                </c:pt>
                <c:pt idx="520">
                  <c:v>2.0235516018374256E-7</c:v>
                </c:pt>
                <c:pt idx="521">
                  <c:v>4.7406004100025712E-7</c:v>
                </c:pt>
                <c:pt idx="522">
                  <c:v>2.8439868060559093E-7</c:v>
                </c:pt>
                <c:pt idx="523">
                  <c:v>1.7225648107910274E-7</c:v>
                </c:pt>
                <c:pt idx="524">
                  <c:v>3.2703280794521561E-7</c:v>
                </c:pt>
                <c:pt idx="525">
                  <c:v>5.9985794109707058E-8</c:v>
                </c:pt>
                <c:pt idx="526">
                  <c:v>2.1594223653664812E-7</c:v>
                </c:pt>
                <c:pt idx="527">
                  <c:v>2.5196976594088483E-7</c:v>
                </c:pt>
                <c:pt idx="528">
                  <c:v>3.351804309659201E-7</c:v>
                </c:pt>
                <c:pt idx="529">
                  <c:v>4.0456325223203748E-7</c:v>
                </c:pt>
                <c:pt idx="530">
                  <c:v>1.3512737950804876E-7</c:v>
                </c:pt>
                <c:pt idx="531">
                  <c:v>6.4979246872098884E-8</c:v>
                </c:pt>
                <c:pt idx="532">
                  <c:v>4.7095625177462352E-8</c:v>
                </c:pt>
                <c:pt idx="533">
                  <c:v>4.4358722561810282E-7</c:v>
                </c:pt>
                <c:pt idx="534">
                  <c:v>8.0890970366453985E-8</c:v>
                </c:pt>
                <c:pt idx="535">
                  <c:v>4.5323264430408017E-7</c:v>
                </c:pt>
                <c:pt idx="536">
                  <c:v>4.9557849024495226E-7</c:v>
                </c:pt>
                <c:pt idx="537">
                  <c:v>3.8769934462834499E-7</c:v>
                </c:pt>
                <c:pt idx="538">
                  <c:v>1.3234702578301949E-7</c:v>
                </c:pt>
                <c:pt idx="539">
                  <c:v>3.8202955465749255E-7</c:v>
                </c:pt>
                <c:pt idx="540">
                  <c:v>1.3087918659948627E-7</c:v>
                </c:pt>
                <c:pt idx="541">
                  <c:v>2.3406047944263264E-7</c:v>
                </c:pt>
                <c:pt idx="542">
                  <c:v>1.2287671324884286E-8</c:v>
                </c:pt>
                <c:pt idx="543">
                  <c:v>4.0358435171583551E-7</c:v>
                </c:pt>
                <c:pt idx="544">
                  <c:v>4.4666889209565852E-7</c:v>
                </c:pt>
                <c:pt idx="545">
                  <c:v>3.7697139987358241E-7</c:v>
                </c:pt>
                <c:pt idx="546">
                  <c:v>2.8014426334266318E-7</c:v>
                </c:pt>
                <c:pt idx="547">
                  <c:v>2.7948232173002907E-8</c:v>
                </c:pt>
                <c:pt idx="548">
                  <c:v>3.0034846076887334E-7</c:v>
                </c:pt>
                <c:pt idx="549">
                  <c:v>1.9607142576205661E-9</c:v>
                </c:pt>
                <c:pt idx="550">
                  <c:v>3.2526767768104037E-7</c:v>
                </c:pt>
                <c:pt idx="551">
                  <c:v>3.4270013316017867E-7</c:v>
                </c:pt>
                <c:pt idx="552">
                  <c:v>3.163714836773579E-7</c:v>
                </c:pt>
                <c:pt idx="553">
                  <c:v>2.5037820705620106E-7</c:v>
                </c:pt>
                <c:pt idx="554">
                  <c:v>2.9466832529578824E-8</c:v>
                </c:pt>
                <c:pt idx="555">
                  <c:v>3.1074711870360261E-7</c:v>
                </c:pt>
                <c:pt idx="556">
                  <c:v>4.3980315922453883E-7</c:v>
                </c:pt>
                <c:pt idx="557">
                  <c:v>3.9988232369836396E-7</c:v>
                </c:pt>
                <c:pt idx="558">
                  <c:v>1.1967121338329889E-7</c:v>
                </c:pt>
                <c:pt idx="559">
                  <c:v>2.7815360681415768E-7</c:v>
                </c:pt>
                <c:pt idx="560">
                  <c:v>1.1035497493594448E-7</c:v>
                </c:pt>
                <c:pt idx="561">
                  <c:v>1.1180856063219835E-7</c:v>
                </c:pt>
                <c:pt idx="562">
                  <c:v>2.5126152536358859E-7</c:v>
                </c:pt>
                <c:pt idx="563">
                  <c:v>7.7194783898448804E-9</c:v>
                </c:pt>
                <c:pt idx="564">
                  <c:v>3.0944732998250402E-7</c:v>
                </c:pt>
                <c:pt idx="565">
                  <c:v>3.3027504287019838E-7</c:v>
                </c:pt>
                <c:pt idx="566">
                  <c:v>1.2565642748540995E-7</c:v>
                </c:pt>
                <c:pt idx="567">
                  <c:v>2.5337789111290476E-7</c:v>
                </c:pt>
                <c:pt idx="568">
                  <c:v>1.2224839451846492E-7</c:v>
                </c:pt>
                <c:pt idx="569">
                  <c:v>3.3930461995623773E-7</c:v>
                </c:pt>
                <c:pt idx="570">
                  <c:v>3.7994178114786337E-7</c:v>
                </c:pt>
                <c:pt idx="571">
                  <c:v>1.6195247098949039E-7</c:v>
                </c:pt>
                <c:pt idx="572">
                  <c:v>4.2025924784638846E-7</c:v>
                </c:pt>
                <c:pt idx="573">
                  <c:v>9.6920302894432098E-8</c:v>
                </c:pt>
                <c:pt idx="574">
                  <c:v>3.0093573855083378E-7</c:v>
                </c:pt>
                <c:pt idx="575">
                  <c:v>9.0041694988940435E-8</c:v>
                </c:pt>
                <c:pt idx="576">
                  <c:v>3.1199952132965336E-7</c:v>
                </c:pt>
                <c:pt idx="577">
                  <c:v>2.217548527028157E-7</c:v>
                </c:pt>
                <c:pt idx="578">
                  <c:v>1.0300186659151223E-7</c:v>
                </c:pt>
                <c:pt idx="579">
                  <c:v>2.7225416943110758E-7</c:v>
                </c:pt>
                <c:pt idx="580">
                  <c:v>2.9327739525797369E-7</c:v>
                </c:pt>
                <c:pt idx="581">
                  <c:v>4.3813426486849494E-7</c:v>
                </c:pt>
                <c:pt idx="582">
                  <c:v>1.6490687926307146E-7</c:v>
                </c:pt>
                <c:pt idx="583">
                  <c:v>1.7286571107888449E-7</c:v>
                </c:pt>
                <c:pt idx="584">
                  <c:v>1.7036870758602163E-7</c:v>
                </c:pt>
                <c:pt idx="585">
                  <c:v>3.4427293371663836E-7</c:v>
                </c:pt>
                <c:pt idx="586">
                  <c:v>2.6713343004303169E-7</c:v>
                </c:pt>
                <c:pt idx="587">
                  <c:v>2.9565757131422288E-7</c:v>
                </c:pt>
                <c:pt idx="588">
                  <c:v>1.2548625250019541E-7</c:v>
                </c:pt>
                <c:pt idx="589">
                  <c:v>4.6814638920977814E-7</c:v>
                </c:pt>
                <c:pt idx="590">
                  <c:v>3.7237464312056545E-7</c:v>
                </c:pt>
                <c:pt idx="591">
                  <c:v>3.1637785724569767E-7</c:v>
                </c:pt>
                <c:pt idx="592">
                  <c:v>4.7976803330129769E-7</c:v>
                </c:pt>
                <c:pt idx="593">
                  <c:v>7.5862260473513743E-8</c:v>
                </c:pt>
                <c:pt idx="594">
                  <c:v>4.1808968376244593E-7</c:v>
                </c:pt>
                <c:pt idx="595">
                  <c:v>4.7578178197227317E-7</c:v>
                </c:pt>
                <c:pt idx="596">
                  <c:v>2.0127455968577124E-7</c:v>
                </c:pt>
                <c:pt idx="597">
                  <c:v>1.9190133571100887E-7</c:v>
                </c:pt>
                <c:pt idx="598">
                  <c:v>4.2555183199510793E-7</c:v>
                </c:pt>
                <c:pt idx="599">
                  <c:v>1.0254558446831652E-7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90B-4BDF-81FE-31228514EB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5032712"/>
        <c:axId val="556023152"/>
      </c:scatterChart>
      <c:valAx>
        <c:axId val="445032712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baseline="0">
                    <a:effectLst/>
                  </a:rPr>
                  <a:t>distance [m]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6023152"/>
        <c:crosses val="autoZero"/>
        <c:crossBetween val="midCat"/>
      </c:valAx>
      <c:valAx>
        <c:axId val="556023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/>
                  <a:t>Δ </a:t>
                </a:r>
                <a:r>
                  <a:rPr lang="en-US"/>
                  <a:t>azimuth [degrees]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032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13140</xdr:colOff>
      <xdr:row>10</xdr:row>
      <xdr:rowOff>27710</xdr:rowOff>
    </xdr:from>
    <xdr:to>
      <xdr:col>21</xdr:col>
      <xdr:colOff>286767</xdr:colOff>
      <xdr:row>33</xdr:row>
      <xdr:rowOff>16809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F71B777-825F-480C-9BB7-CFC9B356DA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18845</xdr:colOff>
      <xdr:row>35</xdr:row>
      <xdr:rowOff>15280</xdr:rowOff>
    </xdr:from>
    <xdr:to>
      <xdr:col>21</xdr:col>
      <xdr:colOff>321914</xdr:colOff>
      <xdr:row>56</xdr:row>
      <xdr:rowOff>162485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61134DE-B317-4257-BEE9-1084D17535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407</xdr:colOff>
      <xdr:row>58</xdr:row>
      <xdr:rowOff>4075</xdr:rowOff>
    </xdr:from>
    <xdr:to>
      <xdr:col>21</xdr:col>
      <xdr:colOff>239399</xdr:colOff>
      <xdr:row>79</xdr:row>
      <xdr:rowOff>173691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BC8315D6-AB0D-4F9F-A1D0-D765885F49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59392</xdr:colOff>
      <xdr:row>9</xdr:row>
      <xdr:rowOff>121227</xdr:rowOff>
    </xdr:from>
    <xdr:to>
      <xdr:col>8</xdr:col>
      <xdr:colOff>547765</xdr:colOff>
      <xdr:row>32</xdr:row>
      <xdr:rowOff>87023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CF50B808-DA4F-4D5F-B9BF-7E3BA43224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16809</xdr:colOff>
      <xdr:row>35</xdr:row>
      <xdr:rowOff>18846</xdr:rowOff>
    </xdr:from>
    <xdr:to>
      <xdr:col>8</xdr:col>
      <xdr:colOff>503451</xdr:colOff>
      <xdr:row>56</xdr:row>
      <xdr:rowOff>154413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B9101139-BA61-41C3-AC86-C14033EFD2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17827</xdr:colOff>
      <xdr:row>58</xdr:row>
      <xdr:rowOff>21903</xdr:rowOff>
    </xdr:from>
    <xdr:to>
      <xdr:col>8</xdr:col>
      <xdr:colOff>504469</xdr:colOff>
      <xdr:row>79</xdr:row>
      <xdr:rowOff>157468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49336F35-4F86-4A9F-AA15-D77C06448D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963C0087-F216-4D40-A22F-9F142DF2516A}" autoFormatId="16" applyNumberFormats="0" applyBorderFormats="0" applyFontFormats="0" applyPatternFormats="0" applyAlignmentFormats="0" applyWidthHeightFormats="0">
  <queryTableRefresh nextId="10">
    <queryTableFields count="9">
      <queryTableField id="1" name="point1" tableColumnId="1"/>
      <queryTableField id="2" name="lat1" tableColumnId="2"/>
      <queryTableField id="3" name="lon1" tableColumnId="3"/>
      <queryTableField id="4" name="azimuth1to2" tableColumnId="4"/>
      <queryTableField id="5" name="ell_dist" tableColumnId="5"/>
      <queryTableField id="6" name="point2" tableColumnId="6"/>
      <queryTableField id="7" name="lat2" tableColumnId="7"/>
      <queryTableField id="8" name="lon2" tableColumnId="8"/>
      <queryTableField id="9" name="azimuth2to1" tableColumnId="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F0292820-F748-4959-A88C-E5A0469D2F7B}" autoFormatId="16" applyNumberFormats="0" applyBorderFormats="0" applyFontFormats="0" applyPatternFormats="0" applyAlignmentFormats="0" applyWidthHeightFormats="0">
  <queryTableRefresh nextId="10">
    <queryTableFields count="9">
      <queryTableField id="1" name="point1" tableColumnId="1"/>
      <queryTableField id="2" name="lat1" tableColumnId="2"/>
      <queryTableField id="3" name="lon1" tableColumnId="3"/>
      <queryTableField id="4" name="point2" tableColumnId="4"/>
      <queryTableField id="5" name="lat2" tableColumnId="5"/>
      <queryTableField id="6" name="lon2" tableColumnId="6"/>
      <queryTableField id="7" name="ell_dist" tableColumnId="7"/>
      <queryTableField id="8" name="azimuth1to2" tableColumnId="8"/>
      <queryTableField id="9" name="azimuth2to1" tableColumnId="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A525872-B24F-4AC9-9E0A-A4AB81E71BAE}" name="VincentysDirect" displayName="VincentysDirect" ref="A1:I601" tableType="queryTable" totalsRowShown="0">
  <autoFilter ref="A1:I601" xr:uid="{3AEEDDD1-1E57-4F46-86CC-F318205E080E}"/>
  <tableColumns count="9">
    <tableColumn id="1" xr3:uid="{176E5711-DD29-4F83-B3A5-944AAA63D77C}" uniqueName="1" name="point1" queryTableFieldId="1"/>
    <tableColumn id="2" xr3:uid="{845A7CD4-6705-4C64-98FB-C36822DD085F}" uniqueName="2" name="lat1" queryTableFieldId="2"/>
    <tableColumn id="3" xr3:uid="{261B78F6-D853-4892-85E9-F30C7BB7C699}" uniqueName="3" name="lon1" queryTableFieldId="3"/>
    <tableColumn id="4" xr3:uid="{63346606-439F-4DAB-A809-2AA140E01526}" uniqueName="4" name="azimuth1to2" queryTableFieldId="4"/>
    <tableColumn id="5" xr3:uid="{92037E4C-0F1F-4287-A4C0-4FBA147E5E12}" uniqueName="5" name="ell_dist" queryTableFieldId="5"/>
    <tableColumn id="6" xr3:uid="{99A9C85A-E988-4679-A6BE-FE96819554CF}" uniqueName="6" name="point2" queryTableFieldId="6"/>
    <tableColumn id="7" xr3:uid="{CE63AA30-1376-4E4A-BCD4-3A16268BA0C5}" uniqueName="7" name="lat2" queryTableFieldId="7"/>
    <tableColumn id="8" xr3:uid="{42BA806A-A19B-4FE0-8133-B5994A735557}" uniqueName="8" name="lon2" queryTableFieldId="8"/>
    <tableColumn id="9" xr3:uid="{8C526CEB-AB1B-4D9A-97B8-C0307CAD12B9}" uniqueName="9" name="azimuth2to1" queryTableFieldId="9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FD38249-B9DA-4CDD-905D-A8A8E066E837}" name="VincentysInverse" displayName="VincentysInverse" ref="A1:I601" tableType="queryTable" totalsRowShown="0">
  <autoFilter ref="A1:I601" xr:uid="{84341C7F-5644-4741-9D04-148ECEDF7301}"/>
  <tableColumns count="9">
    <tableColumn id="1" xr3:uid="{5E8AC7DB-56D4-4934-9763-AB1935320F9E}" uniqueName="1" name="point1" queryTableFieldId="1"/>
    <tableColumn id="2" xr3:uid="{A1EFD4B2-299B-46F1-B15B-ABBC97005D22}" uniqueName="2" name="lat1" queryTableFieldId="2"/>
    <tableColumn id="3" xr3:uid="{C7B21C09-89D7-40C9-A28B-BA5AF8831F5C}" uniqueName="3" name="lon1" queryTableFieldId="3"/>
    <tableColumn id="4" xr3:uid="{09410988-2A46-47F2-9D53-A8E2F38A09AF}" uniqueName="4" name="point2" queryTableFieldId="4"/>
    <tableColumn id="5" xr3:uid="{7750B714-A1B0-407B-A063-54B85337E818}" uniqueName="5" name="lat2" queryTableFieldId="5"/>
    <tableColumn id="6" xr3:uid="{085047E3-31A7-4BD9-AC5C-88B9097A979B}" uniqueName="6" name="lon2" queryTableFieldId="6"/>
    <tableColumn id="7" xr3:uid="{8E9EBB63-8D98-4967-8A68-FD0E255E913F}" uniqueName="7" name="ell_dist" queryTableFieldId="7"/>
    <tableColumn id="8" xr3:uid="{2E148794-2F11-4B9B-B583-5942BDFF3316}" uniqueName="8" name="azimuth1to2" queryTableFieldId="8"/>
    <tableColumn id="9" xr3:uid="{AEB8F6F6-DF54-4226-90EF-590E83787B0B}" uniqueName="9" name="azimuth2to1" queryTableFieldId="9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F0279C-6635-4A80-8C90-4A8DE96750F8}">
  <sheetPr codeName="Sheet1">
    <tabColor theme="5" tint="0.39997558519241921"/>
  </sheetPr>
  <dimension ref="B2:G9"/>
  <sheetViews>
    <sheetView tabSelected="1" zoomScale="85" zoomScaleNormal="85" workbookViewId="0">
      <selection activeCell="F6" sqref="F6"/>
    </sheetView>
  </sheetViews>
  <sheetFormatPr defaultRowHeight="14.25" x14ac:dyDescent="0.45"/>
  <cols>
    <col min="1" max="1" width="3.19921875" customWidth="1"/>
    <col min="2" max="2" width="33.1328125" bestFit="1" customWidth="1"/>
    <col min="3" max="3" width="19.265625" bestFit="1" customWidth="1"/>
    <col min="4" max="4" width="21.86328125" bestFit="1" customWidth="1"/>
    <col min="26" max="26" width="0" hidden="1" customWidth="1"/>
  </cols>
  <sheetData>
    <row r="2" spans="2:7" x14ac:dyDescent="0.45">
      <c r="B2" s="8" t="s">
        <v>11</v>
      </c>
      <c r="C2" s="4"/>
      <c r="D2" s="4"/>
      <c r="F2" t="s">
        <v>60</v>
      </c>
    </row>
    <row r="3" spans="2:7" x14ac:dyDescent="0.45">
      <c r="B3" s="1"/>
      <c r="C3" s="1" t="s">
        <v>58</v>
      </c>
      <c r="D3" s="1" t="s">
        <v>59</v>
      </c>
      <c r="F3" t="s">
        <v>68</v>
      </c>
    </row>
    <row r="4" spans="2:7" x14ac:dyDescent="0.45">
      <c r="B4" s="7" t="s">
        <v>63</v>
      </c>
      <c r="C4" s="27">
        <f>Direct!O603</f>
        <v>1.1058602922275895E-9</v>
      </c>
      <c r="D4" s="27">
        <f>Direct!P603</f>
        <v>3.9644543647909813E-8</v>
      </c>
      <c r="F4" t="s">
        <v>61</v>
      </c>
    </row>
    <row r="5" spans="2:7" x14ac:dyDescent="0.45">
      <c r="B5" s="7" t="s">
        <v>64</v>
      </c>
      <c r="C5" s="27">
        <f>Direct!R603</f>
        <v>6.5426988271610753E-9</v>
      </c>
      <c r="D5" s="27">
        <f>Direct!S603</f>
        <v>2.8846966415585484E-7</v>
      </c>
    </row>
    <row r="6" spans="2:7" x14ac:dyDescent="0.45">
      <c r="B6" s="7" t="s">
        <v>65</v>
      </c>
      <c r="C6" s="27">
        <f>Direct!U603</f>
        <v>6.5425567186139233E-9</v>
      </c>
      <c r="D6" s="27">
        <f>Direct!V603</f>
        <v>5.0476700153012644E-7</v>
      </c>
      <c r="G6" s="27"/>
    </row>
    <row r="7" spans="2:7" x14ac:dyDescent="0.45">
      <c r="B7" s="7" t="s">
        <v>62</v>
      </c>
      <c r="C7" s="28">
        <f>Inverse!P603*1000</f>
        <v>7.2397291660308838E-2</v>
      </c>
      <c r="D7" s="28">
        <f>Inverse!R603*1000</f>
        <v>0.53655169904232025</v>
      </c>
    </row>
    <row r="8" spans="2:7" x14ac:dyDescent="0.45">
      <c r="B8" s="7" t="s">
        <v>66</v>
      </c>
      <c r="C8" s="27">
        <f>Inverse!T603</f>
        <v>1.4581907656907589E-6</v>
      </c>
      <c r="D8" s="27">
        <f>Inverse!U603</f>
        <v>1.462196821677697E-6</v>
      </c>
    </row>
    <row r="9" spans="2:7" x14ac:dyDescent="0.45">
      <c r="B9" s="7" t="s">
        <v>67</v>
      </c>
      <c r="C9" s="27">
        <f>Inverse!W603</f>
        <v>1.4582153953779375E-6</v>
      </c>
      <c r="D9" s="27">
        <f>Inverse!X603</f>
        <v>1.4739538585217815E-6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V604"/>
  <sheetViews>
    <sheetView topLeftCell="L1" workbookViewId="0">
      <pane ySplit="2" topLeftCell="A582" activePane="bottomLeft" state="frozen"/>
      <selection pane="bottomLeft" activeCell="O603" sqref="O603"/>
    </sheetView>
  </sheetViews>
  <sheetFormatPr defaultRowHeight="14.25" x14ac:dyDescent="0.45"/>
  <cols>
    <col min="1" max="1" width="9.46484375" bestFit="1" customWidth="1"/>
    <col min="2" max="3" width="10.46484375" bestFit="1" customWidth="1"/>
    <col min="4" max="4" width="11.73046875" bestFit="1" customWidth="1"/>
    <col min="5" max="5" width="12.33203125" bestFit="1" customWidth="1"/>
    <col min="6" max="6" width="12.46484375" bestFit="1" customWidth="1"/>
    <col min="7" max="7" width="12.33203125" bestFit="1" customWidth="1"/>
    <col min="8" max="8" width="16.265625" bestFit="1" customWidth="1"/>
    <col min="9" max="10" width="12.33203125" bestFit="1" customWidth="1"/>
    <col min="11" max="11" width="14.53125" bestFit="1" customWidth="1"/>
    <col min="12" max="12" width="10.73046875" bestFit="1" customWidth="1"/>
    <col min="13" max="13" width="16.265625" bestFit="1" customWidth="1"/>
    <col min="14" max="14" width="16.33203125" bestFit="1" customWidth="1"/>
    <col min="15" max="16" width="14.33203125" bestFit="1" customWidth="1"/>
    <col min="17" max="17" width="17.86328125" bestFit="1" customWidth="1"/>
    <col min="18" max="19" width="14.33203125" bestFit="1" customWidth="1"/>
    <col min="20" max="20" width="19.3984375" bestFit="1" customWidth="1"/>
    <col min="21" max="21" width="14.73046875" bestFit="1" customWidth="1"/>
    <col min="22" max="22" width="14.73046875" customWidth="1"/>
  </cols>
  <sheetData>
    <row r="1" spans="1:22" s="1" customFormat="1" x14ac:dyDescent="0.45">
      <c r="A1" s="29" t="s">
        <v>9</v>
      </c>
      <c r="B1" s="29"/>
      <c r="C1" s="29"/>
      <c r="D1" s="29"/>
      <c r="E1" s="34" t="s">
        <v>35</v>
      </c>
      <c r="F1" s="35"/>
      <c r="G1" s="35"/>
      <c r="H1" s="36"/>
      <c r="I1" s="30" t="s">
        <v>34</v>
      </c>
      <c r="J1" s="30"/>
      <c r="K1" s="30"/>
      <c r="L1" s="30"/>
      <c r="M1" s="30"/>
      <c r="N1" s="31" t="s">
        <v>39</v>
      </c>
      <c r="O1" s="32"/>
      <c r="P1" s="32"/>
      <c r="Q1" s="32"/>
      <c r="R1" s="32"/>
      <c r="S1" s="32"/>
      <c r="T1" s="32"/>
      <c r="U1" s="32"/>
      <c r="V1" s="33"/>
    </row>
    <row r="2" spans="1:22" x14ac:dyDescent="0.45">
      <c r="A2" s="1" t="s">
        <v>0</v>
      </c>
      <c r="B2" s="1" t="s">
        <v>1</v>
      </c>
      <c r="C2" s="1" t="s">
        <v>7</v>
      </c>
      <c r="D2" s="1" t="s">
        <v>2</v>
      </c>
      <c r="E2" s="1" t="s">
        <v>3</v>
      </c>
      <c r="F2" s="1" t="s">
        <v>4</v>
      </c>
      <c r="G2" s="1" t="s">
        <v>8</v>
      </c>
      <c r="H2" s="1" t="s">
        <v>41</v>
      </c>
      <c r="I2" s="1" t="s">
        <v>3</v>
      </c>
      <c r="J2" s="1" t="s">
        <v>4</v>
      </c>
      <c r="K2" s="1" t="s">
        <v>42</v>
      </c>
      <c r="L2" s="1" t="s">
        <v>40</v>
      </c>
      <c r="M2" s="1" t="s">
        <v>41</v>
      </c>
      <c r="N2" s="1" t="s">
        <v>37</v>
      </c>
      <c r="O2" s="1" t="s">
        <v>33</v>
      </c>
      <c r="P2" s="1" t="s">
        <v>30</v>
      </c>
      <c r="Q2" s="1" t="s">
        <v>38</v>
      </c>
      <c r="R2" s="1" t="s">
        <v>32</v>
      </c>
      <c r="S2" s="1" t="s">
        <v>31</v>
      </c>
      <c r="T2" s="1" t="s">
        <v>56</v>
      </c>
      <c r="U2" s="1" t="s">
        <v>53</v>
      </c>
      <c r="V2" s="1" t="s">
        <v>36</v>
      </c>
    </row>
    <row r="3" spans="1:22" x14ac:dyDescent="0.45">
      <c r="A3">
        <v>37.932040000000001</v>
      </c>
      <c r="B3">
        <v>40.935720000000003</v>
      </c>
      <c r="C3">
        <v>358.74230999999997</v>
      </c>
      <c r="D3">
        <v>22085892.740699999</v>
      </c>
      <c r="E3" s="13">
        <v>-56.652521952863999</v>
      </c>
      <c r="F3" s="13">
        <v>-139.78570931061299</v>
      </c>
      <c r="G3" s="13">
        <v>-178.19723133690599</v>
      </c>
      <c r="H3" s="13">
        <f>NormalizeAzimuth(G3, TRUE)</f>
        <v>181.80276866309401</v>
      </c>
      <c r="I3" s="9">
        <v>-56.652521946999997</v>
      </c>
      <c r="J3" s="9">
        <v>220.21429069000001</v>
      </c>
      <c r="K3" s="9">
        <f>normalizelon(J3)</f>
        <v>-139.78570931000002</v>
      </c>
      <c r="L3" s="10">
        <v>1.8027690000000001</v>
      </c>
      <c r="M3" s="3">
        <f>NormalizeAzimuth(L3+180, TRUE)</f>
        <v>181.80276900000001</v>
      </c>
      <c r="N3" s="15">
        <f t="shared" ref="N3:N66" si="0">vincentyDirLat(A3, $B3, $C3, $D3)</f>
        <v>-56.652521953580461</v>
      </c>
      <c r="O3" s="23">
        <f>ABS(E3-N3)</f>
        <v>7.1646155674898182E-10</v>
      </c>
      <c r="P3" s="22">
        <f>ABS(I3-N3)</f>
        <v>6.5804641735667246E-9</v>
      </c>
      <c r="Q3" s="16">
        <f>VincentyDirLon($A3, $B3, $C3, $D3)</f>
        <v>-139.78570931064399</v>
      </c>
      <c r="R3" s="23">
        <f t="shared" ref="R3:R66" si="1">ABS(F3-Q3)</f>
        <v>3.1008084988570772E-11</v>
      </c>
      <c r="S3" s="22">
        <f t="shared" ref="S3:S66" si="2">ABS(K3-Q3)</f>
        <v>6.43979092274094E-10</v>
      </c>
      <c r="T3" s="16">
        <f>VincentyDirRevAzimuth($A3, $B3, $C3, $D3)</f>
        <v>181.80276866312855</v>
      </c>
      <c r="U3" s="23">
        <f t="shared" ref="U3:U66" si="3">ABS(H3-T3)</f>
        <v>3.4532376957940869E-11</v>
      </c>
      <c r="V3" s="22">
        <f t="shared" ref="V3:V66" si="4">ABS(M3-T3)</f>
        <v>3.3687146583361027E-7</v>
      </c>
    </row>
    <row r="4" spans="1:22" x14ac:dyDescent="0.45">
      <c r="A4">
        <v>-47.332500000000003</v>
      </c>
      <c r="B4">
        <v>52.239800000000002</v>
      </c>
      <c r="C4">
        <v>231.23896999999999</v>
      </c>
      <c r="D4">
        <v>19786754.972199999</v>
      </c>
      <c r="E4" s="13">
        <v>46.142901287247</v>
      </c>
      <c r="F4" s="13">
        <v>-125.343955892468</v>
      </c>
      <c r="G4" s="13">
        <v>-49.7117815041235</v>
      </c>
      <c r="H4" s="13">
        <f t="shared" ref="H4:H67" si="5">NormalizeAzimuth(G4, TRUE)</f>
        <v>310.28821849587649</v>
      </c>
      <c r="I4" s="11">
        <v>46.142901274000003</v>
      </c>
      <c r="J4" s="11">
        <v>-125.34395587</v>
      </c>
      <c r="K4" s="9">
        <f t="shared" ref="K4:K67" si="6">normalizelon(J4)</f>
        <v>-125.34395587</v>
      </c>
      <c r="L4" s="12">
        <v>130.288219</v>
      </c>
      <c r="M4" s="3">
        <f t="shared" ref="M4:M67" si="7">NormalizeAzimuth(L4+180, TRUE)</f>
        <v>310.28821900000003</v>
      </c>
      <c r="N4" s="15">
        <f t="shared" si="0"/>
        <v>46.142901287772922</v>
      </c>
      <c r="O4" s="23">
        <f t="shared" ref="O4:O67" si="8">ABS(E4-N4)</f>
        <v>5.2592241672755335E-10</v>
      </c>
      <c r="P4" s="22">
        <f t="shared" ref="P4:P67" si="9">ABS(I4-N4)</f>
        <v>1.3772918805443624E-8</v>
      </c>
      <c r="Q4" s="16">
        <f t="shared" ref="Q4:Q67" si="10">VincentyDirLon($A4, $B4, $C4, $D4)</f>
        <v>-125.34395589295337</v>
      </c>
      <c r="R4" s="23">
        <f t="shared" si="1"/>
        <v>4.8537174279772444E-10</v>
      </c>
      <c r="S4" s="22">
        <f t="shared" si="2"/>
        <v>2.2953372535994276E-8</v>
      </c>
      <c r="T4" s="16">
        <f t="shared" ref="T4:T67" si="11">VincentyDirRevAzimuth($A4, $B4, $C4, $D4)</f>
        <v>310.28821849523302</v>
      </c>
      <c r="U4" s="23">
        <f t="shared" si="3"/>
        <v>6.4346750150434673E-10</v>
      </c>
      <c r="V4" s="22">
        <f t="shared" si="4"/>
        <v>5.0476700153012644E-7</v>
      </c>
    </row>
    <row r="5" spans="1:22" x14ac:dyDescent="0.45">
      <c r="A5">
        <v>71.026139999999998</v>
      </c>
      <c r="B5">
        <v>-11.58161</v>
      </c>
      <c r="C5">
        <v>341.87815999999998</v>
      </c>
      <c r="D5">
        <v>13647633.196599999</v>
      </c>
      <c r="E5" s="13">
        <v>-14.619127111753301</v>
      </c>
      <c r="F5" s="13">
        <v>-175.86768424876399</v>
      </c>
      <c r="G5" s="13">
        <v>-173.98403014430301</v>
      </c>
      <c r="H5" s="13">
        <f t="shared" si="5"/>
        <v>186.01596985569699</v>
      </c>
      <c r="I5" s="9">
        <v>-14.619127142</v>
      </c>
      <c r="J5" s="9">
        <v>-175.867684252</v>
      </c>
      <c r="K5" s="9">
        <f t="shared" si="6"/>
        <v>-175.867684252</v>
      </c>
      <c r="L5" s="10">
        <v>6.0159700000000003</v>
      </c>
      <c r="M5" s="3">
        <f t="shared" si="7"/>
        <v>186.01597000000001</v>
      </c>
      <c r="N5" s="15">
        <f t="shared" si="0"/>
        <v>-14.619127112190569</v>
      </c>
      <c r="O5" s="23">
        <f t="shared" si="8"/>
        <v>4.3726799958676565E-10</v>
      </c>
      <c r="P5" s="22">
        <f t="shared" si="9"/>
        <v>2.9809431367766592E-8</v>
      </c>
      <c r="Q5" s="16">
        <f t="shared" si="10"/>
        <v>-175.86768424877658</v>
      </c>
      <c r="R5" s="23">
        <f t="shared" si="1"/>
        <v>1.2590817277668975E-11</v>
      </c>
      <c r="S5" s="22">
        <f t="shared" si="2"/>
        <v>3.2234197533398401E-9</v>
      </c>
      <c r="T5" s="16">
        <f t="shared" si="11"/>
        <v>186.01596985570902</v>
      </c>
      <c r="U5" s="23">
        <f t="shared" si="3"/>
        <v>1.2022383089060895E-11</v>
      </c>
      <c r="V5" s="22">
        <f t="shared" si="4"/>
        <v>1.442909933757619E-7</v>
      </c>
    </row>
    <row r="6" spans="1:22" x14ac:dyDescent="0.45">
      <c r="A6">
        <v>-73.146209999999996</v>
      </c>
      <c r="B6">
        <v>-166.31254999999999</v>
      </c>
      <c r="C6">
        <v>349.94654000000003</v>
      </c>
      <c r="D6">
        <v>5057004.3572000004</v>
      </c>
      <c r="E6" s="13">
        <v>-27.887307628191099</v>
      </c>
      <c r="F6" s="13">
        <v>-174.39573187561999</v>
      </c>
      <c r="G6" s="13">
        <v>-3.2903835489579998</v>
      </c>
      <c r="H6" s="13">
        <f t="shared" si="5"/>
        <v>356.709616451042</v>
      </c>
      <c r="I6" s="11">
        <v>-27.887307629999999</v>
      </c>
      <c r="J6" s="11">
        <v>-174.395731875</v>
      </c>
      <c r="K6" s="9">
        <f t="shared" si="6"/>
        <v>-174.395731875</v>
      </c>
      <c r="L6" s="12">
        <v>176.70961600000001</v>
      </c>
      <c r="M6" s="3">
        <f t="shared" si="7"/>
        <v>356.70961599999998</v>
      </c>
      <c r="N6" s="15">
        <f t="shared" si="0"/>
        <v>-27.887307628025425</v>
      </c>
      <c r="O6" s="23">
        <f t="shared" si="8"/>
        <v>1.6567369698350376E-10</v>
      </c>
      <c r="P6" s="22">
        <f t="shared" si="9"/>
        <v>1.9745733936815668E-9</v>
      </c>
      <c r="Q6" s="16">
        <f t="shared" si="10"/>
        <v>-174.39573187562291</v>
      </c>
      <c r="R6" s="23">
        <f t="shared" si="1"/>
        <v>2.9274360713316128E-12</v>
      </c>
      <c r="S6" s="22">
        <f t="shared" si="2"/>
        <v>6.2291860558616463E-10</v>
      </c>
      <c r="T6" s="16">
        <f t="shared" si="11"/>
        <v>356.70961645104688</v>
      </c>
      <c r="U6" s="23">
        <f t="shared" si="3"/>
        <v>4.8885340220294893E-12</v>
      </c>
      <c r="V6" s="22">
        <f t="shared" si="4"/>
        <v>4.5104690116204438E-7</v>
      </c>
    </row>
    <row r="7" spans="1:22" x14ac:dyDescent="0.45">
      <c r="A7">
        <v>66.380279999999999</v>
      </c>
      <c r="B7">
        <v>29.74333</v>
      </c>
      <c r="C7">
        <v>140.27108000000001</v>
      </c>
      <c r="D7">
        <v>26211926.041299999</v>
      </c>
      <c r="E7" s="13">
        <v>-14.9790537788867</v>
      </c>
      <c r="F7" s="13">
        <v>-117.250468987362</v>
      </c>
      <c r="G7" s="13">
        <v>15.413513626044301</v>
      </c>
      <c r="H7" s="13">
        <f t="shared" si="5"/>
        <v>15.413513626044301</v>
      </c>
      <c r="I7" s="9">
        <v>-14.97905379</v>
      </c>
      <c r="J7" s="9">
        <v>-117.25046899100001</v>
      </c>
      <c r="K7" s="9">
        <f t="shared" si="6"/>
        <v>-117.25046899100001</v>
      </c>
      <c r="L7" s="10">
        <v>195.41351399999999</v>
      </c>
      <c r="M7" s="3">
        <f t="shared" si="7"/>
        <v>15.413513999999964</v>
      </c>
      <c r="N7" s="15">
        <f t="shared" si="0"/>
        <v>-14.979053777996668</v>
      </c>
      <c r="O7" s="23">
        <f t="shared" si="8"/>
        <v>8.9003115988361969E-10</v>
      </c>
      <c r="P7" s="22">
        <f t="shared" si="9"/>
        <v>1.2003331661958327E-8</v>
      </c>
      <c r="Q7" s="16">
        <f t="shared" si="10"/>
        <v>-117.25046898730365</v>
      </c>
      <c r="R7" s="23">
        <f t="shared" si="1"/>
        <v>5.8349769460619427E-11</v>
      </c>
      <c r="S7" s="22">
        <f t="shared" si="2"/>
        <v>3.6963569982617628E-9</v>
      </c>
      <c r="T7" s="16">
        <f t="shared" si="11"/>
        <v>15.413513625979203</v>
      </c>
      <c r="U7" s="23">
        <f t="shared" si="3"/>
        <v>6.5098149093500979E-11</v>
      </c>
      <c r="V7" s="22">
        <f t="shared" si="4"/>
        <v>3.7402076102921455E-7</v>
      </c>
    </row>
    <row r="8" spans="1:22" x14ac:dyDescent="0.45">
      <c r="A8">
        <v>-78.897149999999996</v>
      </c>
      <c r="B8">
        <v>151.49566999999999</v>
      </c>
      <c r="C8">
        <v>242.19583</v>
      </c>
      <c r="D8">
        <v>5877843.3947999999</v>
      </c>
      <c r="E8" s="13">
        <v>-41.740263704752103</v>
      </c>
      <c r="F8" s="13">
        <v>42.141859293456903</v>
      </c>
      <c r="G8" s="13">
        <v>-13.2194963515627</v>
      </c>
      <c r="H8" s="13">
        <f t="shared" si="5"/>
        <v>346.78050364843727</v>
      </c>
      <c r="I8" s="11">
        <v>-41.740263702999997</v>
      </c>
      <c r="J8" s="11">
        <v>42.141859293000003</v>
      </c>
      <c r="K8" s="9">
        <f t="shared" si="6"/>
        <v>42.14185929300001</v>
      </c>
      <c r="L8" s="12">
        <v>166.78050400000001</v>
      </c>
      <c r="M8" s="3">
        <f t="shared" si="7"/>
        <v>346.78050400000001</v>
      </c>
      <c r="N8" s="15">
        <f t="shared" si="0"/>
        <v>-41.740263704666241</v>
      </c>
      <c r="O8" s="23">
        <f t="shared" si="8"/>
        <v>8.5861984189250506E-11</v>
      </c>
      <c r="P8" s="22">
        <f t="shared" si="9"/>
        <v>1.6662440316395077E-9</v>
      </c>
      <c r="Q8" s="16">
        <f t="shared" si="10"/>
        <v>42.141859293463995</v>
      </c>
      <c r="R8" s="23">
        <f t="shared" si="1"/>
        <v>7.0912165028857999E-12</v>
      </c>
      <c r="S8" s="22">
        <f t="shared" si="2"/>
        <v>4.6398440645134542E-10</v>
      </c>
      <c r="T8" s="16">
        <f t="shared" si="11"/>
        <v>346.78050364845518</v>
      </c>
      <c r="U8" s="23">
        <f t="shared" si="3"/>
        <v>1.7905676941154525E-11</v>
      </c>
      <c r="V8" s="22">
        <f t="shared" si="4"/>
        <v>3.5154482702637324E-7</v>
      </c>
    </row>
    <row r="9" spans="1:22" x14ac:dyDescent="0.45">
      <c r="A9">
        <v>33.795459999999999</v>
      </c>
      <c r="B9">
        <v>-134.20804000000001</v>
      </c>
      <c r="C9">
        <v>164.39859999999999</v>
      </c>
      <c r="D9">
        <v>17353851.458700001</v>
      </c>
      <c r="E9" s="13">
        <v>-56.3273390644177</v>
      </c>
      <c r="F9" s="13">
        <v>34.399235199850402</v>
      </c>
      <c r="G9" s="13">
        <v>23.739873972249999</v>
      </c>
      <c r="H9" s="13">
        <f t="shared" si="5"/>
        <v>23.739873972249999</v>
      </c>
      <c r="I9" s="9">
        <v>-56.327339053999999</v>
      </c>
      <c r="J9" s="9">
        <v>34.399235208</v>
      </c>
      <c r="K9" s="9">
        <f t="shared" si="6"/>
        <v>34.399235207999993</v>
      </c>
      <c r="L9" s="10">
        <v>203.73987399999999</v>
      </c>
      <c r="M9" s="3">
        <f t="shared" si="7"/>
        <v>23.739873999999986</v>
      </c>
      <c r="N9" s="15">
        <f t="shared" si="0"/>
        <v>-56.327339063873261</v>
      </c>
      <c r="O9" s="23">
        <f t="shared" si="8"/>
        <v>5.4443916042146157E-10</v>
      </c>
      <c r="P9" s="22">
        <f t="shared" si="9"/>
        <v>9.8732613196261809E-9</v>
      </c>
      <c r="Q9" s="16">
        <f t="shared" si="10"/>
        <v>34.399235200177543</v>
      </c>
      <c r="R9" s="23">
        <f t="shared" si="1"/>
        <v>3.2714098097130773E-10</v>
      </c>
      <c r="S9" s="22">
        <f t="shared" si="2"/>
        <v>7.8224502431112342E-9</v>
      </c>
      <c r="T9" s="16">
        <f t="shared" si="11"/>
        <v>23.73987397189164</v>
      </c>
      <c r="U9" s="23">
        <f t="shared" si="3"/>
        <v>3.5835867606692773E-10</v>
      </c>
      <c r="V9" s="22">
        <f t="shared" si="4"/>
        <v>2.8108345873079088E-8</v>
      </c>
    </row>
    <row r="10" spans="1:22" x14ac:dyDescent="0.45">
      <c r="A10">
        <v>25.90362</v>
      </c>
      <c r="B10">
        <v>-116.54492</v>
      </c>
      <c r="C10">
        <v>251.01541</v>
      </c>
      <c r="D10">
        <v>11211606.7816</v>
      </c>
      <c r="E10" s="13">
        <v>-21.830185029261202</v>
      </c>
      <c r="F10" s="13">
        <v>151.69792089294401</v>
      </c>
      <c r="G10" s="13">
        <v>-113.584474924802</v>
      </c>
      <c r="H10" s="13">
        <f t="shared" si="5"/>
        <v>246.41552507519799</v>
      </c>
      <c r="I10" s="11">
        <v>-21.830185022999999</v>
      </c>
      <c r="J10" s="11">
        <v>-208.302079093</v>
      </c>
      <c r="K10" s="9">
        <f t="shared" si="6"/>
        <v>151.69792090700003</v>
      </c>
      <c r="L10" s="12">
        <v>66.415525000000002</v>
      </c>
      <c r="M10" s="3">
        <f t="shared" si="7"/>
        <v>246.415525</v>
      </c>
      <c r="N10" s="15">
        <f t="shared" si="0"/>
        <v>-21.830185029531275</v>
      </c>
      <c r="O10" s="23">
        <f t="shared" si="8"/>
        <v>2.7007374114873528E-10</v>
      </c>
      <c r="P10" s="22">
        <f t="shared" si="9"/>
        <v>6.5312768526837317E-9</v>
      </c>
      <c r="Q10" s="16">
        <f t="shared" si="10"/>
        <v>151.69792089249302</v>
      </c>
      <c r="R10" s="23">
        <f t="shared" si="1"/>
        <v>4.5099568524165079E-10</v>
      </c>
      <c r="S10" s="22">
        <f t="shared" si="2"/>
        <v>1.4507008927466813E-8</v>
      </c>
      <c r="T10" s="16">
        <f t="shared" si="11"/>
        <v>246.41552507544424</v>
      </c>
      <c r="U10" s="23">
        <f t="shared" si="3"/>
        <v>2.4624569050502032E-10</v>
      </c>
      <c r="V10" s="22">
        <f t="shared" si="4"/>
        <v>7.5444233971211361E-8</v>
      </c>
    </row>
    <row r="11" spans="1:22" x14ac:dyDescent="0.45">
      <c r="A11">
        <v>88.824870000000004</v>
      </c>
      <c r="B11">
        <v>-171.29023000000001</v>
      </c>
      <c r="C11">
        <v>236.64452</v>
      </c>
      <c r="D11">
        <v>13413100.6866</v>
      </c>
      <c r="E11" s="13">
        <v>-31.466907310400401</v>
      </c>
      <c r="F11" s="13">
        <v>131.47699945636299</v>
      </c>
      <c r="G11" s="13">
        <v>-178.84639657477899</v>
      </c>
      <c r="H11" s="13">
        <f t="shared" si="5"/>
        <v>181.15360342522101</v>
      </c>
      <c r="I11" s="9">
        <v>-31.466907340999999</v>
      </c>
      <c r="J11" s="9">
        <v>-228.52300054400001</v>
      </c>
      <c r="K11" s="9">
        <f t="shared" si="6"/>
        <v>131.47699945599999</v>
      </c>
      <c r="L11" s="10">
        <v>1.1536029999999999</v>
      </c>
      <c r="M11" s="3">
        <f t="shared" si="7"/>
        <v>181.153603</v>
      </c>
      <c r="N11" s="15">
        <f t="shared" si="0"/>
        <v>-31.466907310901494</v>
      </c>
      <c r="O11" s="23">
        <f t="shared" si="8"/>
        <v>5.0109250082641665E-10</v>
      </c>
      <c r="P11" s="22">
        <f t="shared" si="9"/>
        <v>3.0098505021669553E-8</v>
      </c>
      <c r="Q11" s="16">
        <f t="shared" si="10"/>
        <v>131.47699945635634</v>
      </c>
      <c r="R11" s="23">
        <f t="shared" si="1"/>
        <v>6.6506800067145377E-12</v>
      </c>
      <c r="S11" s="22">
        <f t="shared" si="2"/>
        <v>3.5635139283840545E-10</v>
      </c>
      <c r="T11" s="16">
        <f t="shared" si="11"/>
        <v>181.15360342522757</v>
      </c>
      <c r="U11" s="23">
        <f t="shared" si="3"/>
        <v>6.5654148784233257E-12</v>
      </c>
      <c r="V11" s="22">
        <f t="shared" si="4"/>
        <v>4.2522756871221645E-7</v>
      </c>
    </row>
    <row r="12" spans="1:22" x14ac:dyDescent="0.45">
      <c r="A12">
        <v>-84.626109999999997</v>
      </c>
      <c r="B12">
        <v>-104.26258</v>
      </c>
      <c r="C12">
        <v>334.79194999999999</v>
      </c>
      <c r="D12">
        <v>10061299.773</v>
      </c>
      <c r="E12" s="13">
        <v>5.4461170930659799</v>
      </c>
      <c r="F12" s="13">
        <v>-129.57877967538599</v>
      </c>
      <c r="G12" s="13">
        <v>-2.303989971744</v>
      </c>
      <c r="H12" s="13">
        <f t="shared" si="5"/>
        <v>357.69601002825601</v>
      </c>
      <c r="I12" s="11">
        <v>5.4461170660000002</v>
      </c>
      <c r="J12" s="11">
        <v>-129.578779674</v>
      </c>
      <c r="K12" s="9">
        <f t="shared" si="6"/>
        <v>-129.578779674</v>
      </c>
      <c r="L12" s="12">
        <v>177.69601</v>
      </c>
      <c r="M12" s="3">
        <f t="shared" si="7"/>
        <v>357.69601</v>
      </c>
      <c r="N12" s="15">
        <f t="shared" si="0"/>
        <v>5.4461170934286685</v>
      </c>
      <c r="O12" s="23">
        <f t="shared" si="8"/>
        <v>3.6268854586296584E-10</v>
      </c>
      <c r="P12" s="22">
        <f t="shared" si="9"/>
        <v>2.7428668225581987E-8</v>
      </c>
      <c r="Q12" s="16">
        <f t="shared" si="10"/>
        <v>-129.57877967539167</v>
      </c>
      <c r="R12" s="23">
        <f t="shared" si="1"/>
        <v>5.6843418860808015E-12</v>
      </c>
      <c r="S12" s="22">
        <f t="shared" si="2"/>
        <v>1.3916690022597322E-9</v>
      </c>
      <c r="T12" s="16">
        <f t="shared" si="11"/>
        <v>357.69601002825453</v>
      </c>
      <c r="U12" s="23">
        <f t="shared" si="3"/>
        <v>1.4779288903810084E-12</v>
      </c>
      <c r="V12" s="22">
        <f t="shared" si="4"/>
        <v>2.8254532935534371E-8</v>
      </c>
    </row>
    <row r="13" spans="1:22" x14ac:dyDescent="0.45">
      <c r="A13">
        <v>51.386009999999999</v>
      </c>
      <c r="B13">
        <v>-111.37733</v>
      </c>
      <c r="C13">
        <v>293.94511999999997</v>
      </c>
      <c r="D13">
        <v>13574546.633099999</v>
      </c>
      <c r="E13" s="13">
        <v>-11.6452031786982</v>
      </c>
      <c r="F13" s="13">
        <v>120.988220516452</v>
      </c>
      <c r="G13" s="13">
        <v>-144.305691772405</v>
      </c>
      <c r="H13" s="13">
        <f t="shared" si="5"/>
        <v>215.694308227595</v>
      </c>
      <c r="I13" s="9">
        <v>-11.645203156000001</v>
      </c>
      <c r="J13" s="9">
        <v>-239.011779467</v>
      </c>
      <c r="K13" s="9">
        <f t="shared" si="6"/>
        <v>120.988220533</v>
      </c>
      <c r="L13" s="10">
        <v>35.694307999999999</v>
      </c>
      <c r="M13" s="3">
        <f t="shared" si="7"/>
        <v>215.69430800000001</v>
      </c>
      <c r="N13" s="15">
        <f t="shared" si="0"/>
        <v>-11.64520317916212</v>
      </c>
      <c r="O13" s="23">
        <f t="shared" si="8"/>
        <v>4.6392045760512701E-10</v>
      </c>
      <c r="P13" s="22">
        <f t="shared" si="9"/>
        <v>2.3162119333619557E-8</v>
      </c>
      <c r="Q13" s="16">
        <f t="shared" si="10"/>
        <v>120.98822051643629</v>
      </c>
      <c r="R13" s="23">
        <f t="shared" si="1"/>
        <v>1.5717205315013416E-11</v>
      </c>
      <c r="S13" s="22">
        <f t="shared" si="2"/>
        <v>1.6563717508688569E-8</v>
      </c>
      <c r="T13" s="16">
        <f t="shared" si="11"/>
        <v>215.6943082276631</v>
      </c>
      <c r="U13" s="23">
        <f t="shared" si="3"/>
        <v>6.8098415795248002E-11</v>
      </c>
      <c r="V13" s="22">
        <f t="shared" si="4"/>
        <v>2.2766309371036186E-7</v>
      </c>
    </row>
    <row r="14" spans="1:22" x14ac:dyDescent="0.45">
      <c r="A14">
        <v>73.612430000000003</v>
      </c>
      <c r="B14">
        <v>21.299600000000002</v>
      </c>
      <c r="C14">
        <v>351.57213000000002</v>
      </c>
      <c r="D14">
        <v>5397158.5284000002</v>
      </c>
      <c r="E14" s="13">
        <v>57.784469043246503</v>
      </c>
      <c r="F14" s="13">
        <v>-146.84075879172201</v>
      </c>
      <c r="G14" s="13">
        <v>-175.54828018605099</v>
      </c>
      <c r="H14" s="13">
        <f t="shared" si="5"/>
        <v>184.45171981394901</v>
      </c>
      <c r="I14" s="11">
        <v>57.784469047000002</v>
      </c>
      <c r="J14" s="11">
        <v>-146.84075879100001</v>
      </c>
      <c r="K14" s="9">
        <f t="shared" si="6"/>
        <v>-146.84075879100001</v>
      </c>
      <c r="L14" s="12">
        <v>4.4517199999999999</v>
      </c>
      <c r="M14" s="3">
        <f t="shared" si="7"/>
        <v>184.45171999999999</v>
      </c>
      <c r="N14" s="15">
        <f t="shared" si="0"/>
        <v>57.784469043235433</v>
      </c>
      <c r="O14" s="23">
        <f t="shared" si="8"/>
        <v>1.1070255823142361E-11</v>
      </c>
      <c r="P14" s="22">
        <f t="shared" si="9"/>
        <v>3.7645691008947324E-9</v>
      </c>
      <c r="Q14" s="16">
        <f t="shared" si="10"/>
        <v>-146.84075879171519</v>
      </c>
      <c r="R14" s="23">
        <f t="shared" si="1"/>
        <v>6.8212102632969618E-12</v>
      </c>
      <c r="S14" s="22">
        <f t="shared" si="2"/>
        <v>7.1517547439725604E-10</v>
      </c>
      <c r="T14" s="16">
        <f t="shared" si="11"/>
        <v>184.45171981394833</v>
      </c>
      <c r="U14" s="23">
        <f t="shared" si="3"/>
        <v>6.8212102632969618E-13</v>
      </c>
      <c r="V14" s="22">
        <f t="shared" si="4"/>
        <v>1.8605166474117141E-7</v>
      </c>
    </row>
    <row r="15" spans="1:22" x14ac:dyDescent="0.45">
      <c r="A15">
        <v>-63.838880000000003</v>
      </c>
      <c r="B15">
        <v>-172.55153000000001</v>
      </c>
      <c r="C15">
        <v>309.01080999999999</v>
      </c>
      <c r="D15">
        <v>1974293.5207</v>
      </c>
      <c r="E15" s="13">
        <v>-50.395150212917699</v>
      </c>
      <c r="F15" s="13">
        <v>165.69696690033101</v>
      </c>
      <c r="G15" s="13">
        <v>-32.533096451356698</v>
      </c>
      <c r="H15" s="13">
        <f t="shared" si="5"/>
        <v>327.4669035486433</v>
      </c>
      <c r="I15" s="9">
        <v>-50.395150211000001</v>
      </c>
      <c r="J15" s="9">
        <v>-194.303033102</v>
      </c>
      <c r="K15" s="9">
        <f t="shared" si="6"/>
        <v>165.69696689800003</v>
      </c>
      <c r="L15" s="10">
        <v>147.466904</v>
      </c>
      <c r="M15" s="3">
        <f t="shared" si="7"/>
        <v>327.466904</v>
      </c>
      <c r="N15" s="15">
        <f t="shared" si="0"/>
        <v>-50.395150212880736</v>
      </c>
      <c r="O15" s="23">
        <f t="shared" si="8"/>
        <v>3.6962433114240412E-11</v>
      </c>
      <c r="P15" s="22">
        <f t="shared" si="9"/>
        <v>1.8807355672834092E-9</v>
      </c>
      <c r="Q15" s="16">
        <f t="shared" si="10"/>
        <v>165.6969669003156</v>
      </c>
      <c r="R15" s="23">
        <f t="shared" si="1"/>
        <v>1.5404566511278972E-11</v>
      </c>
      <c r="S15" s="22">
        <f t="shared" si="2"/>
        <v>2.3155735107138753E-9</v>
      </c>
      <c r="T15" s="16">
        <f t="shared" si="11"/>
        <v>327.46690354867144</v>
      </c>
      <c r="U15" s="23">
        <f t="shared" si="3"/>
        <v>2.8137492336099967E-11</v>
      </c>
      <c r="V15" s="22">
        <f t="shared" si="4"/>
        <v>4.5132856030249968E-7</v>
      </c>
    </row>
    <row r="16" spans="1:22" x14ac:dyDescent="0.45">
      <c r="A16">
        <v>-46.89855</v>
      </c>
      <c r="B16">
        <v>173.49565000000001</v>
      </c>
      <c r="C16">
        <v>328.50567999999998</v>
      </c>
      <c r="D16">
        <v>15153458.335000001</v>
      </c>
      <c r="E16" s="13">
        <v>68.575577744316305</v>
      </c>
      <c r="F16" s="13">
        <v>73.034923040168493</v>
      </c>
      <c r="G16" s="13">
        <v>-77.461080216534398</v>
      </c>
      <c r="H16" s="13">
        <f t="shared" si="5"/>
        <v>282.53891978346559</v>
      </c>
      <c r="I16" s="11">
        <v>68.575577753999994</v>
      </c>
      <c r="J16" s="11">
        <v>73.034922921000003</v>
      </c>
      <c r="K16" s="9">
        <f t="shared" si="6"/>
        <v>73.034922921000003</v>
      </c>
      <c r="L16" s="12">
        <v>102.53892</v>
      </c>
      <c r="M16" s="3">
        <f t="shared" si="7"/>
        <v>282.53892000000002</v>
      </c>
      <c r="N16" s="15">
        <f t="shared" si="0"/>
        <v>68.575577744456339</v>
      </c>
      <c r="O16" s="23">
        <f t="shared" si="8"/>
        <v>1.4003376236360054E-10</v>
      </c>
      <c r="P16" s="22">
        <f t="shared" si="9"/>
        <v>9.5436547553617856E-9</v>
      </c>
      <c r="Q16" s="16">
        <f t="shared" si="10"/>
        <v>73.03492303858647</v>
      </c>
      <c r="R16" s="23">
        <f t="shared" si="1"/>
        <v>1.5820234011698631E-9</v>
      </c>
      <c r="S16" s="22">
        <f t="shared" si="2"/>
        <v>1.1758646678572404E-7</v>
      </c>
      <c r="T16" s="16">
        <f t="shared" si="11"/>
        <v>282.53891978185902</v>
      </c>
      <c r="U16" s="23">
        <f t="shared" si="3"/>
        <v>1.6065655472630169E-9</v>
      </c>
      <c r="V16" s="22">
        <f t="shared" si="4"/>
        <v>2.1814099682160304E-7</v>
      </c>
    </row>
    <row r="17" spans="1:22" x14ac:dyDescent="0.45">
      <c r="A17">
        <v>82.990660000000005</v>
      </c>
      <c r="B17">
        <v>-95.849950000000007</v>
      </c>
      <c r="C17">
        <v>330.46499999999997</v>
      </c>
      <c r="D17">
        <v>11924411.2316</v>
      </c>
      <c r="E17" s="13">
        <v>-11.197010665670099</v>
      </c>
      <c r="F17" s="13">
        <v>112.83802407899</v>
      </c>
      <c r="G17" s="13">
        <v>-176.47301740772801</v>
      </c>
      <c r="H17" s="13">
        <f t="shared" si="5"/>
        <v>183.52698259227199</v>
      </c>
      <c r="I17" s="9">
        <v>-11.197010650999999</v>
      </c>
      <c r="J17" s="9">
        <v>-247.16197592</v>
      </c>
      <c r="K17" s="9">
        <f t="shared" si="6"/>
        <v>112.83802407999997</v>
      </c>
      <c r="L17" s="10">
        <v>3.526983</v>
      </c>
      <c r="M17" s="3">
        <f t="shared" si="7"/>
        <v>183.526983</v>
      </c>
      <c r="N17" s="15">
        <f t="shared" si="0"/>
        <v>-11.197010666032172</v>
      </c>
      <c r="O17" s="23">
        <f t="shared" si="8"/>
        <v>3.6207303821811365E-10</v>
      </c>
      <c r="P17" s="22">
        <f t="shared" si="9"/>
        <v>1.5032172839823943E-8</v>
      </c>
      <c r="Q17" s="16">
        <f t="shared" si="10"/>
        <v>112.83802407898503</v>
      </c>
      <c r="R17" s="23">
        <f t="shared" si="1"/>
        <v>4.9737991503207013E-12</v>
      </c>
      <c r="S17" s="22">
        <f t="shared" si="2"/>
        <v>1.0149392437597271E-9</v>
      </c>
      <c r="T17" s="16">
        <f t="shared" si="11"/>
        <v>183.52698259227677</v>
      </c>
      <c r="U17" s="23">
        <f t="shared" si="3"/>
        <v>4.7748471843078732E-12</v>
      </c>
      <c r="V17" s="22">
        <f t="shared" si="4"/>
        <v>4.0772323472992866E-7</v>
      </c>
    </row>
    <row r="18" spans="1:22" x14ac:dyDescent="0.45">
      <c r="A18">
        <v>-55.50224</v>
      </c>
      <c r="B18">
        <v>-151.16014999999999</v>
      </c>
      <c r="C18">
        <v>290.10536000000002</v>
      </c>
      <c r="D18">
        <v>24906146.8686</v>
      </c>
      <c r="E18" s="13">
        <v>27.087033473632498</v>
      </c>
      <c r="F18" s="13">
        <v>-18.0548932780478</v>
      </c>
      <c r="G18" s="13">
        <v>-143.24954100292999</v>
      </c>
      <c r="H18" s="13">
        <f t="shared" si="5"/>
        <v>216.75045899707001</v>
      </c>
      <c r="I18" s="11">
        <v>27.087033463000001</v>
      </c>
      <c r="J18" s="11">
        <v>-18.054893285999999</v>
      </c>
      <c r="K18" s="9">
        <f t="shared" si="6"/>
        <v>-18.054893286000009</v>
      </c>
      <c r="L18" s="12">
        <v>36.750458999999999</v>
      </c>
      <c r="M18" s="3">
        <f t="shared" si="7"/>
        <v>216.75045900000001</v>
      </c>
      <c r="N18" s="15">
        <f t="shared" si="0"/>
        <v>27.087033472831255</v>
      </c>
      <c r="O18" s="23">
        <f t="shared" si="8"/>
        <v>8.0124351597987697E-10</v>
      </c>
      <c r="P18" s="22">
        <f t="shared" si="9"/>
        <v>9.8312540330880438E-9</v>
      </c>
      <c r="Q18" s="16">
        <f t="shared" si="10"/>
        <v>-18.054893278169232</v>
      </c>
      <c r="R18" s="23">
        <f t="shared" si="1"/>
        <v>1.2143175354140112E-10</v>
      </c>
      <c r="S18" s="22">
        <f t="shared" si="2"/>
        <v>7.8307778039743425E-9</v>
      </c>
      <c r="T18" s="16">
        <f t="shared" si="11"/>
        <v>216.75045899676621</v>
      </c>
      <c r="U18" s="23">
        <f t="shared" si="3"/>
        <v>3.0379965210158844E-10</v>
      </c>
      <c r="V18" s="22">
        <f t="shared" si="4"/>
        <v>3.2337936772819376E-9</v>
      </c>
    </row>
    <row r="19" spans="1:22" x14ac:dyDescent="0.45">
      <c r="A19">
        <v>86.372889999999998</v>
      </c>
      <c r="B19">
        <v>-16.154949999999999</v>
      </c>
      <c r="C19">
        <v>151.89456999999999</v>
      </c>
      <c r="D19">
        <v>22990024.524300002</v>
      </c>
      <c r="E19" s="13">
        <v>-59.994444137911998</v>
      </c>
      <c r="F19" s="13">
        <v>-171.07781274131401</v>
      </c>
      <c r="G19" s="13">
        <v>3.4194343905808</v>
      </c>
      <c r="H19" s="13">
        <f t="shared" si="5"/>
        <v>3.4194343905808</v>
      </c>
      <c r="I19" s="9">
        <v>-59.994444176000002</v>
      </c>
      <c r="J19" s="9">
        <v>-171.07781274600001</v>
      </c>
      <c r="K19" s="9">
        <f t="shared" si="6"/>
        <v>-171.07781274600001</v>
      </c>
      <c r="L19" s="10">
        <v>183.419434</v>
      </c>
      <c r="M19" s="3">
        <f t="shared" si="7"/>
        <v>3.4194340000000238</v>
      </c>
      <c r="N19" s="15">
        <f t="shared" si="0"/>
        <v>-59.994444137249161</v>
      </c>
      <c r="O19" s="23">
        <f t="shared" si="8"/>
        <v>6.6283689648116706E-10</v>
      </c>
      <c r="P19" s="22">
        <f t="shared" si="9"/>
        <v>3.8750840758439153E-8</v>
      </c>
      <c r="Q19" s="16">
        <f t="shared" si="10"/>
        <v>-171.07781274125389</v>
      </c>
      <c r="R19" s="23">
        <f t="shared" si="1"/>
        <v>6.0111915445304476E-11</v>
      </c>
      <c r="S19" s="22">
        <f t="shared" si="2"/>
        <v>4.7461128360737348E-9</v>
      </c>
      <c r="T19" s="16">
        <f t="shared" si="11"/>
        <v>3.41943439051244</v>
      </c>
      <c r="U19" s="23">
        <f t="shared" si="3"/>
        <v>6.8359984339849689E-11</v>
      </c>
      <c r="V19" s="22">
        <f t="shared" si="4"/>
        <v>3.9051241618182075E-7</v>
      </c>
    </row>
    <row r="20" spans="1:22" x14ac:dyDescent="0.45">
      <c r="A20">
        <v>-22.985019999999999</v>
      </c>
      <c r="B20">
        <v>163.42873</v>
      </c>
      <c r="C20">
        <v>109.00563</v>
      </c>
      <c r="D20">
        <v>6642422.8748000003</v>
      </c>
      <c r="E20" s="13">
        <v>-27.144640603968998</v>
      </c>
      <c r="F20" s="13">
        <v>-130.122784830509</v>
      </c>
      <c r="G20" s="13">
        <v>77.952735722014097</v>
      </c>
      <c r="H20" s="13">
        <f t="shared" si="5"/>
        <v>77.952735722014097</v>
      </c>
      <c r="I20" s="11">
        <v>-27.144640603999999</v>
      </c>
      <c r="J20" s="11">
        <v>229.87721517099999</v>
      </c>
      <c r="K20" s="9">
        <f t="shared" si="6"/>
        <v>-130.12278482900001</v>
      </c>
      <c r="L20" s="12">
        <v>257.95273600000002</v>
      </c>
      <c r="M20" s="3">
        <f t="shared" si="7"/>
        <v>77.952736000000016</v>
      </c>
      <c r="N20" s="15">
        <f t="shared" si="0"/>
        <v>-27.144640603899525</v>
      </c>
      <c r="O20" s="23">
        <f t="shared" si="8"/>
        <v>6.9473315988943796E-11</v>
      </c>
      <c r="P20" s="22">
        <f t="shared" si="9"/>
        <v>1.0047429555015697E-10</v>
      </c>
      <c r="Q20" s="16">
        <f t="shared" si="10"/>
        <v>-130.12278483059646</v>
      </c>
      <c r="R20" s="23">
        <f t="shared" si="1"/>
        <v>8.7453599917353131E-11</v>
      </c>
      <c r="S20" s="22">
        <f t="shared" si="2"/>
        <v>1.5964474187057931E-9</v>
      </c>
      <c r="T20" s="16">
        <f t="shared" si="11"/>
        <v>77.952735721848214</v>
      </c>
      <c r="U20" s="23">
        <f t="shared" si="3"/>
        <v>1.6588330709055299E-10</v>
      </c>
      <c r="V20" s="22">
        <f t="shared" si="4"/>
        <v>2.7815180203560885E-7</v>
      </c>
    </row>
    <row r="21" spans="1:22" x14ac:dyDescent="0.45">
      <c r="A21">
        <v>43.963540000000002</v>
      </c>
      <c r="B21">
        <v>75.046040000000005</v>
      </c>
      <c r="C21">
        <v>193.59316999999999</v>
      </c>
      <c r="D21">
        <v>12967928.029999999</v>
      </c>
      <c r="E21" s="13">
        <v>-69.742351132253702</v>
      </c>
      <c r="F21" s="13">
        <v>37.9366089799571</v>
      </c>
      <c r="G21" s="13">
        <v>-150.79552918583201</v>
      </c>
      <c r="H21" s="13">
        <f t="shared" si="5"/>
        <v>209.20447081416799</v>
      </c>
      <c r="I21" s="9">
        <v>-69.742351131999996</v>
      </c>
      <c r="J21" s="9">
        <v>37.936608980000003</v>
      </c>
      <c r="K21" s="9">
        <f t="shared" si="6"/>
        <v>37.936608980000017</v>
      </c>
      <c r="L21" s="10">
        <v>29.204471000000002</v>
      </c>
      <c r="M21" s="3">
        <f t="shared" si="7"/>
        <v>209.20447100000001</v>
      </c>
      <c r="N21" s="15">
        <f t="shared" si="0"/>
        <v>-69.74235113276066</v>
      </c>
      <c r="O21" s="23">
        <f t="shared" si="8"/>
        <v>5.0695803111011628E-10</v>
      </c>
      <c r="P21" s="22">
        <f t="shared" si="9"/>
        <v>7.6066442034061765E-10</v>
      </c>
      <c r="Q21" s="16">
        <f t="shared" si="10"/>
        <v>37.936608979189543</v>
      </c>
      <c r="R21" s="23">
        <f t="shared" si="1"/>
        <v>7.6755668487749062E-10</v>
      </c>
      <c r="S21" s="22">
        <f t="shared" si="2"/>
        <v>8.1047346611740068E-10</v>
      </c>
      <c r="T21" s="16">
        <f t="shared" si="11"/>
        <v>209.20447081493469</v>
      </c>
      <c r="U21" s="23">
        <f t="shared" si="3"/>
        <v>7.667040335945785E-10</v>
      </c>
      <c r="V21" s="22">
        <f t="shared" si="4"/>
        <v>1.8506531773709867E-7</v>
      </c>
    </row>
    <row r="22" spans="1:22" x14ac:dyDescent="0.45">
      <c r="A22">
        <v>33.436070000000001</v>
      </c>
      <c r="B22">
        <v>-128.50958</v>
      </c>
      <c r="C22">
        <v>177.97382999999999</v>
      </c>
      <c r="D22">
        <v>28559805.6105</v>
      </c>
      <c r="E22" s="13">
        <v>43.788407021959799</v>
      </c>
      <c r="F22" s="13">
        <v>54.196720366528098</v>
      </c>
      <c r="G22" s="13">
        <v>2.3409951430440801</v>
      </c>
      <c r="H22" s="13">
        <f t="shared" si="5"/>
        <v>2.3409951430440801</v>
      </c>
      <c r="I22" s="11">
        <v>43.788407016999997</v>
      </c>
      <c r="J22" s="11">
        <v>-305.80327963399998</v>
      </c>
      <c r="K22" s="9">
        <f t="shared" si="6"/>
        <v>54.196720366000022</v>
      </c>
      <c r="L22" s="12">
        <v>182.34099499999999</v>
      </c>
      <c r="M22" s="3">
        <f t="shared" si="7"/>
        <v>2.3409950000000208</v>
      </c>
      <c r="N22" s="15">
        <f t="shared" si="0"/>
        <v>43.788407023065659</v>
      </c>
      <c r="O22" s="23">
        <f t="shared" si="8"/>
        <v>1.1058602922275895E-9</v>
      </c>
      <c r="P22" s="22">
        <f t="shared" si="9"/>
        <v>6.0656617506538169E-9</v>
      </c>
      <c r="Q22" s="16">
        <f t="shared" si="10"/>
        <v>54.196720366569991</v>
      </c>
      <c r="R22" s="23">
        <f t="shared" si="1"/>
        <v>4.1893599700415507E-11</v>
      </c>
      <c r="S22" s="22">
        <f t="shared" si="2"/>
        <v>5.6996896091732197E-10</v>
      </c>
      <c r="T22" s="16">
        <f t="shared" si="11"/>
        <v>2.3409951430874658</v>
      </c>
      <c r="U22" s="23">
        <f t="shared" si="3"/>
        <v>4.3385739445511717E-11</v>
      </c>
      <c r="V22" s="22">
        <f t="shared" si="4"/>
        <v>1.4308744500368675E-7</v>
      </c>
    </row>
    <row r="23" spans="1:22" x14ac:dyDescent="0.45">
      <c r="A23">
        <v>-82.798670000000001</v>
      </c>
      <c r="B23">
        <v>2.3350599999999999</v>
      </c>
      <c r="C23">
        <v>90.620130000000003</v>
      </c>
      <c r="D23">
        <v>19798139.985599998</v>
      </c>
      <c r="E23" s="13">
        <v>82.549781125809602</v>
      </c>
      <c r="F23" s="13">
        <v>167.940350544566</v>
      </c>
      <c r="G23" s="13">
        <v>75.176647979244905</v>
      </c>
      <c r="H23" s="13">
        <f t="shared" si="5"/>
        <v>75.176647979244905</v>
      </c>
      <c r="I23" s="9">
        <v>82.549781135999993</v>
      </c>
      <c r="J23" s="9">
        <v>167.940350838</v>
      </c>
      <c r="K23" s="9">
        <f t="shared" si="6"/>
        <v>167.94035083799997</v>
      </c>
      <c r="L23" s="10">
        <v>255.176648</v>
      </c>
      <c r="M23" s="3">
        <f t="shared" si="7"/>
        <v>75.176648</v>
      </c>
      <c r="N23" s="15">
        <f t="shared" si="0"/>
        <v>82.549781125982207</v>
      </c>
      <c r="O23" s="23">
        <f t="shared" si="8"/>
        <v>1.7260504137084354E-10</v>
      </c>
      <c r="P23" s="22">
        <f t="shared" si="9"/>
        <v>1.0017785712079785E-8</v>
      </c>
      <c r="Q23" s="16">
        <f t="shared" si="10"/>
        <v>167.94035054953031</v>
      </c>
      <c r="R23" s="23">
        <f t="shared" si="1"/>
        <v>4.9643062993709464E-9</v>
      </c>
      <c r="S23" s="22">
        <f t="shared" si="2"/>
        <v>2.8846966415585484E-7</v>
      </c>
      <c r="T23" s="16">
        <f t="shared" si="11"/>
        <v>75.176647984233156</v>
      </c>
      <c r="U23" s="23">
        <f t="shared" si="3"/>
        <v>4.9882515895660617E-9</v>
      </c>
      <c r="V23" s="22">
        <f t="shared" si="4"/>
        <v>1.5766843830533617E-8</v>
      </c>
    </row>
    <row r="24" spans="1:22" x14ac:dyDescent="0.45">
      <c r="A24">
        <v>-30.6114</v>
      </c>
      <c r="B24">
        <v>-113.41504</v>
      </c>
      <c r="C24">
        <v>138.88732999999999</v>
      </c>
      <c r="D24">
        <v>29611069.5645</v>
      </c>
      <c r="E24" s="13">
        <v>42.826532755135403</v>
      </c>
      <c r="F24" s="13">
        <v>-177.239485211313</v>
      </c>
      <c r="G24" s="13">
        <v>129.54895421846399</v>
      </c>
      <c r="H24" s="13">
        <f t="shared" si="5"/>
        <v>129.54895421846399</v>
      </c>
      <c r="I24" s="11">
        <v>42.826532780999997</v>
      </c>
      <c r="J24" s="11">
        <v>-177.23948525500001</v>
      </c>
      <c r="K24" s="9">
        <f t="shared" si="6"/>
        <v>-177.23948525500001</v>
      </c>
      <c r="L24" s="12">
        <v>309.54895399999998</v>
      </c>
      <c r="M24" s="3">
        <f t="shared" si="7"/>
        <v>129.54895399999998</v>
      </c>
      <c r="N24" s="15">
        <f t="shared" si="0"/>
        <v>42.826532754422622</v>
      </c>
      <c r="O24" s="23">
        <f t="shared" si="8"/>
        <v>7.127809453777445E-10</v>
      </c>
      <c r="P24" s="22">
        <f t="shared" si="9"/>
        <v>2.6577374967473588E-8</v>
      </c>
      <c r="Q24" s="16">
        <f t="shared" si="10"/>
        <v>-177.23948521094803</v>
      </c>
      <c r="R24" s="23">
        <f t="shared" si="1"/>
        <v>3.6496317079581786E-10</v>
      </c>
      <c r="S24" s="22">
        <f t="shared" si="2"/>
        <v>4.4051972736269818E-8</v>
      </c>
      <c r="T24" s="16">
        <f t="shared" si="11"/>
        <v>129.54895421926102</v>
      </c>
      <c r="U24" s="23">
        <f t="shared" si="3"/>
        <v>7.9702999755681958E-10</v>
      </c>
      <c r="V24" s="22">
        <f t="shared" si="4"/>
        <v>2.192610395468364E-7</v>
      </c>
    </row>
    <row r="25" spans="1:22" x14ac:dyDescent="0.45">
      <c r="A25">
        <v>-87.845410000000001</v>
      </c>
      <c r="B25">
        <v>-13.641120000000001</v>
      </c>
      <c r="C25">
        <v>193.00730999999999</v>
      </c>
      <c r="D25">
        <v>23819608.177900001</v>
      </c>
      <c r="E25" s="13">
        <v>57.902336154654002</v>
      </c>
      <c r="F25" s="13">
        <v>0.13634522468570001</v>
      </c>
      <c r="G25" s="13">
        <v>-179.08667105557899</v>
      </c>
      <c r="H25" s="13">
        <f t="shared" si="5"/>
        <v>180.91332894442101</v>
      </c>
      <c r="I25" s="9">
        <v>57.902336136000002</v>
      </c>
      <c r="J25" s="9">
        <v>0.13634522399999999</v>
      </c>
      <c r="K25" s="9">
        <f t="shared" si="6"/>
        <v>0.13634522399999582</v>
      </c>
      <c r="L25" s="10">
        <v>0.91332899999999995</v>
      </c>
      <c r="M25" s="3">
        <f t="shared" si="7"/>
        <v>180.913329</v>
      </c>
      <c r="N25" s="15">
        <f t="shared" si="0"/>
        <v>57.90233615398455</v>
      </c>
      <c r="O25" s="23">
        <f t="shared" si="8"/>
        <v>6.6945204935109359E-10</v>
      </c>
      <c r="P25" s="22">
        <f t="shared" si="9"/>
        <v>1.7984547184823896E-8</v>
      </c>
      <c r="Q25" s="16">
        <f t="shared" si="10"/>
        <v>0.13634522467111765</v>
      </c>
      <c r="R25" s="23">
        <f t="shared" si="1"/>
        <v>1.4582363094817197E-11</v>
      </c>
      <c r="S25" s="22">
        <f t="shared" si="2"/>
        <v>6.7112182478012983E-10</v>
      </c>
      <c r="T25" s="16">
        <f t="shared" si="11"/>
        <v>180.91332894440359</v>
      </c>
      <c r="U25" s="23">
        <f t="shared" si="3"/>
        <v>1.7422507880837657E-11</v>
      </c>
      <c r="V25" s="22">
        <f t="shared" si="4"/>
        <v>5.5596416359549039E-8</v>
      </c>
    </row>
    <row r="26" spans="1:22" x14ac:dyDescent="0.45">
      <c r="A26">
        <v>-53.746009999999998</v>
      </c>
      <c r="B26">
        <v>-101.11091</v>
      </c>
      <c r="C26">
        <v>326.17998</v>
      </c>
      <c r="D26">
        <v>9694952.3359999992</v>
      </c>
      <c r="E26" s="13">
        <v>27.096906191388602</v>
      </c>
      <c r="F26" s="13">
        <v>-139.63029427644199</v>
      </c>
      <c r="G26" s="13">
        <v>-21.732776207246399</v>
      </c>
      <c r="H26" s="13">
        <f t="shared" si="5"/>
        <v>338.26722379275361</v>
      </c>
      <c r="I26" s="11">
        <v>27.096906190999999</v>
      </c>
      <c r="J26" s="11">
        <v>-139.630294276</v>
      </c>
      <c r="K26" s="9">
        <f t="shared" si="6"/>
        <v>-139.630294276</v>
      </c>
      <c r="L26" s="12">
        <v>158.267224</v>
      </c>
      <c r="M26" s="3">
        <f t="shared" si="7"/>
        <v>338.267224</v>
      </c>
      <c r="N26" s="15">
        <f t="shared" si="0"/>
        <v>27.096906191810813</v>
      </c>
      <c r="O26" s="23">
        <f t="shared" si="8"/>
        <v>4.2221159901600913E-10</v>
      </c>
      <c r="P26" s="22">
        <f t="shared" si="9"/>
        <v>8.1081452663056552E-10</v>
      </c>
      <c r="Q26" s="16">
        <f t="shared" si="10"/>
        <v>-139.63029427656949</v>
      </c>
      <c r="R26" s="23">
        <f t="shared" si="1"/>
        <v>1.2749978850479238E-10</v>
      </c>
      <c r="S26" s="22">
        <f t="shared" si="2"/>
        <v>5.694857918570051E-10</v>
      </c>
      <c r="T26" s="16">
        <f t="shared" si="11"/>
        <v>338.26722379266766</v>
      </c>
      <c r="U26" s="23">
        <f t="shared" si="3"/>
        <v>8.5947249317541718E-11</v>
      </c>
      <c r="V26" s="22">
        <f t="shared" si="4"/>
        <v>2.0733233441205812E-7</v>
      </c>
    </row>
    <row r="27" spans="1:22" x14ac:dyDescent="0.45">
      <c r="A27">
        <v>-88.250209999999996</v>
      </c>
      <c r="B27">
        <v>-140.20063999999999</v>
      </c>
      <c r="C27">
        <v>13.93619</v>
      </c>
      <c r="D27">
        <v>792391.58459999994</v>
      </c>
      <c r="E27" s="13">
        <v>-81.196673763941106</v>
      </c>
      <c r="F27" s="13">
        <v>-128.99275108893201</v>
      </c>
      <c r="G27" s="13">
        <v>2.7544521558853998</v>
      </c>
      <c r="H27" s="13">
        <f t="shared" si="5"/>
        <v>2.7544521558853998</v>
      </c>
      <c r="I27" s="9">
        <v>-81.196673763999996</v>
      </c>
      <c r="J27" s="9">
        <v>-128.992751089</v>
      </c>
      <c r="K27" s="9">
        <f t="shared" si="6"/>
        <v>-128.992751089</v>
      </c>
      <c r="L27" s="10">
        <v>182.75445199999999</v>
      </c>
      <c r="M27" s="3">
        <f t="shared" si="7"/>
        <v>2.7544520000000148</v>
      </c>
      <c r="N27" s="15">
        <f t="shared" si="0"/>
        <v>-81.196673763990944</v>
      </c>
      <c r="O27" s="23">
        <f t="shared" si="8"/>
        <v>4.9837467486213427E-11</v>
      </c>
      <c r="P27" s="22">
        <f t="shared" si="9"/>
        <v>9.0523144535836764E-12</v>
      </c>
      <c r="Q27" s="16">
        <f t="shared" si="10"/>
        <v>-128.99275108894804</v>
      </c>
      <c r="R27" s="23">
        <f t="shared" si="1"/>
        <v>1.602984411874786E-11</v>
      </c>
      <c r="S27" s="22">
        <f t="shared" si="2"/>
        <v>5.1954884838778526E-11</v>
      </c>
      <c r="T27" s="16">
        <f t="shared" si="11"/>
        <v>2.7544521559010393</v>
      </c>
      <c r="U27" s="23">
        <f t="shared" si="3"/>
        <v>1.5639489703289655E-11</v>
      </c>
      <c r="V27" s="22">
        <f t="shared" si="4"/>
        <v>1.5590102453444388E-7</v>
      </c>
    </row>
    <row r="28" spans="1:22" x14ac:dyDescent="0.45">
      <c r="A28">
        <v>10.463649999999999</v>
      </c>
      <c r="B28">
        <v>-67.852069999999998</v>
      </c>
      <c r="C28">
        <v>99.000609999999995</v>
      </c>
      <c r="D28">
        <v>29956582.733399998</v>
      </c>
      <c r="E28" s="13">
        <v>8.8780868423077592</v>
      </c>
      <c r="F28" s="13">
        <v>-160.38413525514599</v>
      </c>
      <c r="G28" s="13">
        <v>79.441947426166493</v>
      </c>
      <c r="H28" s="13">
        <f t="shared" si="5"/>
        <v>79.441947426166493</v>
      </c>
      <c r="I28" s="11">
        <v>8.8780868369999997</v>
      </c>
      <c r="J28" s="11">
        <v>-160.384135286</v>
      </c>
      <c r="K28" s="9">
        <f t="shared" si="6"/>
        <v>-160.384135286</v>
      </c>
      <c r="L28" s="12">
        <v>259.44194700000003</v>
      </c>
      <c r="M28" s="3">
        <f t="shared" si="7"/>
        <v>79.441947000000027</v>
      </c>
      <c r="N28" s="15">
        <f t="shared" si="0"/>
        <v>8.8780868426522463</v>
      </c>
      <c r="O28" s="23">
        <f t="shared" si="8"/>
        <v>3.4448710550805117E-10</v>
      </c>
      <c r="P28" s="22">
        <f t="shared" si="9"/>
        <v>5.6522466707065178E-9</v>
      </c>
      <c r="Q28" s="16">
        <f t="shared" si="10"/>
        <v>-160.3841352536237</v>
      </c>
      <c r="R28" s="23">
        <f t="shared" si="1"/>
        <v>1.522295178801869E-9</v>
      </c>
      <c r="S28" s="22">
        <f t="shared" si="2"/>
        <v>3.2376306080550421E-8</v>
      </c>
      <c r="T28" s="16">
        <f t="shared" si="11"/>
        <v>79.44194742645341</v>
      </c>
      <c r="U28" s="23">
        <f t="shared" si="3"/>
        <v>2.8691715669992846E-10</v>
      </c>
      <c r="V28" s="22">
        <f t="shared" si="4"/>
        <v>4.2645338282909506E-7</v>
      </c>
    </row>
    <row r="29" spans="1:22" x14ac:dyDescent="0.45">
      <c r="A29">
        <v>67.802539999999993</v>
      </c>
      <c r="B29">
        <v>-156.02512999999999</v>
      </c>
      <c r="C29">
        <v>155.36895999999999</v>
      </c>
      <c r="D29">
        <v>110882.5068</v>
      </c>
      <c r="E29" s="13">
        <v>66.895255745015305</v>
      </c>
      <c r="F29" s="13">
        <v>-154.97021496620999</v>
      </c>
      <c r="G29" s="13">
        <v>156.34254099205299</v>
      </c>
      <c r="H29" s="13">
        <f t="shared" si="5"/>
        <v>156.34254099205299</v>
      </c>
      <c r="I29" s="9">
        <v>66.895255745</v>
      </c>
      <c r="J29" s="9">
        <v>-154.97021496599999</v>
      </c>
      <c r="K29" s="9">
        <f t="shared" si="6"/>
        <v>-154.97021496599999</v>
      </c>
      <c r="L29" s="10">
        <v>336.34254099999998</v>
      </c>
      <c r="M29" s="3">
        <f t="shared" si="7"/>
        <v>156.34254099999998</v>
      </c>
      <c r="N29" s="15">
        <f t="shared" si="0"/>
        <v>66.895255745015405</v>
      </c>
      <c r="O29" s="23">
        <f t="shared" si="8"/>
        <v>9.9475983006414026E-14</v>
      </c>
      <c r="P29" s="22">
        <f t="shared" si="9"/>
        <v>1.5404566511278972E-11</v>
      </c>
      <c r="Q29" s="16">
        <f t="shared" si="10"/>
        <v>-154.97021496621031</v>
      </c>
      <c r="R29" s="23">
        <f t="shared" si="1"/>
        <v>3.1263880373444408E-13</v>
      </c>
      <c r="S29" s="22">
        <f t="shared" si="2"/>
        <v>2.1032064978498966E-10</v>
      </c>
      <c r="T29" s="16">
        <f t="shared" si="11"/>
        <v>156.34254099205248</v>
      </c>
      <c r="U29" s="23">
        <f t="shared" si="3"/>
        <v>5.1159076974727213E-13</v>
      </c>
      <c r="V29" s="22">
        <f t="shared" si="4"/>
        <v>7.9475057646050118E-9</v>
      </c>
    </row>
    <row r="30" spans="1:22" x14ac:dyDescent="0.45">
      <c r="A30">
        <v>-53.219749999999998</v>
      </c>
      <c r="B30">
        <v>-37.619120000000002</v>
      </c>
      <c r="C30">
        <v>193.45201</v>
      </c>
      <c r="D30">
        <v>6349519.3638000004</v>
      </c>
      <c r="E30" s="13">
        <v>-67.698900697410394</v>
      </c>
      <c r="F30" s="13">
        <v>173.27188588337501</v>
      </c>
      <c r="G30" s="13">
        <v>-21.5176929118619</v>
      </c>
      <c r="H30" s="13">
        <f t="shared" si="5"/>
        <v>338.4823070881381</v>
      </c>
      <c r="I30" s="11">
        <v>-67.698900695999995</v>
      </c>
      <c r="J30" s="11">
        <v>-186.72811411800001</v>
      </c>
      <c r="K30" s="9">
        <f t="shared" si="6"/>
        <v>173.27188588199999</v>
      </c>
      <c r="L30" s="12">
        <v>158.48230699999999</v>
      </c>
      <c r="M30" s="3">
        <f t="shared" si="7"/>
        <v>338.48230699999999</v>
      </c>
      <c r="N30" s="15">
        <f t="shared" si="0"/>
        <v>-67.698900697354347</v>
      </c>
      <c r="O30" s="23">
        <f t="shared" si="8"/>
        <v>5.6047610996756703E-11</v>
      </c>
      <c r="P30" s="22">
        <f t="shared" si="9"/>
        <v>1.3543512977776118E-9</v>
      </c>
      <c r="Q30" s="16">
        <f t="shared" si="10"/>
        <v>173.2718858833482</v>
      </c>
      <c r="R30" s="23">
        <f t="shared" si="1"/>
        <v>2.6801671992870979E-11</v>
      </c>
      <c r="S30" s="22">
        <f t="shared" si="2"/>
        <v>1.3482122085406445E-9</v>
      </c>
      <c r="T30" s="16">
        <f t="shared" si="11"/>
        <v>338.48230708819216</v>
      </c>
      <c r="U30" s="23">
        <f t="shared" si="3"/>
        <v>5.4058091336628422E-11</v>
      </c>
      <c r="V30" s="22">
        <f t="shared" si="4"/>
        <v>8.8192166458611609E-8</v>
      </c>
    </row>
    <row r="31" spans="1:22" x14ac:dyDescent="0.45">
      <c r="A31">
        <v>-32.083219999999997</v>
      </c>
      <c r="B31">
        <v>43.79468</v>
      </c>
      <c r="C31">
        <v>185.92912000000001</v>
      </c>
      <c r="D31">
        <v>10318810.0272</v>
      </c>
      <c r="E31" s="13">
        <v>-54.876679945567901</v>
      </c>
      <c r="F31" s="13">
        <v>-125.870535544633</v>
      </c>
      <c r="G31" s="13">
        <v>-8.7385253419717408</v>
      </c>
      <c r="H31" s="13">
        <f t="shared" si="5"/>
        <v>351.26147465802825</v>
      </c>
      <c r="I31" s="9">
        <v>-54.876679920999997</v>
      </c>
      <c r="J31" s="9">
        <v>-125.870535551</v>
      </c>
      <c r="K31" s="9">
        <f t="shared" si="6"/>
        <v>-125.870535551</v>
      </c>
      <c r="L31" s="10">
        <v>171.26147499999999</v>
      </c>
      <c r="M31" s="3">
        <f t="shared" si="7"/>
        <v>351.26147500000002</v>
      </c>
      <c r="N31" s="15">
        <f t="shared" si="0"/>
        <v>-54.87667994540984</v>
      </c>
      <c r="O31" s="23">
        <f t="shared" si="8"/>
        <v>1.5806023156983429E-10</v>
      </c>
      <c r="P31" s="22">
        <f t="shared" si="9"/>
        <v>2.440984303575533E-8</v>
      </c>
      <c r="Q31" s="16">
        <f t="shared" si="10"/>
        <v>-125.87053554464562</v>
      </c>
      <c r="R31" s="23">
        <f t="shared" si="1"/>
        <v>1.2619238987099379E-11</v>
      </c>
      <c r="S31" s="22">
        <f t="shared" si="2"/>
        <v>6.354383685902576E-9</v>
      </c>
      <c r="T31" s="16">
        <f t="shared" si="11"/>
        <v>351.26147465806304</v>
      </c>
      <c r="U31" s="23">
        <f t="shared" si="3"/>
        <v>3.4788172342814505E-11</v>
      </c>
      <c r="V31" s="22">
        <f t="shared" si="4"/>
        <v>3.4193698184026289E-7</v>
      </c>
    </row>
    <row r="32" spans="1:22" x14ac:dyDescent="0.45">
      <c r="A32">
        <v>35.123959999999997</v>
      </c>
      <c r="B32">
        <v>93.117800000000003</v>
      </c>
      <c r="C32">
        <v>266.50542000000002</v>
      </c>
      <c r="D32">
        <v>4453734.6876999997</v>
      </c>
      <c r="E32" s="13">
        <v>24.082164339481899</v>
      </c>
      <c r="F32" s="13">
        <v>48.483919046344496</v>
      </c>
      <c r="G32" s="13">
        <v>-116.52834013994</v>
      </c>
      <c r="H32" s="13">
        <f t="shared" si="5"/>
        <v>243.47165986006002</v>
      </c>
      <c r="I32" s="11">
        <v>24.082164337999998</v>
      </c>
      <c r="J32" s="11">
        <v>48.483919043999997</v>
      </c>
      <c r="K32" s="9">
        <f t="shared" si="6"/>
        <v>48.483919044000004</v>
      </c>
      <c r="L32" s="12">
        <v>63.47166</v>
      </c>
      <c r="M32" s="3">
        <f t="shared" si="7"/>
        <v>243.47165999999999</v>
      </c>
      <c r="N32" s="15">
        <f t="shared" si="0"/>
        <v>24.082164339387916</v>
      </c>
      <c r="O32" s="23">
        <f t="shared" si="8"/>
        <v>9.3983487658988452E-11</v>
      </c>
      <c r="P32" s="22">
        <f t="shared" si="9"/>
        <v>1.3879173366149189E-9</v>
      </c>
      <c r="Q32" s="16">
        <f t="shared" si="10"/>
        <v>48.483919046423779</v>
      </c>
      <c r="R32" s="23">
        <f t="shared" si="1"/>
        <v>7.9282358456111979E-11</v>
      </c>
      <c r="S32" s="22">
        <f t="shared" si="2"/>
        <v>2.4237749585154234E-9</v>
      </c>
      <c r="T32" s="16">
        <f t="shared" si="11"/>
        <v>243.471659859976</v>
      </c>
      <c r="U32" s="23">
        <f t="shared" si="3"/>
        <v>8.4014573076274246E-11</v>
      </c>
      <c r="V32" s="22">
        <f t="shared" si="4"/>
        <v>1.4002398529555649E-7</v>
      </c>
    </row>
    <row r="33" spans="1:22" x14ac:dyDescent="0.45">
      <c r="A33">
        <v>79.2941</v>
      </c>
      <c r="B33">
        <v>46.869430000000001</v>
      </c>
      <c r="C33">
        <v>4.3746799999999997</v>
      </c>
      <c r="D33">
        <v>16192411.1173</v>
      </c>
      <c r="E33" s="13">
        <v>-45.113552900967498</v>
      </c>
      <c r="F33" s="13">
        <v>-136.620709144833</v>
      </c>
      <c r="G33" s="13">
        <v>178.847665704229</v>
      </c>
      <c r="H33" s="13">
        <f t="shared" si="5"/>
        <v>178.847665704229</v>
      </c>
      <c r="I33" s="9">
        <v>-45.113552925</v>
      </c>
      <c r="J33" s="9">
        <v>223.37929085600001</v>
      </c>
      <c r="K33" s="9">
        <f t="shared" si="6"/>
        <v>-136.62070914399999</v>
      </c>
      <c r="L33" s="10">
        <v>358.847666</v>
      </c>
      <c r="M33" s="3">
        <f t="shared" si="7"/>
        <v>178.847666</v>
      </c>
      <c r="N33" s="15">
        <f t="shared" si="0"/>
        <v>-45.11355290154485</v>
      </c>
      <c r="O33" s="23">
        <f t="shared" si="8"/>
        <v>5.7735149994186941E-10</v>
      </c>
      <c r="P33" s="22">
        <f t="shared" si="9"/>
        <v>2.3455150710560702E-8</v>
      </c>
      <c r="Q33" s="16">
        <f t="shared" si="10"/>
        <v>-136.6207091448224</v>
      </c>
      <c r="R33" s="23">
        <f t="shared" si="1"/>
        <v>1.0601297617540695E-11</v>
      </c>
      <c r="S33" s="22">
        <f t="shared" si="2"/>
        <v>8.2241058407817036E-10</v>
      </c>
      <c r="T33" s="16">
        <f t="shared" si="11"/>
        <v>178.84766570421743</v>
      </c>
      <c r="U33" s="23">
        <f t="shared" si="3"/>
        <v>1.1567635738174431E-11</v>
      </c>
      <c r="V33" s="22">
        <f t="shared" si="4"/>
        <v>2.9578256999229779E-7</v>
      </c>
    </row>
    <row r="34" spans="1:22" x14ac:dyDescent="0.45">
      <c r="A34">
        <v>54.907170000000001</v>
      </c>
      <c r="B34">
        <v>-9.1991599999999991</v>
      </c>
      <c r="C34">
        <v>159.90083999999999</v>
      </c>
      <c r="D34">
        <v>47791.921600000001</v>
      </c>
      <c r="E34" s="13">
        <v>54.503722195225102</v>
      </c>
      <c r="F34" s="13">
        <v>-8.94564032722303</v>
      </c>
      <c r="G34" s="13">
        <v>160.107762256184</v>
      </c>
      <c r="H34" s="13">
        <f t="shared" si="5"/>
        <v>160.107762256184</v>
      </c>
      <c r="I34" s="11">
        <v>54.503722195000002</v>
      </c>
      <c r="J34" s="11">
        <v>-8.9456403269999996</v>
      </c>
      <c r="K34" s="9">
        <f t="shared" si="6"/>
        <v>-8.9456403270000067</v>
      </c>
      <c r="L34" s="12">
        <v>340.10776199999998</v>
      </c>
      <c r="M34" s="3">
        <f t="shared" si="7"/>
        <v>160.10776199999998</v>
      </c>
      <c r="N34" s="15">
        <f t="shared" si="0"/>
        <v>54.503722195223894</v>
      </c>
      <c r="O34" s="23">
        <f t="shared" si="8"/>
        <v>1.2079226507921703E-12</v>
      </c>
      <c r="P34" s="22">
        <f t="shared" si="9"/>
        <v>2.2389201603800757E-10</v>
      </c>
      <c r="Q34" s="16">
        <f t="shared" si="10"/>
        <v>-8.9456403272225202</v>
      </c>
      <c r="R34" s="23">
        <f t="shared" si="1"/>
        <v>5.0981441290787188E-13</v>
      </c>
      <c r="S34" s="22">
        <f t="shared" si="2"/>
        <v>2.2251356313063297E-10</v>
      </c>
      <c r="T34" s="16">
        <f t="shared" si="11"/>
        <v>160.10776225618449</v>
      </c>
      <c r="U34" s="23">
        <f t="shared" si="3"/>
        <v>4.8316906031686813E-13</v>
      </c>
      <c r="V34" s="22">
        <f t="shared" si="4"/>
        <v>2.5618450649744773E-7</v>
      </c>
    </row>
    <row r="35" spans="1:22" x14ac:dyDescent="0.45">
      <c r="A35">
        <v>-83.446259999999995</v>
      </c>
      <c r="B35">
        <v>129.38958</v>
      </c>
      <c r="C35">
        <v>259.11182000000002</v>
      </c>
      <c r="D35">
        <v>16379592.8594</v>
      </c>
      <c r="E35" s="13">
        <v>55.735774026876001</v>
      </c>
      <c r="F35" s="13">
        <v>18.956400954957001</v>
      </c>
      <c r="G35" s="13">
        <v>-11.4946974424237</v>
      </c>
      <c r="H35" s="13">
        <f t="shared" si="5"/>
        <v>348.50530255757633</v>
      </c>
      <c r="I35" s="9">
        <v>55.735774032000002</v>
      </c>
      <c r="J35" s="9">
        <v>18.956400952999999</v>
      </c>
      <c r="K35" s="9">
        <f t="shared" si="6"/>
        <v>18.956400953000013</v>
      </c>
      <c r="L35" s="10">
        <v>168.505303</v>
      </c>
      <c r="M35" s="3">
        <f t="shared" si="7"/>
        <v>348.50530300000003</v>
      </c>
      <c r="N35" s="15">
        <f t="shared" si="0"/>
        <v>55.735774027492077</v>
      </c>
      <c r="O35" s="23">
        <f t="shared" si="8"/>
        <v>6.1607607904079487E-10</v>
      </c>
      <c r="P35" s="22">
        <f t="shared" si="9"/>
        <v>4.507924700192234E-9</v>
      </c>
      <c r="Q35" s="16">
        <f t="shared" si="10"/>
        <v>18.956400954781941</v>
      </c>
      <c r="R35" s="23">
        <f t="shared" si="1"/>
        <v>1.7505996652289468E-10</v>
      </c>
      <c r="S35" s="22">
        <f t="shared" si="2"/>
        <v>1.7819274944486097E-9</v>
      </c>
      <c r="T35" s="16">
        <f t="shared" si="11"/>
        <v>348.50530255739267</v>
      </c>
      <c r="U35" s="23">
        <f t="shared" si="3"/>
        <v>1.836610863392707E-10</v>
      </c>
      <c r="V35" s="22">
        <f t="shared" si="4"/>
        <v>4.4260735876378021E-7</v>
      </c>
    </row>
    <row r="36" spans="1:22" x14ac:dyDescent="0.45">
      <c r="A36">
        <v>10.2753</v>
      </c>
      <c r="B36">
        <v>101.86165</v>
      </c>
      <c r="C36">
        <v>18.37228</v>
      </c>
      <c r="D36">
        <v>25941909.833799999</v>
      </c>
      <c r="E36" s="13">
        <v>-58.9990299796888</v>
      </c>
      <c r="F36" s="13">
        <v>-48.998848479748297</v>
      </c>
      <c r="G36" s="13">
        <v>143.07826182029501</v>
      </c>
      <c r="H36" s="13">
        <f t="shared" si="5"/>
        <v>143.07826182029501</v>
      </c>
      <c r="I36" s="11">
        <v>-58.999029952000001</v>
      </c>
      <c r="J36" s="11">
        <v>-48.998848520000003</v>
      </c>
      <c r="K36" s="9">
        <f t="shared" si="6"/>
        <v>-48.998848519999996</v>
      </c>
      <c r="L36" s="12">
        <v>323.078262</v>
      </c>
      <c r="M36" s="3">
        <f t="shared" si="7"/>
        <v>143.078262</v>
      </c>
      <c r="N36" s="15">
        <f t="shared" si="0"/>
        <v>-58.999029980470439</v>
      </c>
      <c r="O36" s="23">
        <f t="shared" si="8"/>
        <v>7.8163964190025581E-10</v>
      </c>
      <c r="P36" s="22">
        <f t="shared" si="9"/>
        <v>2.8470438451222435E-8</v>
      </c>
      <c r="Q36" s="16">
        <f t="shared" si="10"/>
        <v>-48.998848478845815</v>
      </c>
      <c r="R36" s="23">
        <f t="shared" si="1"/>
        <v>9.0248164497097605E-10</v>
      </c>
      <c r="S36" s="22">
        <f t="shared" si="2"/>
        <v>4.1154180507874116E-8</v>
      </c>
      <c r="T36" s="16">
        <f t="shared" si="11"/>
        <v>143.07826181931935</v>
      </c>
      <c r="U36" s="23">
        <f t="shared" si="3"/>
        <v>9.7566044132690877E-10</v>
      </c>
      <c r="V36" s="22">
        <f t="shared" si="4"/>
        <v>1.8068064377985138E-7</v>
      </c>
    </row>
    <row r="37" spans="1:22" x14ac:dyDescent="0.45">
      <c r="A37">
        <v>-70.479839999999996</v>
      </c>
      <c r="B37">
        <v>-59.324640000000002</v>
      </c>
      <c r="C37">
        <v>269.09638999999999</v>
      </c>
      <c r="D37">
        <v>19983063.0561</v>
      </c>
      <c r="E37" s="13">
        <v>70.476845459848306</v>
      </c>
      <c r="F37" s="13">
        <v>121.335654410723</v>
      </c>
      <c r="G37" s="13">
        <v>-88.664516688994993</v>
      </c>
      <c r="H37" s="13">
        <f t="shared" si="5"/>
        <v>271.33548331100502</v>
      </c>
      <c r="I37" s="9">
        <v>70.476845460999996</v>
      </c>
      <c r="J37" s="9">
        <v>-238.66434569399999</v>
      </c>
      <c r="K37" s="9">
        <f t="shared" si="6"/>
        <v>121.33565430600004</v>
      </c>
      <c r="L37" s="10">
        <v>91.335482999999996</v>
      </c>
      <c r="M37" s="3">
        <f t="shared" si="7"/>
        <v>271.33548300000001</v>
      </c>
      <c r="N37" s="15">
        <f t="shared" si="0"/>
        <v>70.476845459864961</v>
      </c>
      <c r="O37" s="23">
        <f t="shared" si="8"/>
        <v>1.6655121726216748E-11</v>
      </c>
      <c r="P37" s="22">
        <f t="shared" si="9"/>
        <v>1.1350351769578992E-9</v>
      </c>
      <c r="Q37" s="16">
        <f t="shared" si="10"/>
        <v>121.33565440877896</v>
      </c>
      <c r="R37" s="23">
        <f t="shared" si="1"/>
        <v>1.9440307141849189E-9</v>
      </c>
      <c r="S37" s="22">
        <f t="shared" si="2"/>
        <v>1.0277892670274014E-7</v>
      </c>
      <c r="T37" s="16">
        <f t="shared" si="11"/>
        <v>271.33548330898589</v>
      </c>
      <c r="U37" s="23">
        <f t="shared" si="3"/>
        <v>2.0191350813547615E-9</v>
      </c>
      <c r="V37" s="22">
        <f t="shared" si="4"/>
        <v>3.0898587510819198E-7</v>
      </c>
    </row>
    <row r="38" spans="1:22" x14ac:dyDescent="0.45">
      <c r="A38">
        <v>-43.310850000000002</v>
      </c>
      <c r="B38">
        <v>142.96419</v>
      </c>
      <c r="C38">
        <v>132.10337000000001</v>
      </c>
      <c r="D38">
        <v>14969044.283500001</v>
      </c>
      <c r="E38" s="13">
        <v>7.7782204546389702</v>
      </c>
      <c r="F38" s="13">
        <v>-69.411686508079001</v>
      </c>
      <c r="G38" s="13">
        <v>33.072833960909598</v>
      </c>
      <c r="H38" s="13">
        <f t="shared" si="5"/>
        <v>33.072833960909598</v>
      </c>
      <c r="I38" s="11">
        <v>7.778220428</v>
      </c>
      <c r="J38" s="11">
        <v>290.58831347400002</v>
      </c>
      <c r="K38" s="9">
        <f t="shared" si="6"/>
        <v>-69.411686525999983</v>
      </c>
      <c r="L38" s="12">
        <v>213.072834</v>
      </c>
      <c r="M38" s="3">
        <f t="shared" si="7"/>
        <v>33.072834</v>
      </c>
      <c r="N38" s="15">
        <f t="shared" si="0"/>
        <v>7.7782204551477223</v>
      </c>
      <c r="O38" s="23">
        <f t="shared" si="8"/>
        <v>5.0875215151791053E-10</v>
      </c>
      <c r="P38" s="22">
        <f t="shared" si="9"/>
        <v>2.7147722292397702E-8</v>
      </c>
      <c r="Q38" s="16">
        <f t="shared" si="10"/>
        <v>-69.411686508090952</v>
      </c>
      <c r="R38" s="23">
        <f t="shared" si="1"/>
        <v>1.1951328815484885E-11</v>
      </c>
      <c r="S38" s="22">
        <f t="shared" si="2"/>
        <v>1.7909030702867312E-8</v>
      </c>
      <c r="T38" s="16">
        <f t="shared" si="11"/>
        <v>33.072833960954654</v>
      </c>
      <c r="U38" s="23">
        <f t="shared" si="3"/>
        <v>4.5055514874547953E-11</v>
      </c>
      <c r="V38" s="22">
        <f t="shared" si="4"/>
        <v>3.9045346511557E-8</v>
      </c>
    </row>
    <row r="39" spans="1:22" x14ac:dyDescent="0.45">
      <c r="A39">
        <v>66.897930000000002</v>
      </c>
      <c r="B39">
        <v>62.62509</v>
      </c>
      <c r="C39">
        <v>295.13056</v>
      </c>
      <c r="D39">
        <v>20971884.737199999</v>
      </c>
      <c r="E39" s="13">
        <v>-69.138707943709207</v>
      </c>
      <c r="F39" s="13">
        <v>-139.797932329541</v>
      </c>
      <c r="G39" s="13">
        <v>-94.096336672680195</v>
      </c>
      <c r="H39" s="13">
        <f t="shared" si="5"/>
        <v>265.9036633273198</v>
      </c>
      <c r="I39" s="9">
        <v>-69.138707945999997</v>
      </c>
      <c r="J39" s="9">
        <v>220.20206759999999</v>
      </c>
      <c r="K39" s="9">
        <f t="shared" si="6"/>
        <v>-139.79793240000004</v>
      </c>
      <c r="L39" s="10">
        <v>85.903662999999995</v>
      </c>
      <c r="M39" s="3">
        <f t="shared" si="7"/>
        <v>265.90366299999999</v>
      </c>
      <c r="N39" s="15">
        <f t="shared" si="0"/>
        <v>-69.138707943758561</v>
      </c>
      <c r="O39" s="23">
        <f t="shared" si="8"/>
        <v>4.9354298425896559E-11</v>
      </c>
      <c r="P39" s="22">
        <f t="shared" si="9"/>
        <v>2.2414354816646664E-9</v>
      </c>
      <c r="Q39" s="16">
        <f t="shared" si="10"/>
        <v>-139.79793233124326</v>
      </c>
      <c r="R39" s="23">
        <f t="shared" si="1"/>
        <v>1.7022614429151872E-9</v>
      </c>
      <c r="S39" s="22">
        <f t="shared" si="2"/>
        <v>6.875677627249388E-8</v>
      </c>
      <c r="T39" s="16">
        <f t="shared" si="11"/>
        <v>265.90366332913015</v>
      </c>
      <c r="U39" s="23">
        <f t="shared" si="3"/>
        <v>1.8103492038790137E-9</v>
      </c>
      <c r="V39" s="22">
        <f t="shared" si="4"/>
        <v>3.2913015957092284E-7</v>
      </c>
    </row>
    <row r="40" spans="1:22" x14ac:dyDescent="0.45">
      <c r="A40">
        <v>-14.448980000000001</v>
      </c>
      <c r="B40">
        <v>-131.36622</v>
      </c>
      <c r="C40">
        <v>357.39879999999999</v>
      </c>
      <c r="D40">
        <v>5018737.5745999999</v>
      </c>
      <c r="E40" s="13">
        <v>30.860172734780299</v>
      </c>
      <c r="F40" s="13">
        <v>-133.50851917958499</v>
      </c>
      <c r="G40" s="13">
        <v>-2.9326663319569599</v>
      </c>
      <c r="H40" s="13">
        <f t="shared" si="5"/>
        <v>357.06733366804303</v>
      </c>
      <c r="I40" s="11">
        <v>30.860172737999999</v>
      </c>
      <c r="J40" s="11">
        <v>-133.50851918000001</v>
      </c>
      <c r="K40" s="9">
        <f t="shared" si="6"/>
        <v>-133.50851918000001</v>
      </c>
      <c r="L40" s="12">
        <v>177.06733399999999</v>
      </c>
      <c r="M40" s="3">
        <f t="shared" si="7"/>
        <v>357.06733399999996</v>
      </c>
      <c r="N40" s="15">
        <f t="shared" si="0"/>
        <v>30.86017273502204</v>
      </c>
      <c r="O40" s="23">
        <f t="shared" si="8"/>
        <v>2.4174084956030129E-10</v>
      </c>
      <c r="P40" s="22">
        <f t="shared" si="9"/>
        <v>2.9779592125578347E-9</v>
      </c>
      <c r="Q40" s="16">
        <f t="shared" si="10"/>
        <v>-133.50851917959827</v>
      </c>
      <c r="R40" s="23">
        <f t="shared" si="1"/>
        <v>1.3272938303998671E-11</v>
      </c>
      <c r="S40" s="22">
        <f t="shared" si="2"/>
        <v>4.0174086279876065E-10</v>
      </c>
      <c r="T40" s="16">
        <f t="shared" si="11"/>
        <v>357.06733366803525</v>
      </c>
      <c r="U40" s="23">
        <f t="shared" si="3"/>
        <v>7.787548383930698E-12</v>
      </c>
      <c r="V40" s="22">
        <f t="shared" si="4"/>
        <v>3.3196471349583589E-7</v>
      </c>
    </row>
    <row r="41" spans="1:22" x14ac:dyDescent="0.45">
      <c r="A41">
        <v>56.26164</v>
      </c>
      <c r="B41">
        <v>160.04601</v>
      </c>
      <c r="C41">
        <v>207.2295</v>
      </c>
      <c r="D41">
        <v>5688651.0158000002</v>
      </c>
      <c r="E41" s="13">
        <v>7.7505718894221696</v>
      </c>
      <c r="F41" s="13">
        <v>138.99198735445401</v>
      </c>
      <c r="G41" s="13">
        <v>-165.10490137988299</v>
      </c>
      <c r="H41" s="13">
        <f t="shared" si="5"/>
        <v>194.89509862011701</v>
      </c>
      <c r="I41" s="9">
        <v>7.7505718879999996</v>
      </c>
      <c r="J41" s="9">
        <v>138.991987354</v>
      </c>
      <c r="K41" s="9">
        <f t="shared" si="6"/>
        <v>138.991987354</v>
      </c>
      <c r="L41" s="10">
        <v>14.895099</v>
      </c>
      <c r="M41" s="3">
        <f t="shared" si="7"/>
        <v>194.89509899999999</v>
      </c>
      <c r="N41" s="15">
        <f t="shared" si="0"/>
        <v>7.7505718891734352</v>
      </c>
      <c r="O41" s="23">
        <f t="shared" si="8"/>
        <v>2.4873436643702007E-10</v>
      </c>
      <c r="P41" s="22">
        <f t="shared" si="9"/>
        <v>1.1734355709336342E-9</v>
      </c>
      <c r="Q41" s="16">
        <f t="shared" si="10"/>
        <v>138.99198735442928</v>
      </c>
      <c r="R41" s="23">
        <f t="shared" si="1"/>
        <v>2.4726887204451486E-11</v>
      </c>
      <c r="S41" s="22">
        <f t="shared" si="2"/>
        <v>4.2928149923682213E-10</v>
      </c>
      <c r="T41" s="16">
        <f t="shared" si="11"/>
        <v>194.89509862010806</v>
      </c>
      <c r="U41" s="23">
        <f t="shared" si="3"/>
        <v>8.9528384705772623E-12</v>
      </c>
      <c r="V41" s="22">
        <f t="shared" si="4"/>
        <v>3.7989192946952244E-7</v>
      </c>
    </row>
    <row r="42" spans="1:22" x14ac:dyDescent="0.45">
      <c r="A42">
        <v>-52.43038</v>
      </c>
      <c r="B42">
        <v>-158.68406999999999</v>
      </c>
      <c r="C42">
        <v>295.40204</v>
      </c>
      <c r="D42">
        <v>24475326.5867</v>
      </c>
      <c r="E42" s="13">
        <v>25.781218774337798</v>
      </c>
      <c r="F42" s="13">
        <v>-18.737769139692301</v>
      </c>
      <c r="G42" s="13">
        <v>-142.224966795466</v>
      </c>
      <c r="H42" s="13">
        <f t="shared" si="5"/>
        <v>217.775033204534</v>
      </c>
      <c r="I42" s="11">
        <v>25.781218751000001</v>
      </c>
      <c r="J42" s="11">
        <v>-18.737769158999999</v>
      </c>
      <c r="K42" s="9">
        <f t="shared" si="6"/>
        <v>-18.73776915900001</v>
      </c>
      <c r="L42" s="12">
        <v>37.775033000000001</v>
      </c>
      <c r="M42" s="3">
        <f t="shared" si="7"/>
        <v>217.77503300000001</v>
      </c>
      <c r="N42" s="15">
        <f t="shared" si="0"/>
        <v>25.781218773540029</v>
      </c>
      <c r="O42" s="23">
        <f t="shared" si="8"/>
        <v>7.9776896200201008E-10</v>
      </c>
      <c r="P42" s="22">
        <f t="shared" si="9"/>
        <v>2.2540028510320553E-8</v>
      </c>
      <c r="Q42" s="16">
        <f t="shared" si="10"/>
        <v>-18.73776913980771</v>
      </c>
      <c r="R42" s="23">
        <f t="shared" si="1"/>
        <v>1.1540990385583427E-10</v>
      </c>
      <c r="S42" s="22">
        <f t="shared" si="2"/>
        <v>1.9192299305359484E-8</v>
      </c>
      <c r="T42" s="16">
        <f t="shared" si="11"/>
        <v>217.77503320423713</v>
      </c>
      <c r="U42" s="23">
        <f t="shared" si="3"/>
        <v>2.9686475500056986E-10</v>
      </c>
      <c r="V42" s="22">
        <f t="shared" si="4"/>
        <v>2.0423712498995883E-7</v>
      </c>
    </row>
    <row r="43" spans="1:22" x14ac:dyDescent="0.45">
      <c r="A43">
        <v>18.914919999999999</v>
      </c>
      <c r="B43">
        <v>-16.346509999999999</v>
      </c>
      <c r="C43">
        <v>214.55985000000001</v>
      </c>
      <c r="D43">
        <v>11418445.4695</v>
      </c>
      <c r="E43" s="13">
        <v>-56.357512339604</v>
      </c>
      <c r="F43" s="13">
        <v>-101.062704060629</v>
      </c>
      <c r="G43" s="13">
        <v>-104.82100347087901</v>
      </c>
      <c r="H43" s="13">
        <f t="shared" si="5"/>
        <v>255.17899652912098</v>
      </c>
      <c r="I43" s="9">
        <v>-56.357512341000003</v>
      </c>
      <c r="J43" s="9">
        <v>-101.062704068</v>
      </c>
      <c r="K43" s="9">
        <f t="shared" si="6"/>
        <v>-101.062704068</v>
      </c>
      <c r="L43" s="10">
        <v>75.178996999999995</v>
      </c>
      <c r="M43" s="3">
        <f t="shared" si="7"/>
        <v>255.17899699999998</v>
      </c>
      <c r="N43" s="15">
        <f t="shared" si="0"/>
        <v>-56.357512339756262</v>
      </c>
      <c r="O43" s="23">
        <f t="shared" si="8"/>
        <v>1.5226220284603187E-10</v>
      </c>
      <c r="P43" s="22">
        <f t="shared" si="9"/>
        <v>1.243741110101837E-9</v>
      </c>
      <c r="Q43" s="16">
        <f t="shared" si="10"/>
        <v>-101.06270406148897</v>
      </c>
      <c r="R43" s="23">
        <f t="shared" si="1"/>
        <v>8.5996987309044925E-10</v>
      </c>
      <c r="S43" s="22">
        <f t="shared" si="2"/>
        <v>6.5110299374282476E-9</v>
      </c>
      <c r="T43" s="16">
        <f t="shared" si="11"/>
        <v>255.17899652998281</v>
      </c>
      <c r="U43" s="23">
        <f t="shared" si="3"/>
        <v>8.6183149505814072E-10</v>
      </c>
      <c r="V43" s="22">
        <f t="shared" si="4"/>
        <v>4.7001717007333355E-7</v>
      </c>
    </row>
    <row r="44" spans="1:22" x14ac:dyDescent="0.45">
      <c r="A44">
        <v>-18.661280000000001</v>
      </c>
      <c r="B44">
        <v>-176.80045000000001</v>
      </c>
      <c r="C44">
        <v>293.29950000000002</v>
      </c>
      <c r="D44">
        <v>21962851.263599999</v>
      </c>
      <c r="E44" s="13">
        <v>10.9004762372901</v>
      </c>
      <c r="F44" s="13">
        <v>-12.9112128128334</v>
      </c>
      <c r="G44" s="13">
        <v>-117.581840634147</v>
      </c>
      <c r="H44" s="13">
        <f t="shared" si="5"/>
        <v>242.418159365853</v>
      </c>
      <c r="I44" s="11">
        <v>10.900476252000001</v>
      </c>
      <c r="J44" s="11">
        <v>-12.911212783</v>
      </c>
      <c r="K44" s="9">
        <f t="shared" si="6"/>
        <v>-12.911212782999996</v>
      </c>
      <c r="L44" s="12">
        <v>62.418159000000003</v>
      </c>
      <c r="M44" s="3">
        <f t="shared" si="7"/>
        <v>242.418159</v>
      </c>
      <c r="N44" s="15">
        <f t="shared" si="0"/>
        <v>10.900476236713139</v>
      </c>
      <c r="O44" s="23">
        <f t="shared" si="8"/>
        <v>5.7696070143720135E-10</v>
      </c>
      <c r="P44" s="22">
        <f t="shared" si="9"/>
        <v>1.5286861554386633E-8</v>
      </c>
      <c r="Q44" s="16">
        <f t="shared" si="10"/>
        <v>-12.91121281314102</v>
      </c>
      <c r="R44" s="23">
        <f t="shared" si="1"/>
        <v>3.0762059566313837E-10</v>
      </c>
      <c r="S44" s="22">
        <f t="shared" si="2"/>
        <v>3.0141023898977437E-8</v>
      </c>
      <c r="T44" s="16">
        <f t="shared" si="11"/>
        <v>242.41815936564177</v>
      </c>
      <c r="U44" s="23">
        <f t="shared" si="3"/>
        <v>2.1123014448676258E-10</v>
      </c>
      <c r="V44" s="22">
        <f t="shared" si="4"/>
        <v>3.6564176753017819E-7</v>
      </c>
    </row>
    <row r="45" spans="1:22" x14ac:dyDescent="0.45">
      <c r="A45">
        <v>-17.826229999999999</v>
      </c>
      <c r="B45">
        <v>131.55552</v>
      </c>
      <c r="C45">
        <v>146.41113999999999</v>
      </c>
      <c r="D45">
        <v>23153552.507599998</v>
      </c>
      <c r="E45" s="13">
        <v>40.354227137204703</v>
      </c>
      <c r="F45" s="13">
        <v>-28.609247305471101</v>
      </c>
      <c r="G45" s="13">
        <v>43.658740502462997</v>
      </c>
      <c r="H45" s="13">
        <f t="shared" si="5"/>
        <v>43.658740502462997</v>
      </c>
      <c r="I45" s="9">
        <v>40.354227152999997</v>
      </c>
      <c r="J45" s="9">
        <v>-28.609247285999999</v>
      </c>
      <c r="K45" s="9">
        <f t="shared" si="6"/>
        <v>-28.609247285999999</v>
      </c>
      <c r="L45" s="10">
        <v>223.65874099999999</v>
      </c>
      <c r="M45" s="3">
        <f t="shared" si="7"/>
        <v>43.658740999999964</v>
      </c>
      <c r="N45" s="15">
        <f t="shared" si="0"/>
        <v>40.354227137908836</v>
      </c>
      <c r="O45" s="23">
        <f t="shared" si="8"/>
        <v>7.0413364028354408E-10</v>
      </c>
      <c r="P45" s="22">
        <f t="shared" si="9"/>
        <v>1.5091160321389907E-8</v>
      </c>
      <c r="Q45" s="16">
        <f t="shared" si="10"/>
        <v>-28.609247305064173</v>
      </c>
      <c r="R45" s="23">
        <f t="shared" si="1"/>
        <v>4.0692782476980938E-10</v>
      </c>
      <c r="S45" s="22">
        <f t="shared" si="2"/>
        <v>1.9064174239247222E-8</v>
      </c>
      <c r="T45" s="16">
        <f t="shared" si="11"/>
        <v>43.658740503031915</v>
      </c>
      <c r="U45" s="23">
        <f t="shared" si="3"/>
        <v>5.6891735766839702E-10</v>
      </c>
      <c r="V45" s="22">
        <f t="shared" si="4"/>
        <v>4.9696804893528679E-7</v>
      </c>
    </row>
    <row r="46" spans="1:22" x14ac:dyDescent="0.45">
      <c r="A46">
        <v>12.142620000000001</v>
      </c>
      <c r="B46">
        <v>-36.635980000000004</v>
      </c>
      <c r="C46">
        <v>146.83186000000001</v>
      </c>
      <c r="D46">
        <v>27457648.3748</v>
      </c>
      <c r="E46" s="13">
        <v>42.441562745321001</v>
      </c>
      <c r="F46" s="13">
        <v>-174.03343368774199</v>
      </c>
      <c r="G46" s="13">
        <v>46.366979993289704</v>
      </c>
      <c r="H46" s="13">
        <f t="shared" si="5"/>
        <v>46.366979993289704</v>
      </c>
      <c r="I46" s="11">
        <v>42.441562715000003</v>
      </c>
      <c r="J46" s="11">
        <v>-174.03343373000001</v>
      </c>
      <c r="K46" s="9">
        <f t="shared" si="6"/>
        <v>-174.03343373000001</v>
      </c>
      <c r="L46" s="12">
        <v>226.36698000000001</v>
      </c>
      <c r="M46" s="3">
        <f t="shared" si="7"/>
        <v>46.366980000000012</v>
      </c>
      <c r="N46" s="15">
        <f t="shared" si="0"/>
        <v>42.441562746171407</v>
      </c>
      <c r="O46" s="23">
        <f t="shared" si="8"/>
        <v>8.5040596786711831E-10</v>
      </c>
      <c r="P46" s="22">
        <f t="shared" si="9"/>
        <v>3.1171403236385231E-8</v>
      </c>
      <c r="Q46" s="16">
        <f t="shared" si="10"/>
        <v>-174.0334336870342</v>
      </c>
      <c r="R46" s="23">
        <f t="shared" si="1"/>
        <v>7.07785829945351E-10</v>
      </c>
      <c r="S46" s="22">
        <f t="shared" si="2"/>
        <v>4.2965808688677498E-8</v>
      </c>
      <c r="T46" s="16">
        <f t="shared" si="11"/>
        <v>46.366979994102586</v>
      </c>
      <c r="U46" s="23">
        <f t="shared" si="3"/>
        <v>8.1288220599162742E-10</v>
      </c>
      <c r="V46" s="22">
        <f t="shared" si="4"/>
        <v>5.8974265471078979E-9</v>
      </c>
    </row>
    <row r="47" spans="1:22" x14ac:dyDescent="0.45">
      <c r="A47">
        <v>69.926180000000002</v>
      </c>
      <c r="B47">
        <v>87.82499</v>
      </c>
      <c r="C47">
        <v>48.883920000000003</v>
      </c>
      <c r="D47">
        <v>1594501.6647000001</v>
      </c>
      <c r="E47" s="13">
        <v>74.9973653084989</v>
      </c>
      <c r="F47" s="13">
        <v>133.69870045488801</v>
      </c>
      <c r="G47" s="13">
        <v>92.871550246343602</v>
      </c>
      <c r="H47" s="13">
        <f t="shared" si="5"/>
        <v>92.871550246343602</v>
      </c>
      <c r="I47" s="9">
        <v>74.997365307999999</v>
      </c>
      <c r="J47" s="9">
        <v>133.698700465</v>
      </c>
      <c r="K47" s="9">
        <f t="shared" si="6"/>
        <v>133.698700465</v>
      </c>
      <c r="L47" s="10">
        <v>272.87155000000001</v>
      </c>
      <c r="M47" s="3">
        <f t="shared" si="7"/>
        <v>92.871550000000013</v>
      </c>
      <c r="N47" s="15">
        <f t="shared" si="0"/>
        <v>74.997365308498615</v>
      </c>
      <c r="O47" s="23">
        <f t="shared" si="8"/>
        <v>2.8421709430404007E-13</v>
      </c>
      <c r="P47" s="22">
        <f t="shared" si="9"/>
        <v>4.986162593922927E-10</v>
      </c>
      <c r="Q47" s="16">
        <f t="shared" si="10"/>
        <v>133.69870045488881</v>
      </c>
      <c r="R47" s="23">
        <f t="shared" si="1"/>
        <v>7.9580786405131221E-13</v>
      </c>
      <c r="S47" s="22">
        <f t="shared" si="2"/>
        <v>1.0111193660122808E-8</v>
      </c>
      <c r="T47" s="16">
        <f t="shared" si="11"/>
        <v>92.871550246363924</v>
      </c>
      <c r="U47" s="23">
        <f t="shared" si="3"/>
        <v>2.0321522242738865E-11</v>
      </c>
      <c r="V47" s="22">
        <f t="shared" si="4"/>
        <v>2.4636391060539609E-7</v>
      </c>
    </row>
    <row r="48" spans="1:22" x14ac:dyDescent="0.45">
      <c r="A48">
        <v>-55.565100000000001</v>
      </c>
      <c r="B48">
        <v>30.077780000000001</v>
      </c>
      <c r="C48">
        <v>165.26965000000001</v>
      </c>
      <c r="D48">
        <v>7281691.9382999996</v>
      </c>
      <c r="E48" s="13">
        <v>-57.332786182477101</v>
      </c>
      <c r="F48" s="13">
        <v>-175.25900082019399</v>
      </c>
      <c r="G48" s="13">
        <v>15.447583772795699</v>
      </c>
      <c r="H48" s="13">
        <f t="shared" si="5"/>
        <v>15.447583772795699</v>
      </c>
      <c r="I48" s="11">
        <v>-57.332786185000003</v>
      </c>
      <c r="J48" s="11">
        <v>184.74099917800001</v>
      </c>
      <c r="K48" s="9">
        <f t="shared" si="6"/>
        <v>-175.25900082199996</v>
      </c>
      <c r="L48" s="12">
        <v>195.44758400000001</v>
      </c>
      <c r="M48" s="3">
        <f t="shared" si="7"/>
        <v>15.447584000000006</v>
      </c>
      <c r="N48" s="15">
        <f t="shared" si="0"/>
        <v>-57.332786182432507</v>
      </c>
      <c r="O48" s="23">
        <f t="shared" si="8"/>
        <v>4.4593662096303888E-11</v>
      </c>
      <c r="P48" s="22">
        <f t="shared" si="9"/>
        <v>2.5674964376776188E-9</v>
      </c>
      <c r="Q48" s="16">
        <f t="shared" si="10"/>
        <v>-175.25900082020644</v>
      </c>
      <c r="R48" s="23">
        <f t="shared" si="1"/>
        <v>1.2448708730516955E-11</v>
      </c>
      <c r="S48" s="22">
        <f t="shared" si="2"/>
        <v>1.7935235518962145E-9</v>
      </c>
      <c r="T48" s="16">
        <f t="shared" si="11"/>
        <v>15.447583772776788</v>
      </c>
      <c r="U48" s="23">
        <f t="shared" si="3"/>
        <v>1.8911094912255066E-11</v>
      </c>
      <c r="V48" s="22">
        <f t="shared" si="4"/>
        <v>2.2722321801893486E-7</v>
      </c>
    </row>
    <row r="49" spans="1:22" x14ac:dyDescent="0.45">
      <c r="A49">
        <v>54.742400000000004</v>
      </c>
      <c r="B49">
        <v>-122.9849</v>
      </c>
      <c r="C49">
        <v>12.37074</v>
      </c>
      <c r="D49">
        <v>23518265.962400001</v>
      </c>
      <c r="E49" s="13">
        <v>-82.252833425647196</v>
      </c>
      <c r="F49" s="13">
        <v>113.000909572631</v>
      </c>
      <c r="G49" s="13">
        <v>113.589107885776</v>
      </c>
      <c r="H49" s="13">
        <f t="shared" si="5"/>
        <v>113.589107885776</v>
      </c>
      <c r="I49" s="9">
        <v>-82.252833417000005</v>
      </c>
      <c r="J49" s="9">
        <v>-246.99909057299999</v>
      </c>
      <c r="K49" s="9">
        <f t="shared" si="6"/>
        <v>113.00090942700001</v>
      </c>
      <c r="L49" s="10">
        <v>293.58910800000001</v>
      </c>
      <c r="M49" s="3">
        <f t="shared" si="7"/>
        <v>113.58910800000001</v>
      </c>
      <c r="N49" s="15">
        <f t="shared" si="0"/>
        <v>-82.252833425929794</v>
      </c>
      <c r="O49" s="23">
        <f t="shared" si="8"/>
        <v>2.8259705686650705E-10</v>
      </c>
      <c r="P49" s="22">
        <f t="shared" si="9"/>
        <v>8.9297884642292047E-9</v>
      </c>
      <c r="Q49" s="16">
        <f t="shared" si="10"/>
        <v>113.00090957735188</v>
      </c>
      <c r="R49" s="23">
        <f t="shared" si="1"/>
        <v>4.720874358099536E-9</v>
      </c>
      <c r="S49" s="22">
        <f t="shared" si="2"/>
        <v>1.5035186606837669E-7</v>
      </c>
      <c r="T49" s="16">
        <f t="shared" si="11"/>
        <v>113.5891078810199</v>
      </c>
      <c r="U49" s="23">
        <f t="shared" si="3"/>
        <v>4.7561030669385218E-9</v>
      </c>
      <c r="V49" s="22">
        <f t="shared" si="4"/>
        <v>1.1898011109678919E-7</v>
      </c>
    </row>
    <row r="50" spans="1:22" x14ac:dyDescent="0.45">
      <c r="A50">
        <v>-16.655989999999999</v>
      </c>
      <c r="B50">
        <v>-3.1525599999999998</v>
      </c>
      <c r="C50">
        <v>278.37556000000001</v>
      </c>
      <c r="D50">
        <v>3921469.0978999999</v>
      </c>
      <c r="E50" s="13">
        <v>-8.7922288975664493</v>
      </c>
      <c r="F50" s="13">
        <v>-38.421074215752</v>
      </c>
      <c r="G50" s="13">
        <v>-73.593921201083404</v>
      </c>
      <c r="H50" s="13">
        <f t="shared" si="5"/>
        <v>286.40607879891661</v>
      </c>
      <c r="I50" s="11">
        <v>-8.7922288969999993</v>
      </c>
      <c r="J50" s="11">
        <v>-38.421074216999997</v>
      </c>
      <c r="K50" s="9">
        <f t="shared" si="6"/>
        <v>-38.421074217000012</v>
      </c>
      <c r="L50" s="12">
        <v>106.40607900000001</v>
      </c>
      <c r="M50" s="3">
        <f t="shared" si="7"/>
        <v>286.40607899999998</v>
      </c>
      <c r="N50" s="15">
        <f t="shared" si="0"/>
        <v>-8.7922288974985854</v>
      </c>
      <c r="O50" s="23">
        <f t="shared" si="8"/>
        <v>6.7863936692447169E-11</v>
      </c>
      <c r="P50" s="22">
        <f t="shared" si="9"/>
        <v>4.985860613260229E-10</v>
      </c>
      <c r="Q50" s="16">
        <f t="shared" si="10"/>
        <v>-38.421074215890144</v>
      </c>
      <c r="R50" s="23">
        <f t="shared" si="1"/>
        <v>1.3814371868647868E-10</v>
      </c>
      <c r="S50" s="22">
        <f t="shared" si="2"/>
        <v>1.1098677532572765E-9</v>
      </c>
      <c r="T50" s="16">
        <f t="shared" si="11"/>
        <v>286.40607879895185</v>
      </c>
      <c r="U50" s="23">
        <f t="shared" si="3"/>
        <v>3.5242919693700969E-11</v>
      </c>
      <c r="V50" s="22">
        <f t="shared" si="4"/>
        <v>2.0104812392673921E-7</v>
      </c>
    </row>
    <row r="51" spans="1:22" x14ac:dyDescent="0.45">
      <c r="A51">
        <v>41.28819</v>
      </c>
      <c r="B51">
        <v>-163.27911</v>
      </c>
      <c r="C51">
        <v>93.865449999999996</v>
      </c>
      <c r="D51">
        <v>8374879.0009000003</v>
      </c>
      <c r="E51" s="13">
        <v>6.71948613301159</v>
      </c>
      <c r="F51" s="13">
        <v>-86.996399544174807</v>
      </c>
      <c r="G51" s="13">
        <v>130.892076264775</v>
      </c>
      <c r="H51" s="13">
        <f t="shared" si="5"/>
        <v>130.892076264775</v>
      </c>
      <c r="I51" s="9">
        <v>6.7194861320000001</v>
      </c>
      <c r="J51" s="9">
        <v>-86.996399543999999</v>
      </c>
      <c r="K51" s="9">
        <f t="shared" si="6"/>
        <v>-86.996399543999999</v>
      </c>
      <c r="L51" s="10">
        <v>310.89207599999997</v>
      </c>
      <c r="M51" s="3">
        <f t="shared" si="7"/>
        <v>130.89207599999997</v>
      </c>
      <c r="N51" s="15">
        <f t="shared" si="0"/>
        <v>6.7194861327409647</v>
      </c>
      <c r="O51" s="23">
        <f t="shared" si="8"/>
        <v>2.7062529994736906E-10</v>
      </c>
      <c r="P51" s="22">
        <f t="shared" si="9"/>
        <v>7.4096462299166888E-10</v>
      </c>
      <c r="Q51" s="16">
        <f t="shared" si="10"/>
        <v>-86.99639954421076</v>
      </c>
      <c r="R51" s="23">
        <f t="shared" si="1"/>
        <v>3.5953462429461069E-11</v>
      </c>
      <c r="S51" s="22">
        <f t="shared" si="2"/>
        <v>2.1076118628116092E-10</v>
      </c>
      <c r="T51" s="16">
        <f t="shared" si="11"/>
        <v>130.89207626481166</v>
      </c>
      <c r="U51" s="23">
        <f t="shared" si="3"/>
        <v>3.666400516522117E-11</v>
      </c>
      <c r="V51" s="22">
        <f t="shared" si="4"/>
        <v>2.6481168902137142E-7</v>
      </c>
    </row>
    <row r="52" spans="1:22" x14ac:dyDescent="0.45">
      <c r="A52">
        <v>-55.107990000000001</v>
      </c>
      <c r="B52">
        <v>-30.459199999999999</v>
      </c>
      <c r="C52">
        <v>218.89684</v>
      </c>
      <c r="D52">
        <v>2583078.8037999999</v>
      </c>
      <c r="E52" s="13">
        <v>-68.327727516497006</v>
      </c>
      <c r="F52" s="13">
        <v>-72.378787125874894</v>
      </c>
      <c r="G52" s="13">
        <v>-103.58865501351301</v>
      </c>
      <c r="H52" s="13">
        <f t="shared" si="5"/>
        <v>256.41134498648699</v>
      </c>
      <c r="I52" s="11">
        <v>-68.327727517</v>
      </c>
      <c r="J52" s="11">
        <v>-72.378787130999996</v>
      </c>
      <c r="K52" s="9">
        <f t="shared" si="6"/>
        <v>-72.378787130999996</v>
      </c>
      <c r="L52" s="12">
        <v>76.411344999999997</v>
      </c>
      <c r="M52" s="3">
        <f t="shared" si="7"/>
        <v>256.41134499999998</v>
      </c>
      <c r="N52" s="15">
        <f t="shared" si="0"/>
        <v>-68.327727516506798</v>
      </c>
      <c r="O52" s="23">
        <f t="shared" si="8"/>
        <v>9.7912788987741806E-12</v>
      </c>
      <c r="P52" s="22">
        <f t="shared" si="9"/>
        <v>4.9320192374580074E-10</v>
      </c>
      <c r="Q52" s="16">
        <f t="shared" si="10"/>
        <v>-72.378787125945493</v>
      </c>
      <c r="R52" s="23">
        <f t="shared" si="1"/>
        <v>7.0599526225123554E-11</v>
      </c>
      <c r="S52" s="22">
        <f t="shared" si="2"/>
        <v>5.0545025942483335E-9</v>
      </c>
      <c r="T52" s="16">
        <f t="shared" si="11"/>
        <v>256.41134498658795</v>
      </c>
      <c r="U52" s="23">
        <f t="shared" si="3"/>
        <v>1.0095391189679503E-10</v>
      </c>
      <c r="V52" s="22">
        <f t="shared" si="4"/>
        <v>1.3412034149951069E-8</v>
      </c>
    </row>
    <row r="53" spans="1:22" x14ac:dyDescent="0.45">
      <c r="A53">
        <v>80.342839999999995</v>
      </c>
      <c r="B53">
        <v>13.14785</v>
      </c>
      <c r="C53">
        <v>216.89024000000001</v>
      </c>
      <c r="D53">
        <v>14011974.0339</v>
      </c>
      <c r="E53" s="13">
        <v>-43.735738773536198</v>
      </c>
      <c r="F53" s="13">
        <v>-28.862327585218399</v>
      </c>
      <c r="G53" s="13">
        <v>-171.97526486340601</v>
      </c>
      <c r="H53" s="13">
        <f t="shared" si="5"/>
        <v>188.02473513659399</v>
      </c>
      <c r="I53" s="9">
        <v>-43.735738738999999</v>
      </c>
      <c r="J53" s="9">
        <v>-28.862327577999999</v>
      </c>
      <c r="K53" s="9">
        <f t="shared" si="6"/>
        <v>-28.862327577999991</v>
      </c>
      <c r="L53" s="10">
        <v>8.0247349999999997</v>
      </c>
      <c r="M53" s="3">
        <f t="shared" si="7"/>
        <v>188.02473499999999</v>
      </c>
      <c r="N53" s="15">
        <f t="shared" si="0"/>
        <v>-43.735738774113656</v>
      </c>
      <c r="O53" s="23">
        <f t="shared" si="8"/>
        <v>5.7745808135223342E-10</v>
      </c>
      <c r="P53" s="22">
        <f t="shared" si="9"/>
        <v>3.5113657759211492E-8</v>
      </c>
      <c r="Q53" s="16">
        <f t="shared" si="10"/>
        <v>-28.862327585296839</v>
      </c>
      <c r="R53" s="23">
        <f t="shared" si="1"/>
        <v>7.844036531423626E-11</v>
      </c>
      <c r="S53" s="22">
        <f t="shared" si="2"/>
        <v>7.2968475706147728E-9</v>
      </c>
      <c r="T53" s="16">
        <f t="shared" si="11"/>
        <v>188.02473513667158</v>
      </c>
      <c r="U53" s="23">
        <f t="shared" si="3"/>
        <v>7.759126674500294E-11</v>
      </c>
      <c r="V53" s="22">
        <f t="shared" si="4"/>
        <v>1.3667158782482147E-7</v>
      </c>
    </row>
    <row r="54" spans="1:22" x14ac:dyDescent="0.45">
      <c r="A54">
        <v>50.84966</v>
      </c>
      <c r="B54">
        <v>-177.45111</v>
      </c>
      <c r="C54">
        <v>93.091080000000005</v>
      </c>
      <c r="D54">
        <v>18934734.430599999</v>
      </c>
      <c r="E54" s="13">
        <v>-50.400528421702397</v>
      </c>
      <c r="F54" s="13">
        <v>-12.7613648954847</v>
      </c>
      <c r="G54" s="13">
        <v>98.475822688316001</v>
      </c>
      <c r="H54" s="13">
        <f t="shared" si="5"/>
        <v>98.475822688316001</v>
      </c>
      <c r="I54" s="11">
        <v>-50.400528420999997</v>
      </c>
      <c r="J54" s="11">
        <v>-12.761364904000001</v>
      </c>
      <c r="K54" s="9">
        <f t="shared" si="6"/>
        <v>-12.761364904000004</v>
      </c>
      <c r="L54" s="12">
        <v>278.47582299999999</v>
      </c>
      <c r="M54" s="3">
        <f t="shared" si="7"/>
        <v>98.475822999999991</v>
      </c>
      <c r="N54" s="15">
        <f t="shared" si="0"/>
        <v>-50.400528421831389</v>
      </c>
      <c r="O54" s="23">
        <f t="shared" si="8"/>
        <v>1.2899192824988859E-10</v>
      </c>
      <c r="P54" s="22">
        <f t="shared" si="9"/>
        <v>8.3139184425817803E-10</v>
      </c>
      <c r="Q54" s="16">
        <f t="shared" si="10"/>
        <v>-12.761364894651109</v>
      </c>
      <c r="R54" s="23">
        <f t="shared" si="1"/>
        <v>8.3359097402535554E-10</v>
      </c>
      <c r="S54" s="22">
        <f t="shared" si="2"/>
        <v>9.3488949914899422E-9</v>
      </c>
      <c r="T54" s="16">
        <f t="shared" si="11"/>
        <v>98.47582268727156</v>
      </c>
      <c r="U54" s="23">
        <f t="shared" si="3"/>
        <v>1.0444409781484865E-9</v>
      </c>
      <c r="V54" s="22">
        <f t="shared" si="4"/>
        <v>3.1272843159513286E-7</v>
      </c>
    </row>
    <row r="55" spans="1:22" x14ac:dyDescent="0.45">
      <c r="A55">
        <v>7.96821</v>
      </c>
      <c r="B55">
        <v>-91.266379999999998</v>
      </c>
      <c r="C55">
        <v>351.80045999999999</v>
      </c>
      <c r="D55">
        <v>77993.078200000004</v>
      </c>
      <c r="E55" s="13">
        <v>8.6661856902781</v>
      </c>
      <c r="F55" s="13">
        <v>-91.367447491108706</v>
      </c>
      <c r="G55" s="13">
        <v>-8.21416001309621</v>
      </c>
      <c r="H55" s="13">
        <f t="shared" si="5"/>
        <v>351.7858399869038</v>
      </c>
      <c r="I55" s="9">
        <v>8.6661856900000007</v>
      </c>
      <c r="J55" s="9">
        <v>-91.367447490999993</v>
      </c>
      <c r="K55" s="9">
        <f t="shared" si="6"/>
        <v>-91.367447490999993</v>
      </c>
      <c r="L55" s="10">
        <v>171.78584000000001</v>
      </c>
      <c r="M55" s="3">
        <f t="shared" si="7"/>
        <v>351.78584000000001</v>
      </c>
      <c r="N55" s="15">
        <f t="shared" si="0"/>
        <v>8.6661856902780681</v>
      </c>
      <c r="O55" s="23">
        <f t="shared" si="8"/>
        <v>3.1974423109204508E-14</v>
      </c>
      <c r="P55" s="22">
        <f t="shared" si="9"/>
        <v>2.7806734692603641E-10</v>
      </c>
      <c r="Q55" s="16">
        <f t="shared" si="10"/>
        <v>-91.367447491108777</v>
      </c>
      <c r="R55" s="23">
        <f t="shared" si="1"/>
        <v>7.1054273576010019E-14</v>
      </c>
      <c r="S55" s="22">
        <f t="shared" si="2"/>
        <v>1.0878409284487134E-10</v>
      </c>
      <c r="T55" s="16">
        <f t="shared" si="11"/>
        <v>351.7858399869034</v>
      </c>
      <c r="U55" s="23">
        <f t="shared" si="3"/>
        <v>3.979039320256561E-13</v>
      </c>
      <c r="V55" s="22">
        <f t="shared" si="4"/>
        <v>1.3096610018692445E-8</v>
      </c>
    </row>
    <row r="56" spans="1:22" x14ac:dyDescent="0.45">
      <c r="A56">
        <v>80.796670000000006</v>
      </c>
      <c r="B56">
        <v>-132.59368000000001</v>
      </c>
      <c r="C56">
        <v>52.511809999999997</v>
      </c>
      <c r="D56">
        <v>12601924.446699999</v>
      </c>
      <c r="E56" s="13">
        <v>-17.6721697714874</v>
      </c>
      <c r="F56" s="13">
        <v>-2.4562649887348602</v>
      </c>
      <c r="G56" s="13">
        <v>172.32298028484399</v>
      </c>
      <c r="H56" s="13">
        <f t="shared" si="5"/>
        <v>172.32298028484399</v>
      </c>
      <c r="I56" s="11">
        <v>-17.672169800999999</v>
      </c>
      <c r="J56" s="11">
        <v>-2.4562649849999998</v>
      </c>
      <c r="K56" s="9">
        <f t="shared" si="6"/>
        <v>-2.45626498499999</v>
      </c>
      <c r="L56" s="12">
        <v>352.32297999999997</v>
      </c>
      <c r="M56" s="3">
        <f t="shared" si="7"/>
        <v>172.32297999999992</v>
      </c>
      <c r="N56" s="15">
        <f t="shared" si="0"/>
        <v>-17.672169771879116</v>
      </c>
      <c r="O56" s="23">
        <f t="shared" si="8"/>
        <v>3.9171510479718563E-10</v>
      </c>
      <c r="P56" s="22">
        <f t="shared" si="9"/>
        <v>2.9120883482391946E-8</v>
      </c>
      <c r="Q56" s="16">
        <f t="shared" si="10"/>
        <v>-2.4562649887171517</v>
      </c>
      <c r="R56" s="23">
        <f t="shared" si="1"/>
        <v>1.7708501331981097E-11</v>
      </c>
      <c r="S56" s="22">
        <f t="shared" si="2"/>
        <v>3.7171616895648185E-9</v>
      </c>
      <c r="T56" s="16">
        <f t="shared" si="11"/>
        <v>172.32298028482762</v>
      </c>
      <c r="U56" s="23">
        <f t="shared" si="3"/>
        <v>1.6370904631912708E-11</v>
      </c>
      <c r="V56" s="22">
        <f t="shared" si="4"/>
        <v>2.8482770630944287E-7</v>
      </c>
    </row>
    <row r="57" spans="1:22" x14ac:dyDescent="0.45">
      <c r="A57">
        <v>13.14395</v>
      </c>
      <c r="B57">
        <v>15.64518</v>
      </c>
      <c r="C57">
        <v>331.11430000000001</v>
      </c>
      <c r="D57">
        <v>12336200.919199999</v>
      </c>
      <c r="E57" s="13">
        <v>45.739355742909702</v>
      </c>
      <c r="F57" s="13">
        <v>-124.00664760021</v>
      </c>
      <c r="G57" s="13">
        <v>-137.70330423417599</v>
      </c>
      <c r="H57" s="13">
        <f t="shared" si="5"/>
        <v>222.29669576582401</v>
      </c>
      <c r="I57" s="9">
        <v>45.739355738</v>
      </c>
      <c r="J57" s="9">
        <v>-124.006647607</v>
      </c>
      <c r="K57" s="9">
        <f t="shared" si="6"/>
        <v>-124.006647607</v>
      </c>
      <c r="L57" s="10">
        <v>42.296695999999997</v>
      </c>
      <c r="M57" s="3">
        <f t="shared" si="7"/>
        <v>222.296696</v>
      </c>
      <c r="N57" s="15">
        <f t="shared" si="0"/>
        <v>45.739355742632839</v>
      </c>
      <c r="O57" s="23">
        <f t="shared" si="8"/>
        <v>2.7686297698892304E-10</v>
      </c>
      <c r="P57" s="22">
        <f t="shared" si="9"/>
        <v>4.6328381131388596E-9</v>
      </c>
      <c r="Q57" s="16">
        <f t="shared" si="10"/>
        <v>-124.0066476003021</v>
      </c>
      <c r="R57" s="23">
        <f t="shared" si="1"/>
        <v>9.2100549409224186E-11</v>
      </c>
      <c r="S57" s="22">
        <f t="shared" si="2"/>
        <v>6.697902676933154E-9</v>
      </c>
      <c r="T57" s="16">
        <f t="shared" si="11"/>
        <v>222.29669576556725</v>
      </c>
      <c r="U57" s="23">
        <f t="shared" si="3"/>
        <v>2.567617229942698E-10</v>
      </c>
      <c r="V57" s="22">
        <f t="shared" si="4"/>
        <v>2.3443274699275207E-7</v>
      </c>
    </row>
    <row r="58" spans="1:22" x14ac:dyDescent="0.45">
      <c r="A58">
        <v>-6.6154799999999998</v>
      </c>
      <c r="B58">
        <v>30.14874</v>
      </c>
      <c r="C58">
        <v>164.33973</v>
      </c>
      <c r="D58">
        <v>12949182.965299999</v>
      </c>
      <c r="E58" s="13">
        <v>-53.696696116546001</v>
      </c>
      <c r="F58" s="13">
        <v>-173.98462584765099</v>
      </c>
      <c r="G58" s="13">
        <v>26.866967573340801</v>
      </c>
      <c r="H58" s="13">
        <f t="shared" si="5"/>
        <v>26.866967573340801</v>
      </c>
      <c r="I58" s="11">
        <v>-53.696696078999999</v>
      </c>
      <c r="J58" s="11">
        <v>186.015374184</v>
      </c>
      <c r="K58" s="9">
        <f t="shared" si="6"/>
        <v>-173.984625816</v>
      </c>
      <c r="L58" s="12">
        <v>206.86696800000001</v>
      </c>
      <c r="M58" s="3">
        <f t="shared" si="7"/>
        <v>26.866968000000043</v>
      </c>
      <c r="N58" s="15">
        <f t="shared" si="0"/>
        <v>-53.69669611624002</v>
      </c>
      <c r="O58" s="23">
        <f t="shared" si="8"/>
        <v>3.0598101830037194E-10</v>
      </c>
      <c r="P58" s="22">
        <f t="shared" si="9"/>
        <v>3.724002084481981E-8</v>
      </c>
      <c r="Q58" s="16">
        <f t="shared" si="10"/>
        <v>-173.98462584750507</v>
      </c>
      <c r="R58" s="23">
        <f t="shared" si="1"/>
        <v>1.4591705621569417E-10</v>
      </c>
      <c r="S58" s="22">
        <f t="shared" si="2"/>
        <v>3.1505066999670817E-8</v>
      </c>
      <c r="T58" s="16">
        <f t="shared" si="11"/>
        <v>26.866967573130744</v>
      </c>
      <c r="U58" s="23">
        <f t="shared" si="3"/>
        <v>2.1005774897275842E-10</v>
      </c>
      <c r="V58" s="22">
        <f t="shared" si="4"/>
        <v>4.2686929901947224E-7</v>
      </c>
    </row>
    <row r="59" spans="1:22" x14ac:dyDescent="0.45">
      <c r="A59">
        <v>-63.980870000000003</v>
      </c>
      <c r="B59">
        <v>144.50285</v>
      </c>
      <c r="C59">
        <v>213.13917000000001</v>
      </c>
      <c r="D59">
        <v>3218075.0106000002</v>
      </c>
      <c r="E59" s="13">
        <v>-74.669744843306702</v>
      </c>
      <c r="F59" s="13">
        <v>59.152689285817097</v>
      </c>
      <c r="G59" s="13">
        <v>-65.051167902125101</v>
      </c>
      <c r="H59" s="13">
        <f t="shared" si="5"/>
        <v>294.94883209787491</v>
      </c>
      <c r="I59" s="9">
        <v>-74.669744842</v>
      </c>
      <c r="J59" s="9">
        <v>59.152689273999997</v>
      </c>
      <c r="K59" s="9">
        <f t="shared" si="6"/>
        <v>59.152689274000011</v>
      </c>
      <c r="L59" s="10">
        <v>114.948832</v>
      </c>
      <c r="M59" s="3">
        <f t="shared" si="7"/>
        <v>294.94883199999998</v>
      </c>
      <c r="N59" s="15">
        <f t="shared" si="0"/>
        <v>-74.669744843298773</v>
      </c>
      <c r="O59" s="23">
        <f t="shared" si="8"/>
        <v>7.9296569310827181E-12</v>
      </c>
      <c r="P59" s="22">
        <f t="shared" si="9"/>
        <v>1.2987726449864567E-9</v>
      </c>
      <c r="Q59" s="16">
        <f t="shared" si="10"/>
        <v>59.15268928578655</v>
      </c>
      <c r="R59" s="23">
        <f t="shared" si="1"/>
        <v>3.0546232210326707E-11</v>
      </c>
      <c r="S59" s="22">
        <f t="shared" si="2"/>
        <v>1.1786539744207403E-8</v>
      </c>
      <c r="T59" s="16">
        <f t="shared" si="11"/>
        <v>294.94883209793744</v>
      </c>
      <c r="U59" s="23">
        <f t="shared" si="3"/>
        <v>6.2527760746888816E-11</v>
      </c>
      <c r="V59" s="22">
        <f t="shared" si="4"/>
        <v>9.7937459031527396E-8</v>
      </c>
    </row>
    <row r="60" spans="1:22" x14ac:dyDescent="0.45">
      <c r="A60">
        <v>13.03885</v>
      </c>
      <c r="B60">
        <v>-82.284869999999998</v>
      </c>
      <c r="C60">
        <v>7.6526800000000001</v>
      </c>
      <c r="D60">
        <v>14250505.172800001</v>
      </c>
      <c r="E60" s="13">
        <v>38.431014126326801</v>
      </c>
      <c r="F60" s="13">
        <v>89.988566363199197</v>
      </c>
      <c r="G60" s="13">
        <v>170.47795502090599</v>
      </c>
      <c r="H60" s="13">
        <f t="shared" si="5"/>
        <v>170.47795502090599</v>
      </c>
      <c r="I60" s="11">
        <v>38.431014150999999</v>
      </c>
      <c r="J60" s="11">
        <v>89.988566358</v>
      </c>
      <c r="K60" s="9">
        <f t="shared" si="6"/>
        <v>89.988566358000014</v>
      </c>
      <c r="L60" s="12">
        <v>350.47795500000001</v>
      </c>
      <c r="M60" s="3">
        <f t="shared" si="7"/>
        <v>170.47795500000007</v>
      </c>
      <c r="N60" s="15">
        <f t="shared" si="0"/>
        <v>38.431014125972119</v>
      </c>
      <c r="O60" s="23">
        <f t="shared" si="8"/>
        <v>3.5468161740936921E-10</v>
      </c>
      <c r="P60" s="22">
        <f t="shared" si="9"/>
        <v>2.5027880212746823E-8</v>
      </c>
      <c r="Q60" s="16">
        <f t="shared" si="10"/>
        <v>89.988566363214204</v>
      </c>
      <c r="R60" s="23">
        <f t="shared" si="1"/>
        <v>1.5006662579253316E-11</v>
      </c>
      <c r="S60" s="22">
        <f t="shared" si="2"/>
        <v>5.2141899686830584E-9</v>
      </c>
      <c r="T60" s="16">
        <f t="shared" si="11"/>
        <v>170.47795502095269</v>
      </c>
      <c r="U60" s="23">
        <f t="shared" si="3"/>
        <v>4.6696868594153784E-11</v>
      </c>
      <c r="V60" s="22">
        <f t="shared" si="4"/>
        <v>2.0952626300640986E-8</v>
      </c>
    </row>
    <row r="61" spans="1:22" x14ac:dyDescent="0.45">
      <c r="A61">
        <v>-69.49145</v>
      </c>
      <c r="B61">
        <v>-12.71739</v>
      </c>
      <c r="C61">
        <v>100.01456</v>
      </c>
      <c r="D61">
        <v>29644160.633699998</v>
      </c>
      <c r="E61" s="13">
        <v>6.5416629937386999</v>
      </c>
      <c r="F61" s="13">
        <v>-94.760979336270296</v>
      </c>
      <c r="G61" s="13">
        <v>159.617901374051</v>
      </c>
      <c r="H61" s="13">
        <f t="shared" si="5"/>
        <v>159.617901374051</v>
      </c>
      <c r="I61" s="9">
        <v>6.5416630250000001</v>
      </c>
      <c r="J61" s="9">
        <v>-94.760979348000006</v>
      </c>
      <c r="K61" s="9">
        <f t="shared" si="6"/>
        <v>-94.760979348000006</v>
      </c>
      <c r="L61" s="10">
        <v>339.61790100000002</v>
      </c>
      <c r="M61" s="3">
        <f t="shared" si="7"/>
        <v>159.61790100000007</v>
      </c>
      <c r="N61" s="15">
        <f t="shared" si="0"/>
        <v>6.5416629927124887</v>
      </c>
      <c r="O61" s="23">
        <f t="shared" si="8"/>
        <v>1.0262111160841414E-9</v>
      </c>
      <c r="P61" s="22">
        <f t="shared" si="9"/>
        <v>3.2287511331219321E-8</v>
      </c>
      <c r="Q61" s="16">
        <f t="shared" si="10"/>
        <v>-94.760979336211918</v>
      </c>
      <c r="R61" s="23">
        <f t="shared" si="1"/>
        <v>5.8378191170049831E-11</v>
      </c>
      <c r="S61" s="22">
        <f t="shared" si="2"/>
        <v>1.178808872737136E-8</v>
      </c>
      <c r="T61" s="16">
        <f t="shared" si="11"/>
        <v>159.61790137409398</v>
      </c>
      <c r="U61" s="23">
        <f t="shared" si="3"/>
        <v>4.2973624658770859E-11</v>
      </c>
      <c r="V61" s="22">
        <f t="shared" si="4"/>
        <v>3.7409390074572002E-7</v>
      </c>
    </row>
    <row r="62" spans="1:22" x14ac:dyDescent="0.45">
      <c r="A62">
        <v>31.452400000000001</v>
      </c>
      <c r="B62">
        <v>82.234369999999998</v>
      </c>
      <c r="C62">
        <v>281.89105999999998</v>
      </c>
      <c r="D62">
        <v>2846281.0967000001</v>
      </c>
      <c r="E62" s="13">
        <v>33.1402837589835</v>
      </c>
      <c r="F62" s="13">
        <v>51.975873495157998</v>
      </c>
      <c r="G62" s="13">
        <v>-94.551897124398593</v>
      </c>
      <c r="H62" s="13">
        <f t="shared" si="5"/>
        <v>265.44810287560142</v>
      </c>
      <c r="I62" s="11">
        <v>33.140283758999999</v>
      </c>
      <c r="J62" s="11">
        <v>51.975873491999998</v>
      </c>
      <c r="K62" s="9">
        <f t="shared" si="6"/>
        <v>51.975873492000005</v>
      </c>
      <c r="L62" s="12">
        <v>85.448103000000003</v>
      </c>
      <c r="M62" s="3">
        <f t="shared" si="7"/>
        <v>265.448103</v>
      </c>
      <c r="N62" s="15">
        <f t="shared" si="0"/>
        <v>33.140283758973247</v>
      </c>
      <c r="O62" s="23">
        <f t="shared" si="8"/>
        <v>1.0253131677018246E-11</v>
      </c>
      <c r="P62" s="22">
        <f t="shared" si="9"/>
        <v>2.6751934001367772E-11</v>
      </c>
      <c r="Q62" s="16">
        <f t="shared" si="10"/>
        <v>51.975873495226182</v>
      </c>
      <c r="R62" s="23">
        <f t="shared" si="1"/>
        <v>6.8183680923539214E-11</v>
      </c>
      <c r="S62" s="22">
        <f t="shared" si="2"/>
        <v>3.2261766591545893E-9</v>
      </c>
      <c r="T62" s="16">
        <f t="shared" si="11"/>
        <v>265.44810287551888</v>
      </c>
      <c r="U62" s="23">
        <f t="shared" si="3"/>
        <v>8.2536644185893238E-11</v>
      </c>
      <c r="V62" s="22">
        <f t="shared" si="4"/>
        <v>1.2448111874618917E-7</v>
      </c>
    </row>
    <row r="63" spans="1:22" x14ac:dyDescent="0.45">
      <c r="A63">
        <v>34.213329999999999</v>
      </c>
      <c r="B63">
        <v>134.32218</v>
      </c>
      <c r="C63">
        <v>149.26883000000001</v>
      </c>
      <c r="D63">
        <v>24776891.9844</v>
      </c>
      <c r="E63" s="13">
        <v>4.3713322471845899</v>
      </c>
      <c r="F63" s="13">
        <v>-25.5120692483247</v>
      </c>
      <c r="G63" s="13">
        <v>25.1034493432918</v>
      </c>
      <c r="H63" s="13">
        <f t="shared" si="5"/>
        <v>25.1034493432918</v>
      </c>
      <c r="I63" s="9">
        <v>4.3713322110000004</v>
      </c>
      <c r="J63" s="9">
        <v>-25.512069265000001</v>
      </c>
      <c r="K63" s="9">
        <f t="shared" si="6"/>
        <v>-25.512069265000008</v>
      </c>
      <c r="L63" s="10">
        <v>205.10344900000001</v>
      </c>
      <c r="M63" s="3">
        <f t="shared" si="7"/>
        <v>25.103449000000012</v>
      </c>
      <c r="N63" s="15">
        <f t="shared" si="0"/>
        <v>4.3713322481196224</v>
      </c>
      <c r="O63" s="23">
        <f t="shared" si="8"/>
        <v>9.3503249587456594E-10</v>
      </c>
      <c r="P63" s="22">
        <f t="shared" si="9"/>
        <v>3.711962204278052E-8</v>
      </c>
      <c r="Q63" s="16">
        <f t="shared" si="10"/>
        <v>-25.512069248196013</v>
      </c>
      <c r="R63" s="23">
        <f t="shared" si="1"/>
        <v>1.2868639487351174E-10</v>
      </c>
      <c r="S63" s="22">
        <f t="shared" si="2"/>
        <v>1.6803994640213205E-8</v>
      </c>
      <c r="T63" s="16">
        <f t="shared" si="11"/>
        <v>25.103449343325206</v>
      </c>
      <c r="U63" s="23">
        <f t="shared" si="3"/>
        <v>3.340616672176111E-11</v>
      </c>
      <c r="V63" s="22">
        <f t="shared" si="4"/>
        <v>3.4332519405211315E-7</v>
      </c>
    </row>
    <row r="64" spans="1:22" x14ac:dyDescent="0.45">
      <c r="A64">
        <v>-41.72983</v>
      </c>
      <c r="B64">
        <v>-59.259830000000001</v>
      </c>
      <c r="C64">
        <v>255.12925999999999</v>
      </c>
      <c r="D64">
        <v>21636948.2696</v>
      </c>
      <c r="E64" s="13">
        <v>43.8326968579631</v>
      </c>
      <c r="F64" s="13">
        <v>101.157243417445</v>
      </c>
      <c r="G64" s="13">
        <v>-88.803336712885894</v>
      </c>
      <c r="H64" s="13">
        <f t="shared" si="5"/>
        <v>271.19666328711412</v>
      </c>
      <c r="I64" s="11">
        <v>43.832696857999998</v>
      </c>
      <c r="J64" s="11">
        <v>101.157243413</v>
      </c>
      <c r="K64" s="9">
        <f t="shared" si="6"/>
        <v>101.157243413</v>
      </c>
      <c r="L64" s="12">
        <v>91.196663000000001</v>
      </c>
      <c r="M64" s="3">
        <f t="shared" si="7"/>
        <v>271.196663</v>
      </c>
      <c r="N64" s="15">
        <f t="shared" si="0"/>
        <v>43.832696857984551</v>
      </c>
      <c r="O64" s="23">
        <f t="shared" si="8"/>
        <v>2.1451285192597425E-11</v>
      </c>
      <c r="P64" s="22">
        <f t="shared" si="9"/>
        <v>1.5447199075424578E-11</v>
      </c>
      <c r="Q64" s="16">
        <f t="shared" si="10"/>
        <v>101.15724341687678</v>
      </c>
      <c r="R64" s="23">
        <f t="shared" si="1"/>
        <v>5.6822102578735212E-10</v>
      </c>
      <c r="S64" s="22">
        <f t="shared" si="2"/>
        <v>3.8767780097259674E-9</v>
      </c>
      <c r="T64" s="16">
        <f t="shared" si="11"/>
        <v>271.19666328613681</v>
      </c>
      <c r="U64" s="23">
        <f t="shared" si="3"/>
        <v>9.773089004738722E-10</v>
      </c>
      <c r="V64" s="22">
        <f t="shared" si="4"/>
        <v>2.8613681024580728E-7</v>
      </c>
    </row>
    <row r="65" spans="1:22" x14ac:dyDescent="0.45">
      <c r="A65">
        <v>-17.98255</v>
      </c>
      <c r="B65">
        <v>5.0138699999999998</v>
      </c>
      <c r="C65">
        <v>76.436949999999996</v>
      </c>
      <c r="D65">
        <v>5257481.7813999997</v>
      </c>
      <c r="E65" s="13">
        <v>-2.5426506837564302</v>
      </c>
      <c r="F65" s="13">
        <v>50.596477356984401</v>
      </c>
      <c r="G65" s="13">
        <v>67.793217154188596</v>
      </c>
      <c r="H65" s="13">
        <f t="shared" si="5"/>
        <v>67.793217154188596</v>
      </c>
      <c r="I65" s="9">
        <v>-2.5426506849999999</v>
      </c>
      <c r="J65" s="9">
        <v>50.596477354000001</v>
      </c>
      <c r="K65" s="9">
        <f t="shared" si="6"/>
        <v>50.596477354000001</v>
      </c>
      <c r="L65" s="10">
        <v>247.793217</v>
      </c>
      <c r="M65" s="3">
        <f t="shared" si="7"/>
        <v>67.793217000000027</v>
      </c>
      <c r="N65" s="15">
        <f t="shared" si="0"/>
        <v>-2.542650683633922</v>
      </c>
      <c r="O65" s="23">
        <f t="shared" si="8"/>
        <v>1.2250822578607767E-10</v>
      </c>
      <c r="P65" s="22">
        <f t="shared" si="9"/>
        <v>1.3660779174529125E-9</v>
      </c>
      <c r="Q65" s="16">
        <f t="shared" si="10"/>
        <v>50.59647735719355</v>
      </c>
      <c r="R65" s="23">
        <f t="shared" si="1"/>
        <v>2.0914825427098549E-10</v>
      </c>
      <c r="S65" s="22">
        <f t="shared" si="2"/>
        <v>3.1935485367284855E-9</v>
      </c>
      <c r="T65" s="16">
        <f t="shared" si="11"/>
        <v>67.793217154175295</v>
      </c>
      <c r="U65" s="23">
        <f t="shared" si="3"/>
        <v>1.3301360013429075E-11</v>
      </c>
      <c r="V65" s="22">
        <f t="shared" si="4"/>
        <v>1.5417526810779236E-7</v>
      </c>
    </row>
    <row r="66" spans="1:22" x14ac:dyDescent="0.45">
      <c r="A66">
        <v>86.663340000000005</v>
      </c>
      <c r="B66">
        <v>87.541089999999997</v>
      </c>
      <c r="C66">
        <v>41.691229999999997</v>
      </c>
      <c r="D66">
        <v>21811258.481699999</v>
      </c>
      <c r="E66" s="13">
        <v>-76.133392373192706</v>
      </c>
      <c r="F66" s="13">
        <v>36.843899787837103</v>
      </c>
      <c r="G66" s="13">
        <v>9.2971715872341996</v>
      </c>
      <c r="H66" s="13">
        <f t="shared" si="5"/>
        <v>9.2971715872341996</v>
      </c>
      <c r="I66" s="11">
        <v>-76.133392388000004</v>
      </c>
      <c r="J66" s="11">
        <v>36.843899778000001</v>
      </c>
      <c r="K66" s="9">
        <f t="shared" si="6"/>
        <v>36.843899778000008</v>
      </c>
      <c r="L66" s="12">
        <v>189.29717199999999</v>
      </c>
      <c r="M66" s="3">
        <f t="shared" si="7"/>
        <v>9.2971719999999891</v>
      </c>
      <c r="N66" s="15">
        <f t="shared" si="0"/>
        <v>-76.133392372550901</v>
      </c>
      <c r="O66" s="23">
        <f t="shared" si="8"/>
        <v>6.4180483150266809E-10</v>
      </c>
      <c r="P66" s="22">
        <f t="shared" si="9"/>
        <v>1.5449103329956415E-8</v>
      </c>
      <c r="Q66" s="16">
        <f t="shared" si="10"/>
        <v>36.843899788251036</v>
      </c>
      <c r="R66" s="23">
        <f t="shared" si="1"/>
        <v>4.1393377614440396E-10</v>
      </c>
      <c r="S66" s="22">
        <f t="shared" si="2"/>
        <v>1.0251028470520396E-8</v>
      </c>
      <c r="T66" s="16">
        <f t="shared" si="11"/>
        <v>9.2971715868090055</v>
      </c>
      <c r="U66" s="23">
        <f t="shared" si="3"/>
        <v>4.2519410214936215E-10</v>
      </c>
      <c r="V66" s="22">
        <f t="shared" si="4"/>
        <v>4.1319098365022455E-7</v>
      </c>
    </row>
    <row r="67" spans="1:22" x14ac:dyDescent="0.45">
      <c r="A67">
        <v>30.649909999999998</v>
      </c>
      <c r="B67">
        <v>-27.876909999999999</v>
      </c>
      <c r="C67">
        <v>89.163250000000005</v>
      </c>
      <c r="D67">
        <v>27630061.0777</v>
      </c>
      <c r="E67" s="13">
        <v>-11.259141460253501</v>
      </c>
      <c r="F67" s="13">
        <v>-136.57234909306999</v>
      </c>
      <c r="G67" s="13">
        <v>61.370784517413703</v>
      </c>
      <c r="H67" s="13">
        <f t="shared" si="5"/>
        <v>61.370784517413703</v>
      </c>
      <c r="I67" s="9">
        <v>-11.25914145</v>
      </c>
      <c r="J67" s="9">
        <v>-136.57234907599999</v>
      </c>
      <c r="K67" s="9">
        <f t="shared" si="6"/>
        <v>-136.57234907599999</v>
      </c>
      <c r="L67" s="10">
        <v>241.37078500000001</v>
      </c>
      <c r="M67" s="3">
        <f t="shared" si="7"/>
        <v>61.370785000000012</v>
      </c>
      <c r="N67" s="15">
        <f t="shared" ref="N67:N130" si="12">vincentyDirLat(A67, $B67, $C67, $D67)</f>
        <v>-11.259141459523125</v>
      </c>
      <c r="O67" s="23">
        <f t="shared" si="8"/>
        <v>7.3037575987200398E-10</v>
      </c>
      <c r="P67" s="22">
        <f t="shared" si="9"/>
        <v>9.523125399368837E-9</v>
      </c>
      <c r="Q67" s="16">
        <f t="shared" si="10"/>
        <v>-136.57234909288877</v>
      </c>
      <c r="R67" s="23">
        <f t="shared" ref="R67:R130" si="13">ABS(F67-Q67)</f>
        <v>1.8121681932825595E-10</v>
      </c>
      <c r="S67" s="22">
        <f t="shared" ref="S67:S130" si="14">ABS(K67-Q67)</f>
        <v>1.68887765994441E-8</v>
      </c>
      <c r="T67" s="16">
        <f t="shared" si="11"/>
        <v>61.370784517149062</v>
      </c>
      <c r="U67" s="23">
        <f t="shared" ref="U67:U130" si="15">ABS(H67-T67)</f>
        <v>2.6464164193384931E-10</v>
      </c>
      <c r="V67" s="22">
        <f t="shared" ref="V67:V130" si="16">ABS(M67-T67)</f>
        <v>4.8285095033406833E-7</v>
      </c>
    </row>
    <row r="68" spans="1:22" x14ac:dyDescent="0.45">
      <c r="A68">
        <v>-87.730369999999994</v>
      </c>
      <c r="B68">
        <v>85.133009999999999</v>
      </c>
      <c r="C68">
        <v>61.30809</v>
      </c>
      <c r="D68">
        <v>27449795.258000001</v>
      </c>
      <c r="E68" s="13">
        <v>21.990325943324699</v>
      </c>
      <c r="F68" s="13">
        <v>-34.411110867991198</v>
      </c>
      <c r="G68" s="13">
        <v>177.84669219922401</v>
      </c>
      <c r="H68" s="13">
        <f t="shared" ref="H68:H131" si="17">NormalizeAzimuth(G68, TRUE)</f>
        <v>177.84669219922401</v>
      </c>
      <c r="I68" s="11">
        <v>21.990325925</v>
      </c>
      <c r="J68" s="11">
        <v>-34.411110866999998</v>
      </c>
      <c r="K68" s="9">
        <f t="shared" ref="K68:K131" si="18">normalizelon(J68)</f>
        <v>-34.411110866999991</v>
      </c>
      <c r="L68" s="12">
        <v>357.84669200000002</v>
      </c>
      <c r="M68" s="3">
        <f t="shared" ref="M68:M131" si="19">NormalizeAzimuth(L68+180, TRUE)</f>
        <v>177.84669200000008</v>
      </c>
      <c r="N68" s="15">
        <f t="shared" si="12"/>
        <v>21.990325942416966</v>
      </c>
      <c r="O68" s="23">
        <f t="shared" ref="O68:O131" si="20">ABS(E68-N68)</f>
        <v>9.0773255578824319E-10</v>
      </c>
      <c r="P68" s="22">
        <f t="shared" ref="P68:P131" si="21">ABS(I68-N68)</f>
        <v>1.7416965647498728E-8</v>
      </c>
      <c r="Q68" s="16">
        <f t="shared" ref="Q68:Q131" si="22">VincentyDirLon($A68, $B68, $C68, $D68)</f>
        <v>-34.411110867982273</v>
      </c>
      <c r="R68" s="23">
        <f t="shared" si="13"/>
        <v>8.9244167611468583E-12</v>
      </c>
      <c r="S68" s="22">
        <f t="shared" si="14"/>
        <v>9.822826996241929E-10</v>
      </c>
      <c r="T68" s="16">
        <f t="shared" ref="T68:T131" si="23">VincentyDirRevAzimuth($A68, $B68, $C68, $D68)</f>
        <v>177.84669219923808</v>
      </c>
      <c r="U68" s="23">
        <f t="shared" si="15"/>
        <v>1.4068746168049984E-11</v>
      </c>
      <c r="V68" s="22">
        <f t="shared" si="16"/>
        <v>1.9923800209653564E-7</v>
      </c>
    </row>
    <row r="69" spans="1:22" x14ac:dyDescent="0.45">
      <c r="A69">
        <v>32.493139999999997</v>
      </c>
      <c r="B69">
        <v>100.0766</v>
      </c>
      <c r="C69">
        <v>292.42207000000002</v>
      </c>
      <c r="D69">
        <v>15896057.1261</v>
      </c>
      <c r="E69" s="13">
        <v>-13.6955846134341</v>
      </c>
      <c r="F69" s="13">
        <v>-44.791037601526298</v>
      </c>
      <c r="G69" s="13">
        <v>-126.569689582983</v>
      </c>
      <c r="H69" s="13">
        <f t="shared" si="17"/>
        <v>233.43031041701698</v>
      </c>
      <c r="I69" s="9">
        <v>-13.695584633999999</v>
      </c>
      <c r="J69" s="9">
        <v>-44.791037629999998</v>
      </c>
      <c r="K69" s="9">
        <f t="shared" si="18"/>
        <v>-44.791037630000005</v>
      </c>
      <c r="L69" s="10">
        <v>53.430309999999999</v>
      </c>
      <c r="M69" s="3">
        <f t="shared" si="19"/>
        <v>233.43030999999999</v>
      </c>
      <c r="N69" s="15">
        <f t="shared" si="12"/>
        <v>-13.695584613918967</v>
      </c>
      <c r="O69" s="23">
        <f t="shared" si="20"/>
        <v>4.8486725745533477E-10</v>
      </c>
      <c r="P69" s="22">
        <f t="shared" si="21"/>
        <v>2.0081031948393502E-8</v>
      </c>
      <c r="Q69" s="16">
        <f t="shared" si="22"/>
        <v>-44.791037601542428</v>
      </c>
      <c r="R69" s="23">
        <f t="shared" si="13"/>
        <v>1.6129320101754274E-11</v>
      </c>
      <c r="S69" s="22">
        <f t="shared" si="14"/>
        <v>2.8457577627705177E-8</v>
      </c>
      <c r="T69" s="16">
        <f t="shared" si="23"/>
        <v>233.43031041717498</v>
      </c>
      <c r="U69" s="23">
        <f t="shared" si="15"/>
        <v>1.5799628272361588E-10</v>
      </c>
      <c r="V69" s="22">
        <f t="shared" si="16"/>
        <v>4.1717498788784724E-7</v>
      </c>
    </row>
    <row r="70" spans="1:22" x14ac:dyDescent="0.45">
      <c r="A70">
        <v>13.121600000000001</v>
      </c>
      <c r="B70">
        <v>-87.124970000000005</v>
      </c>
      <c r="C70">
        <v>348.05227000000002</v>
      </c>
      <c r="D70">
        <v>27915776.059</v>
      </c>
      <c r="E70" s="13">
        <v>-77.213393291255301</v>
      </c>
      <c r="F70" s="13">
        <v>31.081816798673898</v>
      </c>
      <c r="G70" s="13">
        <v>-114.740596650211</v>
      </c>
      <c r="H70" s="13">
        <f t="shared" si="17"/>
        <v>245.25940334978901</v>
      </c>
      <c r="I70" s="11">
        <v>-77.213393295000003</v>
      </c>
      <c r="J70" s="11">
        <v>31.081816761999999</v>
      </c>
      <c r="K70" s="9">
        <f t="shared" si="18"/>
        <v>31.081816761999988</v>
      </c>
      <c r="L70" s="12">
        <v>65.259403000000006</v>
      </c>
      <c r="M70" s="3">
        <f t="shared" si="19"/>
        <v>245.25940300000002</v>
      </c>
      <c r="N70" s="15">
        <f t="shared" si="12"/>
        <v>-77.213393291625025</v>
      </c>
      <c r="O70" s="23">
        <f t="shared" si="20"/>
        <v>3.6972380712541053E-10</v>
      </c>
      <c r="P70" s="22">
        <f t="shared" si="21"/>
        <v>3.3749785188774695E-9</v>
      </c>
      <c r="Q70" s="16">
        <f t="shared" si="22"/>
        <v>31.08181679520743</v>
      </c>
      <c r="R70" s="23">
        <f t="shared" si="13"/>
        <v>3.46646800153394E-9</v>
      </c>
      <c r="S70" s="22">
        <f t="shared" si="14"/>
        <v>3.3207442129423725E-8</v>
      </c>
      <c r="T70" s="16">
        <f t="shared" si="23"/>
        <v>245.25940335332703</v>
      </c>
      <c r="U70" s="23">
        <f t="shared" si="15"/>
        <v>3.5380196550249821E-9</v>
      </c>
      <c r="V70" s="22">
        <f t="shared" si="16"/>
        <v>3.5332701031620672E-7</v>
      </c>
    </row>
    <row r="71" spans="1:22" x14ac:dyDescent="0.45">
      <c r="A71">
        <v>86.425539999999998</v>
      </c>
      <c r="B71">
        <v>-58.171019999999999</v>
      </c>
      <c r="C71">
        <v>248.41925000000001</v>
      </c>
      <c r="D71">
        <v>27388054.564300001</v>
      </c>
      <c r="E71" s="13">
        <v>-22.293088174259399</v>
      </c>
      <c r="F71" s="13">
        <v>54.860485451935197</v>
      </c>
      <c r="G71" s="13">
        <v>-3.6027417194362301</v>
      </c>
      <c r="H71" s="13">
        <f t="shared" si="17"/>
        <v>356.39725828056379</v>
      </c>
      <c r="I71" s="9">
        <v>-22.293088213000001</v>
      </c>
      <c r="J71" s="9">
        <v>54.860485455000003</v>
      </c>
      <c r="K71" s="9">
        <f t="shared" si="18"/>
        <v>54.860485455000003</v>
      </c>
      <c r="L71" s="10">
        <v>176.39725799999999</v>
      </c>
      <c r="M71" s="3">
        <f t="shared" si="19"/>
        <v>356.39725799999997</v>
      </c>
      <c r="N71" s="15">
        <f t="shared" si="12"/>
        <v>-22.293088173355457</v>
      </c>
      <c r="O71" s="23">
        <f t="shared" si="20"/>
        <v>9.0394181029296305E-10</v>
      </c>
      <c r="P71" s="22">
        <f t="shared" si="21"/>
        <v>3.9644543647909813E-8</v>
      </c>
      <c r="Q71" s="16">
        <f t="shared" si="22"/>
        <v>54.860485451920226</v>
      </c>
      <c r="R71" s="23">
        <f t="shared" si="13"/>
        <v>1.4971135442465311E-11</v>
      </c>
      <c r="S71" s="22">
        <f t="shared" si="14"/>
        <v>3.0797764338785782E-9</v>
      </c>
      <c r="T71" s="16">
        <f t="shared" si="23"/>
        <v>356.39725828058687</v>
      </c>
      <c r="U71" s="23">
        <f t="shared" si="15"/>
        <v>2.3078428057488054E-11</v>
      </c>
      <c r="V71" s="22">
        <f t="shared" si="16"/>
        <v>2.8058690304533229E-7</v>
      </c>
    </row>
    <row r="72" spans="1:22" x14ac:dyDescent="0.45">
      <c r="A72">
        <v>54.768300000000004</v>
      </c>
      <c r="B72">
        <v>-101.0252</v>
      </c>
      <c r="C72">
        <v>84.268180000000001</v>
      </c>
      <c r="D72">
        <v>15232450.550100001</v>
      </c>
      <c r="E72" s="13">
        <v>-34.0829082742925</v>
      </c>
      <c r="F72" s="13">
        <v>24.0365237588565</v>
      </c>
      <c r="G72" s="13">
        <v>136.06285842449</v>
      </c>
      <c r="H72" s="13">
        <f t="shared" si="17"/>
        <v>136.06285842449</v>
      </c>
      <c r="I72" s="11">
        <v>-34.082908273999998</v>
      </c>
      <c r="J72" s="11">
        <v>24.036523758000001</v>
      </c>
      <c r="K72" s="9">
        <f t="shared" si="18"/>
        <v>24.036523757999987</v>
      </c>
      <c r="L72" s="12">
        <v>316.06285800000001</v>
      </c>
      <c r="M72" s="3">
        <f t="shared" si="19"/>
        <v>136.06285800000001</v>
      </c>
      <c r="N72" s="15">
        <f t="shared" si="12"/>
        <v>-34.082908274801056</v>
      </c>
      <c r="O72" s="23">
        <f t="shared" si="20"/>
        <v>5.0855675226557651E-10</v>
      </c>
      <c r="P72" s="22">
        <f t="shared" si="21"/>
        <v>8.0105877486857935E-10</v>
      </c>
      <c r="Q72" s="16">
        <f t="shared" si="22"/>
        <v>24.036523759128784</v>
      </c>
      <c r="R72" s="23">
        <f t="shared" si="13"/>
        <v>2.7228352905694919E-10</v>
      </c>
      <c r="S72" s="22">
        <f t="shared" si="14"/>
        <v>1.1287966117379256E-9</v>
      </c>
      <c r="T72" s="16">
        <f t="shared" si="23"/>
        <v>136.06285842415943</v>
      </c>
      <c r="U72" s="23">
        <f t="shared" si="15"/>
        <v>3.3057290238502901E-10</v>
      </c>
      <c r="V72" s="22">
        <f t="shared" si="16"/>
        <v>4.2415942402840301E-7</v>
      </c>
    </row>
    <row r="73" spans="1:22" x14ac:dyDescent="0.45">
      <c r="A73">
        <v>-60.392220000000002</v>
      </c>
      <c r="B73">
        <v>-43.868369999999999</v>
      </c>
      <c r="C73">
        <v>36.2211</v>
      </c>
      <c r="D73">
        <v>19523196.9932</v>
      </c>
      <c r="E73" s="13">
        <v>63.740060876783701</v>
      </c>
      <c r="F73" s="13">
        <v>130.23334761230299</v>
      </c>
      <c r="G73" s="13">
        <v>138.72068780671901</v>
      </c>
      <c r="H73" s="13">
        <f t="shared" si="17"/>
        <v>138.72068780671901</v>
      </c>
      <c r="I73" s="9">
        <v>63.740060898000003</v>
      </c>
      <c r="J73" s="9">
        <v>130.23334756899999</v>
      </c>
      <c r="K73" s="9">
        <f t="shared" si="18"/>
        <v>130.23334756899999</v>
      </c>
      <c r="L73" s="10">
        <v>318.720688</v>
      </c>
      <c r="M73" s="3">
        <f t="shared" si="19"/>
        <v>138.720688</v>
      </c>
      <c r="N73" s="15">
        <f t="shared" si="12"/>
        <v>63.740060876258411</v>
      </c>
      <c r="O73" s="23">
        <f t="shared" si="20"/>
        <v>5.2529003369272687E-10</v>
      </c>
      <c r="P73" s="22">
        <f t="shared" si="21"/>
        <v>2.1741591638146929E-8</v>
      </c>
      <c r="Q73" s="16">
        <f t="shared" si="22"/>
        <v>130.23334761317949</v>
      </c>
      <c r="R73" s="23">
        <f t="shared" si="13"/>
        <v>8.7649709712422919E-10</v>
      </c>
      <c r="S73" s="22">
        <f t="shared" si="14"/>
        <v>4.417950094648404E-8</v>
      </c>
      <c r="T73" s="16">
        <f t="shared" si="23"/>
        <v>138.72068780765258</v>
      </c>
      <c r="U73" s="23">
        <f t="shared" si="15"/>
        <v>9.3356788966048043E-10</v>
      </c>
      <c r="V73" s="22">
        <f t="shared" si="16"/>
        <v>1.9234741444051906E-7</v>
      </c>
    </row>
    <row r="74" spans="1:22" x14ac:dyDescent="0.45">
      <c r="A74">
        <v>-22.344339999999999</v>
      </c>
      <c r="B74">
        <v>-31.85858</v>
      </c>
      <c r="C74">
        <v>96.597899999999996</v>
      </c>
      <c r="D74">
        <v>19262446.867899999</v>
      </c>
      <c r="E74" s="13">
        <v>21.460928042782601</v>
      </c>
      <c r="F74" s="13">
        <v>140.75033328035499</v>
      </c>
      <c r="G74" s="13">
        <v>80.849217747448606</v>
      </c>
      <c r="H74" s="13">
        <f t="shared" si="17"/>
        <v>80.849217747448606</v>
      </c>
      <c r="I74" s="11">
        <v>21.460928045999999</v>
      </c>
      <c r="J74" s="11">
        <v>140.75033329999999</v>
      </c>
      <c r="K74" s="9">
        <f t="shared" si="18"/>
        <v>140.75033329999997</v>
      </c>
      <c r="L74" s="12">
        <v>260.84921800000001</v>
      </c>
      <c r="M74" s="3">
        <f t="shared" si="19"/>
        <v>80.849218000000008</v>
      </c>
      <c r="N74" s="15">
        <f t="shared" si="12"/>
        <v>21.460928042956933</v>
      </c>
      <c r="O74" s="23">
        <f t="shared" si="20"/>
        <v>1.7433166021874058E-10</v>
      </c>
      <c r="P74" s="22">
        <f t="shared" si="21"/>
        <v>3.0430662434355327E-9</v>
      </c>
      <c r="Q74" s="16">
        <f t="shared" si="22"/>
        <v>140.75033328093525</v>
      </c>
      <c r="R74" s="23">
        <f t="shared" si="13"/>
        <v>5.8025761973112822E-10</v>
      </c>
      <c r="S74" s="22">
        <f t="shared" si="14"/>
        <v>1.90647142517264E-8</v>
      </c>
      <c r="T74" s="16">
        <f t="shared" si="23"/>
        <v>80.84921774787172</v>
      </c>
      <c r="U74" s="23">
        <f t="shared" si="15"/>
        <v>4.2311398829042446E-10</v>
      </c>
      <c r="V74" s="22">
        <f t="shared" si="16"/>
        <v>2.5212828802523291E-7</v>
      </c>
    </row>
    <row r="75" spans="1:22" x14ac:dyDescent="0.45">
      <c r="A75">
        <v>-55.73415</v>
      </c>
      <c r="B75">
        <v>10.406169999999999</v>
      </c>
      <c r="C75">
        <v>167.79789</v>
      </c>
      <c r="D75">
        <v>12572332.933800001</v>
      </c>
      <c r="E75" s="13">
        <v>-10.6354104666419</v>
      </c>
      <c r="F75" s="13">
        <v>178.95071315295399</v>
      </c>
      <c r="G75" s="13">
        <v>6.9698583804690797</v>
      </c>
      <c r="H75" s="13">
        <f t="shared" si="17"/>
        <v>6.9698583804690797</v>
      </c>
      <c r="I75" s="9">
        <v>-10.635410501000001</v>
      </c>
      <c r="J75" s="9">
        <v>178.95071314899999</v>
      </c>
      <c r="K75" s="9">
        <f t="shared" si="18"/>
        <v>178.95071314899997</v>
      </c>
      <c r="L75" s="10">
        <v>186.96985799999999</v>
      </c>
      <c r="M75" s="3">
        <f t="shared" si="19"/>
        <v>6.9698579999999879</v>
      </c>
      <c r="N75" s="15">
        <f t="shared" si="12"/>
        <v>-10.63541046633212</v>
      </c>
      <c r="O75" s="23">
        <f t="shared" si="20"/>
        <v>3.0978064557984908E-10</v>
      </c>
      <c r="P75" s="22">
        <f t="shared" si="21"/>
        <v>3.4667881010363999E-8</v>
      </c>
      <c r="Q75" s="16">
        <f t="shared" si="22"/>
        <v>178.95071315294365</v>
      </c>
      <c r="R75" s="23">
        <f t="shared" si="13"/>
        <v>1.0345502232667059E-11</v>
      </c>
      <c r="S75" s="22">
        <f t="shared" si="14"/>
        <v>3.9436827137251385E-9</v>
      </c>
      <c r="T75" s="16">
        <f t="shared" si="23"/>
        <v>6.969858380462135</v>
      </c>
      <c r="U75" s="23">
        <f t="shared" si="15"/>
        <v>6.9446670636352792E-12</v>
      </c>
      <c r="V75" s="22">
        <f t="shared" si="16"/>
        <v>3.8046214712039728E-7</v>
      </c>
    </row>
    <row r="76" spans="1:22" x14ac:dyDescent="0.45">
      <c r="A76">
        <v>21.871289999999998</v>
      </c>
      <c r="B76">
        <v>-169.21358000000001</v>
      </c>
      <c r="C76">
        <v>78.865380000000002</v>
      </c>
      <c r="D76">
        <v>15827008.977499999</v>
      </c>
      <c r="E76" s="13">
        <v>-10.7705282945512</v>
      </c>
      <c r="F76" s="13">
        <v>-26.976155368232899</v>
      </c>
      <c r="G76" s="13">
        <v>111.996776198351</v>
      </c>
      <c r="H76" s="13">
        <f t="shared" si="17"/>
        <v>111.996776198351</v>
      </c>
      <c r="I76" s="11">
        <v>-10.770528303000001</v>
      </c>
      <c r="J76" s="11">
        <v>-26.976155347999999</v>
      </c>
      <c r="K76" s="9">
        <f t="shared" si="18"/>
        <v>-26.976155347999992</v>
      </c>
      <c r="L76" s="12">
        <v>291.99677600000001</v>
      </c>
      <c r="M76" s="3">
        <f t="shared" si="19"/>
        <v>111.99677600000001</v>
      </c>
      <c r="N76" s="15">
        <f t="shared" si="12"/>
        <v>-10.770528294897586</v>
      </c>
      <c r="O76" s="23">
        <f t="shared" si="20"/>
        <v>3.4638603096937004E-10</v>
      </c>
      <c r="P76" s="22">
        <f t="shared" si="21"/>
        <v>8.10241473914175E-9</v>
      </c>
      <c r="Q76" s="16">
        <f t="shared" si="22"/>
        <v>-26.976155367876942</v>
      </c>
      <c r="R76" s="23">
        <f t="shared" si="13"/>
        <v>3.5595704162005859E-10</v>
      </c>
      <c r="S76" s="22">
        <f t="shared" si="14"/>
        <v>1.9876949863828486E-8</v>
      </c>
      <c r="T76" s="16">
        <f t="shared" si="23"/>
        <v>111.99677619818942</v>
      </c>
      <c r="U76" s="23">
        <f t="shared" si="15"/>
        <v>1.6157741811184678E-10</v>
      </c>
      <c r="V76" s="22">
        <f t="shared" si="16"/>
        <v>1.9818941154881031E-7</v>
      </c>
    </row>
    <row r="77" spans="1:22" x14ac:dyDescent="0.45">
      <c r="A77">
        <v>53.804670000000002</v>
      </c>
      <c r="B77">
        <v>66.215819999999994</v>
      </c>
      <c r="C77">
        <v>35.777149999999999</v>
      </c>
      <c r="D77">
        <v>12061587.573100001</v>
      </c>
      <c r="E77" s="13">
        <v>11.549683864146299</v>
      </c>
      <c r="F77" s="13">
        <v>-148.36814017761299</v>
      </c>
      <c r="G77" s="13">
        <v>159.32244410828699</v>
      </c>
      <c r="H77" s="13">
        <f t="shared" si="17"/>
        <v>159.32244410828699</v>
      </c>
      <c r="I77" s="9">
        <v>11.549683890000001</v>
      </c>
      <c r="J77" s="9">
        <v>211.63185981199999</v>
      </c>
      <c r="K77" s="9">
        <f t="shared" si="18"/>
        <v>-148.36814018799998</v>
      </c>
      <c r="L77" s="10">
        <v>339.32244400000002</v>
      </c>
      <c r="M77" s="3">
        <f t="shared" si="19"/>
        <v>159.32244400000002</v>
      </c>
      <c r="N77" s="15">
        <f t="shared" si="12"/>
        <v>11.549683863833001</v>
      </c>
      <c r="O77" s="23">
        <f t="shared" si="20"/>
        <v>3.1329783212186157E-10</v>
      </c>
      <c r="P77" s="22">
        <f t="shared" si="21"/>
        <v>2.6166999234078503E-8</v>
      </c>
      <c r="Q77" s="16">
        <f t="shared" si="22"/>
        <v>-148.3681401776501</v>
      </c>
      <c r="R77" s="23">
        <f t="shared" si="13"/>
        <v>3.7118752516107634E-11</v>
      </c>
      <c r="S77" s="22">
        <f t="shared" si="14"/>
        <v>1.0349879175919341E-8</v>
      </c>
      <c r="T77" s="16">
        <f t="shared" si="23"/>
        <v>159.32244410831058</v>
      </c>
      <c r="U77" s="23">
        <f t="shared" si="15"/>
        <v>2.3590018827235326E-11</v>
      </c>
      <c r="V77" s="22">
        <f t="shared" si="16"/>
        <v>1.0831055874405138E-7</v>
      </c>
    </row>
    <row r="78" spans="1:22" x14ac:dyDescent="0.45">
      <c r="A78">
        <v>-31.836790000000001</v>
      </c>
      <c r="B78">
        <v>-60.509709999999998</v>
      </c>
      <c r="C78">
        <v>345.67815999999999</v>
      </c>
      <c r="D78">
        <v>15839191.948000001</v>
      </c>
      <c r="E78" s="13">
        <v>66.817276131109296</v>
      </c>
      <c r="F78" s="13">
        <v>141.988470185305</v>
      </c>
      <c r="G78" s="13">
        <v>-147.80371277635899</v>
      </c>
      <c r="H78" s="13">
        <f t="shared" si="17"/>
        <v>212.19628722364101</v>
      </c>
      <c r="I78" s="11">
        <v>66.817276116000002</v>
      </c>
      <c r="J78" s="11">
        <v>-218.01152983899999</v>
      </c>
      <c r="K78" s="9">
        <f t="shared" si="18"/>
        <v>141.98847016100001</v>
      </c>
      <c r="L78" s="12">
        <v>32.196286999999998</v>
      </c>
      <c r="M78" s="3">
        <f t="shared" si="19"/>
        <v>212.19628699999998</v>
      </c>
      <c r="N78" s="15">
        <f t="shared" si="12"/>
        <v>66.817276130623213</v>
      </c>
      <c r="O78" s="23">
        <f t="shared" si="20"/>
        <v>4.8608228553348454E-10</v>
      </c>
      <c r="P78" s="22">
        <f t="shared" si="21"/>
        <v>1.462321108647302E-8</v>
      </c>
      <c r="Q78" s="16">
        <f t="shared" si="22"/>
        <v>141.98847018461822</v>
      </c>
      <c r="R78" s="23">
        <f t="shared" si="13"/>
        <v>6.8678218667628244E-10</v>
      </c>
      <c r="S78" s="22">
        <f t="shared" si="14"/>
        <v>2.3618213162990287E-8</v>
      </c>
      <c r="T78" s="16">
        <f t="shared" si="23"/>
        <v>212.19628722292802</v>
      </c>
      <c r="U78" s="23">
        <f t="shared" si="15"/>
        <v>7.1298700277111493E-10</v>
      </c>
      <c r="V78" s="22">
        <f t="shared" si="16"/>
        <v>2.2292803691925656E-7</v>
      </c>
    </row>
    <row r="79" spans="1:22" x14ac:dyDescent="0.45">
      <c r="A79">
        <v>25.753990000000002</v>
      </c>
      <c r="B79">
        <v>107.30107</v>
      </c>
      <c r="C79">
        <v>36.41404</v>
      </c>
      <c r="D79">
        <v>14247699.163000001</v>
      </c>
      <c r="E79" s="13">
        <v>17.622040258916801</v>
      </c>
      <c r="F79" s="13">
        <v>-102.218816045929</v>
      </c>
      <c r="G79" s="13">
        <v>145.864095107689</v>
      </c>
      <c r="H79" s="13">
        <f t="shared" si="17"/>
        <v>145.864095107689</v>
      </c>
      <c r="I79" s="9">
        <v>17.622040281</v>
      </c>
      <c r="J79" s="9">
        <v>257.78118393800003</v>
      </c>
      <c r="K79" s="9">
        <f t="shared" si="18"/>
        <v>-102.21881606199997</v>
      </c>
      <c r="L79" s="10">
        <v>325.86409500000002</v>
      </c>
      <c r="M79" s="3">
        <f t="shared" si="19"/>
        <v>145.86409500000002</v>
      </c>
      <c r="N79" s="15">
        <f t="shared" si="12"/>
        <v>17.622040258486017</v>
      </c>
      <c r="O79" s="23">
        <f t="shared" si="20"/>
        <v>4.3078429712295474E-10</v>
      </c>
      <c r="P79" s="22">
        <f t="shared" si="21"/>
        <v>2.2513983566341267E-8</v>
      </c>
      <c r="Q79" s="16">
        <f t="shared" si="22"/>
        <v>-102.21881604602066</v>
      </c>
      <c r="R79" s="23">
        <f t="shared" si="13"/>
        <v>9.1660012913052924E-11</v>
      </c>
      <c r="S79" s="22">
        <f t="shared" si="14"/>
        <v>1.5979310319380602E-8</v>
      </c>
      <c r="T79" s="16">
        <f t="shared" si="23"/>
        <v>145.86409510778108</v>
      </c>
      <c r="U79" s="23">
        <f t="shared" si="15"/>
        <v>9.2086338554508984E-11</v>
      </c>
      <c r="V79" s="22">
        <f t="shared" si="16"/>
        <v>1.0778106229736295E-7</v>
      </c>
    </row>
    <row r="80" spans="1:22" x14ac:dyDescent="0.45">
      <c r="A80">
        <v>67.818039999999996</v>
      </c>
      <c r="B80">
        <v>81.320620000000005</v>
      </c>
      <c r="C80">
        <v>238.44236000000001</v>
      </c>
      <c r="D80">
        <v>10751079.3026</v>
      </c>
      <c r="E80" s="13">
        <v>-17.897551398358299</v>
      </c>
      <c r="F80" s="13">
        <v>18.694466895881199</v>
      </c>
      <c r="G80" s="13">
        <v>-160.18753314146099</v>
      </c>
      <c r="H80" s="13">
        <f t="shared" si="17"/>
        <v>199.81246685853901</v>
      </c>
      <c r="I80" s="11">
        <v>-17.897551375999999</v>
      </c>
      <c r="J80" s="11">
        <v>18.694466903999999</v>
      </c>
      <c r="K80" s="9">
        <f t="shared" si="18"/>
        <v>18.694466903999995</v>
      </c>
      <c r="L80" s="12">
        <v>19.812467000000002</v>
      </c>
      <c r="M80" s="3">
        <f t="shared" si="19"/>
        <v>199.812467</v>
      </c>
      <c r="N80" s="15">
        <f t="shared" si="12"/>
        <v>-17.897551398802587</v>
      </c>
      <c r="O80" s="23">
        <f t="shared" si="20"/>
        <v>4.4428816181607544E-10</v>
      </c>
      <c r="P80" s="22">
        <f t="shared" si="21"/>
        <v>2.2802588262038626E-8</v>
      </c>
      <c r="Q80" s="16">
        <f t="shared" si="22"/>
        <v>18.694466895786036</v>
      </c>
      <c r="R80" s="23">
        <f t="shared" si="13"/>
        <v>9.5162988600350218E-11</v>
      </c>
      <c r="S80" s="22">
        <f t="shared" si="14"/>
        <v>8.2139592905150494E-9</v>
      </c>
      <c r="T80" s="16">
        <f t="shared" si="23"/>
        <v>199.81246685859054</v>
      </c>
      <c r="U80" s="23">
        <f t="shared" si="15"/>
        <v>5.1528559197322465E-11</v>
      </c>
      <c r="V80" s="22">
        <f t="shared" si="16"/>
        <v>1.4140945836516039E-7</v>
      </c>
    </row>
    <row r="81" spans="1:22" x14ac:dyDescent="0.45">
      <c r="A81">
        <v>76.961079999999995</v>
      </c>
      <c r="B81">
        <v>-54.385579999999997</v>
      </c>
      <c r="C81">
        <v>279.42408999999998</v>
      </c>
      <c r="D81">
        <v>7288327.9888000004</v>
      </c>
      <c r="E81" s="13">
        <v>25.984120278740502</v>
      </c>
      <c r="F81" s="13">
        <v>-147.61864970478399</v>
      </c>
      <c r="G81" s="13">
        <v>-165.62739903912501</v>
      </c>
      <c r="H81" s="13">
        <f t="shared" si="17"/>
        <v>194.37260096087499</v>
      </c>
      <c r="I81" s="9">
        <v>25.984120276999999</v>
      </c>
      <c r="J81" s="9">
        <v>-147.618649705</v>
      </c>
      <c r="K81" s="9">
        <f t="shared" si="18"/>
        <v>-147.618649705</v>
      </c>
      <c r="L81" s="10">
        <v>14.372601</v>
      </c>
      <c r="M81" s="3">
        <f t="shared" si="19"/>
        <v>194.372601</v>
      </c>
      <c r="N81" s="15">
        <f t="shared" si="12"/>
        <v>25.984120278537599</v>
      </c>
      <c r="O81" s="23">
        <f t="shared" si="20"/>
        <v>2.0290258362365421E-10</v>
      </c>
      <c r="P81" s="22">
        <f t="shared" si="21"/>
        <v>1.5376002693301416E-9</v>
      </c>
      <c r="Q81" s="16">
        <f t="shared" si="22"/>
        <v>-147.6186497047818</v>
      </c>
      <c r="R81" s="23">
        <f t="shared" si="13"/>
        <v>2.1884716261411086E-12</v>
      </c>
      <c r="S81" s="22">
        <f t="shared" si="14"/>
        <v>2.1819346329721157E-10</v>
      </c>
      <c r="T81" s="16">
        <f t="shared" si="23"/>
        <v>194.37260096085006</v>
      </c>
      <c r="U81" s="23">
        <f t="shared" si="15"/>
        <v>2.4925839170464315E-11</v>
      </c>
      <c r="V81" s="22">
        <f t="shared" si="16"/>
        <v>3.9149938402260887E-8</v>
      </c>
    </row>
    <row r="82" spans="1:22" x14ac:dyDescent="0.45">
      <c r="A82">
        <v>-51.090560000000004</v>
      </c>
      <c r="B82">
        <v>11.74319</v>
      </c>
      <c r="C82">
        <v>291.74023999999997</v>
      </c>
      <c r="D82">
        <v>12223215.5745</v>
      </c>
      <c r="E82" s="13">
        <v>29.157223556198499</v>
      </c>
      <c r="F82" s="13">
        <v>-74.496059488419306</v>
      </c>
      <c r="G82" s="13">
        <v>-41.981969546507599</v>
      </c>
      <c r="H82" s="13">
        <f t="shared" si="17"/>
        <v>318.01803045349243</v>
      </c>
      <c r="I82" s="11">
        <v>29.157223525999999</v>
      </c>
      <c r="J82" s="11">
        <v>-74.496059457000001</v>
      </c>
      <c r="K82" s="9">
        <f t="shared" si="18"/>
        <v>-74.496059457000001</v>
      </c>
      <c r="L82" s="12">
        <v>138.01803000000001</v>
      </c>
      <c r="M82" s="3">
        <f t="shared" si="19"/>
        <v>318.01803000000001</v>
      </c>
      <c r="N82" s="15">
        <f t="shared" si="12"/>
        <v>29.157223556663514</v>
      </c>
      <c r="O82" s="23">
        <f t="shared" si="20"/>
        <v>4.6501469341819757E-10</v>
      </c>
      <c r="P82" s="22">
        <f t="shared" si="21"/>
        <v>3.0663514394291269E-8</v>
      </c>
      <c r="Q82" s="16">
        <f t="shared" si="22"/>
        <v>-74.496059488692325</v>
      </c>
      <c r="R82" s="23">
        <f t="shared" si="13"/>
        <v>2.730189407884609E-10</v>
      </c>
      <c r="S82" s="22">
        <f t="shared" si="14"/>
        <v>3.1692323432253033E-8</v>
      </c>
      <c r="T82" s="16">
        <f t="shared" si="23"/>
        <v>318.01803045325994</v>
      </c>
      <c r="U82" s="23">
        <f t="shared" si="15"/>
        <v>2.3248958314070478E-10</v>
      </c>
      <c r="V82" s="22">
        <f t="shared" si="16"/>
        <v>4.5325992914513336E-7</v>
      </c>
    </row>
    <row r="83" spans="1:22" x14ac:dyDescent="0.45">
      <c r="A83">
        <v>25.461680000000001</v>
      </c>
      <c r="B83">
        <v>70.65137</v>
      </c>
      <c r="C83">
        <v>273.28305999999998</v>
      </c>
      <c r="D83">
        <v>27794550.9263</v>
      </c>
      <c r="E83" s="13">
        <v>-11.1248923612334</v>
      </c>
      <c r="F83" s="13">
        <v>177.950851499697</v>
      </c>
      <c r="G83" s="13">
        <v>-66.7960206166875</v>
      </c>
      <c r="H83" s="13">
        <f t="shared" si="17"/>
        <v>293.20397938331251</v>
      </c>
      <c r="I83" s="9">
        <v>-11.124892347999999</v>
      </c>
      <c r="J83" s="9">
        <v>177.95085147</v>
      </c>
      <c r="K83" s="9">
        <f t="shared" si="18"/>
        <v>177.95085146999998</v>
      </c>
      <c r="L83" s="10">
        <v>113.203979</v>
      </c>
      <c r="M83" s="3">
        <f t="shared" si="19"/>
        <v>293.203979</v>
      </c>
      <c r="N83" s="15">
        <f t="shared" si="12"/>
        <v>-11.124892360603214</v>
      </c>
      <c r="O83" s="23">
        <f t="shared" si="20"/>
        <v>6.3018568141615106E-10</v>
      </c>
      <c r="P83" s="22">
        <f t="shared" si="21"/>
        <v>1.260321447205115E-8</v>
      </c>
      <c r="Q83" s="16">
        <f t="shared" si="22"/>
        <v>177.95085149927127</v>
      </c>
      <c r="R83" s="23">
        <f t="shared" si="13"/>
        <v>4.2572878555802163E-10</v>
      </c>
      <c r="S83" s="22">
        <f t="shared" si="14"/>
        <v>2.9271291168697644E-8</v>
      </c>
      <c r="T83" s="16">
        <f t="shared" si="23"/>
        <v>293.20397938359969</v>
      </c>
      <c r="U83" s="23">
        <f t="shared" si="15"/>
        <v>2.8717295208480209E-10</v>
      </c>
      <c r="V83" s="22">
        <f t="shared" si="16"/>
        <v>3.8359968357326579E-7</v>
      </c>
    </row>
    <row r="84" spans="1:22" x14ac:dyDescent="0.45">
      <c r="A84">
        <v>27.532489999999999</v>
      </c>
      <c r="B84">
        <v>66.864069999999998</v>
      </c>
      <c r="C84">
        <v>241.31356</v>
      </c>
      <c r="D84">
        <v>21855867.1241</v>
      </c>
      <c r="E84" s="13">
        <v>-18.576347164985499</v>
      </c>
      <c r="F84" s="13">
        <v>-128.19337374137501</v>
      </c>
      <c r="G84" s="13">
        <v>-55.1824505893957</v>
      </c>
      <c r="H84" s="13">
        <f t="shared" si="17"/>
        <v>304.81754941060433</v>
      </c>
      <c r="I84" s="11">
        <v>-18.576347186</v>
      </c>
      <c r="J84" s="11">
        <v>231.80662629099999</v>
      </c>
      <c r="K84" s="9">
        <f t="shared" si="18"/>
        <v>-128.19337370900001</v>
      </c>
      <c r="L84" s="12">
        <v>124.817549</v>
      </c>
      <c r="M84" s="3">
        <f t="shared" si="19"/>
        <v>304.81754899999999</v>
      </c>
      <c r="N84" s="15">
        <f t="shared" si="12"/>
        <v>-18.576347164339861</v>
      </c>
      <c r="O84" s="23">
        <f t="shared" si="20"/>
        <v>6.4563820956209383E-10</v>
      </c>
      <c r="P84" s="22">
        <f t="shared" si="21"/>
        <v>2.166013857163307E-8</v>
      </c>
      <c r="Q84" s="16">
        <f t="shared" si="22"/>
        <v>-128.19337374148733</v>
      </c>
      <c r="R84" s="23">
        <f t="shared" si="13"/>
        <v>1.1232259566895664E-10</v>
      </c>
      <c r="S84" s="22">
        <f t="shared" si="14"/>
        <v>3.2487321277585579E-8</v>
      </c>
      <c r="T84" s="16">
        <f t="shared" si="23"/>
        <v>304.81754941091458</v>
      </c>
      <c r="U84" s="23">
        <f t="shared" si="15"/>
        <v>3.1025138014229015E-10</v>
      </c>
      <c r="V84" s="22">
        <f t="shared" si="16"/>
        <v>4.1091459479503101E-7</v>
      </c>
    </row>
    <row r="85" spans="1:22" x14ac:dyDescent="0.45">
      <c r="A85">
        <v>-74.066460000000006</v>
      </c>
      <c r="B85">
        <v>-160.19710000000001</v>
      </c>
      <c r="C85">
        <v>169.49234999999999</v>
      </c>
      <c r="D85">
        <v>11149450.6668</v>
      </c>
      <c r="E85" s="13">
        <v>-5.4493412152386398</v>
      </c>
      <c r="F85" s="13">
        <v>9.4021807891450599</v>
      </c>
      <c r="G85" s="13">
        <v>2.8915626126554002</v>
      </c>
      <c r="H85" s="13">
        <f t="shared" si="17"/>
        <v>2.8915626126554002</v>
      </c>
      <c r="I85" s="9">
        <v>-5.4493411859999998</v>
      </c>
      <c r="J85" s="9">
        <v>9.4021807909999993</v>
      </c>
      <c r="K85" s="9">
        <f t="shared" si="18"/>
        <v>9.4021807910000064</v>
      </c>
      <c r="L85" s="10">
        <v>182.89156299999999</v>
      </c>
      <c r="M85" s="3">
        <f t="shared" si="19"/>
        <v>2.8915630000000192</v>
      </c>
      <c r="N85" s="15">
        <f t="shared" si="12"/>
        <v>-5.4493412149392935</v>
      </c>
      <c r="O85" s="23">
        <f t="shared" si="20"/>
        <v>2.9934632550521201E-10</v>
      </c>
      <c r="P85" s="22">
        <f t="shared" si="21"/>
        <v>2.8939293628127416E-8</v>
      </c>
      <c r="Q85" s="16">
        <f t="shared" si="22"/>
        <v>9.4021807891420508</v>
      </c>
      <c r="R85" s="23">
        <f t="shared" si="13"/>
        <v>3.0091484859440243E-12</v>
      </c>
      <c r="S85" s="22">
        <f t="shared" si="14"/>
        <v>1.8579555671749404E-9</v>
      </c>
      <c r="T85" s="16">
        <f t="shared" si="23"/>
        <v>2.8915626126540297</v>
      </c>
      <c r="U85" s="23">
        <f t="shared" si="15"/>
        <v>1.3704593015972932E-12</v>
      </c>
      <c r="V85" s="22">
        <f t="shared" si="16"/>
        <v>3.8734598950540544E-7</v>
      </c>
    </row>
    <row r="86" spans="1:22" x14ac:dyDescent="0.45">
      <c r="A86">
        <v>6.8207199999999997</v>
      </c>
      <c r="B86">
        <v>-5.5500699999999998</v>
      </c>
      <c r="C86">
        <v>253.76505</v>
      </c>
      <c r="D86">
        <v>13419455.063300001</v>
      </c>
      <c r="E86" s="13">
        <v>-17.450683954345902</v>
      </c>
      <c r="F86" s="13">
        <v>-125.509315421704</v>
      </c>
      <c r="G86" s="13">
        <v>-87.525893901400806</v>
      </c>
      <c r="H86" s="13">
        <f t="shared" si="17"/>
        <v>272.47410609859918</v>
      </c>
      <c r="I86" s="11">
        <v>-17.450683955999999</v>
      </c>
      <c r="J86" s="11">
        <v>-125.50931539</v>
      </c>
      <c r="K86" s="9">
        <f t="shared" si="18"/>
        <v>-125.50931539</v>
      </c>
      <c r="L86" s="12">
        <v>92.474106000000006</v>
      </c>
      <c r="M86" s="3">
        <f t="shared" si="19"/>
        <v>272.47410600000001</v>
      </c>
      <c r="N86" s="15">
        <f t="shared" si="12"/>
        <v>-17.450683954312343</v>
      </c>
      <c r="O86" s="23">
        <f t="shared" si="20"/>
        <v>3.3558933409949532E-11</v>
      </c>
      <c r="P86" s="22">
        <f t="shared" si="21"/>
        <v>1.6876562369816384E-9</v>
      </c>
      <c r="Q86" s="16">
        <f t="shared" si="22"/>
        <v>-125.50931542226525</v>
      </c>
      <c r="R86" s="23">
        <f t="shared" si="13"/>
        <v>5.6124349612218793E-10</v>
      </c>
      <c r="S86" s="22">
        <f t="shared" si="14"/>
        <v>3.2265248250951117E-8</v>
      </c>
      <c r="T86" s="16">
        <f t="shared" si="23"/>
        <v>272.47410609884383</v>
      </c>
      <c r="U86" s="23">
        <f t="shared" si="15"/>
        <v>2.446540747769177E-10</v>
      </c>
      <c r="V86" s="22">
        <f t="shared" si="16"/>
        <v>9.884382734526298E-8</v>
      </c>
    </row>
    <row r="87" spans="1:22" x14ac:dyDescent="0.45">
      <c r="A87">
        <v>-8.9919799999999999</v>
      </c>
      <c r="B87">
        <v>-101.81959999999999</v>
      </c>
      <c r="C87">
        <v>173.00154000000001</v>
      </c>
      <c r="D87">
        <v>15406147.542099999</v>
      </c>
      <c r="E87" s="13">
        <v>-32.220497868422498</v>
      </c>
      <c r="F87" s="13">
        <v>72.661603617908995</v>
      </c>
      <c r="G87" s="13">
        <v>8.1709944452362695</v>
      </c>
      <c r="H87" s="13">
        <f t="shared" si="17"/>
        <v>8.1709944452362695</v>
      </c>
      <c r="I87" s="9">
        <v>-32.220497887000001</v>
      </c>
      <c r="J87" s="9">
        <v>72.661603615000004</v>
      </c>
      <c r="K87" s="9">
        <f t="shared" si="18"/>
        <v>72.66160361499999</v>
      </c>
      <c r="L87" s="10">
        <v>188.17099400000001</v>
      </c>
      <c r="M87" s="3">
        <f t="shared" si="19"/>
        <v>8.1709940000000074</v>
      </c>
      <c r="N87" s="15">
        <f t="shared" si="12"/>
        <v>-32.220497867994219</v>
      </c>
      <c r="O87" s="23">
        <f t="shared" si="20"/>
        <v>4.2827963397940039E-10</v>
      </c>
      <c r="P87" s="22">
        <f t="shared" si="21"/>
        <v>1.9005781837222457E-8</v>
      </c>
      <c r="Q87" s="16">
        <f t="shared" si="22"/>
        <v>72.661603617921202</v>
      </c>
      <c r="R87" s="23">
        <f t="shared" si="13"/>
        <v>1.2207124200358521E-11</v>
      </c>
      <c r="S87" s="22">
        <f t="shared" si="14"/>
        <v>2.9212117169663543E-9</v>
      </c>
      <c r="T87" s="16">
        <f t="shared" si="23"/>
        <v>8.1709944451979126</v>
      </c>
      <c r="U87" s="23">
        <f t="shared" si="15"/>
        <v>3.8356873233169608E-11</v>
      </c>
      <c r="V87" s="22">
        <f t="shared" si="16"/>
        <v>4.4519790520780589E-7</v>
      </c>
    </row>
    <row r="88" spans="1:22" x14ac:dyDescent="0.45">
      <c r="A88">
        <v>41.645980000000002</v>
      </c>
      <c r="B88">
        <v>-166.89362</v>
      </c>
      <c r="C88">
        <v>198.12486000000001</v>
      </c>
      <c r="D88">
        <v>12387170.2107</v>
      </c>
      <c r="E88" s="13">
        <v>-64.917009149260593</v>
      </c>
      <c r="F88" s="13">
        <v>150.29881498976701</v>
      </c>
      <c r="G88" s="13">
        <v>-146.79333080843099</v>
      </c>
      <c r="H88" s="13">
        <f t="shared" si="17"/>
        <v>213.20666919156901</v>
      </c>
      <c r="I88" s="11">
        <v>-64.917009144000005</v>
      </c>
      <c r="J88" s="11">
        <v>-209.70118500199999</v>
      </c>
      <c r="K88" s="9">
        <f t="shared" si="18"/>
        <v>150.29881499800001</v>
      </c>
      <c r="L88" s="12">
        <v>33.206668999999998</v>
      </c>
      <c r="M88" s="3">
        <f t="shared" si="19"/>
        <v>213.20666900000001</v>
      </c>
      <c r="N88" s="15">
        <f t="shared" si="12"/>
        <v>-64.917009149741546</v>
      </c>
      <c r="O88" s="23">
        <f t="shared" si="20"/>
        <v>4.8095216698129661E-10</v>
      </c>
      <c r="P88" s="22">
        <f t="shared" si="21"/>
        <v>5.7415405763094896E-9</v>
      </c>
      <c r="Q88" s="16">
        <f t="shared" si="22"/>
        <v>150.29881498908981</v>
      </c>
      <c r="R88" s="23">
        <f t="shared" si="13"/>
        <v>6.7720407059823629E-10</v>
      </c>
      <c r="S88" s="22">
        <f t="shared" si="14"/>
        <v>8.9102059064316563E-9</v>
      </c>
      <c r="T88" s="16">
        <f t="shared" si="23"/>
        <v>213.20666919224078</v>
      </c>
      <c r="U88" s="23">
        <f t="shared" si="15"/>
        <v>6.7177552409702912E-10</v>
      </c>
      <c r="V88" s="22">
        <f t="shared" si="16"/>
        <v>1.9224077618673618E-7</v>
      </c>
    </row>
    <row r="89" spans="1:22" x14ac:dyDescent="0.45">
      <c r="A89">
        <v>7.4174100000000003</v>
      </c>
      <c r="B89">
        <v>15.89446</v>
      </c>
      <c r="C89">
        <v>135.06273999999999</v>
      </c>
      <c r="D89">
        <v>2739129.8221</v>
      </c>
      <c r="E89" s="13">
        <v>-10.1876835255621</v>
      </c>
      <c r="F89" s="13">
        <v>33.276915257278503</v>
      </c>
      <c r="G89" s="13">
        <v>134.63421461711201</v>
      </c>
      <c r="H89" s="13">
        <f t="shared" si="17"/>
        <v>134.63421461711201</v>
      </c>
      <c r="I89" s="9">
        <v>-10.187683525000001</v>
      </c>
      <c r="J89" s="9">
        <v>33.276915256999999</v>
      </c>
      <c r="K89" s="9">
        <f t="shared" si="18"/>
        <v>33.276915256999985</v>
      </c>
      <c r="L89" s="10">
        <v>314.63421499999998</v>
      </c>
      <c r="M89" s="3">
        <f t="shared" si="19"/>
        <v>134.63421499999998</v>
      </c>
      <c r="N89" s="15">
        <f t="shared" si="12"/>
        <v>-10.187683525677425</v>
      </c>
      <c r="O89" s="23">
        <f t="shared" si="20"/>
        <v>1.1532463872754306E-10</v>
      </c>
      <c r="P89" s="22">
        <f t="shared" si="21"/>
        <v>6.7742433884632192E-10</v>
      </c>
      <c r="Q89" s="16">
        <f t="shared" si="22"/>
        <v>33.276915257395729</v>
      </c>
      <c r="R89" s="23">
        <f t="shared" si="13"/>
        <v>1.1722534054570133E-10</v>
      </c>
      <c r="S89" s="22">
        <f t="shared" si="14"/>
        <v>3.957438821089454E-10</v>
      </c>
      <c r="T89" s="16">
        <f t="shared" si="23"/>
        <v>134.63421461709109</v>
      </c>
      <c r="U89" s="23">
        <f t="shared" si="15"/>
        <v>2.0918378140777349E-11</v>
      </c>
      <c r="V89" s="22">
        <f t="shared" si="16"/>
        <v>3.8290889392555982E-7</v>
      </c>
    </row>
    <row r="90" spans="1:22" x14ac:dyDescent="0.45">
      <c r="A90">
        <v>-88.821200000000005</v>
      </c>
      <c r="B90">
        <v>176.71505999999999</v>
      </c>
      <c r="C90">
        <v>114.91654</v>
      </c>
      <c r="D90">
        <v>10992541.662900001</v>
      </c>
      <c r="E90" s="13">
        <v>8.4547010832884109</v>
      </c>
      <c r="F90" s="13">
        <v>-68.211011583486695</v>
      </c>
      <c r="G90" s="13">
        <v>1.0843703475245801</v>
      </c>
      <c r="H90" s="13">
        <f t="shared" si="17"/>
        <v>1.0843703475245801</v>
      </c>
      <c r="I90" s="11">
        <v>8.4547010569999994</v>
      </c>
      <c r="J90" s="11">
        <v>291.788988416</v>
      </c>
      <c r="K90" s="9">
        <f t="shared" si="18"/>
        <v>-68.211011584000005</v>
      </c>
      <c r="L90" s="12">
        <v>181.08437000000001</v>
      </c>
      <c r="M90" s="3">
        <f t="shared" si="19"/>
        <v>1.0843700000000354</v>
      </c>
      <c r="N90" s="15">
        <f t="shared" si="12"/>
        <v>8.4547010836112193</v>
      </c>
      <c r="O90" s="23">
        <f t="shared" si="20"/>
        <v>3.2280844664001052E-10</v>
      </c>
      <c r="P90" s="22">
        <f t="shared" si="21"/>
        <v>2.6611219894334681E-8</v>
      </c>
      <c r="Q90" s="16">
        <f t="shared" si="22"/>
        <v>-68.211011583485401</v>
      </c>
      <c r="R90" s="23">
        <f t="shared" si="13"/>
        <v>1.2931877790833823E-12</v>
      </c>
      <c r="S90" s="22">
        <f t="shared" si="14"/>
        <v>5.1460347094689496E-10</v>
      </c>
      <c r="T90" s="16">
        <f t="shared" si="23"/>
        <v>1.0843703475255617</v>
      </c>
      <c r="U90" s="23">
        <f t="shared" si="15"/>
        <v>9.8165919837356341E-13</v>
      </c>
      <c r="V90" s="22">
        <f t="shared" si="16"/>
        <v>3.4752552635630707E-7</v>
      </c>
    </row>
    <row r="91" spans="1:22" x14ac:dyDescent="0.45">
      <c r="A91">
        <v>-31.76643</v>
      </c>
      <c r="B91">
        <v>175.65602000000001</v>
      </c>
      <c r="C91">
        <v>230.52977000000001</v>
      </c>
      <c r="D91">
        <v>26809519.5977</v>
      </c>
      <c r="E91" s="13">
        <v>46.685593768734002</v>
      </c>
      <c r="F91" s="13">
        <v>-84.204685749635104</v>
      </c>
      <c r="G91" s="13">
        <v>-107.07542706312501</v>
      </c>
      <c r="H91" s="13">
        <f t="shared" si="17"/>
        <v>252.92457293687499</v>
      </c>
      <c r="I91" s="9">
        <v>46.685593763</v>
      </c>
      <c r="J91" s="9">
        <v>275.79531422299999</v>
      </c>
      <c r="K91" s="9">
        <f t="shared" si="18"/>
        <v>-84.204685777000009</v>
      </c>
      <c r="L91" s="10">
        <v>72.924572999999995</v>
      </c>
      <c r="M91" s="3">
        <f t="shared" si="19"/>
        <v>252.92457300000001</v>
      </c>
      <c r="N91" s="15">
        <f t="shared" si="12"/>
        <v>46.685593768406633</v>
      </c>
      <c r="O91" s="23">
        <f t="shared" si="20"/>
        <v>3.2736835464675096E-10</v>
      </c>
      <c r="P91" s="22">
        <f t="shared" si="21"/>
        <v>5.4066333632363239E-9</v>
      </c>
      <c r="Q91" s="16">
        <f t="shared" si="22"/>
        <v>-84.204685750217607</v>
      </c>
      <c r="R91" s="23">
        <f t="shared" si="13"/>
        <v>5.8250293477613013E-10</v>
      </c>
      <c r="S91" s="22">
        <f t="shared" si="14"/>
        <v>2.6782402073877165E-8</v>
      </c>
      <c r="T91" s="16">
        <f t="shared" si="23"/>
        <v>252.92457293574773</v>
      </c>
      <c r="U91" s="23">
        <f t="shared" si="15"/>
        <v>1.1272618394286837E-9</v>
      </c>
      <c r="V91" s="22">
        <f t="shared" si="16"/>
        <v>6.425227638828801E-8</v>
      </c>
    </row>
    <row r="92" spans="1:22" x14ac:dyDescent="0.45">
      <c r="A92">
        <v>-33.89461</v>
      </c>
      <c r="B92">
        <v>177.00147000000001</v>
      </c>
      <c r="C92">
        <v>243.01021</v>
      </c>
      <c r="D92">
        <v>16426525.8873</v>
      </c>
      <c r="E92" s="13">
        <v>15.796439401798899</v>
      </c>
      <c r="F92" s="13">
        <v>26.802138611587601</v>
      </c>
      <c r="G92" s="13">
        <v>-50.291108821528901</v>
      </c>
      <c r="H92" s="13">
        <f t="shared" si="17"/>
        <v>309.70889117847111</v>
      </c>
      <c r="I92" s="11">
        <v>15.796439417</v>
      </c>
      <c r="J92" s="11">
        <v>26.802138592999999</v>
      </c>
      <c r="K92" s="9">
        <f t="shared" si="18"/>
        <v>26.802138592999995</v>
      </c>
      <c r="L92" s="12">
        <v>129.70889099999999</v>
      </c>
      <c r="M92" s="3">
        <f t="shared" si="19"/>
        <v>309.70889099999999</v>
      </c>
      <c r="N92" s="15">
        <f t="shared" si="12"/>
        <v>15.796439402314636</v>
      </c>
      <c r="O92" s="23">
        <f t="shared" si="20"/>
        <v>5.1573678661043232E-10</v>
      </c>
      <c r="P92" s="22">
        <f t="shared" si="21"/>
        <v>1.4685364035926796E-8</v>
      </c>
      <c r="Q92" s="16">
        <f t="shared" si="22"/>
        <v>26.802138611582023</v>
      </c>
      <c r="R92" s="23">
        <f t="shared" si="13"/>
        <v>5.5777604757167865E-12</v>
      </c>
      <c r="S92" s="22">
        <f t="shared" si="14"/>
        <v>1.8582028360469849E-8</v>
      </c>
      <c r="T92" s="16">
        <f t="shared" si="23"/>
        <v>309.70889117829671</v>
      </c>
      <c r="U92" s="23">
        <f t="shared" si="15"/>
        <v>1.7439560906495899E-10</v>
      </c>
      <c r="V92" s="22">
        <f t="shared" si="16"/>
        <v>1.7829671605795738E-7</v>
      </c>
    </row>
    <row r="93" spans="1:22" x14ac:dyDescent="0.45">
      <c r="A93">
        <v>-32.473849999999999</v>
      </c>
      <c r="B93">
        <v>16.285630000000001</v>
      </c>
      <c r="C93">
        <v>24.15812</v>
      </c>
      <c r="D93">
        <v>3009187.4501999998</v>
      </c>
      <c r="E93" s="13">
        <v>-7.24222648261697</v>
      </c>
      <c r="F93" s="13">
        <v>27.090086758605199</v>
      </c>
      <c r="G93" s="13">
        <v>20.386912453372101</v>
      </c>
      <c r="H93" s="13">
        <f t="shared" si="17"/>
        <v>20.386912453372101</v>
      </c>
      <c r="I93" s="9">
        <v>-7.2422264839999997</v>
      </c>
      <c r="J93" s="9">
        <v>27.090086758000002</v>
      </c>
      <c r="K93" s="9">
        <f t="shared" si="18"/>
        <v>27.090086758000012</v>
      </c>
      <c r="L93" s="10">
        <v>200.386912</v>
      </c>
      <c r="M93" s="3">
        <f t="shared" si="19"/>
        <v>20.386911999999995</v>
      </c>
      <c r="N93" s="15">
        <f t="shared" si="12"/>
        <v>-7.2422264824577764</v>
      </c>
      <c r="O93" s="23">
        <f t="shared" si="20"/>
        <v>1.5919354723337165E-10</v>
      </c>
      <c r="P93" s="22">
        <f t="shared" si="21"/>
        <v>1.5422232380046808E-9</v>
      </c>
      <c r="Q93" s="16">
        <f t="shared" si="22"/>
        <v>27.090086758641291</v>
      </c>
      <c r="R93" s="23">
        <f t="shared" si="13"/>
        <v>3.6092018262934289E-11</v>
      </c>
      <c r="S93" s="22">
        <f t="shared" si="14"/>
        <v>6.4127902987820562E-10</v>
      </c>
      <c r="T93" s="16">
        <f t="shared" si="23"/>
        <v>20.386912453364644</v>
      </c>
      <c r="U93" s="23">
        <f t="shared" si="15"/>
        <v>7.4571460118022515E-12</v>
      </c>
      <c r="V93" s="22">
        <f t="shared" si="16"/>
        <v>4.5336464893352968E-7</v>
      </c>
    </row>
    <row r="94" spans="1:22" x14ac:dyDescent="0.45">
      <c r="A94">
        <v>72.12079</v>
      </c>
      <c r="B94">
        <v>-154.69436999999999</v>
      </c>
      <c r="C94">
        <v>137.78511</v>
      </c>
      <c r="D94">
        <v>14766525.0417</v>
      </c>
      <c r="E94" s="13">
        <v>-54.692418763785902</v>
      </c>
      <c r="F94" s="13">
        <v>-96.673767106203201</v>
      </c>
      <c r="G94" s="13">
        <v>159.07143830420699</v>
      </c>
      <c r="H94" s="13">
        <f t="shared" si="17"/>
        <v>159.07143830420699</v>
      </c>
      <c r="I94" s="11">
        <v>-54.692418750000002</v>
      </c>
      <c r="J94" s="11">
        <v>-96.673767115999993</v>
      </c>
      <c r="K94" s="9">
        <f t="shared" si="18"/>
        <v>-96.673767115999993</v>
      </c>
      <c r="L94" s="12">
        <v>339.071438</v>
      </c>
      <c r="M94" s="3">
        <f t="shared" si="19"/>
        <v>159.07143799999994</v>
      </c>
      <c r="N94" s="15">
        <f t="shared" si="12"/>
        <v>-54.69241876438798</v>
      </c>
      <c r="O94" s="23">
        <f t="shared" si="20"/>
        <v>6.0207838714632089E-10</v>
      </c>
      <c r="P94" s="22">
        <f t="shared" si="21"/>
        <v>1.4387978808372281E-8</v>
      </c>
      <c r="Q94" s="16">
        <f t="shared" si="22"/>
        <v>-96.673767105877232</v>
      </c>
      <c r="R94" s="23">
        <f t="shared" si="13"/>
        <v>3.2596858545730356E-10</v>
      </c>
      <c r="S94" s="22">
        <f t="shared" si="14"/>
        <v>1.0122761295860983E-8</v>
      </c>
      <c r="T94" s="16">
        <f t="shared" si="23"/>
        <v>159.07143830388236</v>
      </c>
      <c r="U94" s="23">
        <f t="shared" si="15"/>
        <v>3.2463276511407457E-10</v>
      </c>
      <c r="V94" s="22">
        <f t="shared" si="16"/>
        <v>3.0388241611944977E-7</v>
      </c>
    </row>
    <row r="95" spans="1:22" x14ac:dyDescent="0.45">
      <c r="A95">
        <v>25.50112</v>
      </c>
      <c r="B95">
        <v>97.481629999999996</v>
      </c>
      <c r="C95">
        <v>8.1338899999999992</v>
      </c>
      <c r="D95">
        <v>11388563.956800001</v>
      </c>
      <c r="E95" s="13">
        <v>51.449002267071698</v>
      </c>
      <c r="F95" s="13">
        <v>-95.346466048500602</v>
      </c>
      <c r="G95" s="13">
        <v>168.19286457922101</v>
      </c>
      <c r="H95" s="13">
        <f t="shared" si="17"/>
        <v>168.19286457922101</v>
      </c>
      <c r="I95" s="9">
        <v>51.449002239000002</v>
      </c>
      <c r="J95" s="9">
        <v>264.65353396099999</v>
      </c>
      <c r="K95" s="9">
        <f t="shared" si="18"/>
        <v>-95.346466039000006</v>
      </c>
      <c r="L95" s="10">
        <v>348.19286499999998</v>
      </c>
      <c r="M95" s="3">
        <f t="shared" si="19"/>
        <v>168.19286499999998</v>
      </c>
      <c r="N95" s="15">
        <f t="shared" si="12"/>
        <v>51.44900226685423</v>
      </c>
      <c r="O95" s="23">
        <f t="shared" si="20"/>
        <v>2.1746870970673626E-10</v>
      </c>
      <c r="P95" s="22">
        <f t="shared" si="21"/>
        <v>2.7854227369061846E-8</v>
      </c>
      <c r="Q95" s="16">
        <f t="shared" si="22"/>
        <v>-95.346466048476884</v>
      </c>
      <c r="R95" s="23">
        <f t="shared" si="13"/>
        <v>2.3717916519672144E-11</v>
      </c>
      <c r="S95" s="22">
        <f t="shared" si="14"/>
        <v>9.4768779490550514E-9</v>
      </c>
      <c r="T95" s="16">
        <f t="shared" si="23"/>
        <v>168.19286457927743</v>
      </c>
      <c r="U95" s="23">
        <f t="shared" si="15"/>
        <v>5.6417093219351955E-11</v>
      </c>
      <c r="V95" s="22">
        <f t="shared" si="16"/>
        <v>4.2072255723724084E-7</v>
      </c>
    </row>
    <row r="96" spans="1:22" x14ac:dyDescent="0.45">
      <c r="A96">
        <v>41.900829999999999</v>
      </c>
      <c r="B96">
        <v>-160.6241</v>
      </c>
      <c r="C96">
        <v>266.49374999999998</v>
      </c>
      <c r="D96">
        <v>11341171.712300001</v>
      </c>
      <c r="E96" s="13">
        <v>-10.694816428499401</v>
      </c>
      <c r="F96" s="13">
        <v>102.783690467901</v>
      </c>
      <c r="G96" s="13">
        <v>-130.792084081479</v>
      </c>
      <c r="H96" s="13">
        <f t="shared" si="17"/>
        <v>229.207915918521</v>
      </c>
      <c r="I96" s="11">
        <v>-10.694816415</v>
      </c>
      <c r="J96" s="11">
        <v>-257.21630951600002</v>
      </c>
      <c r="K96" s="9">
        <f t="shared" si="18"/>
        <v>102.78369048399998</v>
      </c>
      <c r="L96" s="12">
        <v>49.207915999999997</v>
      </c>
      <c r="M96" s="3">
        <f t="shared" si="19"/>
        <v>229.20791600000001</v>
      </c>
      <c r="N96" s="15">
        <f t="shared" si="12"/>
        <v>-10.694816428886307</v>
      </c>
      <c r="O96" s="23">
        <f t="shared" si="20"/>
        <v>3.8690650683292915E-10</v>
      </c>
      <c r="P96" s="22">
        <f t="shared" si="21"/>
        <v>1.388630721521622E-8</v>
      </c>
      <c r="Q96" s="16">
        <f t="shared" si="22"/>
        <v>102.78369046779994</v>
      </c>
      <c r="R96" s="23">
        <f t="shared" si="13"/>
        <v>1.0105338787980145E-10</v>
      </c>
      <c r="S96" s="22">
        <f t="shared" si="14"/>
        <v>1.6200033314817119E-8</v>
      </c>
      <c r="T96" s="16">
        <f t="shared" si="23"/>
        <v>229.20791591860558</v>
      </c>
      <c r="U96" s="23">
        <f t="shared" si="15"/>
        <v>8.4583007264882326E-11</v>
      </c>
      <c r="V96" s="22">
        <f t="shared" si="16"/>
        <v>8.1394432527304161E-8</v>
      </c>
    </row>
    <row r="97" spans="1:22" x14ac:dyDescent="0.45">
      <c r="A97">
        <v>48.390430000000002</v>
      </c>
      <c r="B97">
        <v>-167.33677</v>
      </c>
      <c r="C97">
        <v>292.34510999999998</v>
      </c>
      <c r="D97">
        <v>8308069.4910000004</v>
      </c>
      <c r="E97" s="13">
        <v>26.198762559576501</v>
      </c>
      <c r="F97" s="13">
        <v>96.488891915789694</v>
      </c>
      <c r="G97" s="13">
        <v>-136.737183326891</v>
      </c>
      <c r="H97" s="13">
        <f t="shared" si="17"/>
        <v>223.262816673109</v>
      </c>
      <c r="I97" s="9">
        <v>26.198762559999999</v>
      </c>
      <c r="J97" s="9">
        <v>-263.511108084</v>
      </c>
      <c r="K97" s="9">
        <f t="shared" si="18"/>
        <v>96.488891916</v>
      </c>
      <c r="L97" s="10">
        <v>43.262816999999998</v>
      </c>
      <c r="M97" s="3">
        <f t="shared" si="19"/>
        <v>223.26281699999998</v>
      </c>
      <c r="N97" s="15">
        <f t="shared" si="12"/>
        <v>26.198762559377457</v>
      </c>
      <c r="O97" s="23">
        <f t="shared" si="20"/>
        <v>1.9904433656847687E-10</v>
      </c>
      <c r="P97" s="22">
        <f t="shared" si="21"/>
        <v>6.2254201793621178E-10</v>
      </c>
      <c r="Q97" s="16">
        <f t="shared" si="22"/>
        <v>96.488891915928889</v>
      </c>
      <c r="R97" s="23">
        <f t="shared" si="13"/>
        <v>1.3919532193540363E-10</v>
      </c>
      <c r="S97" s="22">
        <f t="shared" si="14"/>
        <v>7.1111116994870827E-11</v>
      </c>
      <c r="T97" s="16">
        <f t="shared" si="23"/>
        <v>223.26281667301737</v>
      </c>
      <c r="U97" s="23">
        <f t="shared" si="15"/>
        <v>9.163159120362252E-11</v>
      </c>
      <c r="V97" s="22">
        <f t="shared" si="16"/>
        <v>3.2698261520636152E-7</v>
      </c>
    </row>
    <row r="98" spans="1:22" x14ac:dyDescent="0.45">
      <c r="A98">
        <v>-38.660769999999999</v>
      </c>
      <c r="B98">
        <v>54.641919999999999</v>
      </c>
      <c r="C98">
        <v>59.211219999999997</v>
      </c>
      <c r="D98">
        <v>4874355.4786</v>
      </c>
      <c r="E98" s="13">
        <v>-9.9146563213063992</v>
      </c>
      <c r="F98" s="13">
        <v>91.751058823140298</v>
      </c>
      <c r="G98" s="13">
        <v>42.984307667886902</v>
      </c>
      <c r="H98" s="13">
        <f t="shared" si="17"/>
        <v>42.984307667886902</v>
      </c>
      <c r="I98" s="11">
        <v>-9.9146563190000006</v>
      </c>
      <c r="J98" s="11">
        <v>91.751058825000001</v>
      </c>
      <c r="K98" s="9">
        <f t="shared" si="18"/>
        <v>91.751058824999973</v>
      </c>
      <c r="L98" s="12">
        <v>222.984308</v>
      </c>
      <c r="M98" s="3">
        <f t="shared" si="19"/>
        <v>42.984307999999999</v>
      </c>
      <c r="N98" s="15">
        <f t="shared" si="12"/>
        <v>-9.9146563211258201</v>
      </c>
      <c r="O98" s="23">
        <f t="shared" si="20"/>
        <v>1.8057910722291126E-10</v>
      </c>
      <c r="P98" s="22">
        <f t="shared" si="21"/>
        <v>2.1258195204154617E-9</v>
      </c>
      <c r="Q98" s="16">
        <f t="shared" si="22"/>
        <v>91.751058823184508</v>
      </c>
      <c r="R98" s="23">
        <f t="shared" si="13"/>
        <v>4.4209969018993434E-11</v>
      </c>
      <c r="S98" s="22">
        <f t="shared" si="14"/>
        <v>1.8154651115764864E-9</v>
      </c>
      <c r="T98" s="16">
        <f t="shared" si="23"/>
        <v>42.984307667857749</v>
      </c>
      <c r="U98" s="23">
        <f t="shared" si="15"/>
        <v>2.9153568448236911E-11</v>
      </c>
      <c r="V98" s="22">
        <f t="shared" si="16"/>
        <v>3.3214224970379291E-7</v>
      </c>
    </row>
    <row r="99" spans="1:22" x14ac:dyDescent="0.45">
      <c r="A99">
        <v>-7.4569999999999997E-2</v>
      </c>
      <c r="B99">
        <v>46.472079999999998</v>
      </c>
      <c r="C99">
        <v>278.01758999999998</v>
      </c>
      <c r="D99">
        <v>20547852.623500001</v>
      </c>
      <c r="E99" s="13">
        <v>-0.65241082209077605</v>
      </c>
      <c r="F99" s="13">
        <v>-138.061989685041</v>
      </c>
      <c r="G99" s="13">
        <v>-97.991695153744104</v>
      </c>
      <c r="H99" s="13">
        <f t="shared" si="17"/>
        <v>262.0083048462559</v>
      </c>
      <c r="I99" s="9">
        <v>-0.652410818</v>
      </c>
      <c r="J99" s="9">
        <v>221.938010346</v>
      </c>
      <c r="K99" s="9">
        <f t="shared" si="18"/>
        <v>-138.061989654</v>
      </c>
      <c r="L99" s="10">
        <v>82.008304999999993</v>
      </c>
      <c r="M99" s="3">
        <f t="shared" si="19"/>
        <v>262.00830500000001</v>
      </c>
      <c r="N99" s="15">
        <f t="shared" si="12"/>
        <v>-0.6524108222726005</v>
      </c>
      <c r="O99" s="23">
        <f t="shared" si="20"/>
        <v>1.818244443896333E-10</v>
      </c>
      <c r="P99" s="22">
        <f t="shared" si="21"/>
        <v>4.2726004956250563E-9</v>
      </c>
      <c r="Q99" s="16">
        <f t="shared" si="22"/>
        <v>-138.06198968622095</v>
      </c>
      <c r="R99" s="23">
        <f t="shared" si="13"/>
        <v>1.1799556887126528E-9</v>
      </c>
      <c r="S99" s="22">
        <f t="shared" si="14"/>
        <v>3.2220953016803833E-8</v>
      </c>
      <c r="T99" s="16">
        <f t="shared" si="23"/>
        <v>262.00830484627079</v>
      </c>
      <c r="U99" s="23">
        <f t="shared" si="15"/>
        <v>1.48929757415317E-11</v>
      </c>
      <c r="V99" s="22">
        <f t="shared" si="16"/>
        <v>1.537292177999916E-7</v>
      </c>
    </row>
    <row r="100" spans="1:22" x14ac:dyDescent="0.45">
      <c r="A100">
        <v>45.63044</v>
      </c>
      <c r="B100">
        <v>-129.56118000000001</v>
      </c>
      <c r="C100">
        <v>147.68849</v>
      </c>
      <c r="D100">
        <v>2696126.9289000002</v>
      </c>
      <c r="E100" s="13">
        <v>24.100341203530899</v>
      </c>
      <c r="F100" s="13">
        <v>-115.670119589763</v>
      </c>
      <c r="G100" s="13">
        <v>155.79836325747701</v>
      </c>
      <c r="H100" s="13">
        <f t="shared" si="17"/>
        <v>155.79836325747701</v>
      </c>
      <c r="I100" s="11">
        <v>24.100341202999999</v>
      </c>
      <c r="J100" s="11">
        <v>-115.670119589</v>
      </c>
      <c r="K100" s="9">
        <f t="shared" si="18"/>
        <v>-115.670119589</v>
      </c>
      <c r="L100" s="12">
        <v>335.79836299999999</v>
      </c>
      <c r="M100" s="3">
        <f t="shared" si="19"/>
        <v>155.79836299999999</v>
      </c>
      <c r="N100" s="15">
        <f t="shared" si="12"/>
        <v>24.100341203428602</v>
      </c>
      <c r="O100" s="23">
        <f t="shared" si="20"/>
        <v>1.0229683766738162E-10</v>
      </c>
      <c r="P100" s="22">
        <f t="shared" si="21"/>
        <v>4.2860293092417123E-10</v>
      </c>
      <c r="Q100" s="16">
        <f t="shared" si="22"/>
        <v>-115.67011958975267</v>
      </c>
      <c r="R100" s="23">
        <f t="shared" si="13"/>
        <v>1.0331291377951857E-11</v>
      </c>
      <c r="S100" s="22">
        <f t="shared" si="14"/>
        <v>7.5267791999067413E-10</v>
      </c>
      <c r="T100" s="16">
        <f t="shared" si="23"/>
        <v>155.79836325749696</v>
      </c>
      <c r="U100" s="23">
        <f t="shared" si="15"/>
        <v>1.9952040020143613E-11</v>
      </c>
      <c r="V100" s="22">
        <f t="shared" si="16"/>
        <v>2.5749696419552492E-7</v>
      </c>
    </row>
    <row r="101" spans="1:22" x14ac:dyDescent="0.45">
      <c r="A101">
        <v>-31.687740000000002</v>
      </c>
      <c r="B101">
        <v>45.147069999999999</v>
      </c>
      <c r="C101">
        <v>172.66594000000001</v>
      </c>
      <c r="D101">
        <v>4461921.0270999996</v>
      </c>
      <c r="E101" s="13">
        <v>-70.992572042902793</v>
      </c>
      <c r="F101" s="13">
        <v>59.722005447100599</v>
      </c>
      <c r="G101" s="13">
        <v>160.55955214990399</v>
      </c>
      <c r="H101" s="13">
        <f t="shared" si="17"/>
        <v>160.55955214990399</v>
      </c>
      <c r="I101" s="9">
        <v>-70.992572042000006</v>
      </c>
      <c r="J101" s="9">
        <v>59.722005445999997</v>
      </c>
      <c r="K101" s="9">
        <f t="shared" si="18"/>
        <v>59.722005445999997</v>
      </c>
      <c r="L101" s="10">
        <v>340.559552</v>
      </c>
      <c r="M101" s="3">
        <f t="shared" si="19"/>
        <v>160.55955199999994</v>
      </c>
      <c r="N101" s="15">
        <f t="shared" si="12"/>
        <v>-70.992572042992109</v>
      </c>
      <c r="O101" s="23">
        <f t="shared" si="20"/>
        <v>8.9315221885044593E-11</v>
      </c>
      <c r="P101" s="22">
        <f t="shared" si="21"/>
        <v>9.9210240023239749E-10</v>
      </c>
      <c r="Q101" s="16">
        <f t="shared" si="22"/>
        <v>59.722005447183392</v>
      </c>
      <c r="R101" s="23">
        <f t="shared" si="13"/>
        <v>8.2792439570766874E-11</v>
      </c>
      <c r="S101" s="22">
        <f t="shared" si="14"/>
        <v>1.1833947155537317E-9</v>
      </c>
      <c r="T101" s="16">
        <f t="shared" si="23"/>
        <v>160.55955214981159</v>
      </c>
      <c r="U101" s="23">
        <f t="shared" si="15"/>
        <v>9.2398977358243428E-11</v>
      </c>
      <c r="V101" s="22">
        <f t="shared" si="16"/>
        <v>1.49811654637233E-7</v>
      </c>
    </row>
    <row r="102" spans="1:22" x14ac:dyDescent="0.45">
      <c r="A102">
        <v>-58.967529999999996</v>
      </c>
      <c r="B102">
        <v>85.038359999999997</v>
      </c>
      <c r="C102">
        <v>115.29264000000001</v>
      </c>
      <c r="D102">
        <v>8938931.9945999999</v>
      </c>
      <c r="E102" s="13">
        <v>-21.1787672888067</v>
      </c>
      <c r="F102" s="13">
        <v>-167.965930830563</v>
      </c>
      <c r="G102" s="13">
        <v>30.0582701647504</v>
      </c>
      <c r="H102" s="13">
        <f t="shared" si="17"/>
        <v>30.0582701647504</v>
      </c>
      <c r="I102" s="11">
        <v>-21.178767285999999</v>
      </c>
      <c r="J102" s="11">
        <v>192.034069171</v>
      </c>
      <c r="K102" s="9">
        <f t="shared" si="18"/>
        <v>-167.965930829</v>
      </c>
      <c r="L102" s="12">
        <v>210.05826999999999</v>
      </c>
      <c r="M102" s="3">
        <f t="shared" si="19"/>
        <v>30.058269999999993</v>
      </c>
      <c r="N102" s="15">
        <f t="shared" si="12"/>
        <v>-21.178767288558216</v>
      </c>
      <c r="O102" s="23">
        <f t="shared" si="20"/>
        <v>2.4848390012266464E-10</v>
      </c>
      <c r="P102" s="22">
        <f t="shared" si="21"/>
        <v>2.5582167495485919E-9</v>
      </c>
      <c r="Q102" s="16">
        <f t="shared" si="22"/>
        <v>-167.96593083061447</v>
      </c>
      <c r="R102" s="23">
        <f t="shared" si="13"/>
        <v>5.1471715778461657E-11</v>
      </c>
      <c r="S102" s="22">
        <f t="shared" si="14"/>
        <v>1.6144667824846692E-9</v>
      </c>
      <c r="T102" s="16">
        <f t="shared" si="23"/>
        <v>30.058270164695099</v>
      </c>
      <c r="U102" s="23">
        <f t="shared" si="15"/>
        <v>5.5301541124208597E-11</v>
      </c>
      <c r="V102" s="22">
        <f t="shared" si="16"/>
        <v>1.6469510555339184E-7</v>
      </c>
    </row>
    <row r="103" spans="1:22" x14ac:dyDescent="0.45">
      <c r="A103">
        <v>15.35918</v>
      </c>
      <c r="B103">
        <v>147.99860000000001</v>
      </c>
      <c r="C103">
        <v>17.105060000000002</v>
      </c>
      <c r="D103">
        <v>736539.3763</v>
      </c>
      <c r="E103" s="13">
        <v>21.708343638641399</v>
      </c>
      <c r="F103" s="13">
        <v>150.08804405760199</v>
      </c>
      <c r="G103" s="13">
        <v>17.7703093135238</v>
      </c>
      <c r="H103" s="13">
        <f t="shared" si="17"/>
        <v>17.7703093135238</v>
      </c>
      <c r="I103" s="9">
        <v>21.708343638999999</v>
      </c>
      <c r="J103" s="9">
        <v>150.08804405800001</v>
      </c>
      <c r="K103" s="9">
        <f t="shared" si="18"/>
        <v>150.08804405800004</v>
      </c>
      <c r="L103" s="10">
        <v>197.770309</v>
      </c>
      <c r="M103" s="3">
        <f t="shared" si="19"/>
        <v>17.770308999999997</v>
      </c>
      <c r="N103" s="15">
        <f t="shared" si="12"/>
        <v>21.708343638672996</v>
      </c>
      <c r="O103" s="23">
        <f t="shared" si="20"/>
        <v>3.1597835459251655E-11</v>
      </c>
      <c r="P103" s="22">
        <f t="shared" si="21"/>
        <v>3.2700242513783451E-10</v>
      </c>
      <c r="Q103" s="16">
        <f t="shared" si="22"/>
        <v>150.0880440576081</v>
      </c>
      <c r="R103" s="23">
        <f t="shared" si="13"/>
        <v>6.1106675275368616E-12</v>
      </c>
      <c r="S103" s="22">
        <f t="shared" si="14"/>
        <v>3.9193537304527126E-10</v>
      </c>
      <c r="T103" s="16">
        <f t="shared" si="23"/>
        <v>17.770309313527793</v>
      </c>
      <c r="U103" s="23">
        <f t="shared" si="15"/>
        <v>3.993250174971763E-12</v>
      </c>
      <c r="V103" s="22">
        <f t="shared" si="16"/>
        <v>3.1352779572557665E-7</v>
      </c>
    </row>
    <row r="104" spans="1:22" x14ac:dyDescent="0.45">
      <c r="A104">
        <v>16.97861</v>
      </c>
      <c r="B104">
        <v>-69.482510000000005</v>
      </c>
      <c r="C104">
        <v>337.9323</v>
      </c>
      <c r="D104">
        <v>2680862.1616000002</v>
      </c>
      <c r="E104" s="13">
        <v>39.019838838408297</v>
      </c>
      <c r="F104" s="13">
        <v>-80.846730002315397</v>
      </c>
      <c r="G104" s="13">
        <v>-27.5171661100335</v>
      </c>
      <c r="H104" s="13">
        <f t="shared" si="17"/>
        <v>332.48283388996651</v>
      </c>
      <c r="I104" s="11">
        <v>39.019838841999999</v>
      </c>
      <c r="J104" s="11">
        <v>-80.846730003999994</v>
      </c>
      <c r="K104" s="9">
        <f t="shared" si="18"/>
        <v>-80.846730003999994</v>
      </c>
      <c r="L104" s="12">
        <v>152.482834</v>
      </c>
      <c r="M104" s="3">
        <f t="shared" si="19"/>
        <v>332.48283400000003</v>
      </c>
      <c r="N104" s="15">
        <f t="shared" si="12"/>
        <v>39.019838838529346</v>
      </c>
      <c r="O104" s="23">
        <f t="shared" si="20"/>
        <v>1.2104806046409067E-10</v>
      </c>
      <c r="P104" s="22">
        <f t="shared" si="21"/>
        <v>3.470653098247567E-9</v>
      </c>
      <c r="Q104" s="16">
        <f t="shared" si="22"/>
        <v>-80.84673000236215</v>
      </c>
      <c r="R104" s="23">
        <f t="shared" si="13"/>
        <v>4.6753712013014592E-11</v>
      </c>
      <c r="S104" s="22">
        <f t="shared" si="14"/>
        <v>1.6378436384911765E-9</v>
      </c>
      <c r="T104" s="16">
        <f t="shared" si="23"/>
        <v>332.48283388991518</v>
      </c>
      <c r="U104" s="23">
        <f t="shared" si="15"/>
        <v>5.1329607231309637E-11</v>
      </c>
      <c r="V104" s="22">
        <f t="shared" si="16"/>
        <v>1.1008484079866321E-7</v>
      </c>
    </row>
    <row r="105" spans="1:22" x14ac:dyDescent="0.45">
      <c r="A105">
        <v>10.929650000000001</v>
      </c>
      <c r="B105">
        <v>-135.72478000000001</v>
      </c>
      <c r="C105">
        <v>249.20694</v>
      </c>
      <c r="D105">
        <v>2593134.8231000002</v>
      </c>
      <c r="E105" s="13">
        <v>2.0238745876506798</v>
      </c>
      <c r="F105" s="13">
        <v>-157.435546594415</v>
      </c>
      <c r="G105" s="13">
        <v>-113.279115007173</v>
      </c>
      <c r="H105" s="13">
        <f t="shared" si="17"/>
        <v>246.720884992827</v>
      </c>
      <c r="I105" s="9">
        <v>2.023874588</v>
      </c>
      <c r="J105" s="9">
        <v>-157.43554659399999</v>
      </c>
      <c r="K105" s="9">
        <f t="shared" si="18"/>
        <v>-157.43554659399999</v>
      </c>
      <c r="L105" s="10">
        <v>66.720884999999996</v>
      </c>
      <c r="M105" s="3">
        <f t="shared" si="19"/>
        <v>246.72088500000001</v>
      </c>
      <c r="N105" s="15">
        <f t="shared" si="12"/>
        <v>2.0238745875857349</v>
      </c>
      <c r="O105" s="23">
        <f t="shared" si="20"/>
        <v>6.4944938316102707E-11</v>
      </c>
      <c r="P105" s="22">
        <f t="shared" si="21"/>
        <v>4.1426506669495211E-10</v>
      </c>
      <c r="Q105" s="16">
        <f t="shared" si="22"/>
        <v>-157.43554659454884</v>
      </c>
      <c r="R105" s="23">
        <f t="shared" si="13"/>
        <v>1.3383782970777247E-10</v>
      </c>
      <c r="S105" s="22">
        <f t="shared" si="14"/>
        <v>5.4885163081053179E-10</v>
      </c>
      <c r="T105" s="16">
        <f t="shared" si="23"/>
        <v>246.72088499282131</v>
      </c>
      <c r="U105" s="23">
        <f t="shared" si="15"/>
        <v>5.6843418860808015E-12</v>
      </c>
      <c r="V105" s="22">
        <f t="shared" si="16"/>
        <v>7.1786985245125834E-9</v>
      </c>
    </row>
    <row r="106" spans="1:22" x14ac:dyDescent="0.45">
      <c r="A106">
        <v>-59.242919999999998</v>
      </c>
      <c r="B106">
        <v>64.601219999999998</v>
      </c>
      <c r="C106">
        <v>245.32203999999999</v>
      </c>
      <c r="D106">
        <v>1124977.1808</v>
      </c>
      <c r="E106" s="13">
        <v>-62.065730414040701</v>
      </c>
      <c r="F106" s="13">
        <v>44.7565090920342</v>
      </c>
      <c r="G106" s="13">
        <v>-97.333028540683699</v>
      </c>
      <c r="H106" s="13">
        <f t="shared" si="17"/>
        <v>262.6669714593163</v>
      </c>
      <c r="I106" s="11">
        <v>-62.065730414000001</v>
      </c>
      <c r="J106" s="11">
        <v>44.756509088000001</v>
      </c>
      <c r="K106" s="9">
        <f t="shared" si="18"/>
        <v>44.756509088000001</v>
      </c>
      <c r="L106" s="12">
        <v>82.666971000000004</v>
      </c>
      <c r="M106" s="3">
        <f t="shared" si="19"/>
        <v>262.66697099999999</v>
      </c>
      <c r="N106" s="15">
        <f t="shared" si="12"/>
        <v>-62.065730414039209</v>
      </c>
      <c r="O106" s="23">
        <f t="shared" si="20"/>
        <v>1.4921397450962104E-12</v>
      </c>
      <c r="P106" s="22">
        <f t="shared" si="21"/>
        <v>3.9207748159242328E-11</v>
      </c>
      <c r="Q106" s="16">
        <f t="shared" si="22"/>
        <v>44.756509092090539</v>
      </c>
      <c r="R106" s="23">
        <f t="shared" si="13"/>
        <v>5.6338933518418344E-11</v>
      </c>
      <c r="S106" s="22">
        <f t="shared" si="14"/>
        <v>4.090537686352036E-9</v>
      </c>
      <c r="T106" s="16">
        <f t="shared" si="23"/>
        <v>262.66697145929442</v>
      </c>
      <c r="U106" s="23">
        <f t="shared" si="15"/>
        <v>2.1884716261411086E-11</v>
      </c>
      <c r="V106" s="22">
        <f t="shared" si="16"/>
        <v>4.5929442649139673E-7</v>
      </c>
    </row>
    <row r="107" spans="1:22" x14ac:dyDescent="0.45">
      <c r="A107">
        <v>2.3506800000000001</v>
      </c>
      <c r="B107">
        <v>-118.36722</v>
      </c>
      <c r="C107">
        <v>318.8005</v>
      </c>
      <c r="D107">
        <v>8704.3340000000007</v>
      </c>
      <c r="E107" s="13">
        <v>2.40990806675291</v>
      </c>
      <c r="F107" s="13">
        <v>-118.41876924936599</v>
      </c>
      <c r="G107" s="13">
        <v>-41.201640944833798</v>
      </c>
      <c r="H107" s="13">
        <f t="shared" si="17"/>
        <v>318.7983590551662</v>
      </c>
      <c r="I107" s="9">
        <v>2.4099080669999999</v>
      </c>
      <c r="J107" s="9">
        <v>-118.41876924899999</v>
      </c>
      <c r="K107" s="9">
        <f t="shared" si="18"/>
        <v>-118.41876924899999</v>
      </c>
      <c r="L107" s="10">
        <v>138.798359</v>
      </c>
      <c r="M107" s="3">
        <f t="shared" si="19"/>
        <v>318.798359</v>
      </c>
      <c r="N107" s="15">
        <f t="shared" si="12"/>
        <v>2.4099080667532706</v>
      </c>
      <c r="O107" s="23">
        <f t="shared" si="20"/>
        <v>3.6060043839825084E-13</v>
      </c>
      <c r="P107" s="22">
        <f t="shared" si="21"/>
        <v>2.4672930365454704E-10</v>
      </c>
      <c r="Q107" s="16">
        <f t="shared" si="22"/>
        <v>-118.41876924936594</v>
      </c>
      <c r="R107" s="23">
        <f t="shared" si="13"/>
        <v>5.6843418860808015E-14</v>
      </c>
      <c r="S107" s="22">
        <f t="shared" si="14"/>
        <v>3.659437197711668E-10</v>
      </c>
      <c r="T107" s="16">
        <f t="shared" si="23"/>
        <v>318.79835905516586</v>
      </c>
      <c r="U107" s="23">
        <f t="shared" si="15"/>
        <v>3.4106051316484809E-13</v>
      </c>
      <c r="V107" s="22">
        <f t="shared" si="16"/>
        <v>5.5165855883387849E-8</v>
      </c>
    </row>
    <row r="108" spans="1:22" x14ac:dyDescent="0.45">
      <c r="A108">
        <v>-62.10389</v>
      </c>
      <c r="B108">
        <v>145.56889000000001</v>
      </c>
      <c r="C108">
        <v>255.88317000000001</v>
      </c>
      <c r="D108">
        <v>13395.294099999999</v>
      </c>
      <c r="E108" s="13">
        <v>-62.132981362171599</v>
      </c>
      <c r="F108" s="13">
        <v>145.31987977662101</v>
      </c>
      <c r="G108" s="13">
        <v>-103.896725759812</v>
      </c>
      <c r="H108" s="13">
        <f t="shared" si="17"/>
        <v>256.103274240188</v>
      </c>
      <c r="I108" s="11">
        <v>-62.132981362000002</v>
      </c>
      <c r="J108" s="11">
        <v>145.31987977700001</v>
      </c>
      <c r="K108" s="9">
        <f t="shared" si="18"/>
        <v>145.31987977699998</v>
      </c>
      <c r="L108" s="12">
        <v>76.103273999999999</v>
      </c>
      <c r="M108" s="3">
        <f t="shared" si="19"/>
        <v>256.103274</v>
      </c>
      <c r="N108" s="15">
        <f t="shared" si="12"/>
        <v>-62.132981362171527</v>
      </c>
      <c r="O108" s="23">
        <f t="shared" si="20"/>
        <v>7.1054273576010019E-14</v>
      </c>
      <c r="P108" s="22">
        <f t="shared" si="21"/>
        <v>1.7152501641248818E-10</v>
      </c>
      <c r="Q108" s="16">
        <f t="shared" si="22"/>
        <v>145.31987977662141</v>
      </c>
      <c r="R108" s="23">
        <f t="shared" si="13"/>
        <v>3.979039320256561E-13</v>
      </c>
      <c r="S108" s="22">
        <f t="shared" si="14"/>
        <v>3.7857716961298138E-10</v>
      </c>
      <c r="T108" s="16">
        <f t="shared" si="23"/>
        <v>256.10327424018777</v>
      </c>
      <c r="U108" s="23">
        <f t="shared" si="15"/>
        <v>2.2737367544323206E-13</v>
      </c>
      <c r="V108" s="22">
        <f t="shared" si="16"/>
        <v>2.4018777367018629E-7</v>
      </c>
    </row>
    <row r="109" spans="1:22" x14ac:dyDescent="0.45">
      <c r="A109">
        <v>77.644260000000003</v>
      </c>
      <c r="B109">
        <v>-149.10624999999999</v>
      </c>
      <c r="C109">
        <v>106.19928</v>
      </c>
      <c r="D109">
        <v>2002954.9594000001</v>
      </c>
      <c r="E109" s="13">
        <v>65.631356768475598</v>
      </c>
      <c r="F109" s="13">
        <v>-103.299126248234</v>
      </c>
      <c r="G109" s="13">
        <v>150.11725398416999</v>
      </c>
      <c r="H109" s="13">
        <f t="shared" si="17"/>
        <v>150.11725398416999</v>
      </c>
      <c r="I109" s="9">
        <v>65.631356772000004</v>
      </c>
      <c r="J109" s="9">
        <v>-103.299126253</v>
      </c>
      <c r="K109" s="9">
        <f t="shared" si="18"/>
        <v>-103.299126253</v>
      </c>
      <c r="L109" s="10">
        <v>330.117254</v>
      </c>
      <c r="M109" s="3">
        <f t="shared" si="19"/>
        <v>150.117254</v>
      </c>
      <c r="N109" s="15">
        <f t="shared" si="12"/>
        <v>65.631356768498264</v>
      </c>
      <c r="O109" s="23">
        <f t="shared" si="20"/>
        <v>2.2666313270747196E-11</v>
      </c>
      <c r="P109" s="22">
        <f t="shared" si="21"/>
        <v>3.5017393429370713E-9</v>
      </c>
      <c r="Q109" s="16">
        <f t="shared" si="22"/>
        <v>-103.29912624828246</v>
      </c>
      <c r="R109" s="23">
        <f t="shared" si="13"/>
        <v>4.8459014578838833E-11</v>
      </c>
      <c r="S109" s="22">
        <f t="shared" si="14"/>
        <v>4.7175348072414636E-9</v>
      </c>
      <c r="T109" s="16">
        <f t="shared" si="23"/>
        <v>150.11725398414094</v>
      </c>
      <c r="U109" s="23">
        <f t="shared" si="15"/>
        <v>2.9046987037872896E-11</v>
      </c>
      <c r="V109" s="22">
        <f t="shared" si="16"/>
        <v>1.5859058066780563E-8</v>
      </c>
    </row>
    <row r="110" spans="1:22" x14ac:dyDescent="0.45">
      <c r="A110">
        <v>63.34713</v>
      </c>
      <c r="B110">
        <v>-89.70778</v>
      </c>
      <c r="C110">
        <v>173.62156999999999</v>
      </c>
      <c r="D110">
        <v>2686520.6908999998</v>
      </c>
      <c r="E110" s="13">
        <v>39.282973814402901</v>
      </c>
      <c r="F110" s="13">
        <v>-86.347917585269698</v>
      </c>
      <c r="G110" s="13">
        <v>176.30354609558</v>
      </c>
      <c r="H110" s="13">
        <f t="shared" si="17"/>
        <v>176.30354609558</v>
      </c>
      <c r="I110" s="11">
        <v>39.282973812999998</v>
      </c>
      <c r="J110" s="11">
        <v>-86.347917585000005</v>
      </c>
      <c r="K110" s="9">
        <f t="shared" si="18"/>
        <v>-86.347917585000005</v>
      </c>
      <c r="L110" s="12">
        <v>356.30354599999998</v>
      </c>
      <c r="M110" s="3">
        <f t="shared" si="19"/>
        <v>176.30354599999998</v>
      </c>
      <c r="N110" s="15">
        <f t="shared" si="12"/>
        <v>39.282973814326681</v>
      </c>
      <c r="O110" s="23">
        <f t="shared" si="20"/>
        <v>7.6219919264985947E-11</v>
      </c>
      <c r="P110" s="22">
        <f t="shared" si="21"/>
        <v>1.3266827636471135E-9</v>
      </c>
      <c r="Q110" s="16">
        <f t="shared" si="22"/>
        <v>-86.347917585266828</v>
      </c>
      <c r="R110" s="23">
        <f t="shared" si="13"/>
        <v>2.8705926524708048E-12</v>
      </c>
      <c r="S110" s="22">
        <f t="shared" si="14"/>
        <v>2.6682300813263282E-10</v>
      </c>
      <c r="T110" s="16">
        <f t="shared" si="23"/>
        <v>176.30354609558373</v>
      </c>
      <c r="U110" s="23">
        <f t="shared" si="15"/>
        <v>3.723243935382925E-12</v>
      </c>
      <c r="V110" s="22">
        <f t="shared" si="16"/>
        <v>9.5583743586757919E-8</v>
      </c>
    </row>
    <row r="111" spans="1:22" x14ac:dyDescent="0.45">
      <c r="A111">
        <v>-35.52337</v>
      </c>
      <c r="B111">
        <v>84.479879999999994</v>
      </c>
      <c r="C111">
        <v>19.505510000000001</v>
      </c>
      <c r="D111">
        <v>798705.37609999999</v>
      </c>
      <c r="E111" s="13">
        <v>-28.702651338112702</v>
      </c>
      <c r="F111" s="13">
        <v>87.202939611746999</v>
      </c>
      <c r="G111" s="13">
        <v>18.055183443699701</v>
      </c>
      <c r="H111" s="13">
        <f t="shared" si="17"/>
        <v>18.055183443699701</v>
      </c>
      <c r="I111" s="9">
        <v>-28.702651337999999</v>
      </c>
      <c r="J111" s="9">
        <v>87.202939611999994</v>
      </c>
      <c r="K111" s="9">
        <f t="shared" si="18"/>
        <v>87.202939612000023</v>
      </c>
      <c r="L111" s="10">
        <v>198.055183</v>
      </c>
      <c r="M111" s="3">
        <f t="shared" si="19"/>
        <v>18.055183</v>
      </c>
      <c r="N111" s="15">
        <f t="shared" si="12"/>
        <v>-28.702651338078265</v>
      </c>
      <c r="O111" s="23">
        <f t="shared" si="20"/>
        <v>3.4436453688613256E-11</v>
      </c>
      <c r="P111" s="22">
        <f t="shared" si="21"/>
        <v>7.8266282343975035E-11</v>
      </c>
      <c r="Q111" s="16">
        <f t="shared" si="22"/>
        <v>87.202939611750253</v>
      </c>
      <c r="R111" s="23">
        <f t="shared" si="13"/>
        <v>3.2542857297812589E-12</v>
      </c>
      <c r="S111" s="22">
        <f t="shared" si="14"/>
        <v>2.4976998247439042E-10</v>
      </c>
      <c r="T111" s="16">
        <f t="shared" si="23"/>
        <v>18.055183443693565</v>
      </c>
      <c r="U111" s="23">
        <f t="shared" si="15"/>
        <v>6.1355365232884651E-12</v>
      </c>
      <c r="V111" s="22">
        <f t="shared" si="16"/>
        <v>4.4369356544393668E-7</v>
      </c>
    </row>
    <row r="112" spans="1:22" x14ac:dyDescent="0.45">
      <c r="A112">
        <v>-84.516180000000006</v>
      </c>
      <c r="B112">
        <v>-15.54405</v>
      </c>
      <c r="C112">
        <v>200.28919999999999</v>
      </c>
      <c r="D112">
        <v>665017.86780000001</v>
      </c>
      <c r="E112" s="13">
        <v>-87.9360986582154</v>
      </c>
      <c r="F112" s="13">
        <v>-108.41102372823001</v>
      </c>
      <c r="G112" s="13">
        <v>-66.942560472935796</v>
      </c>
      <c r="H112" s="13">
        <f t="shared" si="17"/>
        <v>293.05743952706422</v>
      </c>
      <c r="I112" s="11">
        <v>-87.936098658000006</v>
      </c>
      <c r="J112" s="11">
        <v>-108.411023728</v>
      </c>
      <c r="K112" s="9">
        <f t="shared" si="18"/>
        <v>-108.411023728</v>
      </c>
      <c r="L112" s="12">
        <v>113.05744</v>
      </c>
      <c r="M112" s="3">
        <f t="shared" si="19"/>
        <v>293.05743999999999</v>
      </c>
      <c r="N112" s="15">
        <f t="shared" si="12"/>
        <v>-87.93609865823494</v>
      </c>
      <c r="O112" s="23">
        <f t="shared" si="20"/>
        <v>1.9539925233402755E-11</v>
      </c>
      <c r="P112" s="22">
        <f t="shared" si="21"/>
        <v>2.3493385015171953E-10</v>
      </c>
      <c r="Q112" s="16">
        <f t="shared" si="22"/>
        <v>-108.41102372695322</v>
      </c>
      <c r="R112" s="23">
        <f t="shared" si="13"/>
        <v>1.2767884527420392E-9</v>
      </c>
      <c r="S112" s="22">
        <f t="shared" si="14"/>
        <v>1.0467857691764948E-9</v>
      </c>
      <c r="T112" s="16">
        <f t="shared" si="23"/>
        <v>293.05743952578945</v>
      </c>
      <c r="U112" s="23">
        <f t="shared" si="15"/>
        <v>1.2747705113724805E-9</v>
      </c>
      <c r="V112" s="22">
        <f t="shared" si="16"/>
        <v>4.7421053750440478E-7</v>
      </c>
    </row>
    <row r="113" spans="1:22" x14ac:dyDescent="0.45">
      <c r="A113">
        <v>-52.912570000000002</v>
      </c>
      <c r="B113">
        <v>-154.26669999999999</v>
      </c>
      <c r="C113">
        <v>248.05546000000001</v>
      </c>
      <c r="D113">
        <v>1950926.7751</v>
      </c>
      <c r="E113" s="13">
        <v>-55.9583525978598</v>
      </c>
      <c r="F113" s="13">
        <v>175.87611750027901</v>
      </c>
      <c r="G113" s="13">
        <v>-87.462142595641794</v>
      </c>
      <c r="H113" s="13">
        <f t="shared" si="17"/>
        <v>272.53785740435819</v>
      </c>
      <c r="I113" s="9">
        <v>-55.958352597999998</v>
      </c>
      <c r="J113" s="9">
        <v>-184.123882498</v>
      </c>
      <c r="K113" s="9">
        <f t="shared" si="18"/>
        <v>175.876117502</v>
      </c>
      <c r="L113" s="10">
        <v>92.537857000000002</v>
      </c>
      <c r="M113" s="3">
        <f t="shared" si="19"/>
        <v>272.53785700000003</v>
      </c>
      <c r="N113" s="15">
        <f t="shared" si="12"/>
        <v>-55.958352597859395</v>
      </c>
      <c r="O113" s="23">
        <f t="shared" si="20"/>
        <v>4.0500935938325711E-13</v>
      </c>
      <c r="P113" s="22">
        <f t="shared" si="21"/>
        <v>1.4060219655220862E-10</v>
      </c>
      <c r="Q113" s="16">
        <f t="shared" si="22"/>
        <v>175.87611750034085</v>
      </c>
      <c r="R113" s="23">
        <f t="shared" si="13"/>
        <v>6.184563972055912E-11</v>
      </c>
      <c r="S113" s="22">
        <f t="shared" si="14"/>
        <v>1.6591457097092643E-9</v>
      </c>
      <c r="T113" s="16">
        <f t="shared" si="23"/>
        <v>272.53785740437297</v>
      </c>
      <c r="U113" s="23">
        <f t="shared" si="15"/>
        <v>1.4779288903810084E-11</v>
      </c>
      <c r="V113" s="22">
        <f t="shared" si="16"/>
        <v>4.043729404656915E-7</v>
      </c>
    </row>
    <row r="114" spans="1:22" x14ac:dyDescent="0.45">
      <c r="A114">
        <v>-7.6414200000000001</v>
      </c>
      <c r="B114">
        <v>157.20014</v>
      </c>
      <c r="C114">
        <v>124.09694</v>
      </c>
      <c r="D114">
        <v>2303142.2283000001</v>
      </c>
      <c r="E114" s="13">
        <v>-18.772439300531101</v>
      </c>
      <c r="F114" s="13">
        <v>175.192341642055</v>
      </c>
      <c r="G114" s="13">
        <v>119.93408063891199</v>
      </c>
      <c r="H114" s="13">
        <f t="shared" si="17"/>
        <v>119.93408063891199</v>
      </c>
      <c r="I114" s="11">
        <v>-18.772439298999998</v>
      </c>
      <c r="J114" s="11">
        <v>175.19234164</v>
      </c>
      <c r="K114" s="9">
        <f t="shared" si="18"/>
        <v>175.19234164</v>
      </c>
      <c r="L114" s="12">
        <v>299.93408099999999</v>
      </c>
      <c r="M114" s="3">
        <f t="shared" si="19"/>
        <v>119.93408099999999</v>
      </c>
      <c r="N114" s="15">
        <f t="shared" si="12"/>
        <v>-18.772439300600791</v>
      </c>
      <c r="O114" s="23">
        <f t="shared" si="20"/>
        <v>6.9690031523350626E-11</v>
      </c>
      <c r="P114" s="22">
        <f t="shared" si="21"/>
        <v>1.6007923875349661E-9</v>
      </c>
      <c r="Q114" s="16">
        <f t="shared" si="22"/>
        <v>175.1923416421472</v>
      </c>
      <c r="R114" s="23">
        <f t="shared" si="13"/>
        <v>9.22000253922306E-11</v>
      </c>
      <c r="S114" s="22">
        <f t="shared" si="14"/>
        <v>2.147203304048162E-9</v>
      </c>
      <c r="T114" s="16">
        <f t="shared" si="23"/>
        <v>119.93408063887082</v>
      </c>
      <c r="U114" s="23">
        <f t="shared" si="15"/>
        <v>4.1168846109940205E-11</v>
      </c>
      <c r="V114" s="22">
        <f t="shared" si="16"/>
        <v>3.6112916745878465E-7</v>
      </c>
    </row>
    <row r="115" spans="1:22" x14ac:dyDescent="0.45">
      <c r="A115">
        <v>-3.24092</v>
      </c>
      <c r="B115">
        <v>136.62436</v>
      </c>
      <c r="C115">
        <v>48.931519999999999</v>
      </c>
      <c r="D115">
        <v>2125350.6011000001</v>
      </c>
      <c r="E115" s="13">
        <v>9.3543525514339407</v>
      </c>
      <c r="F115" s="13">
        <v>151.09540684136701</v>
      </c>
      <c r="G115" s="13">
        <v>49.712055715675</v>
      </c>
      <c r="H115" s="13">
        <f t="shared" si="17"/>
        <v>49.712055715675</v>
      </c>
      <c r="I115" s="9">
        <v>9.3543525509999998</v>
      </c>
      <c r="J115" s="9">
        <v>151.095406841</v>
      </c>
      <c r="K115" s="9">
        <f t="shared" si="18"/>
        <v>151.095406841</v>
      </c>
      <c r="L115" s="10">
        <v>229.71205599999999</v>
      </c>
      <c r="M115" s="3">
        <f t="shared" si="19"/>
        <v>49.712055999999961</v>
      </c>
      <c r="N115" s="15">
        <f t="shared" si="12"/>
        <v>9.3543525515189518</v>
      </c>
      <c r="O115" s="23">
        <f t="shared" si="20"/>
        <v>8.5011109263177786E-11</v>
      </c>
      <c r="P115" s="22">
        <f t="shared" si="21"/>
        <v>5.1895199248974677E-10</v>
      </c>
      <c r="Q115" s="16">
        <f t="shared" si="22"/>
        <v>151.09540684146651</v>
      </c>
      <c r="R115" s="23">
        <f t="shared" si="13"/>
        <v>9.950440471584443E-11</v>
      </c>
      <c r="S115" s="22">
        <f t="shared" si="14"/>
        <v>4.6651393859065138E-10</v>
      </c>
      <c r="T115" s="16">
        <f t="shared" si="23"/>
        <v>49.712055715691349</v>
      </c>
      <c r="U115" s="23">
        <f t="shared" si="15"/>
        <v>1.6349588349839905E-11</v>
      </c>
      <c r="V115" s="22">
        <f t="shared" si="16"/>
        <v>2.8430861220840598E-7</v>
      </c>
    </row>
    <row r="116" spans="1:22" x14ac:dyDescent="0.45">
      <c r="A116">
        <v>78.895430000000005</v>
      </c>
      <c r="B116">
        <v>61.840670000000003</v>
      </c>
      <c r="C116">
        <v>273.64731</v>
      </c>
      <c r="D116">
        <v>1313369.7516000001</v>
      </c>
      <c r="E116" s="13">
        <v>74.401194442056095</v>
      </c>
      <c r="F116" s="13">
        <v>12.683071276573701</v>
      </c>
      <c r="G116" s="13">
        <v>-134.366060275216</v>
      </c>
      <c r="H116" s="13">
        <f t="shared" si="17"/>
        <v>225.633939724784</v>
      </c>
      <c r="I116" s="11">
        <v>74.401194439999998</v>
      </c>
      <c r="J116" s="11">
        <v>12.683071267000001</v>
      </c>
      <c r="K116" s="9">
        <f t="shared" si="18"/>
        <v>12.683071267000003</v>
      </c>
      <c r="L116" s="12">
        <v>45.633940000000003</v>
      </c>
      <c r="M116" s="3">
        <f t="shared" si="19"/>
        <v>225.63394</v>
      </c>
      <c r="N116" s="15">
        <f t="shared" si="12"/>
        <v>74.401194442055697</v>
      </c>
      <c r="O116" s="23">
        <f t="shared" si="20"/>
        <v>3.979039320256561E-13</v>
      </c>
      <c r="P116" s="22">
        <f t="shared" si="21"/>
        <v>2.0556996105369763E-9</v>
      </c>
      <c r="Q116" s="16">
        <f t="shared" si="22"/>
        <v>12.683071276585679</v>
      </c>
      <c r="R116" s="23">
        <f t="shared" si="13"/>
        <v>1.1977974168075889E-11</v>
      </c>
      <c r="S116" s="22">
        <f t="shared" si="14"/>
        <v>9.585676252754638E-9</v>
      </c>
      <c r="T116" s="16">
        <f t="shared" si="23"/>
        <v>225.63393972478335</v>
      </c>
      <c r="U116" s="23">
        <f t="shared" si="15"/>
        <v>6.5369931689929217E-13</v>
      </c>
      <c r="V116" s="22">
        <f t="shared" si="16"/>
        <v>2.7521664947016689E-7</v>
      </c>
    </row>
    <row r="117" spans="1:22" x14ac:dyDescent="0.45">
      <c r="A117">
        <v>-48.021189999999997</v>
      </c>
      <c r="B117">
        <v>42.157789999999999</v>
      </c>
      <c r="C117">
        <v>7.6122399999999999</v>
      </c>
      <c r="D117">
        <v>1139720.7165999999</v>
      </c>
      <c r="E117" s="13">
        <v>-37.838073470492198</v>
      </c>
      <c r="F117" s="13">
        <v>43.864077291320598</v>
      </c>
      <c r="G117" s="13">
        <v>6.4454275104188801</v>
      </c>
      <c r="H117" s="13">
        <f t="shared" si="17"/>
        <v>6.4454275104188801</v>
      </c>
      <c r="I117" s="9">
        <v>-37.838073467000001</v>
      </c>
      <c r="J117" s="9">
        <v>43.864077291999997</v>
      </c>
      <c r="K117" s="9">
        <f t="shared" si="18"/>
        <v>43.86407729199999</v>
      </c>
      <c r="L117" s="10">
        <v>186.44542799999999</v>
      </c>
      <c r="M117" s="3">
        <f t="shared" si="19"/>
        <v>6.4454279999999926</v>
      </c>
      <c r="N117" s="15">
        <f t="shared" si="12"/>
        <v>-37.838073470453494</v>
      </c>
      <c r="O117" s="23">
        <f t="shared" si="20"/>
        <v>3.8703262816852657E-11</v>
      </c>
      <c r="P117" s="22">
        <f t="shared" si="21"/>
        <v>3.4534934911789605E-9</v>
      </c>
      <c r="Q117" s="16">
        <f t="shared" si="22"/>
        <v>43.864077291322189</v>
      </c>
      <c r="R117" s="23">
        <f t="shared" si="13"/>
        <v>1.5916157281026244E-12</v>
      </c>
      <c r="S117" s="22">
        <f t="shared" si="14"/>
        <v>6.7780092649627477E-10</v>
      </c>
      <c r="T117" s="16">
        <f t="shared" si="23"/>
        <v>6.4454275104154961</v>
      </c>
      <c r="U117" s="23">
        <f t="shared" si="15"/>
        <v>3.3839597790574771E-12</v>
      </c>
      <c r="V117" s="22">
        <f t="shared" si="16"/>
        <v>4.8958449649916247E-7</v>
      </c>
    </row>
    <row r="118" spans="1:22" x14ac:dyDescent="0.45">
      <c r="A118">
        <v>-82.629829999999998</v>
      </c>
      <c r="B118">
        <v>66.270340000000004</v>
      </c>
      <c r="C118">
        <v>319.08735999999999</v>
      </c>
      <c r="D118">
        <v>783546.70979999995</v>
      </c>
      <c r="E118" s="13">
        <v>-76.5235344380106</v>
      </c>
      <c r="F118" s="13">
        <v>46.193703038723903</v>
      </c>
      <c r="G118" s="13">
        <v>-21.1332054634908</v>
      </c>
      <c r="H118" s="13">
        <f t="shared" si="17"/>
        <v>338.86679453650919</v>
      </c>
      <c r="I118" s="11">
        <v>-76.523534437999999</v>
      </c>
      <c r="J118" s="11">
        <v>46.193703038999999</v>
      </c>
      <c r="K118" s="9">
        <f t="shared" si="18"/>
        <v>46.193703039000013</v>
      </c>
      <c r="L118" s="12">
        <v>158.866795</v>
      </c>
      <c r="M118" s="3">
        <f t="shared" si="19"/>
        <v>338.86679500000002</v>
      </c>
      <c r="N118" s="15">
        <f t="shared" si="12"/>
        <v>-76.523534438044862</v>
      </c>
      <c r="O118" s="23">
        <f t="shared" si="20"/>
        <v>3.4262370718352031E-11</v>
      </c>
      <c r="P118" s="22">
        <f t="shared" si="21"/>
        <v>4.4863668335892726E-11</v>
      </c>
      <c r="Q118" s="16">
        <f t="shared" si="22"/>
        <v>46.193703038783667</v>
      </c>
      <c r="R118" s="23">
        <f t="shared" si="13"/>
        <v>5.9763749504782027E-11</v>
      </c>
      <c r="S118" s="22">
        <f t="shared" si="14"/>
        <v>2.163460521842353E-10</v>
      </c>
      <c r="T118" s="16">
        <f t="shared" si="23"/>
        <v>338.86679453645365</v>
      </c>
      <c r="U118" s="23">
        <f t="shared" si="15"/>
        <v>5.5536020227009431E-11</v>
      </c>
      <c r="V118" s="22">
        <f t="shared" si="16"/>
        <v>4.6354637106560403E-7</v>
      </c>
    </row>
    <row r="119" spans="1:22" x14ac:dyDescent="0.45">
      <c r="A119">
        <v>-72.955299999999994</v>
      </c>
      <c r="B119">
        <v>51.112259999999999</v>
      </c>
      <c r="C119">
        <v>98.025000000000006</v>
      </c>
      <c r="D119">
        <v>963166.20239999995</v>
      </c>
      <c r="E119" s="13">
        <v>-72.063151982843394</v>
      </c>
      <c r="F119" s="13">
        <v>79.944230765573295</v>
      </c>
      <c r="G119" s="13">
        <v>70.473298101178301</v>
      </c>
      <c r="H119" s="13">
        <f t="shared" si="17"/>
        <v>70.473298101178301</v>
      </c>
      <c r="I119" s="9">
        <v>-72.063151982999997</v>
      </c>
      <c r="J119" s="9">
        <v>79.944230766000004</v>
      </c>
      <c r="K119" s="9">
        <f t="shared" si="18"/>
        <v>79.944230766000032</v>
      </c>
      <c r="L119" s="10">
        <v>250.473298</v>
      </c>
      <c r="M119" s="3">
        <f t="shared" si="19"/>
        <v>70.473298</v>
      </c>
      <c r="N119" s="15">
        <f t="shared" si="12"/>
        <v>-72.063151982857534</v>
      </c>
      <c r="O119" s="23">
        <f t="shared" si="20"/>
        <v>1.4139800441625994E-11</v>
      </c>
      <c r="P119" s="22">
        <f t="shared" si="21"/>
        <v>1.4246381851990009E-10</v>
      </c>
      <c r="Q119" s="16">
        <f t="shared" si="22"/>
        <v>79.944230765427392</v>
      </c>
      <c r="R119" s="23">
        <f t="shared" si="13"/>
        <v>1.4590284536097897E-10</v>
      </c>
      <c r="S119" s="22">
        <f t="shared" si="14"/>
        <v>5.7264060160377994E-10</v>
      </c>
      <c r="T119" s="16">
        <f t="shared" si="23"/>
        <v>70.473298101302575</v>
      </c>
      <c r="U119" s="23">
        <f t="shared" si="15"/>
        <v>1.2427392448444152E-10</v>
      </c>
      <c r="V119" s="22">
        <f t="shared" si="16"/>
        <v>1.0130257521723252E-7</v>
      </c>
    </row>
    <row r="120" spans="1:22" x14ac:dyDescent="0.45">
      <c r="A120">
        <v>1.9955499999999999</v>
      </c>
      <c r="B120">
        <v>18.549589999999998</v>
      </c>
      <c r="C120">
        <v>205.93687</v>
      </c>
      <c r="D120">
        <v>2610595.4756999998</v>
      </c>
      <c r="E120" s="13">
        <v>-19.143131721226901</v>
      </c>
      <c r="F120" s="13">
        <v>7.9373826786432904</v>
      </c>
      <c r="G120" s="13">
        <v>-152.44906708749099</v>
      </c>
      <c r="H120" s="13">
        <f t="shared" si="17"/>
        <v>207.55093291250901</v>
      </c>
      <c r="I120" s="11">
        <v>-19.143131724</v>
      </c>
      <c r="J120" s="11">
        <v>7.9373826770000004</v>
      </c>
      <c r="K120" s="9">
        <f t="shared" si="18"/>
        <v>7.937382676999988</v>
      </c>
      <c r="L120" s="12">
        <v>27.550933000000001</v>
      </c>
      <c r="M120" s="3">
        <f t="shared" si="19"/>
        <v>207.55093299999999</v>
      </c>
      <c r="N120" s="15">
        <f t="shared" si="12"/>
        <v>-19.143131721338378</v>
      </c>
      <c r="O120" s="23">
        <f t="shared" si="20"/>
        <v>1.1147704981340212E-10</v>
      </c>
      <c r="P120" s="22">
        <f t="shared" si="21"/>
        <v>2.6616220338837593E-9</v>
      </c>
      <c r="Q120" s="16">
        <f t="shared" si="22"/>
        <v>7.9373826785840151</v>
      </c>
      <c r="R120" s="23">
        <f t="shared" si="13"/>
        <v>5.9275251373946958E-11</v>
      </c>
      <c r="S120" s="22">
        <f t="shared" si="14"/>
        <v>1.5840271316847065E-9</v>
      </c>
      <c r="T120" s="16">
        <f t="shared" si="23"/>
        <v>207.55093291252882</v>
      </c>
      <c r="U120" s="23">
        <f t="shared" si="15"/>
        <v>1.9809931472991593E-11</v>
      </c>
      <c r="V120" s="22">
        <f t="shared" si="16"/>
        <v>8.7471164533781121E-8</v>
      </c>
    </row>
    <row r="121" spans="1:22" x14ac:dyDescent="0.45">
      <c r="A121">
        <v>-45.648980000000002</v>
      </c>
      <c r="B121">
        <v>-35.092579999999998</v>
      </c>
      <c r="C121">
        <v>205.41822999999999</v>
      </c>
      <c r="D121">
        <v>2662309.7689</v>
      </c>
      <c r="E121" s="13">
        <v>-65.458139398782805</v>
      </c>
      <c r="F121" s="13">
        <v>-59.7885903648328</v>
      </c>
      <c r="G121" s="13">
        <v>-133.81168359077799</v>
      </c>
      <c r="H121" s="13">
        <f t="shared" si="17"/>
        <v>226.18831640922201</v>
      </c>
      <c r="I121" s="9">
        <v>-65.458139399000004</v>
      </c>
      <c r="J121" s="9">
        <v>-59.788590366000001</v>
      </c>
      <c r="K121" s="9">
        <f t="shared" si="18"/>
        <v>-59.788590365999994</v>
      </c>
      <c r="L121" s="10">
        <v>46.188316</v>
      </c>
      <c r="M121" s="3">
        <f t="shared" si="19"/>
        <v>226.18831599999999</v>
      </c>
      <c r="N121" s="15">
        <f t="shared" si="12"/>
        <v>-65.458139398803354</v>
      </c>
      <c r="O121" s="23">
        <f t="shared" si="20"/>
        <v>2.0548895918182097E-11</v>
      </c>
      <c r="P121" s="22">
        <f t="shared" si="21"/>
        <v>1.9664980754896533E-10</v>
      </c>
      <c r="Q121" s="16">
        <f t="shared" si="22"/>
        <v>-59.788590364861619</v>
      </c>
      <c r="R121" s="23">
        <f t="shared" si="13"/>
        <v>2.8819613362429664E-11</v>
      </c>
      <c r="S121" s="22">
        <f t="shared" si="14"/>
        <v>1.1383747278159717E-9</v>
      </c>
      <c r="T121" s="16">
        <f t="shared" si="23"/>
        <v>226.18831640926859</v>
      </c>
      <c r="U121" s="23">
        <f t="shared" si="15"/>
        <v>4.6583181756432168E-11</v>
      </c>
      <c r="V121" s="22">
        <f t="shared" si="16"/>
        <v>4.0926860833678802E-7</v>
      </c>
    </row>
    <row r="122" spans="1:22" x14ac:dyDescent="0.45">
      <c r="A122">
        <v>79.030199999999994</v>
      </c>
      <c r="B122">
        <v>-49.263179999999998</v>
      </c>
      <c r="C122">
        <v>305.83573999999999</v>
      </c>
      <c r="D122">
        <v>1821170.4897</v>
      </c>
      <c r="E122" s="13">
        <v>76.783372857756902</v>
      </c>
      <c r="F122" s="13">
        <v>-133.92953106147101</v>
      </c>
      <c r="G122" s="13">
        <v>-137.56284838055299</v>
      </c>
      <c r="H122" s="13">
        <f t="shared" si="17"/>
        <v>222.43715161944701</v>
      </c>
      <c r="I122" s="11">
        <v>76.783372856</v>
      </c>
      <c r="J122" s="11">
        <v>-133.92953106900001</v>
      </c>
      <c r="K122" s="9">
        <f t="shared" si="18"/>
        <v>-133.92953106900001</v>
      </c>
      <c r="L122" s="12">
        <v>42.437151999999998</v>
      </c>
      <c r="M122" s="3">
        <f t="shared" si="19"/>
        <v>222.437152</v>
      </c>
      <c r="N122" s="15">
        <f t="shared" si="12"/>
        <v>76.783372857758891</v>
      </c>
      <c r="O122" s="23">
        <f t="shared" si="20"/>
        <v>1.9895196601282805E-12</v>
      </c>
      <c r="P122" s="22">
        <f t="shared" si="21"/>
        <v>1.7588916989552672E-9</v>
      </c>
      <c r="Q122" s="16">
        <f t="shared" si="22"/>
        <v>-133.92953106144776</v>
      </c>
      <c r="R122" s="23">
        <f t="shared" si="13"/>
        <v>2.3248958314070478E-11</v>
      </c>
      <c r="S122" s="22">
        <f t="shared" si="14"/>
        <v>7.5522450515563833E-9</v>
      </c>
      <c r="T122" s="16">
        <f t="shared" si="23"/>
        <v>222.43715161945536</v>
      </c>
      <c r="U122" s="23">
        <f t="shared" si="15"/>
        <v>8.3559825725387782E-12</v>
      </c>
      <c r="V122" s="22">
        <f t="shared" si="16"/>
        <v>3.8054463402659167E-7</v>
      </c>
    </row>
    <row r="123" spans="1:22" x14ac:dyDescent="0.45">
      <c r="A123">
        <v>37.448909999999998</v>
      </c>
      <c r="B123">
        <v>-25.214690000000001</v>
      </c>
      <c r="C123">
        <v>299.32281</v>
      </c>
      <c r="D123">
        <v>2787665.4001000002</v>
      </c>
      <c r="E123" s="13">
        <v>45.704958772820703</v>
      </c>
      <c r="F123" s="13">
        <v>-57.057740453768098</v>
      </c>
      <c r="G123" s="13">
        <v>-82.1723395123676</v>
      </c>
      <c r="H123" s="13">
        <f t="shared" si="17"/>
        <v>277.82766048763239</v>
      </c>
      <c r="I123" s="9">
        <v>45.704958773000001</v>
      </c>
      <c r="J123" s="9">
        <v>-57.057740451999997</v>
      </c>
      <c r="K123" s="9">
        <f t="shared" si="18"/>
        <v>-57.05774045199999</v>
      </c>
      <c r="L123" s="10">
        <v>97.827659999999995</v>
      </c>
      <c r="M123" s="3">
        <f t="shared" si="19"/>
        <v>277.82765999999998</v>
      </c>
      <c r="N123" s="15">
        <f t="shared" si="12"/>
        <v>45.704958772832533</v>
      </c>
      <c r="O123" s="23">
        <f t="shared" si="20"/>
        <v>1.1830536550405668E-11</v>
      </c>
      <c r="P123" s="22">
        <f t="shared" si="21"/>
        <v>1.6746781739129801E-10</v>
      </c>
      <c r="Q123" s="16">
        <f t="shared" si="22"/>
        <v>-57.057740453736585</v>
      </c>
      <c r="R123" s="23">
        <f t="shared" si="13"/>
        <v>3.1512570330960443E-11</v>
      </c>
      <c r="S123" s="22">
        <f t="shared" si="14"/>
        <v>1.7365948679071153E-9</v>
      </c>
      <c r="T123" s="16">
        <f t="shared" si="23"/>
        <v>277.82766048754252</v>
      </c>
      <c r="U123" s="23">
        <f t="shared" si="15"/>
        <v>8.9869445218937472E-11</v>
      </c>
      <c r="V123" s="22">
        <f t="shared" si="16"/>
        <v>4.8754253612059983E-7</v>
      </c>
    </row>
    <row r="124" spans="1:22" x14ac:dyDescent="0.45">
      <c r="A124">
        <v>-35.959099999999999</v>
      </c>
      <c r="B124">
        <v>-53.573349999999998</v>
      </c>
      <c r="C124">
        <v>317.02665000000002</v>
      </c>
      <c r="D124">
        <v>2445529.3056000001</v>
      </c>
      <c r="E124" s="13">
        <v>-18.768825921986299</v>
      </c>
      <c r="F124" s="13">
        <v>-69.191406231611694</v>
      </c>
      <c r="G124" s="13">
        <v>-35.677219796048497</v>
      </c>
      <c r="H124" s="13">
        <f t="shared" si="17"/>
        <v>324.32278020395148</v>
      </c>
      <c r="I124" s="11">
        <v>-18.768825919000001</v>
      </c>
      <c r="J124" s="11">
        <v>-69.191406233999999</v>
      </c>
      <c r="K124" s="9">
        <f t="shared" si="18"/>
        <v>-69.191406233999999</v>
      </c>
      <c r="L124" s="12">
        <v>144.32277999999999</v>
      </c>
      <c r="M124" s="3">
        <f t="shared" si="19"/>
        <v>324.32277999999997</v>
      </c>
      <c r="N124" s="15">
        <f t="shared" si="12"/>
        <v>-18.768825921889775</v>
      </c>
      <c r="O124" s="23">
        <f t="shared" si="20"/>
        <v>9.652367793933081E-11</v>
      </c>
      <c r="P124" s="22">
        <f t="shared" si="21"/>
        <v>2.8897737536226487E-9</v>
      </c>
      <c r="Q124" s="16">
        <f t="shared" si="22"/>
        <v>-69.191406231634474</v>
      </c>
      <c r="R124" s="23">
        <f t="shared" si="13"/>
        <v>2.2780000108468812E-11</v>
      </c>
      <c r="S124" s="22">
        <f t="shared" si="14"/>
        <v>2.3655246650378103E-9</v>
      </c>
      <c r="T124" s="16">
        <f t="shared" si="23"/>
        <v>324.32278020397456</v>
      </c>
      <c r="U124" s="23">
        <f t="shared" si="15"/>
        <v>2.3078428057488054E-11</v>
      </c>
      <c r="V124" s="22">
        <f t="shared" si="16"/>
        <v>2.0397459365995019E-7</v>
      </c>
    </row>
    <row r="125" spans="1:22" x14ac:dyDescent="0.45">
      <c r="A125">
        <v>-38.204389999999997</v>
      </c>
      <c r="B125">
        <v>-71.393510000000006</v>
      </c>
      <c r="C125">
        <v>266.36977000000002</v>
      </c>
      <c r="D125">
        <v>344966.30699999997</v>
      </c>
      <c r="E125" s="13">
        <v>-38.335140583189002</v>
      </c>
      <c r="F125" s="13">
        <v>-75.332353029387406</v>
      </c>
      <c r="G125" s="13">
        <v>-91.190052798101107</v>
      </c>
      <c r="H125" s="13">
        <f t="shared" si="17"/>
        <v>268.80994720189892</v>
      </c>
      <c r="I125" s="9">
        <v>-38.335140582999998</v>
      </c>
      <c r="J125" s="9">
        <v>-75.332353029000004</v>
      </c>
      <c r="K125" s="9">
        <f t="shared" si="18"/>
        <v>-75.332353029000004</v>
      </c>
      <c r="L125" s="10">
        <v>88.809946999999994</v>
      </c>
      <c r="M125" s="3">
        <f t="shared" si="19"/>
        <v>268.80994699999997</v>
      </c>
      <c r="N125" s="15">
        <f t="shared" si="12"/>
        <v>-38.335140583189329</v>
      </c>
      <c r="O125" s="23">
        <f t="shared" si="20"/>
        <v>3.2684965844964609E-13</v>
      </c>
      <c r="P125" s="22">
        <f t="shared" si="21"/>
        <v>1.893312173706363E-10</v>
      </c>
      <c r="Q125" s="16">
        <f t="shared" si="22"/>
        <v>-75.332353029377231</v>
      </c>
      <c r="R125" s="23">
        <f t="shared" si="13"/>
        <v>1.0174971976084635E-11</v>
      </c>
      <c r="S125" s="22">
        <f t="shared" si="14"/>
        <v>3.7722713841503719E-10</v>
      </c>
      <c r="T125" s="16">
        <f t="shared" si="23"/>
        <v>268.80994720190893</v>
      </c>
      <c r="U125" s="23">
        <f t="shared" si="15"/>
        <v>1.0004441719502211E-11</v>
      </c>
      <c r="V125" s="22">
        <f t="shared" si="16"/>
        <v>2.0190896066196728E-7</v>
      </c>
    </row>
    <row r="126" spans="1:22" x14ac:dyDescent="0.45">
      <c r="A126">
        <v>30.126300000000001</v>
      </c>
      <c r="B126">
        <v>-91.789060000000006</v>
      </c>
      <c r="C126">
        <v>12.69722</v>
      </c>
      <c r="D126">
        <v>2319961.3678000001</v>
      </c>
      <c r="E126" s="13">
        <v>50.337821915538697</v>
      </c>
      <c r="F126" s="13">
        <v>-84.765859457642605</v>
      </c>
      <c r="G126" s="13">
        <v>17.308365107258901</v>
      </c>
      <c r="H126" s="13">
        <f t="shared" si="17"/>
        <v>17.308365107258901</v>
      </c>
      <c r="I126" s="11">
        <v>50.337821916999999</v>
      </c>
      <c r="J126" s="11">
        <v>-84.765859457000005</v>
      </c>
      <c r="K126" s="9">
        <f t="shared" si="18"/>
        <v>-84.765859457000005</v>
      </c>
      <c r="L126" s="12">
        <v>197.30836500000001</v>
      </c>
      <c r="M126" s="3">
        <f t="shared" si="19"/>
        <v>17.308364999999981</v>
      </c>
      <c r="N126" s="15">
        <f t="shared" si="12"/>
        <v>50.337821915622833</v>
      </c>
      <c r="O126" s="23">
        <f t="shared" si="20"/>
        <v>8.4135365341353463E-11</v>
      </c>
      <c r="P126" s="22">
        <f t="shared" si="21"/>
        <v>1.3771668250228686E-9</v>
      </c>
      <c r="Q126" s="16">
        <f t="shared" si="22"/>
        <v>-84.765859457618916</v>
      </c>
      <c r="R126" s="23">
        <f t="shared" si="13"/>
        <v>2.368949481024174E-11</v>
      </c>
      <c r="S126" s="22">
        <f t="shared" si="14"/>
        <v>6.1891114455647767E-10</v>
      </c>
      <c r="T126" s="16">
        <f t="shared" si="23"/>
        <v>17.308365107290467</v>
      </c>
      <c r="U126" s="23">
        <f t="shared" si="15"/>
        <v>3.1565861036142451E-11</v>
      </c>
      <c r="V126" s="22">
        <f t="shared" si="16"/>
        <v>1.0729048582902578E-7</v>
      </c>
    </row>
    <row r="127" spans="1:22" x14ac:dyDescent="0.45">
      <c r="A127">
        <v>16.645330000000001</v>
      </c>
      <c r="B127">
        <v>-152.07943</v>
      </c>
      <c r="C127">
        <v>262.28955999999999</v>
      </c>
      <c r="D127">
        <v>181575.44039999999</v>
      </c>
      <c r="E127" s="13">
        <v>16.418374816244199</v>
      </c>
      <c r="F127" s="13">
        <v>-153.764079273227</v>
      </c>
      <c r="G127" s="13">
        <v>-98.189837030683506</v>
      </c>
      <c r="H127" s="13">
        <f t="shared" si="17"/>
        <v>261.81016296931648</v>
      </c>
      <c r="I127" s="9">
        <v>16.418374816</v>
      </c>
      <c r="J127" s="9">
        <v>-153.76407927299999</v>
      </c>
      <c r="K127" s="9">
        <f t="shared" si="18"/>
        <v>-153.76407927299999</v>
      </c>
      <c r="L127" s="10">
        <v>81.810163000000003</v>
      </c>
      <c r="M127" s="3">
        <f t="shared" si="19"/>
        <v>261.81016299999999</v>
      </c>
      <c r="N127" s="15">
        <f t="shared" si="12"/>
        <v>16.418374816242409</v>
      </c>
      <c r="O127" s="23">
        <f t="shared" si="20"/>
        <v>1.7905676941154525E-12</v>
      </c>
      <c r="P127" s="22">
        <f t="shared" si="21"/>
        <v>2.4240875973191578E-10</v>
      </c>
      <c r="Q127" s="16">
        <f t="shared" si="22"/>
        <v>-153.76407927323308</v>
      </c>
      <c r="R127" s="23">
        <f t="shared" si="13"/>
        <v>6.0822458181064576E-12</v>
      </c>
      <c r="S127" s="22">
        <f t="shared" si="14"/>
        <v>2.3308643903874326E-10</v>
      </c>
      <c r="T127" s="16">
        <f t="shared" si="23"/>
        <v>261.81016296931261</v>
      </c>
      <c r="U127" s="23">
        <f t="shared" si="15"/>
        <v>3.865352482534945E-12</v>
      </c>
      <c r="V127" s="22">
        <f t="shared" si="16"/>
        <v>3.0687374419358093E-8</v>
      </c>
    </row>
    <row r="128" spans="1:22" x14ac:dyDescent="0.45">
      <c r="A128">
        <v>-88.874809999999997</v>
      </c>
      <c r="B128">
        <v>84.816130000000001</v>
      </c>
      <c r="C128">
        <v>155.5087</v>
      </c>
      <c r="D128">
        <v>2189603.9449</v>
      </c>
      <c r="E128" s="13">
        <v>-71.408270108110202</v>
      </c>
      <c r="F128" s="13">
        <v>-121.05830219052901</v>
      </c>
      <c r="G128" s="13">
        <v>1.4636140912039399</v>
      </c>
      <c r="H128" s="13">
        <f t="shared" si="17"/>
        <v>1.4636140912039399</v>
      </c>
      <c r="I128" s="11">
        <v>-71.408270107000007</v>
      </c>
      <c r="J128" s="11">
        <v>238.94169780999999</v>
      </c>
      <c r="K128" s="9">
        <f t="shared" si="18"/>
        <v>-121.05830219000001</v>
      </c>
      <c r="L128" s="12">
        <v>181.46361400000001</v>
      </c>
      <c r="M128" s="3">
        <f t="shared" si="19"/>
        <v>1.4636140000000069</v>
      </c>
      <c r="N128" s="15">
        <f t="shared" si="12"/>
        <v>-71.408270108106123</v>
      </c>
      <c r="O128" s="23">
        <f t="shared" si="20"/>
        <v>4.0785153032629751E-12</v>
      </c>
      <c r="P128" s="22">
        <f t="shared" si="21"/>
        <v>1.1061160876124632E-9</v>
      </c>
      <c r="Q128" s="16">
        <f t="shared" si="22"/>
        <v>-121.05830219053018</v>
      </c>
      <c r="R128" s="23">
        <f t="shared" si="13"/>
        <v>1.1795009413617663E-12</v>
      </c>
      <c r="S128" s="22">
        <f t="shared" si="14"/>
        <v>5.3017856771475635E-10</v>
      </c>
      <c r="T128" s="16">
        <f t="shared" si="23"/>
        <v>1.4636140912037665</v>
      </c>
      <c r="U128" s="23">
        <f t="shared" si="15"/>
        <v>1.7341683644644945E-13</v>
      </c>
      <c r="V128" s="22">
        <f t="shared" si="16"/>
        <v>9.1203759655655858E-8</v>
      </c>
    </row>
    <row r="129" spans="1:22" x14ac:dyDescent="0.45">
      <c r="A129">
        <v>16.28764</v>
      </c>
      <c r="B129">
        <v>-146.46427</v>
      </c>
      <c r="C129">
        <v>108.74630000000001</v>
      </c>
      <c r="D129">
        <v>428196.28370000003</v>
      </c>
      <c r="E129" s="13">
        <v>15.0110543274448</v>
      </c>
      <c r="F129" s="13">
        <v>-142.69404390656399</v>
      </c>
      <c r="G129" s="13">
        <v>109.763721637375</v>
      </c>
      <c r="H129" s="13">
        <f t="shared" si="17"/>
        <v>109.763721637375</v>
      </c>
      <c r="I129" s="9">
        <v>15.011054327</v>
      </c>
      <c r="J129" s="9">
        <v>-142.69404390700001</v>
      </c>
      <c r="K129" s="9">
        <f t="shared" si="18"/>
        <v>-142.69404390700001</v>
      </c>
      <c r="L129" s="10">
        <v>289.76372199999997</v>
      </c>
      <c r="M129" s="3">
        <f t="shared" si="19"/>
        <v>109.76372199999997</v>
      </c>
      <c r="N129" s="15">
        <f t="shared" si="12"/>
        <v>15.011054327436437</v>
      </c>
      <c r="O129" s="23">
        <f t="shared" si="20"/>
        <v>8.3630879998963792E-12</v>
      </c>
      <c r="P129" s="22">
        <f t="shared" si="21"/>
        <v>4.3643666458592634E-10</v>
      </c>
      <c r="Q129" s="16">
        <f t="shared" si="22"/>
        <v>-142.69404390655262</v>
      </c>
      <c r="R129" s="23">
        <f t="shared" si="13"/>
        <v>1.1368683772161603E-11</v>
      </c>
      <c r="S129" s="22">
        <f t="shared" si="14"/>
        <v>4.4738612814398948E-10</v>
      </c>
      <c r="T129" s="16">
        <f t="shared" si="23"/>
        <v>109.76372163738142</v>
      </c>
      <c r="U129" s="23">
        <f t="shared" si="15"/>
        <v>6.4233063312713057E-12</v>
      </c>
      <c r="V129" s="22">
        <f t="shared" si="16"/>
        <v>3.6261855029806611E-7</v>
      </c>
    </row>
    <row r="130" spans="1:22" x14ac:dyDescent="0.45">
      <c r="A130">
        <v>-51.531190000000002</v>
      </c>
      <c r="B130">
        <v>-66.095110000000005</v>
      </c>
      <c r="C130">
        <v>343.22847999999999</v>
      </c>
      <c r="D130">
        <v>1626173.7615</v>
      </c>
      <c r="E130" s="13">
        <v>-37.377884228500101</v>
      </c>
      <c r="F130" s="13">
        <v>-71.3432618516578</v>
      </c>
      <c r="G130" s="13">
        <v>-13.0664315021556</v>
      </c>
      <c r="H130" s="13">
        <f t="shared" si="17"/>
        <v>346.93356849784442</v>
      </c>
      <c r="I130" s="11">
        <v>-37.377884223999999</v>
      </c>
      <c r="J130" s="11">
        <v>-71.343261853000001</v>
      </c>
      <c r="K130" s="9">
        <f t="shared" si="18"/>
        <v>-71.343261853000001</v>
      </c>
      <c r="L130" s="12">
        <v>166.93356800000001</v>
      </c>
      <c r="M130" s="3">
        <f t="shared" si="19"/>
        <v>346.93356800000004</v>
      </c>
      <c r="N130" s="15">
        <f t="shared" si="12"/>
        <v>-37.377884228406074</v>
      </c>
      <c r="O130" s="23">
        <f t="shared" si="20"/>
        <v>9.4026120223134058E-11</v>
      </c>
      <c r="P130" s="22">
        <f t="shared" si="21"/>
        <v>4.4060755044483813E-9</v>
      </c>
      <c r="Q130" s="16">
        <f t="shared" si="22"/>
        <v>-71.343261851675081</v>
      </c>
      <c r="R130" s="23">
        <f t="shared" si="13"/>
        <v>1.7280399333685637E-11</v>
      </c>
      <c r="S130" s="22">
        <f t="shared" si="14"/>
        <v>1.3249206176624284E-9</v>
      </c>
      <c r="T130" s="16">
        <f t="shared" si="23"/>
        <v>346.93356849786073</v>
      </c>
      <c r="U130" s="23">
        <f t="shared" si="15"/>
        <v>1.63140612130519E-11</v>
      </c>
      <c r="V130" s="22">
        <f t="shared" si="16"/>
        <v>4.9786069666879484E-7</v>
      </c>
    </row>
    <row r="131" spans="1:22" x14ac:dyDescent="0.45">
      <c r="A131">
        <v>44.172539999999998</v>
      </c>
      <c r="B131">
        <v>-15.464270000000001</v>
      </c>
      <c r="C131">
        <v>30.423839999999998</v>
      </c>
      <c r="D131">
        <v>52780.7088</v>
      </c>
      <c r="E131" s="13">
        <v>44.581631925039098</v>
      </c>
      <c r="F131" s="13">
        <v>-15.1277287014499</v>
      </c>
      <c r="G131" s="13">
        <v>30.659211278666501</v>
      </c>
      <c r="H131" s="13">
        <f t="shared" si="17"/>
        <v>30.659211278666501</v>
      </c>
      <c r="I131" s="9">
        <v>44.581631925000003</v>
      </c>
      <c r="J131" s="9">
        <v>-15.127728701000001</v>
      </c>
      <c r="K131" s="9">
        <f t="shared" si="18"/>
        <v>-15.127728700999995</v>
      </c>
      <c r="L131" s="10">
        <v>210.659211</v>
      </c>
      <c r="M131" s="3">
        <f t="shared" si="19"/>
        <v>30.659211000000028</v>
      </c>
      <c r="N131" s="15">
        <f t="shared" ref="N131:N194" si="24">vincentyDirLat(A131, $B131, $C131, $D131)</f>
        <v>44.581631925043354</v>
      </c>
      <c r="O131" s="23">
        <f t="shared" si="20"/>
        <v>4.2561509872030001E-12</v>
      </c>
      <c r="P131" s="22">
        <f t="shared" si="21"/>
        <v>4.3350212308723712E-11</v>
      </c>
      <c r="Q131" s="16">
        <f t="shared" si="22"/>
        <v>-15.12772870144704</v>
      </c>
      <c r="R131" s="23">
        <f t="shared" ref="R131:R194" si="25">ABS(F131-Q131)</f>
        <v>2.8599345114344032E-12</v>
      </c>
      <c r="S131" s="22">
        <f t="shared" ref="S131:S194" si="26">ABS(K131-Q131)</f>
        <v>4.4704506763082463E-10</v>
      </c>
      <c r="T131" s="16">
        <f t="shared" si="23"/>
        <v>30.659211278668966</v>
      </c>
      <c r="U131" s="23">
        <f t="shared" ref="U131:U194" si="27">ABS(H131-T131)</f>
        <v>2.4655832930875476E-12</v>
      </c>
      <c r="V131" s="22">
        <f t="shared" ref="V131:V194" si="28">ABS(M131-T131)</f>
        <v>2.7866893859140873E-7</v>
      </c>
    </row>
    <row r="132" spans="1:22" x14ac:dyDescent="0.45">
      <c r="A132">
        <v>-8.7405799999999996</v>
      </c>
      <c r="B132">
        <v>-91.287660000000002</v>
      </c>
      <c r="C132">
        <v>111.05248</v>
      </c>
      <c r="D132">
        <v>873745.98479999998</v>
      </c>
      <c r="E132" s="13">
        <v>-11.4974473122719</v>
      </c>
      <c r="F132" s="13">
        <v>-83.815776967837294</v>
      </c>
      <c r="G132" s="13">
        <v>109.73751937396401</v>
      </c>
      <c r="H132" s="13">
        <f t="shared" ref="H132:H195" si="29">NormalizeAzimuth(G132, TRUE)</f>
        <v>109.73751937396401</v>
      </c>
      <c r="I132" s="11">
        <v>-11.497447312</v>
      </c>
      <c r="J132" s="11">
        <v>-83.815776967999994</v>
      </c>
      <c r="K132" s="9">
        <f t="shared" ref="K132:K195" si="30">normalizelon(J132)</f>
        <v>-83.815776967999994</v>
      </c>
      <c r="L132" s="12">
        <v>289.73751900000002</v>
      </c>
      <c r="M132" s="3">
        <f t="shared" ref="M132:M195" si="31">NormalizeAzimuth(L132+180, TRUE)</f>
        <v>109.73751900000002</v>
      </c>
      <c r="N132" s="15">
        <f t="shared" si="24"/>
        <v>-11.49744731228485</v>
      </c>
      <c r="O132" s="23">
        <f t="shared" ref="O132:O195" si="32">ABS(E132-N132)</f>
        <v>1.2949641359227826E-11</v>
      </c>
      <c r="P132" s="22">
        <f t="shared" ref="P132:P195" si="33">ABS(I132-N132)</f>
        <v>2.8484947733886656E-10</v>
      </c>
      <c r="Q132" s="16">
        <f t="shared" ref="Q132:Q195" si="34">VincentyDirLon($A132, $B132, $C132, $D132)</f>
        <v>-83.815776967812127</v>
      </c>
      <c r="R132" s="23">
        <f t="shared" si="25"/>
        <v>2.5167423700622749E-11</v>
      </c>
      <c r="S132" s="22">
        <f t="shared" si="26"/>
        <v>1.8786749933497049E-10</v>
      </c>
      <c r="T132" s="16">
        <f t="shared" ref="T132:T195" si="35">VincentyDirRevAzimuth($A132, $B132, $C132, $D132)</f>
        <v>109.73751937395636</v>
      </c>
      <c r="U132" s="23">
        <f t="shared" si="27"/>
        <v>7.645439836778678E-12</v>
      </c>
      <c r="V132" s="22">
        <f t="shared" si="28"/>
        <v>3.7395633967207687E-7</v>
      </c>
    </row>
    <row r="133" spans="1:22" x14ac:dyDescent="0.45">
      <c r="A133">
        <v>7.5902399999999997</v>
      </c>
      <c r="B133">
        <v>-126.13188</v>
      </c>
      <c r="C133">
        <v>183.72388000000001</v>
      </c>
      <c r="D133">
        <v>1467787.2390000001</v>
      </c>
      <c r="E133" s="13">
        <v>-5.6556803130069104</v>
      </c>
      <c r="F133" s="13">
        <v>-126.984812340511</v>
      </c>
      <c r="G133" s="13">
        <v>-176.290616137695</v>
      </c>
      <c r="H133" s="13">
        <f t="shared" si="29"/>
        <v>183.709383862305</v>
      </c>
      <c r="I133" s="9">
        <v>-5.6556803130000004</v>
      </c>
      <c r="J133" s="9">
        <v>-126.98481234099999</v>
      </c>
      <c r="K133" s="9">
        <f t="shared" si="30"/>
        <v>-126.98481234099999</v>
      </c>
      <c r="L133" s="10">
        <v>3.709384</v>
      </c>
      <c r="M133" s="3">
        <f t="shared" si="31"/>
        <v>183.709384</v>
      </c>
      <c r="N133" s="15">
        <f t="shared" si="24"/>
        <v>-5.6556803130829092</v>
      </c>
      <c r="O133" s="23">
        <f t="shared" si="32"/>
        <v>7.5998762838480616E-11</v>
      </c>
      <c r="P133" s="22">
        <f t="shared" si="33"/>
        <v>8.290879094374759E-11</v>
      </c>
      <c r="Q133" s="16">
        <f t="shared" si="34"/>
        <v>-126.98481234051781</v>
      </c>
      <c r="R133" s="23">
        <f t="shared" si="25"/>
        <v>6.8069994085817598E-12</v>
      </c>
      <c r="S133" s="22">
        <f t="shared" si="26"/>
        <v>4.8218851134151919E-10</v>
      </c>
      <c r="T133" s="16">
        <f t="shared" si="35"/>
        <v>183.70938386230509</v>
      </c>
      <c r="U133" s="23">
        <f t="shared" si="27"/>
        <v>8.5265128291212022E-14</v>
      </c>
      <c r="V133" s="22">
        <f t="shared" si="28"/>
        <v>1.3769491147286317E-7</v>
      </c>
    </row>
    <row r="134" spans="1:22" x14ac:dyDescent="0.45">
      <c r="A134">
        <v>30.957820000000002</v>
      </c>
      <c r="B134">
        <v>107.38433999999999</v>
      </c>
      <c r="C134">
        <v>302.95084000000003</v>
      </c>
      <c r="D134">
        <v>633511.36100000003</v>
      </c>
      <c r="E134" s="13">
        <v>33.937653897908199</v>
      </c>
      <c r="F134" s="13">
        <v>101.634104700169</v>
      </c>
      <c r="G134" s="13">
        <v>-60.137235036209802</v>
      </c>
      <c r="H134" s="13">
        <f t="shared" si="29"/>
        <v>299.8627649637902</v>
      </c>
      <c r="I134" s="11">
        <v>33.937653898000001</v>
      </c>
      <c r="J134" s="11">
        <v>101.63410469999999</v>
      </c>
      <c r="K134" s="9">
        <f t="shared" si="30"/>
        <v>101.63410469999997</v>
      </c>
      <c r="L134" s="12">
        <v>119.862765</v>
      </c>
      <c r="M134" s="3">
        <f t="shared" si="31"/>
        <v>299.86276499999997</v>
      </c>
      <c r="N134" s="15">
        <f t="shared" si="24"/>
        <v>33.937653897946959</v>
      </c>
      <c r="O134" s="23">
        <f t="shared" si="32"/>
        <v>3.8760106235713465E-11</v>
      </c>
      <c r="P134" s="22">
        <f t="shared" si="33"/>
        <v>5.3042015224491479E-11</v>
      </c>
      <c r="Q134" s="16">
        <f t="shared" si="34"/>
        <v>101.63410470011542</v>
      </c>
      <c r="R134" s="23">
        <f t="shared" si="25"/>
        <v>5.3589133131026756E-11</v>
      </c>
      <c r="S134" s="22">
        <f t="shared" si="26"/>
        <v>1.1544898370630108E-10</v>
      </c>
      <c r="T134" s="16">
        <f t="shared" si="35"/>
        <v>299.86276496374478</v>
      </c>
      <c r="U134" s="23">
        <f t="shared" si="27"/>
        <v>4.5417891669785604E-11</v>
      </c>
      <c r="V134" s="22">
        <f t="shared" si="28"/>
        <v>3.6255187296774238E-8</v>
      </c>
    </row>
    <row r="135" spans="1:22" x14ac:dyDescent="0.45">
      <c r="A135">
        <v>-27.116849999999999</v>
      </c>
      <c r="B135">
        <v>-95.377880000000005</v>
      </c>
      <c r="C135">
        <v>284.91935000000001</v>
      </c>
      <c r="D135">
        <v>77703.400999999998</v>
      </c>
      <c r="E135" s="13">
        <v>-26.934268160666999</v>
      </c>
      <c r="F135" s="13">
        <v>-96.133920305452904</v>
      </c>
      <c r="G135" s="13">
        <v>-74.7371100010362</v>
      </c>
      <c r="H135" s="13">
        <f t="shared" si="29"/>
        <v>285.26288999896383</v>
      </c>
      <c r="I135" s="9">
        <v>-26.934268160999999</v>
      </c>
      <c r="J135" s="9">
        <v>-96.133920305000004</v>
      </c>
      <c r="K135" s="9">
        <f t="shared" si="30"/>
        <v>-96.133920305000004</v>
      </c>
      <c r="L135" s="10">
        <v>105.26289</v>
      </c>
      <c r="M135" s="3">
        <f t="shared" si="31"/>
        <v>285.26288999999997</v>
      </c>
      <c r="N135" s="15">
        <f t="shared" si="24"/>
        <v>-26.934268160663013</v>
      </c>
      <c r="O135" s="23">
        <f t="shared" si="32"/>
        <v>3.986144747614162E-12</v>
      </c>
      <c r="P135" s="22">
        <f t="shared" si="33"/>
        <v>3.3698555057526391E-10</v>
      </c>
      <c r="Q135" s="16">
        <f t="shared" si="34"/>
        <v>-96.1339203054645</v>
      </c>
      <c r="R135" s="23">
        <f t="shared" si="25"/>
        <v>1.1596057447604835E-11</v>
      </c>
      <c r="S135" s="22">
        <f t="shared" si="26"/>
        <v>4.6449599722109269E-10</v>
      </c>
      <c r="T135" s="16">
        <f t="shared" si="35"/>
        <v>285.26288999897088</v>
      </c>
      <c r="U135" s="23">
        <f t="shared" si="27"/>
        <v>7.0485839387401938E-12</v>
      </c>
      <c r="V135" s="22">
        <f t="shared" si="28"/>
        <v>1.0290932550560683E-9</v>
      </c>
    </row>
    <row r="136" spans="1:22" x14ac:dyDescent="0.45">
      <c r="A136">
        <v>36.551279999999998</v>
      </c>
      <c r="B136">
        <v>-105.62241</v>
      </c>
      <c r="C136">
        <v>356.37335000000002</v>
      </c>
      <c r="D136">
        <v>2618918.1118000001</v>
      </c>
      <c r="E136" s="13">
        <v>60.0301845351675</v>
      </c>
      <c r="F136" s="13">
        <v>-108.51240576522601</v>
      </c>
      <c r="G136" s="13">
        <v>-5.8304931340633601</v>
      </c>
      <c r="H136" s="13">
        <f t="shared" si="29"/>
        <v>354.16950686593663</v>
      </c>
      <c r="I136" s="11">
        <v>60.030184536999997</v>
      </c>
      <c r="J136" s="11">
        <v>-108.512405766</v>
      </c>
      <c r="K136" s="9">
        <f t="shared" si="30"/>
        <v>-108.512405766</v>
      </c>
      <c r="L136" s="12">
        <v>174.16950700000001</v>
      </c>
      <c r="M136" s="3">
        <f t="shared" si="31"/>
        <v>354.16950700000001</v>
      </c>
      <c r="N136" s="15">
        <f t="shared" si="24"/>
        <v>60.030184535244054</v>
      </c>
      <c r="O136" s="23">
        <f t="shared" si="32"/>
        <v>7.6553874350793194E-11</v>
      </c>
      <c r="P136" s="22">
        <f t="shared" si="33"/>
        <v>1.7559429466018628E-9</v>
      </c>
      <c r="Q136" s="16">
        <f t="shared" si="34"/>
        <v>-108.51240576523786</v>
      </c>
      <c r="R136" s="23">
        <f t="shared" si="25"/>
        <v>1.1851852832478471E-11</v>
      </c>
      <c r="S136" s="22">
        <f t="shared" si="26"/>
        <v>7.6214234923099866E-10</v>
      </c>
      <c r="T136" s="16">
        <f t="shared" si="35"/>
        <v>354.16950686592253</v>
      </c>
      <c r="U136" s="23">
        <f t="shared" si="27"/>
        <v>1.4097167877480388E-11</v>
      </c>
      <c r="V136" s="22">
        <f t="shared" si="28"/>
        <v>1.3407748156168964E-7</v>
      </c>
    </row>
    <row r="137" spans="1:22" x14ac:dyDescent="0.45">
      <c r="A137">
        <v>87.715130000000002</v>
      </c>
      <c r="B137">
        <v>-55.234169999999999</v>
      </c>
      <c r="C137">
        <v>208.72172</v>
      </c>
      <c r="D137">
        <v>1139643.1462999999</v>
      </c>
      <c r="E137" s="13">
        <v>77.742364814194801</v>
      </c>
      <c r="F137" s="13">
        <v>-78.875889229646404</v>
      </c>
      <c r="G137" s="13">
        <v>-174.82179518935999</v>
      </c>
      <c r="H137" s="13">
        <f t="shared" si="29"/>
        <v>185.17820481064001</v>
      </c>
      <c r="I137" s="9">
        <v>77.742364816999995</v>
      </c>
      <c r="J137" s="9">
        <v>-78.875889228999995</v>
      </c>
      <c r="K137" s="9">
        <f t="shared" si="30"/>
        <v>-78.875889228999995</v>
      </c>
      <c r="L137" s="10">
        <v>5.1782050000000002</v>
      </c>
      <c r="M137" s="3">
        <f t="shared" si="31"/>
        <v>185.17820499999999</v>
      </c>
      <c r="N137" s="15">
        <f t="shared" si="24"/>
        <v>77.742364814195653</v>
      </c>
      <c r="O137" s="23">
        <f t="shared" si="32"/>
        <v>8.5265128291212022E-13</v>
      </c>
      <c r="P137" s="22">
        <f t="shared" si="33"/>
        <v>2.804341647788533E-9</v>
      </c>
      <c r="Q137" s="16">
        <f t="shared" si="34"/>
        <v>-78.875889229644699</v>
      </c>
      <c r="R137" s="23">
        <f t="shared" si="25"/>
        <v>1.7053025658242404E-12</v>
      </c>
      <c r="S137" s="22">
        <f t="shared" si="26"/>
        <v>6.447038458645693E-10</v>
      </c>
      <c r="T137" s="16">
        <f t="shared" si="35"/>
        <v>185.17820481064047</v>
      </c>
      <c r="U137" s="23">
        <f t="shared" si="27"/>
        <v>4.5474735088646412E-13</v>
      </c>
      <c r="V137" s="22">
        <f t="shared" si="28"/>
        <v>1.8935952539322898E-7</v>
      </c>
    </row>
    <row r="138" spans="1:22" x14ac:dyDescent="0.45">
      <c r="A138">
        <v>20.04429</v>
      </c>
      <c r="B138">
        <v>39.647959999999998</v>
      </c>
      <c r="C138">
        <v>32.218359999999997</v>
      </c>
      <c r="D138">
        <v>1149778.3717</v>
      </c>
      <c r="E138" s="13">
        <v>28.708348311838702</v>
      </c>
      <c r="F138" s="13">
        <v>45.899948855913401</v>
      </c>
      <c r="G138" s="13">
        <v>34.808292763081198</v>
      </c>
      <c r="H138" s="13">
        <f t="shared" si="29"/>
        <v>34.808292763081198</v>
      </c>
      <c r="I138" s="11">
        <v>28.708348313999998</v>
      </c>
      <c r="J138" s="11">
        <v>45.899948858000002</v>
      </c>
      <c r="K138" s="9">
        <f t="shared" si="30"/>
        <v>45.899948858000016</v>
      </c>
      <c r="L138" s="12">
        <v>214.80829299999999</v>
      </c>
      <c r="M138" s="3">
        <f t="shared" si="31"/>
        <v>34.808292999999992</v>
      </c>
      <c r="N138" s="15">
        <f t="shared" si="24"/>
        <v>28.708348311889459</v>
      </c>
      <c r="O138" s="23">
        <f t="shared" si="32"/>
        <v>5.0757620329022757E-11</v>
      </c>
      <c r="P138" s="22">
        <f t="shared" si="33"/>
        <v>2.1105392988829408E-9</v>
      </c>
      <c r="Q138" s="16">
        <f t="shared" si="34"/>
        <v>45.899948855934582</v>
      </c>
      <c r="R138" s="23">
        <f t="shared" si="25"/>
        <v>2.1181278953008587E-11</v>
      </c>
      <c r="S138" s="22">
        <f t="shared" si="26"/>
        <v>2.0654340460168896E-9</v>
      </c>
      <c r="T138" s="16">
        <f t="shared" si="35"/>
        <v>34.808292763100468</v>
      </c>
      <c r="U138" s="23">
        <f t="shared" si="27"/>
        <v>1.9269918993813917E-11</v>
      </c>
      <c r="V138" s="22">
        <f t="shared" si="28"/>
        <v>2.368995239976357E-7</v>
      </c>
    </row>
    <row r="139" spans="1:22" x14ac:dyDescent="0.45">
      <c r="A139">
        <v>-39.779949999999999</v>
      </c>
      <c r="B139">
        <v>89.824470000000005</v>
      </c>
      <c r="C139">
        <v>12.89039</v>
      </c>
      <c r="D139">
        <v>617458.06770000001</v>
      </c>
      <c r="E139" s="13">
        <v>-34.346461404681399</v>
      </c>
      <c r="F139" s="13">
        <v>91.319413798633207</v>
      </c>
      <c r="G139" s="13">
        <v>11.9883444820933</v>
      </c>
      <c r="H139" s="13">
        <f t="shared" si="29"/>
        <v>11.9883444820933</v>
      </c>
      <c r="I139" s="9">
        <v>-34.346461404999999</v>
      </c>
      <c r="J139" s="9">
        <v>91.319413799000003</v>
      </c>
      <c r="K139" s="9">
        <f t="shared" si="30"/>
        <v>91.319413799000017</v>
      </c>
      <c r="L139" s="10">
        <v>191.98834400000001</v>
      </c>
      <c r="M139" s="3">
        <f t="shared" si="31"/>
        <v>11.988343999999984</v>
      </c>
      <c r="N139" s="15">
        <f t="shared" si="24"/>
        <v>-34.346461404656651</v>
      </c>
      <c r="O139" s="23">
        <f t="shared" si="32"/>
        <v>2.4748203486524289E-11</v>
      </c>
      <c r="P139" s="22">
        <f t="shared" si="33"/>
        <v>3.4334846077399561E-10</v>
      </c>
      <c r="Q139" s="16">
        <f t="shared" si="34"/>
        <v>91.319413798634741</v>
      </c>
      <c r="R139" s="23">
        <f t="shared" si="25"/>
        <v>1.5347723092418164E-12</v>
      </c>
      <c r="S139" s="22">
        <f t="shared" si="26"/>
        <v>3.652758095995523E-10</v>
      </c>
      <c r="T139" s="16">
        <f t="shared" si="35"/>
        <v>11.98834448208968</v>
      </c>
      <c r="U139" s="23">
        <f t="shared" si="27"/>
        <v>3.6202152386977104E-12</v>
      </c>
      <c r="V139" s="22">
        <f t="shared" si="28"/>
        <v>4.8208969616325703E-7</v>
      </c>
    </row>
    <row r="140" spans="1:22" x14ac:dyDescent="0.45">
      <c r="A140">
        <v>85.093040000000002</v>
      </c>
      <c r="B140">
        <v>2.5342699999999998</v>
      </c>
      <c r="C140">
        <v>308.66298999999998</v>
      </c>
      <c r="D140">
        <v>2770816.5970000001</v>
      </c>
      <c r="E140" s="13">
        <v>67.933493752033996</v>
      </c>
      <c r="F140" s="13">
        <v>-116.721726016563</v>
      </c>
      <c r="G140" s="13">
        <v>-169.754529529302</v>
      </c>
      <c r="H140" s="13">
        <f t="shared" si="29"/>
        <v>190.245470470698</v>
      </c>
      <c r="I140" s="11">
        <v>67.933493752000004</v>
      </c>
      <c r="J140" s="11">
        <v>-116.72172601699999</v>
      </c>
      <c r="K140" s="9">
        <f t="shared" si="30"/>
        <v>-116.72172601699999</v>
      </c>
      <c r="L140" s="12">
        <v>10.245469999999999</v>
      </c>
      <c r="M140" s="3">
        <f t="shared" si="31"/>
        <v>190.24547000000001</v>
      </c>
      <c r="N140" s="15">
        <f t="shared" si="24"/>
        <v>67.933493752024859</v>
      </c>
      <c r="O140" s="23">
        <f t="shared" si="32"/>
        <v>9.1375795818748884E-12</v>
      </c>
      <c r="P140" s="22">
        <f t="shared" si="33"/>
        <v>2.4854784896888305E-11</v>
      </c>
      <c r="Q140" s="16">
        <f t="shared" si="34"/>
        <v>-116.72172601655917</v>
      </c>
      <c r="R140" s="23">
        <f t="shared" si="25"/>
        <v>3.822719918389339E-12</v>
      </c>
      <c r="S140" s="22">
        <f t="shared" si="26"/>
        <v>4.4082071326556616E-10</v>
      </c>
      <c r="T140" s="16">
        <f t="shared" si="35"/>
        <v>190.24547047069441</v>
      </c>
      <c r="U140" s="23">
        <f t="shared" si="27"/>
        <v>3.5811353882309049E-12</v>
      </c>
      <c r="V140" s="22">
        <f t="shared" si="28"/>
        <v>4.7069440256564121E-7</v>
      </c>
    </row>
    <row r="141" spans="1:22" x14ac:dyDescent="0.45">
      <c r="A141">
        <v>43.894480000000001</v>
      </c>
      <c r="B141">
        <v>-46.916089999999997</v>
      </c>
      <c r="C141">
        <v>345.82888000000003</v>
      </c>
      <c r="D141">
        <v>1509940.1052999999</v>
      </c>
      <c r="E141" s="13">
        <v>56.924744139908299</v>
      </c>
      <c r="F141" s="13">
        <v>-52.941221433568501</v>
      </c>
      <c r="G141" s="13">
        <v>-18.846162121024101</v>
      </c>
      <c r="H141" s="13">
        <f t="shared" si="29"/>
        <v>341.15383787897588</v>
      </c>
      <c r="I141" s="9">
        <v>56.924744136999998</v>
      </c>
      <c r="J141" s="9">
        <v>-52.941221431999999</v>
      </c>
      <c r="K141" s="9">
        <f t="shared" si="30"/>
        <v>-52.941221431999992</v>
      </c>
      <c r="L141" s="10">
        <v>161.15383800000001</v>
      </c>
      <c r="M141" s="3">
        <f t="shared" si="31"/>
        <v>341.15383800000001</v>
      </c>
      <c r="N141" s="15">
        <f t="shared" si="24"/>
        <v>56.924744139946739</v>
      </c>
      <c r="O141" s="23">
        <f t="shared" si="32"/>
        <v>3.844036200462142E-11</v>
      </c>
      <c r="P141" s="22">
        <f t="shared" si="33"/>
        <v>2.9467415174622147E-9</v>
      </c>
      <c r="Q141" s="16">
        <f t="shared" si="34"/>
        <v>-52.941221433585682</v>
      </c>
      <c r="R141" s="23">
        <f t="shared" si="25"/>
        <v>1.7180923350679222E-11</v>
      </c>
      <c r="S141" s="22">
        <f t="shared" si="26"/>
        <v>1.5856898016863852E-9</v>
      </c>
      <c r="T141" s="16">
        <f t="shared" si="35"/>
        <v>341.15383787895519</v>
      </c>
      <c r="U141" s="23">
        <f t="shared" si="27"/>
        <v>2.0691004465334117E-11</v>
      </c>
      <c r="V141" s="22">
        <f t="shared" si="28"/>
        <v>1.210448203892156E-7</v>
      </c>
    </row>
    <row r="142" spans="1:22" x14ac:dyDescent="0.45">
      <c r="A142">
        <v>63.401179999999997</v>
      </c>
      <c r="B142">
        <v>167.19977</v>
      </c>
      <c r="C142">
        <v>94.497129999999999</v>
      </c>
      <c r="D142">
        <v>2044625.3829000001</v>
      </c>
      <c r="E142" s="13">
        <v>56.898772356683899</v>
      </c>
      <c r="F142" s="13">
        <v>-157.776975453212</v>
      </c>
      <c r="G142" s="13">
        <v>125.154483322715</v>
      </c>
      <c r="H142" s="13">
        <f t="shared" si="29"/>
        <v>125.154483322715</v>
      </c>
      <c r="I142" s="11">
        <v>56.898772356000002</v>
      </c>
      <c r="J142" s="11">
        <v>202.22302454800001</v>
      </c>
      <c r="K142" s="9">
        <f t="shared" si="30"/>
        <v>-157.77697545199999</v>
      </c>
      <c r="L142" s="12">
        <v>305.15448300000003</v>
      </c>
      <c r="M142" s="3">
        <f t="shared" si="31"/>
        <v>125.15448300000003</v>
      </c>
      <c r="N142" s="15">
        <f t="shared" si="24"/>
        <v>56.89877235667894</v>
      </c>
      <c r="O142" s="23">
        <f t="shared" si="32"/>
        <v>4.9595882956054993E-12</v>
      </c>
      <c r="P142" s="22">
        <f t="shared" si="33"/>
        <v>6.7893779487349093E-10</v>
      </c>
      <c r="Q142" s="16">
        <f t="shared" si="34"/>
        <v>-157.77697545325066</v>
      </c>
      <c r="R142" s="23">
        <f t="shared" si="25"/>
        <v>3.865352482534945E-11</v>
      </c>
      <c r="S142" s="22">
        <f t="shared" si="26"/>
        <v>1.2506689017754979E-9</v>
      </c>
      <c r="T142" s="16">
        <f t="shared" si="35"/>
        <v>125.15448332272513</v>
      </c>
      <c r="U142" s="23">
        <f t="shared" si="27"/>
        <v>1.0132339411939029E-11</v>
      </c>
      <c r="V142" s="22">
        <f t="shared" si="28"/>
        <v>3.2272509997710586E-7</v>
      </c>
    </row>
    <row r="143" spans="1:22" x14ac:dyDescent="0.45">
      <c r="A143">
        <v>16.416530000000002</v>
      </c>
      <c r="B143">
        <v>-30.20589</v>
      </c>
      <c r="C143">
        <v>159.85739000000001</v>
      </c>
      <c r="D143">
        <v>81952.523000000001</v>
      </c>
      <c r="E143" s="13">
        <v>15.7210785073568</v>
      </c>
      <c r="F143" s="13">
        <v>-29.9425955261359</v>
      </c>
      <c r="G143" s="13">
        <v>159.930269138743</v>
      </c>
      <c r="H143" s="13">
        <f t="shared" si="29"/>
        <v>159.930269138743</v>
      </c>
      <c r="I143" s="9">
        <v>15.721078507</v>
      </c>
      <c r="J143" s="9">
        <v>-29.942595526000002</v>
      </c>
      <c r="K143" s="9">
        <f t="shared" si="30"/>
        <v>-29.942595525999991</v>
      </c>
      <c r="L143" s="10">
        <v>339.93026900000001</v>
      </c>
      <c r="M143" s="3">
        <f t="shared" si="31"/>
        <v>159.93026899999995</v>
      </c>
      <c r="N143" s="15">
        <f t="shared" si="24"/>
        <v>15.721078507353878</v>
      </c>
      <c r="O143" s="23">
        <f t="shared" si="32"/>
        <v>2.922107000813412E-12</v>
      </c>
      <c r="P143" s="22">
        <f t="shared" si="33"/>
        <v>3.538787041179603E-10</v>
      </c>
      <c r="Q143" s="16">
        <f t="shared" si="34"/>
        <v>-29.94259552613525</v>
      </c>
      <c r="R143" s="23">
        <f t="shared" si="25"/>
        <v>6.5014660322049167E-13</v>
      </c>
      <c r="S143" s="22">
        <f t="shared" si="26"/>
        <v>1.3525891517929267E-10</v>
      </c>
      <c r="T143" s="16">
        <f t="shared" si="35"/>
        <v>159.93026913874345</v>
      </c>
      <c r="U143" s="23">
        <f t="shared" si="27"/>
        <v>4.5474735088646412E-13</v>
      </c>
      <c r="V143" s="22">
        <f t="shared" si="28"/>
        <v>1.3874350202058849E-7</v>
      </c>
    </row>
    <row r="144" spans="1:22" x14ac:dyDescent="0.45">
      <c r="A144">
        <v>89.181359999999998</v>
      </c>
      <c r="B144">
        <v>-12.85374</v>
      </c>
      <c r="C144">
        <v>333.07477</v>
      </c>
      <c r="D144">
        <v>1367935.1714999999</v>
      </c>
      <c r="E144" s="13">
        <v>78.475295806145795</v>
      </c>
      <c r="F144" s="13">
        <v>-164.112291003021</v>
      </c>
      <c r="G144" s="13">
        <v>-178.14403308407401</v>
      </c>
      <c r="H144" s="13">
        <f t="shared" si="29"/>
        <v>181.85596691592599</v>
      </c>
      <c r="I144" s="11">
        <v>78.475295802000005</v>
      </c>
      <c r="J144" s="11">
        <v>-164.11229100400001</v>
      </c>
      <c r="K144" s="9">
        <f t="shared" si="30"/>
        <v>-164.11229100400001</v>
      </c>
      <c r="L144" s="12">
        <v>1.8559669999999999</v>
      </c>
      <c r="M144" s="3">
        <f t="shared" si="31"/>
        <v>181.85596699999999</v>
      </c>
      <c r="N144" s="15">
        <f t="shared" si="24"/>
        <v>78.475295806148679</v>
      </c>
      <c r="O144" s="23">
        <f t="shared" si="32"/>
        <v>2.8848035071860068E-12</v>
      </c>
      <c r="P144" s="22">
        <f t="shared" si="33"/>
        <v>4.1486742929919274E-9</v>
      </c>
      <c r="Q144" s="16">
        <f t="shared" si="34"/>
        <v>-164.11229100301995</v>
      </c>
      <c r="R144" s="23">
        <f t="shared" si="25"/>
        <v>1.0516032489249483E-12</v>
      </c>
      <c r="S144" s="22">
        <f t="shared" si="26"/>
        <v>9.8006580628862139E-10</v>
      </c>
      <c r="T144" s="16">
        <f t="shared" si="35"/>
        <v>181.85596691592684</v>
      </c>
      <c r="U144" s="23">
        <f t="shared" si="27"/>
        <v>8.5265128291212022E-13</v>
      </c>
      <c r="V144" s="22">
        <f t="shared" si="28"/>
        <v>8.4073150219410309E-8</v>
      </c>
    </row>
    <row r="145" spans="1:22" x14ac:dyDescent="0.45">
      <c r="A145">
        <v>47.418869999999998</v>
      </c>
      <c r="B145">
        <v>-138.48464000000001</v>
      </c>
      <c r="C145">
        <v>128.64583999999999</v>
      </c>
      <c r="D145">
        <v>497647.92460000003</v>
      </c>
      <c r="E145" s="13">
        <v>44.514594745390099</v>
      </c>
      <c r="F145" s="13">
        <v>-133.59527850453699</v>
      </c>
      <c r="G145" s="13">
        <v>132.16314509988601</v>
      </c>
      <c r="H145" s="13">
        <f t="shared" si="29"/>
        <v>132.16314509988601</v>
      </c>
      <c r="I145" s="9">
        <v>44.514594744999997</v>
      </c>
      <c r="J145" s="9">
        <v>-133.59527850500001</v>
      </c>
      <c r="K145" s="9">
        <f t="shared" si="30"/>
        <v>-133.59527850500001</v>
      </c>
      <c r="L145" s="10">
        <v>312.16314499999999</v>
      </c>
      <c r="M145" s="3">
        <f t="shared" si="31"/>
        <v>132.16314499999999</v>
      </c>
      <c r="N145" s="15">
        <f t="shared" si="24"/>
        <v>44.514594745379419</v>
      </c>
      <c r="O145" s="23">
        <f t="shared" si="32"/>
        <v>1.0679457318474306E-11</v>
      </c>
      <c r="P145" s="22">
        <f t="shared" si="33"/>
        <v>3.794227154685359E-10</v>
      </c>
      <c r="Q145" s="16">
        <f t="shared" si="34"/>
        <v>-133.59527850453324</v>
      </c>
      <c r="R145" s="23">
        <f t="shared" si="25"/>
        <v>3.751665644813329E-12</v>
      </c>
      <c r="S145" s="22">
        <f t="shared" si="26"/>
        <v>4.6676973397552501E-10</v>
      </c>
      <c r="T145" s="16">
        <f t="shared" si="35"/>
        <v>132.16314509989715</v>
      </c>
      <c r="U145" s="23">
        <f t="shared" si="27"/>
        <v>1.1141310096718371E-11</v>
      </c>
      <c r="V145" s="22">
        <f t="shared" si="28"/>
        <v>9.9897164318463183E-8</v>
      </c>
    </row>
    <row r="146" spans="1:22" x14ac:dyDescent="0.45">
      <c r="A146">
        <v>-77.300409999999999</v>
      </c>
      <c r="B146">
        <v>-174.85292000000001</v>
      </c>
      <c r="C146">
        <v>347.72064999999998</v>
      </c>
      <c r="D146">
        <v>2549616.412</v>
      </c>
      <c r="E146" s="13">
        <v>-54.6264954467104</v>
      </c>
      <c r="F146" s="13">
        <v>176.94433725082601</v>
      </c>
      <c r="G146" s="13">
        <v>-4.6370049678043896</v>
      </c>
      <c r="H146" s="13">
        <f t="shared" si="29"/>
        <v>355.36299503219561</v>
      </c>
      <c r="I146" s="11">
        <v>-54.626495447000003</v>
      </c>
      <c r="J146" s="11">
        <v>-183.05566274899999</v>
      </c>
      <c r="K146" s="9">
        <f t="shared" si="30"/>
        <v>176.94433725099998</v>
      </c>
      <c r="L146" s="12">
        <v>175.36299500000001</v>
      </c>
      <c r="M146" s="3">
        <f t="shared" si="31"/>
        <v>355.36299500000001</v>
      </c>
      <c r="N146" s="15">
        <f t="shared" si="24"/>
        <v>-54.626495446668208</v>
      </c>
      <c r="O146" s="23">
        <f t="shared" si="32"/>
        <v>4.2192027649434749E-11</v>
      </c>
      <c r="P146" s="22">
        <f t="shared" si="33"/>
        <v>3.3179503589053638E-10</v>
      </c>
      <c r="Q146" s="16">
        <f t="shared" si="34"/>
        <v>176.94433725082285</v>
      </c>
      <c r="R146" s="23">
        <f t="shared" si="25"/>
        <v>3.1548097467748448E-12</v>
      </c>
      <c r="S146" s="22">
        <f t="shared" si="26"/>
        <v>1.7712409317027777E-10</v>
      </c>
      <c r="T146" s="16">
        <f t="shared" si="35"/>
        <v>355.36299503220022</v>
      </c>
      <c r="U146" s="23">
        <f t="shared" si="27"/>
        <v>4.6043169277254492E-12</v>
      </c>
      <c r="V146" s="22">
        <f t="shared" si="28"/>
        <v>3.2200205168919638E-8</v>
      </c>
    </row>
    <row r="147" spans="1:22" x14ac:dyDescent="0.45">
      <c r="A147">
        <v>10.731249999999999</v>
      </c>
      <c r="B147">
        <v>153.64383000000001</v>
      </c>
      <c r="C147">
        <v>294.47431999999998</v>
      </c>
      <c r="D147">
        <v>923961.64540000004</v>
      </c>
      <c r="E147" s="13">
        <v>14.0851997651883</v>
      </c>
      <c r="F147" s="13">
        <v>145.860219615011</v>
      </c>
      <c r="G147" s="13">
        <v>-67.2013815096293</v>
      </c>
      <c r="H147" s="13">
        <f t="shared" si="29"/>
        <v>292.7986184903707</v>
      </c>
      <c r="I147" s="9">
        <v>14.085199765</v>
      </c>
      <c r="J147" s="9">
        <v>145.86021961500001</v>
      </c>
      <c r="K147" s="9">
        <f t="shared" si="30"/>
        <v>145.86021961500001</v>
      </c>
      <c r="L147" s="10">
        <v>112.798618</v>
      </c>
      <c r="M147" s="3">
        <f t="shared" si="31"/>
        <v>292.79861800000003</v>
      </c>
      <c r="N147" s="15">
        <f t="shared" si="24"/>
        <v>14.085199765198881</v>
      </c>
      <c r="O147" s="23">
        <f t="shared" si="32"/>
        <v>1.0581757692307292E-11</v>
      </c>
      <c r="P147" s="22">
        <f t="shared" si="33"/>
        <v>1.9888091173925204E-10</v>
      </c>
      <c r="Q147" s="16">
        <f t="shared" si="34"/>
        <v>145.86021961500114</v>
      </c>
      <c r="R147" s="23">
        <f t="shared" si="25"/>
        <v>9.8623331723501906E-12</v>
      </c>
      <c r="S147" s="22">
        <f t="shared" si="26"/>
        <v>1.1368683772161603E-12</v>
      </c>
      <c r="T147" s="16">
        <f t="shared" si="35"/>
        <v>292.79861849036411</v>
      </c>
      <c r="U147" s="23">
        <f t="shared" si="27"/>
        <v>6.5938365878537297E-12</v>
      </c>
      <c r="V147" s="22">
        <f t="shared" si="28"/>
        <v>4.9036407290259376E-7</v>
      </c>
    </row>
    <row r="148" spans="1:22" x14ac:dyDescent="0.45">
      <c r="A148">
        <v>40.893459999999997</v>
      </c>
      <c r="B148">
        <v>13.135</v>
      </c>
      <c r="C148">
        <v>250.38964000000001</v>
      </c>
      <c r="D148">
        <v>436314.18910000002</v>
      </c>
      <c r="E148" s="13">
        <v>39.474522618517</v>
      </c>
      <c r="F148" s="13">
        <v>8.3565214977774591</v>
      </c>
      <c r="G148" s="13">
        <v>-112.69493025035899</v>
      </c>
      <c r="H148" s="13">
        <f t="shared" si="29"/>
        <v>247.30506974964101</v>
      </c>
      <c r="I148" s="11">
        <v>39.474522618999998</v>
      </c>
      <c r="J148" s="11">
        <v>8.3565214979999993</v>
      </c>
      <c r="K148" s="9">
        <f t="shared" si="30"/>
        <v>8.3565214980000064</v>
      </c>
      <c r="L148" s="12">
        <v>67.305070000000001</v>
      </c>
      <c r="M148" s="3">
        <f t="shared" si="31"/>
        <v>247.30507</v>
      </c>
      <c r="N148" s="15">
        <f t="shared" si="24"/>
        <v>39.474522618510697</v>
      </c>
      <c r="O148" s="23">
        <f t="shared" si="32"/>
        <v>6.3025140661920886E-12</v>
      </c>
      <c r="P148" s="22">
        <f t="shared" si="33"/>
        <v>4.8930104412647779E-10</v>
      </c>
      <c r="Q148" s="16">
        <f t="shared" si="34"/>
        <v>8.3565214977832909</v>
      </c>
      <c r="R148" s="23">
        <f t="shared" si="25"/>
        <v>5.8317795037510223E-12</v>
      </c>
      <c r="S148" s="22">
        <f t="shared" si="26"/>
        <v>2.1671553440683056E-10</v>
      </c>
      <c r="T148" s="16">
        <f t="shared" si="35"/>
        <v>247.30506974962873</v>
      </c>
      <c r="U148" s="23">
        <f t="shared" si="27"/>
        <v>1.2278178473934531E-11</v>
      </c>
      <c r="V148" s="22">
        <f t="shared" si="28"/>
        <v>2.5037127215910004E-7</v>
      </c>
    </row>
    <row r="149" spans="1:22" x14ac:dyDescent="0.45">
      <c r="A149">
        <v>3.4207999999999998</v>
      </c>
      <c r="B149">
        <v>68.399109999999993</v>
      </c>
      <c r="C149">
        <v>318.18173999999999</v>
      </c>
      <c r="D149">
        <v>235621.66570000001</v>
      </c>
      <c r="E149" s="13">
        <v>5.0075780038229398</v>
      </c>
      <c r="F149" s="13">
        <v>66.982615500982803</v>
      </c>
      <c r="G149" s="13">
        <v>-41.922366679555402</v>
      </c>
      <c r="H149" s="13">
        <f t="shared" si="29"/>
        <v>318.07763332044459</v>
      </c>
      <c r="I149" s="9">
        <v>5.007578004</v>
      </c>
      <c r="J149" s="9">
        <v>66.982615500999998</v>
      </c>
      <c r="K149" s="9">
        <f t="shared" si="30"/>
        <v>66.982615500999998</v>
      </c>
      <c r="L149" s="10">
        <v>138.07763299999999</v>
      </c>
      <c r="M149" s="3">
        <f t="shared" si="31"/>
        <v>318.07763299999999</v>
      </c>
      <c r="N149" s="15">
        <f t="shared" si="24"/>
        <v>5.007578003832875</v>
      </c>
      <c r="O149" s="23">
        <f t="shared" si="32"/>
        <v>9.9351638027656008E-12</v>
      </c>
      <c r="P149" s="22">
        <f t="shared" si="33"/>
        <v>1.6712498052129376E-10</v>
      </c>
      <c r="Q149" s="16">
        <f t="shared" si="34"/>
        <v>66.982615500973736</v>
      </c>
      <c r="R149" s="23">
        <f t="shared" si="25"/>
        <v>9.0665253082988784E-12</v>
      </c>
      <c r="S149" s="22">
        <f t="shared" si="26"/>
        <v>2.6261659513693303E-11</v>
      </c>
      <c r="T149" s="16">
        <f t="shared" si="35"/>
        <v>318.07763332044345</v>
      </c>
      <c r="U149" s="23">
        <f t="shared" si="27"/>
        <v>1.1368683772161603E-12</v>
      </c>
      <c r="V149" s="22">
        <f t="shared" si="28"/>
        <v>3.2044346198745188E-7</v>
      </c>
    </row>
    <row r="150" spans="1:22" x14ac:dyDescent="0.45">
      <c r="A150">
        <v>-76.697630000000004</v>
      </c>
      <c r="B150">
        <v>144.84648999999999</v>
      </c>
      <c r="C150">
        <v>343.57542999999998</v>
      </c>
      <c r="D150">
        <v>1297329.2392</v>
      </c>
      <c r="E150" s="13">
        <v>-65.328464754560301</v>
      </c>
      <c r="F150" s="13">
        <v>137.00339050228101</v>
      </c>
      <c r="G150" s="13">
        <v>-8.9703957214385603</v>
      </c>
      <c r="H150" s="13">
        <f t="shared" si="29"/>
        <v>351.02960427856146</v>
      </c>
      <c r="I150" s="11">
        <v>-65.328464756000002</v>
      </c>
      <c r="J150" s="11">
        <v>137.00339050299999</v>
      </c>
      <c r="K150" s="9">
        <f t="shared" si="30"/>
        <v>137.00339050299999</v>
      </c>
      <c r="L150" s="12">
        <v>171.02960400000001</v>
      </c>
      <c r="M150" s="3">
        <f t="shared" si="31"/>
        <v>351.02960400000001</v>
      </c>
      <c r="N150" s="15">
        <f t="shared" si="24"/>
        <v>-65.328464754562674</v>
      </c>
      <c r="O150" s="23">
        <f t="shared" si="32"/>
        <v>2.3732127374387346E-12</v>
      </c>
      <c r="P150" s="22">
        <f t="shared" si="33"/>
        <v>1.4373284784596763E-9</v>
      </c>
      <c r="Q150" s="16">
        <f t="shared" si="34"/>
        <v>137.00339050228371</v>
      </c>
      <c r="R150" s="23">
        <f t="shared" si="25"/>
        <v>2.7000623958883807E-12</v>
      </c>
      <c r="S150" s="22">
        <f t="shared" si="26"/>
        <v>7.162839210650418E-10</v>
      </c>
      <c r="T150" s="16">
        <f t="shared" si="35"/>
        <v>351.02960427856038</v>
      </c>
      <c r="U150" s="23">
        <f t="shared" si="27"/>
        <v>1.0800249583553523E-12</v>
      </c>
      <c r="V150" s="22">
        <f t="shared" si="28"/>
        <v>2.7856037831952563E-7</v>
      </c>
    </row>
    <row r="151" spans="1:22" x14ac:dyDescent="0.45">
      <c r="A151">
        <v>-66.055880000000002</v>
      </c>
      <c r="B151">
        <v>76.348560000000006</v>
      </c>
      <c r="C151">
        <v>348.79194999999999</v>
      </c>
      <c r="D151">
        <v>487865.03379999998</v>
      </c>
      <c r="E151" s="13">
        <v>-61.750881403453299</v>
      </c>
      <c r="F151" s="13">
        <v>74.554906230293199</v>
      </c>
      <c r="G151" s="13">
        <v>-9.5960891758476698</v>
      </c>
      <c r="H151" s="13">
        <f t="shared" si="29"/>
        <v>350.40391082415232</v>
      </c>
      <c r="I151" s="9">
        <v>-61.750881403000001</v>
      </c>
      <c r="J151" s="9">
        <v>74.55490623</v>
      </c>
      <c r="K151" s="9">
        <f t="shared" si="30"/>
        <v>74.55490623</v>
      </c>
      <c r="L151" s="10">
        <v>170.40391099999999</v>
      </c>
      <c r="M151" s="3">
        <f t="shared" si="31"/>
        <v>350.40391099999999</v>
      </c>
      <c r="N151" s="15">
        <f t="shared" si="24"/>
        <v>-61.750881403446662</v>
      </c>
      <c r="O151" s="23">
        <f t="shared" si="32"/>
        <v>6.6364691519993357E-12</v>
      </c>
      <c r="P151" s="22">
        <f t="shared" si="33"/>
        <v>4.4666137455351418E-10</v>
      </c>
      <c r="Q151" s="16">
        <f t="shared" si="34"/>
        <v>74.554906230291522</v>
      </c>
      <c r="R151" s="23">
        <f t="shared" si="25"/>
        <v>1.6768808563938364E-12</v>
      </c>
      <c r="S151" s="22">
        <f t="shared" si="26"/>
        <v>2.915214736276539E-10</v>
      </c>
      <c r="T151" s="16">
        <f t="shared" si="35"/>
        <v>350.40391082415408</v>
      </c>
      <c r="U151" s="23">
        <f t="shared" si="27"/>
        <v>1.7621459846850485E-12</v>
      </c>
      <c r="V151" s="22">
        <f t="shared" si="28"/>
        <v>1.7584591205377365E-7</v>
      </c>
    </row>
    <row r="152" spans="1:22" x14ac:dyDescent="0.45">
      <c r="A152">
        <v>63.912300000000002</v>
      </c>
      <c r="B152">
        <v>-166.40602000000001</v>
      </c>
      <c r="C152">
        <v>35.086489999999998</v>
      </c>
      <c r="D152">
        <v>2107759.4114999999</v>
      </c>
      <c r="E152" s="13">
        <v>75.077068506839097</v>
      </c>
      <c r="F152" s="13">
        <v>-120.178533743439</v>
      </c>
      <c r="G152" s="13">
        <v>78.855576823296005</v>
      </c>
      <c r="H152" s="13">
        <f t="shared" si="29"/>
        <v>78.855576823296005</v>
      </c>
      <c r="I152" s="11">
        <v>75.077068507999996</v>
      </c>
      <c r="J152" s="11">
        <v>-120.178533726</v>
      </c>
      <c r="K152" s="9">
        <f t="shared" si="30"/>
        <v>-120.178533726</v>
      </c>
      <c r="L152" s="12">
        <v>258.85557699999998</v>
      </c>
      <c r="M152" s="3">
        <f t="shared" si="31"/>
        <v>78.855576999999982</v>
      </c>
      <c r="N152" s="15">
        <f t="shared" si="24"/>
        <v>75.077068506842664</v>
      </c>
      <c r="O152" s="23">
        <f t="shared" si="32"/>
        <v>3.5669245335157029E-12</v>
      </c>
      <c r="P152" s="22">
        <f t="shared" si="33"/>
        <v>1.1573320080060512E-9</v>
      </c>
      <c r="Q152" s="16">
        <f t="shared" si="34"/>
        <v>-120.17853374338952</v>
      </c>
      <c r="R152" s="23">
        <f t="shared" si="25"/>
        <v>4.9482196118333377E-11</v>
      </c>
      <c r="S152" s="22">
        <f t="shared" si="26"/>
        <v>1.7389524487043673E-8</v>
      </c>
      <c r="T152" s="16">
        <f t="shared" si="35"/>
        <v>78.8555768233648</v>
      </c>
      <c r="U152" s="23">
        <f t="shared" si="27"/>
        <v>6.87947476762929E-11</v>
      </c>
      <c r="V152" s="22">
        <f t="shared" si="28"/>
        <v>1.7663518292465596E-7</v>
      </c>
    </row>
    <row r="153" spans="1:22" x14ac:dyDescent="0.45">
      <c r="A153">
        <v>-15.636659999999999</v>
      </c>
      <c r="B153">
        <v>172.95704000000001</v>
      </c>
      <c r="C153">
        <v>249.20849999999999</v>
      </c>
      <c r="D153">
        <v>932904.55359999998</v>
      </c>
      <c r="E153" s="13">
        <v>-18.4665668843333</v>
      </c>
      <c r="F153" s="13">
        <v>164.70068887905799</v>
      </c>
      <c r="G153" s="13">
        <v>-108.36586280752</v>
      </c>
      <c r="H153" s="13">
        <f t="shared" si="29"/>
        <v>251.63413719248001</v>
      </c>
      <c r="I153" s="9">
        <v>-18.466566883999999</v>
      </c>
      <c r="J153" s="9">
        <v>164.70068887900001</v>
      </c>
      <c r="K153" s="9">
        <f t="shared" si="30"/>
        <v>164.70068887900004</v>
      </c>
      <c r="L153" s="10">
        <v>71.634136999999996</v>
      </c>
      <c r="M153" s="3">
        <f t="shared" si="31"/>
        <v>251.63413700000001</v>
      </c>
      <c r="N153" s="15">
        <f t="shared" si="24"/>
        <v>-18.466566884350531</v>
      </c>
      <c r="O153" s="23">
        <f t="shared" si="32"/>
        <v>1.723066134218243E-11</v>
      </c>
      <c r="P153" s="22">
        <f t="shared" si="33"/>
        <v>3.5053204783253022E-10</v>
      </c>
      <c r="Q153" s="16">
        <f t="shared" si="34"/>
        <v>164.70068887903307</v>
      </c>
      <c r="R153" s="23">
        <f t="shared" si="25"/>
        <v>2.4925839170464315E-11</v>
      </c>
      <c r="S153" s="22">
        <f t="shared" si="26"/>
        <v>3.3026026358129457E-11</v>
      </c>
      <c r="T153" s="16">
        <f t="shared" si="35"/>
        <v>251.63413719249661</v>
      </c>
      <c r="U153" s="23">
        <f t="shared" si="27"/>
        <v>1.659827830735594E-11</v>
      </c>
      <c r="V153" s="22">
        <f t="shared" si="28"/>
        <v>1.9249659999331925E-7</v>
      </c>
    </row>
    <row r="154" spans="1:22" x14ac:dyDescent="0.45">
      <c r="A154">
        <v>34.470559999999999</v>
      </c>
      <c r="B154">
        <v>149.87987000000001</v>
      </c>
      <c r="C154">
        <v>123.46666</v>
      </c>
      <c r="D154">
        <v>1885709.7080000001</v>
      </c>
      <c r="E154" s="13">
        <v>24.096584982019099</v>
      </c>
      <c r="F154" s="13">
        <v>165.31280125311801</v>
      </c>
      <c r="G154" s="13">
        <v>131.081664240165</v>
      </c>
      <c r="H154" s="13">
        <f t="shared" si="29"/>
        <v>131.081664240165</v>
      </c>
      <c r="I154" s="11">
        <v>24.096584982</v>
      </c>
      <c r="J154" s="11">
        <v>165.312801253</v>
      </c>
      <c r="K154" s="9">
        <f t="shared" si="30"/>
        <v>165.31280125299998</v>
      </c>
      <c r="L154" s="12">
        <v>311.08166399999999</v>
      </c>
      <c r="M154" s="3">
        <f t="shared" si="31"/>
        <v>131.08166399999999</v>
      </c>
      <c r="N154" s="15">
        <f t="shared" si="24"/>
        <v>24.096584981958937</v>
      </c>
      <c r="O154" s="23">
        <f t="shared" si="32"/>
        <v>6.0161653436807683E-11</v>
      </c>
      <c r="P154" s="22">
        <f t="shared" si="33"/>
        <v>4.106226469957619E-11</v>
      </c>
      <c r="Q154" s="16">
        <f t="shared" si="34"/>
        <v>165.31280125312878</v>
      </c>
      <c r="R154" s="23">
        <f t="shared" si="25"/>
        <v>1.0771827874123119E-11</v>
      </c>
      <c r="S154" s="22">
        <f t="shared" si="26"/>
        <v>1.2880718713859096E-10</v>
      </c>
      <c r="T154" s="16">
        <f t="shared" si="35"/>
        <v>131.08166424019581</v>
      </c>
      <c r="U154" s="23">
        <f t="shared" si="27"/>
        <v>3.0809133022557944E-11</v>
      </c>
      <c r="V154" s="22">
        <f t="shared" si="28"/>
        <v>2.4019581701395509E-7</v>
      </c>
    </row>
    <row r="155" spans="1:22" x14ac:dyDescent="0.45">
      <c r="A155">
        <v>70.729879999999994</v>
      </c>
      <c r="B155">
        <v>38.88579</v>
      </c>
      <c r="C155">
        <v>191.17984999999999</v>
      </c>
      <c r="D155">
        <v>1874375.6106</v>
      </c>
      <c r="E155" s="13">
        <v>54.088231745474097</v>
      </c>
      <c r="F155" s="13">
        <v>33.402959267444103</v>
      </c>
      <c r="G155" s="13">
        <v>-173.73193965705099</v>
      </c>
      <c r="H155" s="13">
        <f t="shared" si="29"/>
        <v>186.26806034294901</v>
      </c>
      <c r="I155" s="9">
        <v>54.088231741999998</v>
      </c>
      <c r="J155" s="9">
        <v>33.402959267</v>
      </c>
      <c r="K155" s="9">
        <f t="shared" si="30"/>
        <v>33.402959267</v>
      </c>
      <c r="L155" s="10">
        <v>6.2680600000000002</v>
      </c>
      <c r="M155" s="3">
        <f t="shared" si="31"/>
        <v>186.26805999999999</v>
      </c>
      <c r="N155" s="15">
        <f t="shared" si="24"/>
        <v>54.088231745435969</v>
      </c>
      <c r="O155" s="23">
        <f t="shared" si="32"/>
        <v>3.8127723200886976E-11</v>
      </c>
      <c r="P155" s="22">
        <f t="shared" si="33"/>
        <v>3.4359715073151165E-9</v>
      </c>
      <c r="Q155" s="16">
        <f t="shared" si="34"/>
        <v>33.402959267439314</v>
      </c>
      <c r="R155" s="23">
        <f t="shared" si="25"/>
        <v>4.7890580390230753E-12</v>
      </c>
      <c r="S155" s="22">
        <f t="shared" si="26"/>
        <v>4.3931436266575474E-10</v>
      </c>
      <c r="T155" s="16">
        <f t="shared" si="35"/>
        <v>186.26806034294353</v>
      </c>
      <c r="U155" s="23">
        <f t="shared" si="27"/>
        <v>5.4853899200679734E-12</v>
      </c>
      <c r="V155" s="22">
        <f t="shared" si="28"/>
        <v>3.4294353667974065E-7</v>
      </c>
    </row>
    <row r="156" spans="1:22" x14ac:dyDescent="0.45">
      <c r="A156">
        <v>-4.0652499999999998</v>
      </c>
      <c r="B156">
        <v>-141.67541</v>
      </c>
      <c r="C156">
        <v>353.87957</v>
      </c>
      <c r="D156">
        <v>1483495.4898999999</v>
      </c>
      <c r="E156" s="13">
        <v>9.27355893460674</v>
      </c>
      <c r="F156" s="13">
        <v>-143.102068264857</v>
      </c>
      <c r="G156" s="13">
        <v>-6.1856978073190003</v>
      </c>
      <c r="H156" s="13">
        <f t="shared" si="29"/>
        <v>353.814302192681</v>
      </c>
      <c r="I156" s="11">
        <v>9.2735589350000005</v>
      </c>
      <c r="J156" s="11">
        <v>-143.10206826500001</v>
      </c>
      <c r="K156" s="9">
        <f t="shared" si="30"/>
        <v>-143.10206826500001</v>
      </c>
      <c r="L156" s="12">
        <v>173.814302</v>
      </c>
      <c r="M156" s="3">
        <f t="shared" si="31"/>
        <v>353.814302</v>
      </c>
      <c r="N156" s="15">
        <f t="shared" si="24"/>
        <v>9.2735589346841554</v>
      </c>
      <c r="O156" s="23">
        <f t="shared" si="32"/>
        <v>7.7415407417902316E-11</v>
      </c>
      <c r="P156" s="22">
        <f t="shared" si="33"/>
        <v>3.1584512782956153E-10</v>
      </c>
      <c r="Q156" s="16">
        <f t="shared" si="34"/>
        <v>-143.10206826486757</v>
      </c>
      <c r="R156" s="23">
        <f t="shared" si="25"/>
        <v>1.0572875908110291E-11</v>
      </c>
      <c r="S156" s="22">
        <f t="shared" si="26"/>
        <v>1.3244516594568267E-10</v>
      </c>
      <c r="T156" s="16">
        <f t="shared" si="35"/>
        <v>353.81430219267924</v>
      </c>
      <c r="U156" s="23">
        <f t="shared" si="27"/>
        <v>1.7621459846850485E-12</v>
      </c>
      <c r="V156" s="22">
        <f t="shared" si="28"/>
        <v>1.9267923789811903E-7</v>
      </c>
    </row>
    <row r="157" spans="1:22" x14ac:dyDescent="0.45">
      <c r="A157">
        <v>79.544569999999993</v>
      </c>
      <c r="B157">
        <v>116.16714</v>
      </c>
      <c r="C157">
        <v>38.644680000000001</v>
      </c>
      <c r="D157">
        <v>2689115.5479000001</v>
      </c>
      <c r="E157" s="13">
        <v>72.869929699639599</v>
      </c>
      <c r="F157" s="13">
        <v>-123.73502590267</v>
      </c>
      <c r="G157" s="13">
        <v>157.36716039212899</v>
      </c>
      <c r="H157" s="13">
        <f t="shared" si="29"/>
        <v>157.36716039212899</v>
      </c>
      <c r="I157" s="9">
        <v>72.869929698999997</v>
      </c>
      <c r="J157" s="9">
        <v>236.26497409800001</v>
      </c>
      <c r="K157" s="9">
        <f t="shared" si="30"/>
        <v>-123.73502590199996</v>
      </c>
      <c r="L157" s="10">
        <v>337.36716000000001</v>
      </c>
      <c r="M157" s="3">
        <f t="shared" si="31"/>
        <v>157.36716000000001</v>
      </c>
      <c r="N157" s="15">
        <f t="shared" si="24"/>
        <v>72.869929699639485</v>
      </c>
      <c r="O157" s="23">
        <f t="shared" si="32"/>
        <v>1.1368683772161603E-13</v>
      </c>
      <c r="P157" s="22">
        <f t="shared" si="33"/>
        <v>6.3948846218409017E-10</v>
      </c>
      <c r="Q157" s="16">
        <f t="shared" si="34"/>
        <v>-123.7350259026847</v>
      </c>
      <c r="R157" s="23">
        <f t="shared" si="25"/>
        <v>1.4694023775518872E-11</v>
      </c>
      <c r="S157" s="22">
        <f t="shared" si="26"/>
        <v>6.8473582359729335E-10</v>
      </c>
      <c r="T157" s="16">
        <f t="shared" si="35"/>
        <v>157.3671603921288</v>
      </c>
      <c r="U157" s="23">
        <f t="shared" si="27"/>
        <v>1.9895196601282805E-13</v>
      </c>
      <c r="V157" s="22">
        <f t="shared" si="28"/>
        <v>3.9212878277794516E-7</v>
      </c>
    </row>
    <row r="158" spans="1:22" x14ac:dyDescent="0.45">
      <c r="A158">
        <v>19.886410000000001</v>
      </c>
      <c r="B158">
        <v>113.63709</v>
      </c>
      <c r="C158">
        <v>292.68759999999997</v>
      </c>
      <c r="D158">
        <v>1829661.7711</v>
      </c>
      <c r="E158" s="13">
        <v>25.425447100970398</v>
      </c>
      <c r="F158" s="13">
        <v>96.846694714253999</v>
      </c>
      <c r="G158" s="13">
        <v>-73.827531120592198</v>
      </c>
      <c r="H158" s="13">
        <f t="shared" si="29"/>
        <v>286.1724688794078</v>
      </c>
      <c r="I158" s="11">
        <v>25.425447101</v>
      </c>
      <c r="J158" s="11">
        <v>96.846694714999998</v>
      </c>
      <c r="K158" s="9">
        <f t="shared" si="30"/>
        <v>96.846694715000012</v>
      </c>
      <c r="L158" s="12">
        <v>106.17246900000001</v>
      </c>
      <c r="M158" s="3">
        <f t="shared" si="31"/>
        <v>286.17246899999998</v>
      </c>
      <c r="N158" s="15">
        <f t="shared" si="24"/>
        <v>25.42544710099811</v>
      </c>
      <c r="O158" s="23">
        <f t="shared" si="32"/>
        <v>2.7711166694643907E-11</v>
      </c>
      <c r="P158" s="22">
        <f t="shared" si="33"/>
        <v>1.8900436771218665E-12</v>
      </c>
      <c r="Q158" s="16">
        <f t="shared" si="34"/>
        <v>96.846694714234957</v>
      </c>
      <c r="R158" s="23">
        <f t="shared" si="25"/>
        <v>1.9042545318370685E-11</v>
      </c>
      <c r="S158" s="22">
        <f t="shared" si="26"/>
        <v>7.6505557444761507E-10</v>
      </c>
      <c r="T158" s="16">
        <f t="shared" si="35"/>
        <v>286.17246887936227</v>
      </c>
      <c r="U158" s="23">
        <f t="shared" si="27"/>
        <v>4.553157850750722E-11</v>
      </c>
      <c r="V158" s="22">
        <f t="shared" si="28"/>
        <v>1.2063770782333449E-7</v>
      </c>
    </row>
    <row r="159" spans="1:22" x14ac:dyDescent="0.45">
      <c r="A159">
        <v>-10.59013</v>
      </c>
      <c r="B159">
        <v>-116.79353999999999</v>
      </c>
      <c r="C159">
        <v>151.79773</v>
      </c>
      <c r="D159">
        <v>734948.68389999995</v>
      </c>
      <c r="E159" s="13">
        <v>-16.425147098399801</v>
      </c>
      <c r="F159" s="13">
        <v>-113.547065353631</v>
      </c>
      <c r="G159" s="13">
        <v>151.03825309845101</v>
      </c>
      <c r="H159" s="13">
        <f t="shared" si="29"/>
        <v>151.03825309845101</v>
      </c>
      <c r="I159" s="9">
        <v>-16.425147098</v>
      </c>
      <c r="J159" s="9">
        <v>-113.547065354</v>
      </c>
      <c r="K159" s="9">
        <f t="shared" si="30"/>
        <v>-113.547065354</v>
      </c>
      <c r="L159" s="10">
        <v>331.038253</v>
      </c>
      <c r="M159" s="3">
        <f t="shared" si="31"/>
        <v>151.038253</v>
      </c>
      <c r="N159" s="15">
        <f t="shared" si="24"/>
        <v>-16.425147098430859</v>
      </c>
      <c r="O159" s="23">
        <f t="shared" si="32"/>
        <v>3.1057822980073979E-11</v>
      </c>
      <c r="P159" s="22">
        <f t="shared" si="33"/>
        <v>4.3085890411020955E-10</v>
      </c>
      <c r="Q159" s="16">
        <f t="shared" si="34"/>
        <v>-113.54706535361684</v>
      </c>
      <c r="R159" s="23">
        <f t="shared" si="25"/>
        <v>1.4154011296341196E-11</v>
      </c>
      <c r="S159" s="22">
        <f t="shared" si="26"/>
        <v>3.8315306483127642E-10</v>
      </c>
      <c r="T159" s="16">
        <f t="shared" si="35"/>
        <v>151.03825309844621</v>
      </c>
      <c r="U159" s="23">
        <f t="shared" si="27"/>
        <v>4.8032688937382773E-12</v>
      </c>
      <c r="V159" s="22">
        <f t="shared" si="28"/>
        <v>9.8446207630331628E-8</v>
      </c>
    </row>
    <row r="160" spans="1:22" x14ac:dyDescent="0.45">
      <c r="A160">
        <v>-53.979939999999999</v>
      </c>
      <c r="B160">
        <v>176.4941</v>
      </c>
      <c r="C160">
        <v>351.76226000000003</v>
      </c>
      <c r="D160">
        <v>290204.74209999997</v>
      </c>
      <c r="E160" s="13">
        <v>-51.397419338067699</v>
      </c>
      <c r="F160" s="13">
        <v>175.89683806748101</v>
      </c>
      <c r="G160" s="13">
        <v>-7.7625830470879897</v>
      </c>
      <c r="H160" s="13">
        <f t="shared" si="29"/>
        <v>352.23741695291199</v>
      </c>
      <c r="I160" s="11">
        <v>-51.397419337999999</v>
      </c>
      <c r="J160" s="11">
        <v>175.896838067</v>
      </c>
      <c r="K160" s="9">
        <f t="shared" si="30"/>
        <v>175.89683806699998</v>
      </c>
      <c r="L160" s="12">
        <v>172.23741699999999</v>
      </c>
      <c r="M160" s="3">
        <f t="shared" si="31"/>
        <v>352.23741699999999</v>
      </c>
      <c r="N160" s="15">
        <f t="shared" si="24"/>
        <v>-51.397419338059997</v>
      </c>
      <c r="O160" s="23">
        <f t="shared" si="32"/>
        <v>7.702283255639486E-12</v>
      </c>
      <c r="P160" s="22">
        <f t="shared" si="33"/>
        <v>5.999822860758286E-11</v>
      </c>
      <c r="Q160" s="16">
        <f t="shared" si="34"/>
        <v>175.89683806747939</v>
      </c>
      <c r="R160" s="23">
        <f t="shared" si="25"/>
        <v>1.6200374375330284E-12</v>
      </c>
      <c r="S160" s="22">
        <f t="shared" si="26"/>
        <v>4.794173946720548E-10</v>
      </c>
      <c r="T160" s="16">
        <f t="shared" si="35"/>
        <v>352.23741695291295</v>
      </c>
      <c r="U160" s="23">
        <f t="shared" si="27"/>
        <v>9.6633812063373625E-13</v>
      </c>
      <c r="V160" s="22">
        <f t="shared" si="28"/>
        <v>4.708704182121437E-8</v>
      </c>
    </row>
    <row r="161" spans="1:22" x14ac:dyDescent="0.45">
      <c r="A161">
        <v>85.193060000000003</v>
      </c>
      <c r="B161">
        <v>-48.257959999999997</v>
      </c>
      <c r="C161">
        <v>98.196830000000006</v>
      </c>
      <c r="D161">
        <v>2348678.6216000002</v>
      </c>
      <c r="E161" s="13">
        <v>67.783943316787898</v>
      </c>
      <c r="F161" s="13">
        <v>21.752296001947201</v>
      </c>
      <c r="G161" s="13">
        <v>167.32228220945601</v>
      </c>
      <c r="H161" s="13">
        <f t="shared" si="29"/>
        <v>167.32228220945601</v>
      </c>
      <c r="I161" s="9">
        <v>67.783943312999995</v>
      </c>
      <c r="J161" s="9">
        <v>21.752296004000002</v>
      </c>
      <c r="K161" s="9">
        <f t="shared" si="30"/>
        <v>21.752296004000016</v>
      </c>
      <c r="L161" s="10">
        <v>347.32228199999997</v>
      </c>
      <c r="M161" s="3">
        <f t="shared" si="31"/>
        <v>167.32228199999997</v>
      </c>
      <c r="N161" s="15">
        <f t="shared" si="24"/>
        <v>67.783943316831255</v>
      </c>
      <c r="O161" s="23">
        <f t="shared" si="32"/>
        <v>4.3357317736081313E-11</v>
      </c>
      <c r="P161" s="22">
        <f t="shared" si="33"/>
        <v>3.8312606420731754E-9</v>
      </c>
      <c r="Q161" s="16">
        <f t="shared" si="34"/>
        <v>21.752296001913493</v>
      </c>
      <c r="R161" s="23">
        <f t="shared" si="25"/>
        <v>3.3708147384459153E-11</v>
      </c>
      <c r="S161" s="22">
        <f t="shared" si="26"/>
        <v>2.0865229544142494E-9</v>
      </c>
      <c r="T161" s="16">
        <f t="shared" si="35"/>
        <v>167.32228220943179</v>
      </c>
      <c r="U161" s="23">
        <f t="shared" si="27"/>
        <v>2.4215296434704214E-11</v>
      </c>
      <c r="V161" s="22">
        <f t="shared" si="28"/>
        <v>2.0943181766597263E-7</v>
      </c>
    </row>
    <row r="162" spans="1:22" x14ac:dyDescent="0.45">
      <c r="A162">
        <v>82.395070000000004</v>
      </c>
      <c r="B162">
        <v>-52.371380000000002</v>
      </c>
      <c r="C162">
        <v>316.65381000000002</v>
      </c>
      <c r="D162">
        <v>2636.9313999999999</v>
      </c>
      <c r="E162" s="13">
        <v>82.412224417826906</v>
      </c>
      <c r="F162" s="13">
        <v>-52.494110806558503</v>
      </c>
      <c r="G162" s="13">
        <v>-43.467843717914903</v>
      </c>
      <c r="H162" s="13">
        <f t="shared" si="29"/>
        <v>316.53215628208511</v>
      </c>
      <c r="I162" s="11">
        <v>82.412224417999994</v>
      </c>
      <c r="J162" s="11">
        <v>-52.494110806999998</v>
      </c>
      <c r="K162" s="9">
        <f t="shared" si="30"/>
        <v>-52.494110806999998</v>
      </c>
      <c r="L162" s="12">
        <v>136.53215599999999</v>
      </c>
      <c r="M162" s="3">
        <f t="shared" si="31"/>
        <v>316.53215599999999</v>
      </c>
      <c r="N162" s="15">
        <f t="shared" si="24"/>
        <v>82.412224417826664</v>
      </c>
      <c r="O162" s="23">
        <f t="shared" si="32"/>
        <v>2.4158453015843406E-13</v>
      </c>
      <c r="P162" s="22">
        <f t="shared" si="33"/>
        <v>1.7332979496131884E-10</v>
      </c>
      <c r="Q162" s="16">
        <f t="shared" si="34"/>
        <v>-52.4941108065576</v>
      </c>
      <c r="R162" s="23">
        <f t="shared" si="25"/>
        <v>9.0238927441532724E-13</v>
      </c>
      <c r="S162" s="22">
        <f t="shared" si="26"/>
        <v>4.4239811813895358E-10</v>
      </c>
      <c r="T162" s="16">
        <f t="shared" si="35"/>
        <v>316.53215628208562</v>
      </c>
      <c r="U162" s="23">
        <f t="shared" si="27"/>
        <v>5.1159076974727213E-13</v>
      </c>
      <c r="V162" s="22">
        <f t="shared" si="28"/>
        <v>2.8208563662701636E-7</v>
      </c>
    </row>
    <row r="163" spans="1:22" x14ac:dyDescent="0.45">
      <c r="A163">
        <v>-59.903570000000002</v>
      </c>
      <c r="B163">
        <v>108.36845</v>
      </c>
      <c r="C163">
        <v>145.06591</v>
      </c>
      <c r="D163">
        <v>1868677.4461000001</v>
      </c>
      <c r="E163" s="13">
        <v>-71.261431280904006</v>
      </c>
      <c r="F163" s="13">
        <v>139.25196402509101</v>
      </c>
      <c r="G163" s="13">
        <v>116.69530837372599</v>
      </c>
      <c r="H163" s="13">
        <f t="shared" si="29"/>
        <v>116.69530837372599</v>
      </c>
      <c r="I163" s="9">
        <v>-71.261431281</v>
      </c>
      <c r="J163" s="9">
        <v>139.251964023</v>
      </c>
      <c r="K163" s="9">
        <f t="shared" si="30"/>
        <v>139.25196402300003</v>
      </c>
      <c r="L163" s="10">
        <v>296.69530800000001</v>
      </c>
      <c r="M163" s="3">
        <f t="shared" si="31"/>
        <v>116.69530800000001</v>
      </c>
      <c r="N163" s="15">
        <f t="shared" si="24"/>
        <v>-71.261431280916</v>
      </c>
      <c r="O163" s="23">
        <f t="shared" si="32"/>
        <v>1.1993961379630491E-11</v>
      </c>
      <c r="P163" s="22">
        <f t="shared" si="33"/>
        <v>8.4000362221559044E-11</v>
      </c>
      <c r="Q163" s="16">
        <f t="shared" si="34"/>
        <v>139.25196402514587</v>
      </c>
      <c r="R163" s="23">
        <f t="shared" si="25"/>
        <v>5.4853899200679734E-11</v>
      </c>
      <c r="S163" s="22">
        <f t="shared" si="26"/>
        <v>2.1458390619955026E-9</v>
      </c>
      <c r="T163" s="16">
        <f t="shared" si="35"/>
        <v>116.69530837365518</v>
      </c>
      <c r="U163" s="23">
        <f t="shared" si="27"/>
        <v>7.0812689045851585E-11</v>
      </c>
      <c r="V163" s="22">
        <f t="shared" si="28"/>
        <v>3.7365516902809759E-7</v>
      </c>
    </row>
    <row r="164" spans="1:22" x14ac:dyDescent="0.45">
      <c r="A164">
        <v>-89.752740000000003</v>
      </c>
      <c r="B164">
        <v>10.639889999999999</v>
      </c>
      <c r="C164">
        <v>279.07071000000002</v>
      </c>
      <c r="D164">
        <v>1326845.2703</v>
      </c>
      <c r="E164" s="13">
        <v>-78.077538653448798</v>
      </c>
      <c r="F164" s="13">
        <v>-69.132647612605595</v>
      </c>
      <c r="G164" s="13">
        <v>-1.1821588711737601</v>
      </c>
      <c r="H164" s="13">
        <f t="shared" si="29"/>
        <v>358.81784112882622</v>
      </c>
      <c r="I164" s="11">
        <v>-78.077538656000002</v>
      </c>
      <c r="J164" s="11">
        <v>-69.132647612</v>
      </c>
      <c r="K164" s="9">
        <f t="shared" si="30"/>
        <v>-69.132647612</v>
      </c>
      <c r="L164" s="12">
        <v>178.81784099999999</v>
      </c>
      <c r="M164" s="3">
        <f t="shared" si="31"/>
        <v>358.81784099999999</v>
      </c>
      <c r="N164" s="15">
        <f t="shared" si="24"/>
        <v>-78.077538653450944</v>
      </c>
      <c r="O164" s="23">
        <f t="shared" si="32"/>
        <v>2.1458390619955026E-12</v>
      </c>
      <c r="P164" s="22">
        <f t="shared" si="33"/>
        <v>2.5490578536846442E-9</v>
      </c>
      <c r="Q164" s="16">
        <f t="shared" si="34"/>
        <v>-69.132647612604927</v>
      </c>
      <c r="R164" s="23">
        <f t="shared" si="25"/>
        <v>6.6791017161449417E-13</v>
      </c>
      <c r="S164" s="22">
        <f t="shared" si="26"/>
        <v>6.0492766351671889E-10</v>
      </c>
      <c r="T164" s="16">
        <f t="shared" si="35"/>
        <v>358.81784112882553</v>
      </c>
      <c r="U164" s="23">
        <f t="shared" si="27"/>
        <v>6.8212102632969618E-13</v>
      </c>
      <c r="V164" s="22">
        <f t="shared" si="28"/>
        <v>1.28825547562883E-7</v>
      </c>
    </row>
    <row r="165" spans="1:22" x14ac:dyDescent="0.45">
      <c r="A165">
        <v>87.834500000000006</v>
      </c>
      <c r="B165">
        <v>160.72366</v>
      </c>
      <c r="C165">
        <v>295.68838</v>
      </c>
      <c r="D165">
        <v>2618896.7393999998</v>
      </c>
      <c r="E165" s="13">
        <v>67.400454967998598</v>
      </c>
      <c r="F165" s="13">
        <v>49.716939323144999</v>
      </c>
      <c r="G165" s="13">
        <v>-174.91387868047801</v>
      </c>
      <c r="H165" s="13">
        <f t="shared" si="29"/>
        <v>185.08612131952199</v>
      </c>
      <c r="I165" s="9">
        <v>67.400454972000006</v>
      </c>
      <c r="J165" s="9">
        <v>49.716939324000002</v>
      </c>
      <c r="K165" s="9">
        <f t="shared" si="30"/>
        <v>49.716939324000009</v>
      </c>
      <c r="L165" s="10">
        <v>5.0861210000000003</v>
      </c>
      <c r="M165" s="3">
        <f t="shared" si="31"/>
        <v>185.08612099999999</v>
      </c>
      <c r="N165" s="15">
        <f t="shared" si="24"/>
        <v>67.400454967987187</v>
      </c>
      <c r="O165" s="23">
        <f t="shared" si="32"/>
        <v>1.1411316336307209E-11</v>
      </c>
      <c r="P165" s="22">
        <f t="shared" si="33"/>
        <v>4.0128185219145962E-9</v>
      </c>
      <c r="Q165" s="16">
        <f t="shared" si="34"/>
        <v>49.716939323146448</v>
      </c>
      <c r="R165" s="23">
        <f t="shared" si="25"/>
        <v>1.4495071809506044E-12</v>
      </c>
      <c r="S165" s="22">
        <f t="shared" si="26"/>
        <v>8.5356077761389315E-10</v>
      </c>
      <c r="T165" s="16">
        <f t="shared" si="35"/>
        <v>185.08612131951995</v>
      </c>
      <c r="U165" s="23">
        <f t="shared" si="27"/>
        <v>2.0463630789890885E-12</v>
      </c>
      <c r="V165" s="22">
        <f t="shared" si="28"/>
        <v>3.1951995538292977E-7</v>
      </c>
    </row>
    <row r="166" spans="1:22" x14ac:dyDescent="0.45">
      <c r="A166">
        <v>-46.257820000000002</v>
      </c>
      <c r="B166">
        <v>128.56489999999999</v>
      </c>
      <c r="C166">
        <v>346.95398</v>
      </c>
      <c r="D166">
        <v>870222.554</v>
      </c>
      <c r="E166" s="13">
        <v>-38.601950997436703</v>
      </c>
      <c r="F166" s="13">
        <v>126.316245122601</v>
      </c>
      <c r="G166" s="13">
        <v>-11.525373924079799</v>
      </c>
      <c r="H166" s="13">
        <f t="shared" si="29"/>
        <v>348.47462607592018</v>
      </c>
      <c r="I166" s="11">
        <v>-38.601950997000003</v>
      </c>
      <c r="J166" s="11">
        <v>126.316245123</v>
      </c>
      <c r="K166" s="9">
        <f t="shared" si="30"/>
        <v>126.31624512299999</v>
      </c>
      <c r="L166" s="12">
        <v>168.474626</v>
      </c>
      <c r="M166" s="3">
        <f t="shared" si="31"/>
        <v>348.474626</v>
      </c>
      <c r="N166" s="15">
        <f t="shared" si="24"/>
        <v>-38.601950997407123</v>
      </c>
      <c r="O166" s="23">
        <f t="shared" si="32"/>
        <v>2.9579894089692971E-11</v>
      </c>
      <c r="P166" s="22">
        <f t="shared" si="33"/>
        <v>4.071196713084646E-10</v>
      </c>
      <c r="Q166" s="16">
        <f t="shared" si="34"/>
        <v>126.31624512259896</v>
      </c>
      <c r="R166" s="23">
        <f t="shared" si="25"/>
        <v>2.0463630789890885E-12</v>
      </c>
      <c r="S166" s="22">
        <f t="shared" si="26"/>
        <v>4.0103032006300054E-10</v>
      </c>
      <c r="T166" s="16">
        <f t="shared" si="35"/>
        <v>348.47462607592468</v>
      </c>
      <c r="U166" s="23">
        <f t="shared" si="27"/>
        <v>4.4906300900038332E-12</v>
      </c>
      <c r="V166" s="22">
        <f t="shared" si="28"/>
        <v>7.592467454742291E-8</v>
      </c>
    </row>
    <row r="167" spans="1:22" x14ac:dyDescent="0.45">
      <c r="A167">
        <v>56.544490000000003</v>
      </c>
      <c r="B167">
        <v>80.514269999999996</v>
      </c>
      <c r="C167">
        <v>274.28678000000002</v>
      </c>
      <c r="D167">
        <v>181242.50839999999</v>
      </c>
      <c r="E167" s="13">
        <v>56.631323198368598</v>
      </c>
      <c r="F167" s="13">
        <v>77.568442970676202</v>
      </c>
      <c r="G167" s="13">
        <v>-88.1723603611523</v>
      </c>
      <c r="H167" s="13">
        <f t="shared" si="29"/>
        <v>271.8276396388477</v>
      </c>
      <c r="I167" s="9">
        <v>56.631323197999997</v>
      </c>
      <c r="J167" s="9">
        <v>77.568442970999996</v>
      </c>
      <c r="K167" s="9">
        <f t="shared" si="30"/>
        <v>77.568442970999968</v>
      </c>
      <c r="L167" s="10">
        <v>91.827640000000002</v>
      </c>
      <c r="M167" s="3">
        <f t="shared" si="31"/>
        <v>271.82763999999997</v>
      </c>
      <c r="N167" s="15">
        <f t="shared" si="24"/>
        <v>56.631323198368513</v>
      </c>
      <c r="O167" s="23">
        <f t="shared" si="32"/>
        <v>8.5265128291212022E-14</v>
      </c>
      <c r="P167" s="22">
        <f t="shared" si="33"/>
        <v>3.6851588447461836E-10</v>
      </c>
      <c r="Q167" s="16">
        <f t="shared" si="34"/>
        <v>77.568442970683407</v>
      </c>
      <c r="R167" s="23">
        <f t="shared" si="25"/>
        <v>7.2049033406074159E-12</v>
      </c>
      <c r="S167" s="22">
        <f t="shared" si="26"/>
        <v>3.1656099963583983E-10</v>
      </c>
      <c r="T167" s="16">
        <f t="shared" si="35"/>
        <v>271.82763963884713</v>
      </c>
      <c r="U167" s="23">
        <f t="shared" si="27"/>
        <v>5.6843418860808015E-13</v>
      </c>
      <c r="V167" s="22">
        <f t="shared" si="28"/>
        <v>3.6115284274274018E-7</v>
      </c>
    </row>
    <row r="168" spans="1:22" x14ac:dyDescent="0.45">
      <c r="A168">
        <v>28.704160000000002</v>
      </c>
      <c r="B168">
        <v>37.652299999999997</v>
      </c>
      <c r="C168">
        <v>298.13015999999999</v>
      </c>
      <c r="D168">
        <v>2847014.2115000002</v>
      </c>
      <c r="E168" s="13">
        <v>37.750741355019997</v>
      </c>
      <c r="F168" s="13">
        <v>8.9077156504208705</v>
      </c>
      <c r="G168" s="13">
        <v>-77.905782513220302</v>
      </c>
      <c r="H168" s="13">
        <f t="shared" si="29"/>
        <v>282.09421748677971</v>
      </c>
      <c r="I168" s="11">
        <v>37.750741355999999</v>
      </c>
      <c r="J168" s="11">
        <v>8.9077156449999997</v>
      </c>
      <c r="K168" s="9">
        <f t="shared" si="30"/>
        <v>8.9077156449999961</v>
      </c>
      <c r="L168" s="12">
        <v>102.094217</v>
      </c>
      <c r="M168" s="3">
        <f t="shared" si="31"/>
        <v>282.09421700000001</v>
      </c>
      <c r="N168" s="15">
        <f t="shared" si="24"/>
        <v>37.750741355045889</v>
      </c>
      <c r="O168" s="23">
        <f t="shared" si="32"/>
        <v>2.5892177291098051E-11</v>
      </c>
      <c r="P168" s="22">
        <f t="shared" si="33"/>
        <v>9.5410968015130493E-10</v>
      </c>
      <c r="Q168" s="16">
        <f t="shared" si="34"/>
        <v>8.9077156504382629</v>
      </c>
      <c r="R168" s="23">
        <f t="shared" si="25"/>
        <v>1.7392309814567852E-11</v>
      </c>
      <c r="S168" s="22">
        <f t="shared" si="26"/>
        <v>5.4382667258323636E-9</v>
      </c>
      <c r="T168" s="16">
        <f t="shared" si="35"/>
        <v>282.09421748668575</v>
      </c>
      <c r="U168" s="23">
        <f t="shared" si="27"/>
        <v>9.3962171376915649E-11</v>
      </c>
      <c r="V168" s="22">
        <f t="shared" si="28"/>
        <v>4.8668573526811088E-7</v>
      </c>
    </row>
    <row r="169" spans="1:22" x14ac:dyDescent="0.45">
      <c r="A169">
        <v>57.864229999999999</v>
      </c>
      <c r="B169">
        <v>-127.27303000000001</v>
      </c>
      <c r="C169">
        <v>287.40098</v>
      </c>
      <c r="D169">
        <v>2605914.9846000001</v>
      </c>
      <c r="E169" s="13">
        <v>57.189154326735398</v>
      </c>
      <c r="F169" s="13">
        <v>-171.54663093782801</v>
      </c>
      <c r="G169" s="13">
        <v>-110.48490582655801</v>
      </c>
      <c r="H169" s="13">
        <f t="shared" si="29"/>
        <v>249.51509417344198</v>
      </c>
      <c r="I169" s="9">
        <v>57.189154324999997</v>
      </c>
      <c r="J169" s="9">
        <v>-171.54663094399999</v>
      </c>
      <c r="K169" s="9">
        <f t="shared" si="30"/>
        <v>-171.54663094399999</v>
      </c>
      <c r="L169" s="10">
        <v>69.515094000000005</v>
      </c>
      <c r="M169" s="3">
        <f t="shared" si="31"/>
        <v>249.515094</v>
      </c>
      <c r="N169" s="15">
        <f t="shared" si="24"/>
        <v>57.189154326734815</v>
      </c>
      <c r="O169" s="23">
        <f t="shared" si="32"/>
        <v>5.8264504332328215E-13</v>
      </c>
      <c r="P169" s="22">
        <f t="shared" si="33"/>
        <v>1.734818511067715E-9</v>
      </c>
      <c r="Q169" s="16">
        <f t="shared" si="34"/>
        <v>-171.54663093774062</v>
      </c>
      <c r="R169" s="23">
        <f t="shared" si="25"/>
        <v>8.7396756498492323E-11</v>
      </c>
      <c r="S169" s="22">
        <f t="shared" si="26"/>
        <v>6.2593699112767354E-9</v>
      </c>
      <c r="T169" s="16">
        <f t="shared" si="35"/>
        <v>249.51509417344033</v>
      </c>
      <c r="U169" s="23">
        <f t="shared" si="27"/>
        <v>1.6484591469634324E-12</v>
      </c>
      <c r="V169" s="22">
        <f t="shared" si="28"/>
        <v>1.7344032698929368E-7</v>
      </c>
    </row>
    <row r="170" spans="1:22" x14ac:dyDescent="0.45">
      <c r="A170">
        <v>-3.3862000000000001</v>
      </c>
      <c r="B170">
        <v>7.5736299999999996</v>
      </c>
      <c r="C170">
        <v>116.54897</v>
      </c>
      <c r="D170">
        <v>2164002.2919000001</v>
      </c>
      <c r="E170" s="13">
        <v>-11.8363525265663</v>
      </c>
      <c r="F170" s="13">
        <v>25.279856065005699</v>
      </c>
      <c r="G170" s="13">
        <v>114.178654167017</v>
      </c>
      <c r="H170" s="13">
        <f t="shared" si="29"/>
        <v>114.178654167017</v>
      </c>
      <c r="I170" s="11">
        <v>-11.836352527000001</v>
      </c>
      <c r="J170" s="11">
        <v>25.279856066000001</v>
      </c>
      <c r="K170" s="9">
        <f t="shared" si="30"/>
        <v>25.279856066000008</v>
      </c>
      <c r="L170" s="12">
        <v>294.17865399999999</v>
      </c>
      <c r="M170" s="3">
        <f t="shared" si="31"/>
        <v>114.17865399999999</v>
      </c>
      <c r="N170" s="15">
        <f t="shared" si="24"/>
        <v>-11.836352526622109</v>
      </c>
      <c r="O170" s="23">
        <f t="shared" si="32"/>
        <v>5.5809579180277069E-11</v>
      </c>
      <c r="P170" s="22">
        <f t="shared" si="33"/>
        <v>3.7789149587297288E-10</v>
      </c>
      <c r="Q170" s="16">
        <f t="shared" si="34"/>
        <v>25.279856065116405</v>
      </c>
      <c r="R170" s="23">
        <f t="shared" si="25"/>
        <v>1.1070611094510241E-10</v>
      </c>
      <c r="S170" s="22">
        <f t="shared" si="26"/>
        <v>8.8360252448183019E-10</v>
      </c>
      <c r="T170" s="16">
        <f t="shared" si="35"/>
        <v>114.17865416699121</v>
      </c>
      <c r="U170" s="23">
        <f t="shared" si="27"/>
        <v>2.5792701308091637E-11</v>
      </c>
      <c r="V170" s="22">
        <f t="shared" si="28"/>
        <v>1.6699121374585957E-7</v>
      </c>
    </row>
    <row r="171" spans="1:22" x14ac:dyDescent="0.45">
      <c r="A171">
        <v>-80.098529999999997</v>
      </c>
      <c r="B171">
        <v>-167.62505999999999</v>
      </c>
      <c r="C171">
        <v>342.86336</v>
      </c>
      <c r="D171">
        <v>2374062.4010000001</v>
      </c>
      <c r="E171" s="13">
        <v>-59.1238182501084</v>
      </c>
      <c r="F171" s="13">
        <v>-179.649111774517</v>
      </c>
      <c r="G171" s="13">
        <v>-5.6705080743902201</v>
      </c>
      <c r="H171" s="13">
        <f t="shared" si="29"/>
        <v>354.32949192560977</v>
      </c>
      <c r="I171" s="9">
        <v>-59.123818249999999</v>
      </c>
      <c r="J171" s="9">
        <v>-179.64911177499999</v>
      </c>
      <c r="K171" s="9">
        <f t="shared" si="30"/>
        <v>-179.64911177499999</v>
      </c>
      <c r="L171" s="10">
        <v>174.32949199999999</v>
      </c>
      <c r="M171" s="3">
        <f t="shared" si="31"/>
        <v>354.32949199999996</v>
      </c>
      <c r="N171" s="15">
        <f t="shared" si="24"/>
        <v>-59.123818250086764</v>
      </c>
      <c r="O171" s="23">
        <f t="shared" si="32"/>
        <v>2.1636026303895051E-11</v>
      </c>
      <c r="P171" s="22">
        <f t="shared" si="33"/>
        <v>8.6764373463665834E-11</v>
      </c>
      <c r="Q171" s="16">
        <f t="shared" si="34"/>
        <v>-179.64911177451842</v>
      </c>
      <c r="R171" s="23">
        <f t="shared" si="25"/>
        <v>1.4210854715202004E-12</v>
      </c>
      <c r="S171" s="22">
        <f t="shared" si="26"/>
        <v>4.815774445887655E-10</v>
      </c>
      <c r="T171" s="16">
        <f t="shared" si="35"/>
        <v>354.32949192561318</v>
      </c>
      <c r="U171" s="23">
        <f t="shared" si="27"/>
        <v>3.4106051316484809E-12</v>
      </c>
      <c r="V171" s="22">
        <f t="shared" si="28"/>
        <v>7.4386775850143749E-8</v>
      </c>
    </row>
    <row r="172" spans="1:22" x14ac:dyDescent="0.45">
      <c r="A172">
        <v>-25.796659999999999</v>
      </c>
      <c r="B172">
        <v>-91.601020000000005</v>
      </c>
      <c r="C172">
        <v>110.88793</v>
      </c>
      <c r="D172">
        <v>1445060.1989</v>
      </c>
      <c r="E172" s="13">
        <v>-29.764890153602199</v>
      </c>
      <c r="F172" s="13">
        <v>-77.621978794453597</v>
      </c>
      <c r="G172" s="13">
        <v>104.342977331781</v>
      </c>
      <c r="H172" s="13">
        <f t="shared" si="29"/>
        <v>104.342977331781</v>
      </c>
      <c r="I172" s="11">
        <v>-29.764890154</v>
      </c>
      <c r="J172" s="11">
        <v>-77.621978794</v>
      </c>
      <c r="K172" s="9">
        <f t="shared" si="30"/>
        <v>-77.621978794</v>
      </c>
      <c r="L172" s="12">
        <v>284.34297700000002</v>
      </c>
      <c r="M172" s="3">
        <f t="shared" si="31"/>
        <v>104.34297700000002</v>
      </c>
      <c r="N172" s="15">
        <f t="shared" si="24"/>
        <v>-29.764890153620097</v>
      </c>
      <c r="O172" s="23">
        <f t="shared" si="32"/>
        <v>1.7898571513796924E-11</v>
      </c>
      <c r="P172" s="22">
        <f t="shared" si="33"/>
        <v>3.7990233181517397E-10</v>
      </c>
      <c r="Q172" s="16">
        <f t="shared" si="34"/>
        <v>-77.621978794459523</v>
      </c>
      <c r="R172" s="23">
        <f t="shared" si="25"/>
        <v>5.9259264162392356E-12</v>
      </c>
      <c r="S172" s="22">
        <f t="shared" si="26"/>
        <v>4.5952219807077199E-10</v>
      </c>
      <c r="T172" s="16">
        <f t="shared" si="35"/>
        <v>104.34297733174127</v>
      </c>
      <c r="U172" s="23">
        <f t="shared" si="27"/>
        <v>3.9733549783704802E-11</v>
      </c>
      <c r="V172" s="22">
        <f t="shared" si="28"/>
        <v>3.3174124780543934E-7</v>
      </c>
    </row>
    <row r="173" spans="1:22" x14ac:dyDescent="0.45">
      <c r="A173">
        <v>-15.803190000000001</v>
      </c>
      <c r="B173">
        <v>62.382840000000002</v>
      </c>
      <c r="C173">
        <v>103.39551</v>
      </c>
      <c r="D173">
        <v>371706.70150000002</v>
      </c>
      <c r="E173" s="13">
        <v>-16.554647608692701</v>
      </c>
      <c r="F173" s="13">
        <v>65.770698520245304</v>
      </c>
      <c r="G173" s="13">
        <v>102.451248965359</v>
      </c>
      <c r="H173" s="13">
        <f t="shared" si="29"/>
        <v>102.451248965359</v>
      </c>
      <c r="I173" s="9">
        <v>-16.554647609</v>
      </c>
      <c r="J173" s="9">
        <v>65.770698519999996</v>
      </c>
      <c r="K173" s="9">
        <f t="shared" si="30"/>
        <v>65.770698519999996</v>
      </c>
      <c r="L173" s="10">
        <v>282.45124900000002</v>
      </c>
      <c r="M173" s="3">
        <f t="shared" si="31"/>
        <v>102.45124900000002</v>
      </c>
      <c r="N173" s="15">
        <f t="shared" si="24"/>
        <v>-16.554647608697586</v>
      </c>
      <c r="O173" s="23">
        <f t="shared" si="32"/>
        <v>4.8849813083506888E-12</v>
      </c>
      <c r="P173" s="22">
        <f t="shared" si="33"/>
        <v>3.0241409376685624E-10</v>
      </c>
      <c r="Q173" s="16">
        <f t="shared" si="34"/>
        <v>65.770698520255962</v>
      </c>
      <c r="R173" s="23">
        <f t="shared" si="25"/>
        <v>1.0658141036401503E-11</v>
      </c>
      <c r="S173" s="22">
        <f t="shared" si="26"/>
        <v>2.5596591513021849E-10</v>
      </c>
      <c r="T173" s="16">
        <f t="shared" si="35"/>
        <v>102.4512489653526</v>
      </c>
      <c r="U173" s="23">
        <f t="shared" si="27"/>
        <v>6.3948846218409017E-12</v>
      </c>
      <c r="V173" s="22">
        <f t="shared" si="28"/>
        <v>3.4647413826860429E-8</v>
      </c>
    </row>
    <row r="174" spans="1:22" x14ac:dyDescent="0.45">
      <c r="A174">
        <v>-20.979209999999998</v>
      </c>
      <c r="B174">
        <v>130.19318999999999</v>
      </c>
      <c r="C174">
        <v>323.70004999999998</v>
      </c>
      <c r="D174">
        <v>473620.68780000001</v>
      </c>
      <c r="E174" s="13">
        <v>-17.511175624978101</v>
      </c>
      <c r="F174" s="13">
        <v>127.554314192508</v>
      </c>
      <c r="G174" s="13">
        <v>-35.429608337755297</v>
      </c>
      <c r="H174" s="13">
        <f t="shared" si="29"/>
        <v>324.57039166224467</v>
      </c>
      <c r="I174" s="11">
        <v>-17.511175625</v>
      </c>
      <c r="J174" s="11">
        <v>127.554314193</v>
      </c>
      <c r="K174" s="9">
        <f t="shared" si="30"/>
        <v>127.55431419299998</v>
      </c>
      <c r="L174" s="12">
        <v>144.570392</v>
      </c>
      <c r="M174" s="3">
        <f t="shared" si="31"/>
        <v>324.57039199999997</v>
      </c>
      <c r="N174" s="15">
        <f t="shared" si="24"/>
        <v>-17.511175624957403</v>
      </c>
      <c r="O174" s="23">
        <f t="shared" si="32"/>
        <v>2.0698109892691718E-11</v>
      </c>
      <c r="P174" s="22">
        <f t="shared" si="33"/>
        <v>4.2597037008818006E-11</v>
      </c>
      <c r="Q174" s="16">
        <f t="shared" si="34"/>
        <v>127.55431419249862</v>
      </c>
      <c r="R174" s="23">
        <f t="shared" si="25"/>
        <v>9.3791641120333225E-12</v>
      </c>
      <c r="S174" s="22">
        <f t="shared" si="26"/>
        <v>5.0135895435232669E-10</v>
      </c>
      <c r="T174" s="16">
        <f t="shared" si="35"/>
        <v>324.57039166224899</v>
      </c>
      <c r="U174" s="23">
        <f t="shared" si="27"/>
        <v>4.3200998334214091E-12</v>
      </c>
      <c r="V174" s="22">
        <f t="shared" si="28"/>
        <v>3.3775097563193412E-7</v>
      </c>
    </row>
    <row r="175" spans="1:22" x14ac:dyDescent="0.45">
      <c r="A175">
        <v>-14.930389999999999</v>
      </c>
      <c r="B175">
        <v>52.182670000000002</v>
      </c>
      <c r="C175">
        <v>183.96492000000001</v>
      </c>
      <c r="D175">
        <v>1869949.3873000001</v>
      </c>
      <c r="E175" s="13">
        <v>-31.768885829873899</v>
      </c>
      <c r="F175" s="13">
        <v>50.837175086012699</v>
      </c>
      <c r="G175" s="13">
        <v>-175.49595304104901</v>
      </c>
      <c r="H175" s="13">
        <f t="shared" si="29"/>
        <v>184.50404695895099</v>
      </c>
      <c r="I175" s="9">
        <v>-31.768885826999998</v>
      </c>
      <c r="J175" s="9">
        <v>50.837175086000002</v>
      </c>
      <c r="K175" s="9">
        <f t="shared" si="30"/>
        <v>50.837175086000002</v>
      </c>
      <c r="L175" s="10">
        <v>4.5040469999999999</v>
      </c>
      <c r="M175" s="3">
        <f t="shared" si="31"/>
        <v>184.50404700000001</v>
      </c>
      <c r="N175" s="15">
        <f t="shared" si="24"/>
        <v>-31.768885829971374</v>
      </c>
      <c r="O175" s="23">
        <f t="shared" si="32"/>
        <v>9.7475805205249344E-11</v>
      </c>
      <c r="P175" s="22">
        <f t="shared" si="33"/>
        <v>2.9713760341110174E-9</v>
      </c>
      <c r="Q175" s="16">
        <f t="shared" si="34"/>
        <v>50.837175086007903</v>
      </c>
      <c r="R175" s="23">
        <f t="shared" si="25"/>
        <v>4.7961634663806763E-12</v>
      </c>
      <c r="S175" s="22">
        <f t="shared" si="26"/>
        <v>7.9012352216523141E-12</v>
      </c>
      <c r="T175" s="16">
        <f t="shared" si="35"/>
        <v>184.50404695895509</v>
      </c>
      <c r="U175" s="23">
        <f t="shared" si="27"/>
        <v>4.0927261579781771E-12</v>
      </c>
      <c r="V175" s="22">
        <f t="shared" si="28"/>
        <v>4.1044927456823643E-8</v>
      </c>
    </row>
    <row r="176" spans="1:22" x14ac:dyDescent="0.45">
      <c r="A176">
        <v>22.319859999999998</v>
      </c>
      <c r="B176">
        <v>107.55486000000001</v>
      </c>
      <c r="C176">
        <v>345.03863999999999</v>
      </c>
      <c r="D176">
        <v>1165528.9177999999</v>
      </c>
      <c r="E176" s="13">
        <v>32.4486554566747</v>
      </c>
      <c r="F176" s="13">
        <v>104.371006665674</v>
      </c>
      <c r="G176" s="13">
        <v>-16.431850705150499</v>
      </c>
      <c r="H176" s="13">
        <f t="shared" si="29"/>
        <v>343.56814929484949</v>
      </c>
      <c r="I176" s="11">
        <v>32.448655457999998</v>
      </c>
      <c r="J176" s="11">
        <v>104.371006665</v>
      </c>
      <c r="K176" s="9">
        <f t="shared" si="30"/>
        <v>104.37100666499998</v>
      </c>
      <c r="L176" s="12">
        <v>163.56814900000001</v>
      </c>
      <c r="M176" s="3">
        <f t="shared" si="31"/>
        <v>343.56814900000001</v>
      </c>
      <c r="N176" s="15">
        <f t="shared" si="24"/>
        <v>32.44865545673251</v>
      </c>
      <c r="O176" s="23">
        <f t="shared" si="32"/>
        <v>5.7809756981441751E-11</v>
      </c>
      <c r="P176" s="22">
        <f t="shared" si="33"/>
        <v>1.2674874483309395E-9</v>
      </c>
      <c r="Q176" s="16">
        <f t="shared" si="34"/>
        <v>104.37100666566505</v>
      </c>
      <c r="R176" s="23">
        <f t="shared" si="25"/>
        <v>8.9528384705772623E-12</v>
      </c>
      <c r="S176" s="22">
        <f t="shared" si="26"/>
        <v>6.6506800067145377E-10</v>
      </c>
      <c r="T176" s="16">
        <f t="shared" si="35"/>
        <v>343.56814929483824</v>
      </c>
      <c r="U176" s="23">
        <f t="shared" si="27"/>
        <v>1.1254996934439987E-11</v>
      </c>
      <c r="V176" s="22">
        <f t="shared" si="28"/>
        <v>2.9483823027476319E-7</v>
      </c>
    </row>
    <row r="177" spans="1:22" x14ac:dyDescent="0.45">
      <c r="A177">
        <v>11.624750000000001</v>
      </c>
      <c r="B177">
        <v>-125.80128000000001</v>
      </c>
      <c r="C177">
        <v>130.08402000000001</v>
      </c>
      <c r="D177">
        <v>2133546.6453</v>
      </c>
      <c r="E177" s="13">
        <v>-1.0409997814454801</v>
      </c>
      <c r="F177" s="13">
        <v>-111.251856780354</v>
      </c>
      <c r="G177" s="13">
        <v>131.44146656362099</v>
      </c>
      <c r="H177" s="13">
        <f t="shared" si="29"/>
        <v>131.44146656362099</v>
      </c>
      <c r="I177" s="9">
        <v>-1.0409997799999999</v>
      </c>
      <c r="J177" s="9">
        <v>-111.251856782</v>
      </c>
      <c r="K177" s="9">
        <f t="shared" si="30"/>
        <v>-111.251856782</v>
      </c>
      <c r="L177" s="10">
        <v>311.44146699999999</v>
      </c>
      <c r="M177" s="3">
        <f t="shared" si="31"/>
        <v>131.44146699999999</v>
      </c>
      <c r="N177" s="15">
        <f t="shared" si="24"/>
        <v>-1.0409997815311902</v>
      </c>
      <c r="O177" s="23">
        <f t="shared" si="32"/>
        <v>8.5710105679481785E-11</v>
      </c>
      <c r="P177" s="22">
        <f t="shared" si="33"/>
        <v>1.5311902856751658E-9</v>
      </c>
      <c r="Q177" s="16">
        <f t="shared" si="34"/>
        <v>-111.25185678026148</v>
      </c>
      <c r="R177" s="23">
        <f t="shared" si="25"/>
        <v>9.2526875050680246E-11</v>
      </c>
      <c r="S177" s="22">
        <f t="shared" si="26"/>
        <v>1.7385275441483827E-9</v>
      </c>
      <c r="T177" s="16">
        <f t="shared" si="35"/>
        <v>131.44146656361866</v>
      </c>
      <c r="U177" s="23">
        <f t="shared" si="27"/>
        <v>2.3305801732931286E-12</v>
      </c>
      <c r="V177" s="22">
        <f t="shared" si="28"/>
        <v>4.3638132751766534E-7</v>
      </c>
    </row>
    <row r="178" spans="1:22" x14ac:dyDescent="0.45">
      <c r="A178">
        <v>-39.609909999999999</v>
      </c>
      <c r="B178">
        <v>-63.982979999999998</v>
      </c>
      <c r="C178">
        <v>65.534149999999997</v>
      </c>
      <c r="D178">
        <v>1948522.8914000001</v>
      </c>
      <c r="E178" s="13">
        <v>-30.774317569758701</v>
      </c>
      <c r="F178" s="13">
        <v>-45.419423463938003</v>
      </c>
      <c r="G178" s="13">
        <v>54.740515132740498</v>
      </c>
      <c r="H178" s="13">
        <f t="shared" si="29"/>
        <v>54.740515132740498</v>
      </c>
      <c r="I178" s="11">
        <v>-30.774317572000001</v>
      </c>
      <c r="J178" s="11">
        <v>-45.419423467000001</v>
      </c>
      <c r="K178" s="9">
        <f t="shared" si="30"/>
        <v>-45.419423467000001</v>
      </c>
      <c r="L178" s="12">
        <v>234.74051499999999</v>
      </c>
      <c r="M178" s="3">
        <f t="shared" si="31"/>
        <v>54.740514999999959</v>
      </c>
      <c r="N178" s="15">
        <f t="shared" si="24"/>
        <v>-30.774317569709041</v>
      </c>
      <c r="O178" s="23">
        <f t="shared" si="32"/>
        <v>4.9659831802273402E-11</v>
      </c>
      <c r="P178" s="22">
        <f t="shared" si="33"/>
        <v>2.2909603103471454E-9</v>
      </c>
      <c r="Q178" s="16">
        <f t="shared" si="34"/>
        <v>-45.419423463945691</v>
      </c>
      <c r="R178" s="23">
        <f t="shared" si="25"/>
        <v>7.688072400924284E-12</v>
      </c>
      <c r="S178" s="22">
        <f t="shared" si="26"/>
        <v>3.0543105822289363E-9</v>
      </c>
      <c r="T178" s="16">
        <f t="shared" si="35"/>
        <v>54.740515132698803</v>
      </c>
      <c r="U178" s="23">
        <f t="shared" si="27"/>
        <v>4.1694647734402679E-11</v>
      </c>
      <c r="V178" s="22">
        <f t="shared" si="28"/>
        <v>1.3269884391320375E-7</v>
      </c>
    </row>
    <row r="179" spans="1:22" x14ac:dyDescent="0.45">
      <c r="A179">
        <v>-46.98603</v>
      </c>
      <c r="B179">
        <v>9.5822699999999994</v>
      </c>
      <c r="C179">
        <v>213.37765999999999</v>
      </c>
      <c r="D179">
        <v>2987346.8437999999</v>
      </c>
      <c r="E179" s="13">
        <v>-65.458353206503801</v>
      </c>
      <c r="F179" s="13">
        <v>-27.027984800020199</v>
      </c>
      <c r="G179" s="13">
        <v>-115.486944679364</v>
      </c>
      <c r="H179" s="13">
        <f t="shared" si="29"/>
        <v>244.513055320636</v>
      </c>
      <c r="I179" s="9">
        <v>-65.458353207000002</v>
      </c>
      <c r="J179" s="9">
        <v>-27.027984803999999</v>
      </c>
      <c r="K179" s="9">
        <f t="shared" si="30"/>
        <v>-27.027984803999999</v>
      </c>
      <c r="L179" s="10">
        <v>64.513054999999994</v>
      </c>
      <c r="M179" s="3">
        <f t="shared" si="31"/>
        <v>244.51305500000001</v>
      </c>
      <c r="N179" s="15">
        <f t="shared" si="24"/>
        <v>-65.458353206532593</v>
      </c>
      <c r="O179" s="23">
        <f t="shared" si="32"/>
        <v>2.879119165299926E-11</v>
      </c>
      <c r="P179" s="22">
        <f t="shared" si="33"/>
        <v>4.674092224377091E-10</v>
      </c>
      <c r="Q179" s="16">
        <f t="shared" si="34"/>
        <v>-27.02798480012396</v>
      </c>
      <c r="R179" s="23">
        <f t="shared" si="25"/>
        <v>1.0376055570304743E-10</v>
      </c>
      <c r="S179" s="22">
        <f t="shared" si="26"/>
        <v>3.8760390452807769E-9</v>
      </c>
      <c r="T179" s="16">
        <f t="shared" si="35"/>
        <v>244.51305532076725</v>
      </c>
      <c r="U179" s="23">
        <f t="shared" si="27"/>
        <v>1.3125145414960571E-10</v>
      </c>
      <c r="V179" s="22">
        <f t="shared" si="28"/>
        <v>3.2076724210128305E-7</v>
      </c>
    </row>
    <row r="180" spans="1:22" x14ac:dyDescent="0.45">
      <c r="A180">
        <v>89.82347</v>
      </c>
      <c r="B180">
        <v>85.361630000000005</v>
      </c>
      <c r="C180">
        <v>90.753590000000003</v>
      </c>
      <c r="D180">
        <v>2388158.3117999998</v>
      </c>
      <c r="E180" s="13">
        <v>68.605952928229897</v>
      </c>
      <c r="F180" s="13">
        <v>174.157258018363</v>
      </c>
      <c r="G180" s="13">
        <v>179.51588449258901</v>
      </c>
      <c r="H180" s="13">
        <f t="shared" si="29"/>
        <v>179.51588449258901</v>
      </c>
      <c r="I180" s="11">
        <v>68.605952926000001</v>
      </c>
      <c r="J180" s="11">
        <v>174.15725801799999</v>
      </c>
      <c r="K180" s="9">
        <f t="shared" si="30"/>
        <v>174.15725801799999</v>
      </c>
      <c r="L180" s="12">
        <v>359.51588400000003</v>
      </c>
      <c r="M180" s="3">
        <f t="shared" si="31"/>
        <v>179.51588400000003</v>
      </c>
      <c r="N180" s="15">
        <f t="shared" si="24"/>
        <v>68.605952928220276</v>
      </c>
      <c r="O180" s="23">
        <f t="shared" si="32"/>
        <v>9.6207486421917565E-12</v>
      </c>
      <c r="P180" s="22">
        <f t="shared" si="33"/>
        <v>2.2202755189937307E-9</v>
      </c>
      <c r="Q180" s="16">
        <f t="shared" si="34"/>
        <v>174.15725801836265</v>
      </c>
      <c r="R180" s="23">
        <f t="shared" si="25"/>
        <v>3.4106051316484809E-13</v>
      </c>
      <c r="S180" s="22">
        <f t="shared" si="26"/>
        <v>3.6266101233195513E-10</v>
      </c>
      <c r="T180" s="16">
        <f t="shared" si="35"/>
        <v>179.5158844925889</v>
      </c>
      <c r="U180" s="23">
        <f t="shared" si="27"/>
        <v>1.1368683772161603E-13</v>
      </c>
      <c r="V180" s="22">
        <f t="shared" si="28"/>
        <v>4.9258886747338693E-7</v>
      </c>
    </row>
    <row r="181" spans="1:22" x14ac:dyDescent="0.45">
      <c r="A181">
        <v>-45.130540000000003</v>
      </c>
      <c r="B181">
        <v>109.06982000000001</v>
      </c>
      <c r="C181">
        <v>23.030760000000001</v>
      </c>
      <c r="D181">
        <v>1516703.9686</v>
      </c>
      <c r="E181" s="13">
        <v>-32.365237120133301</v>
      </c>
      <c r="F181" s="13">
        <v>115.32760155155</v>
      </c>
      <c r="G181" s="13">
        <v>19.0871787557376</v>
      </c>
      <c r="H181" s="13">
        <f t="shared" si="29"/>
        <v>19.0871787557376</v>
      </c>
      <c r="I181" s="9">
        <v>-32.365237117</v>
      </c>
      <c r="J181" s="9">
        <v>115.32760155299999</v>
      </c>
      <c r="K181" s="9">
        <f t="shared" si="30"/>
        <v>115.32760155300002</v>
      </c>
      <c r="L181" s="10">
        <v>199.08717899999999</v>
      </c>
      <c r="M181" s="3">
        <f t="shared" si="31"/>
        <v>19.087178999999992</v>
      </c>
      <c r="N181" s="15">
        <f t="shared" si="24"/>
        <v>-32.365237120077715</v>
      </c>
      <c r="O181" s="23">
        <f t="shared" si="32"/>
        <v>5.5585758218512638E-11</v>
      </c>
      <c r="P181" s="22">
        <f t="shared" si="33"/>
        <v>3.077715859944874E-9</v>
      </c>
      <c r="Q181" s="16">
        <f t="shared" si="34"/>
        <v>115.32760155155574</v>
      </c>
      <c r="R181" s="23">
        <f t="shared" si="25"/>
        <v>5.7411853049416095E-12</v>
      </c>
      <c r="S181" s="22">
        <f t="shared" si="26"/>
        <v>1.44427758641541E-9</v>
      </c>
      <c r="T181" s="16">
        <f t="shared" si="35"/>
        <v>19.087178755725439</v>
      </c>
      <c r="U181" s="23">
        <f t="shared" si="27"/>
        <v>1.2160938922534115E-11</v>
      </c>
      <c r="V181" s="22">
        <f t="shared" si="28"/>
        <v>2.4427455258546615E-7</v>
      </c>
    </row>
    <row r="182" spans="1:22" x14ac:dyDescent="0.45">
      <c r="A182">
        <v>-79.574380000000005</v>
      </c>
      <c r="B182">
        <v>34.26979</v>
      </c>
      <c r="C182">
        <v>313.0317</v>
      </c>
      <c r="D182">
        <v>1158783.3785999999</v>
      </c>
      <c r="E182" s="13">
        <v>-70.933546449533296</v>
      </c>
      <c r="F182" s="13">
        <v>10.4966933087969</v>
      </c>
      <c r="G182" s="13">
        <v>-23.8931390749268</v>
      </c>
      <c r="H182" s="13">
        <f t="shared" si="29"/>
        <v>336.10686092507319</v>
      </c>
      <c r="I182" s="11">
        <v>-70.933546445999994</v>
      </c>
      <c r="J182" s="11">
        <v>10.496693304000001</v>
      </c>
      <c r="K182" s="9">
        <f t="shared" si="30"/>
        <v>10.49669330399999</v>
      </c>
      <c r="L182" s="12">
        <v>156.10686100000001</v>
      </c>
      <c r="M182" s="3">
        <f t="shared" si="31"/>
        <v>336.10686099999998</v>
      </c>
      <c r="N182" s="15">
        <f t="shared" si="24"/>
        <v>-70.933546449561291</v>
      </c>
      <c r="O182" s="23">
        <f t="shared" si="32"/>
        <v>2.7995383788947947E-11</v>
      </c>
      <c r="P182" s="22">
        <f t="shared" si="33"/>
        <v>3.5612970350484829E-9</v>
      </c>
      <c r="Q182" s="16">
        <f t="shared" si="34"/>
        <v>10.496693308840889</v>
      </c>
      <c r="R182" s="23">
        <f t="shared" si="25"/>
        <v>4.3989700770907803E-11</v>
      </c>
      <c r="S182" s="22">
        <f t="shared" si="26"/>
        <v>4.8408992370241322E-9</v>
      </c>
      <c r="T182" s="16">
        <f t="shared" si="35"/>
        <v>336.10686092503698</v>
      </c>
      <c r="U182" s="23">
        <f t="shared" si="27"/>
        <v>3.6209257814334705E-11</v>
      </c>
      <c r="V182" s="22">
        <f t="shared" si="28"/>
        <v>7.496299758713576E-8</v>
      </c>
    </row>
    <row r="183" spans="1:22" x14ac:dyDescent="0.45">
      <c r="A183">
        <v>38.25056</v>
      </c>
      <c r="B183">
        <v>-173.99167</v>
      </c>
      <c r="C183">
        <v>181.36596</v>
      </c>
      <c r="D183">
        <v>1704611.0134999999</v>
      </c>
      <c r="E183" s="13">
        <v>22.878724657548702</v>
      </c>
      <c r="F183" s="13">
        <v>-174.38295885758399</v>
      </c>
      <c r="G183" s="13">
        <v>-178.83482459606199</v>
      </c>
      <c r="H183" s="13">
        <f t="shared" si="29"/>
        <v>181.16517540393801</v>
      </c>
      <c r="I183" s="9">
        <v>22.878724652999999</v>
      </c>
      <c r="J183" s="9">
        <v>-174.38295885799999</v>
      </c>
      <c r="K183" s="9">
        <f t="shared" si="30"/>
        <v>-174.38295885799999</v>
      </c>
      <c r="L183" s="10">
        <v>1.1651750000000001</v>
      </c>
      <c r="M183" s="3">
        <f t="shared" si="31"/>
        <v>181.165175</v>
      </c>
      <c r="N183" s="15">
        <f t="shared" si="24"/>
        <v>22.878724657482358</v>
      </c>
      <c r="O183" s="23">
        <f t="shared" si="32"/>
        <v>6.6343375237920554E-11</v>
      </c>
      <c r="P183" s="22">
        <f t="shared" si="33"/>
        <v>4.4823593725595856E-9</v>
      </c>
      <c r="Q183" s="16">
        <f t="shared" si="34"/>
        <v>-174.38295885758436</v>
      </c>
      <c r="R183" s="23">
        <f t="shared" si="25"/>
        <v>3.694822225952521E-13</v>
      </c>
      <c r="S183" s="22">
        <f t="shared" si="26"/>
        <v>4.156390787102282E-10</v>
      </c>
      <c r="T183" s="16">
        <f t="shared" si="35"/>
        <v>181.16517540393772</v>
      </c>
      <c r="U183" s="23">
        <f t="shared" si="27"/>
        <v>2.8421709430404007E-13</v>
      </c>
      <c r="V183" s="22">
        <f t="shared" si="28"/>
        <v>4.0393771882918372E-7</v>
      </c>
    </row>
    <row r="184" spans="1:22" x14ac:dyDescent="0.45">
      <c r="A184">
        <v>72.217129999999997</v>
      </c>
      <c r="B184">
        <v>175.3751</v>
      </c>
      <c r="C184">
        <v>116.47589000000001</v>
      </c>
      <c r="D184">
        <v>1416256.8084</v>
      </c>
      <c r="E184" s="13">
        <v>64.0293427749926</v>
      </c>
      <c r="F184" s="13">
        <v>-157.94768359287099</v>
      </c>
      <c r="G184" s="13">
        <v>141.35531341553099</v>
      </c>
      <c r="H184" s="13">
        <f t="shared" si="29"/>
        <v>141.35531341553099</v>
      </c>
      <c r="I184" s="11">
        <v>64.029342778</v>
      </c>
      <c r="J184" s="11">
        <v>202.052316402</v>
      </c>
      <c r="K184" s="9">
        <f t="shared" si="30"/>
        <v>-157.94768359800003</v>
      </c>
      <c r="L184" s="12">
        <v>321.35531300000002</v>
      </c>
      <c r="M184" s="3">
        <f t="shared" si="31"/>
        <v>141.35531300000002</v>
      </c>
      <c r="N184" s="15">
        <f t="shared" si="24"/>
        <v>64.029342775000657</v>
      </c>
      <c r="O184" s="23">
        <f t="shared" si="32"/>
        <v>8.0575546235195361E-12</v>
      </c>
      <c r="P184" s="22">
        <f t="shared" si="33"/>
        <v>2.9993429961905349E-9</v>
      </c>
      <c r="Q184" s="16">
        <f t="shared" si="34"/>
        <v>-157.94768359290106</v>
      </c>
      <c r="R184" s="23">
        <f t="shared" si="25"/>
        <v>3.007016857736744E-11</v>
      </c>
      <c r="S184" s="22">
        <f t="shared" si="26"/>
        <v>5.0989683586522005E-9</v>
      </c>
      <c r="T184" s="16">
        <f t="shared" si="35"/>
        <v>141.35531341551757</v>
      </c>
      <c r="U184" s="23">
        <f t="shared" si="27"/>
        <v>1.3415046851150692E-11</v>
      </c>
      <c r="V184" s="22">
        <f t="shared" si="28"/>
        <v>4.155175474807038E-7</v>
      </c>
    </row>
    <row r="185" spans="1:22" x14ac:dyDescent="0.45">
      <c r="A185">
        <v>-51.30735</v>
      </c>
      <c r="B185">
        <v>37.752899999999997</v>
      </c>
      <c r="C185">
        <v>262.05437999999998</v>
      </c>
      <c r="D185">
        <v>37084.650699999998</v>
      </c>
      <c r="E185" s="13">
        <v>-51.352241686427703</v>
      </c>
      <c r="F185" s="13">
        <v>37.225676430774001</v>
      </c>
      <c r="G185" s="13">
        <v>-97.533986156237006</v>
      </c>
      <c r="H185" s="13">
        <f t="shared" si="29"/>
        <v>262.46601384376299</v>
      </c>
      <c r="I185" s="9">
        <v>-51.352241685999999</v>
      </c>
      <c r="J185" s="9">
        <v>37.225676430999997</v>
      </c>
      <c r="K185" s="9">
        <f t="shared" si="30"/>
        <v>37.225676431000011</v>
      </c>
      <c r="L185" s="10">
        <v>82.466014000000001</v>
      </c>
      <c r="M185" s="3">
        <f t="shared" si="31"/>
        <v>262.46601399999997</v>
      </c>
      <c r="N185" s="15">
        <f t="shared" si="24"/>
        <v>-51.352241686427689</v>
      </c>
      <c r="O185" s="23">
        <f t="shared" si="32"/>
        <v>1.4210854715202004E-14</v>
      </c>
      <c r="P185" s="22">
        <f t="shared" si="33"/>
        <v>4.276898835087195E-10</v>
      </c>
      <c r="Q185" s="16">
        <f t="shared" si="34"/>
        <v>37.225676430775081</v>
      </c>
      <c r="R185" s="23">
        <f t="shared" si="25"/>
        <v>1.0800249583553523E-12</v>
      </c>
      <c r="S185" s="22">
        <f t="shared" si="26"/>
        <v>2.2492940843221731E-10</v>
      </c>
      <c r="T185" s="16">
        <f t="shared" si="35"/>
        <v>262.46601384376339</v>
      </c>
      <c r="U185" s="23">
        <f t="shared" si="27"/>
        <v>3.979039320256561E-13</v>
      </c>
      <c r="V185" s="22">
        <f t="shared" si="28"/>
        <v>1.5623658100594184E-7</v>
      </c>
    </row>
    <row r="186" spans="1:22" x14ac:dyDescent="0.45">
      <c r="A186">
        <v>-82.285049999999998</v>
      </c>
      <c r="B186">
        <v>116.79396</v>
      </c>
      <c r="C186">
        <v>329.89497999999998</v>
      </c>
      <c r="D186">
        <v>2760978.3983</v>
      </c>
      <c r="E186" s="13">
        <v>-58.353982821700903</v>
      </c>
      <c r="F186" s="13">
        <v>93.208043697612993</v>
      </c>
      <c r="G186" s="13">
        <v>-7.3800181038062398</v>
      </c>
      <c r="H186" s="13">
        <f t="shared" si="29"/>
        <v>352.61998189619374</v>
      </c>
      <c r="I186" s="11">
        <v>-58.353982823999999</v>
      </c>
      <c r="J186" s="11">
        <v>93.208043697999997</v>
      </c>
      <c r="K186" s="9">
        <f t="shared" si="30"/>
        <v>93.208043697999983</v>
      </c>
      <c r="L186" s="12">
        <v>172.61998199999999</v>
      </c>
      <c r="M186" s="3">
        <f t="shared" si="31"/>
        <v>352.61998199999999</v>
      </c>
      <c r="N186" s="15">
        <f t="shared" si="24"/>
        <v>-58.353982821677789</v>
      </c>
      <c r="O186" s="23">
        <f t="shared" si="32"/>
        <v>2.3113955194276059E-11</v>
      </c>
      <c r="P186" s="22">
        <f t="shared" si="33"/>
        <v>2.3222099798658746E-9</v>
      </c>
      <c r="Q186" s="16">
        <f t="shared" si="34"/>
        <v>93.208043697612368</v>
      </c>
      <c r="R186" s="23">
        <f t="shared" si="25"/>
        <v>6.2527760746888816E-13</v>
      </c>
      <c r="S186" s="22">
        <f t="shared" si="26"/>
        <v>3.8761527321184985E-10</v>
      </c>
      <c r="T186" s="16">
        <f t="shared" si="35"/>
        <v>352.61998189619845</v>
      </c>
      <c r="U186" s="23">
        <f t="shared" si="27"/>
        <v>4.7180037654470652E-12</v>
      </c>
      <c r="V186" s="22">
        <f t="shared" si="28"/>
        <v>1.0380153980804607E-7</v>
      </c>
    </row>
    <row r="187" spans="1:22" x14ac:dyDescent="0.45">
      <c r="A187">
        <v>9.4714899999999993</v>
      </c>
      <c r="B187">
        <v>48.057989999999997</v>
      </c>
      <c r="C187">
        <v>122.84132</v>
      </c>
      <c r="D187">
        <v>2197247.2039999999</v>
      </c>
      <c r="E187" s="13">
        <v>-1.5484170713285299</v>
      </c>
      <c r="F187" s="13">
        <v>64.547403856699106</v>
      </c>
      <c r="G187" s="13">
        <v>123.99381205562</v>
      </c>
      <c r="H187" s="13">
        <f t="shared" si="29"/>
        <v>123.99381205562</v>
      </c>
      <c r="I187" s="9">
        <v>-1.548417071</v>
      </c>
      <c r="J187" s="9">
        <v>64.547403857000006</v>
      </c>
      <c r="K187" s="9">
        <f t="shared" si="30"/>
        <v>64.547403857000006</v>
      </c>
      <c r="L187" s="10">
        <v>303.99381199999999</v>
      </c>
      <c r="M187" s="3">
        <f t="shared" si="31"/>
        <v>123.99381199999999</v>
      </c>
      <c r="N187" s="15">
        <f t="shared" si="24"/>
        <v>-1.5484170714059571</v>
      </c>
      <c r="O187" s="23">
        <f t="shared" si="32"/>
        <v>7.7427175781963342E-11</v>
      </c>
      <c r="P187" s="22">
        <f t="shared" si="33"/>
        <v>4.0595704575707714E-10</v>
      </c>
      <c r="Q187" s="16">
        <f t="shared" si="34"/>
        <v>64.547403856808955</v>
      </c>
      <c r="R187" s="23">
        <f t="shared" si="25"/>
        <v>1.0984990694851149E-10</v>
      </c>
      <c r="S187" s="22">
        <f t="shared" si="26"/>
        <v>1.9105073079117574E-10</v>
      </c>
      <c r="T187" s="16">
        <f t="shared" si="35"/>
        <v>123.99381205561711</v>
      </c>
      <c r="U187" s="23">
        <f t="shared" si="27"/>
        <v>2.8848035071860068E-12</v>
      </c>
      <c r="V187" s="22">
        <f t="shared" si="28"/>
        <v>5.5617121574869088E-8</v>
      </c>
    </row>
    <row r="188" spans="1:22" x14ac:dyDescent="0.45">
      <c r="A188">
        <v>41.320790000000002</v>
      </c>
      <c r="B188">
        <v>30.491199999999999</v>
      </c>
      <c r="C188">
        <v>177.5402</v>
      </c>
      <c r="D188">
        <v>2332316.2525999998</v>
      </c>
      <c r="E188" s="13">
        <v>20.299903024550101</v>
      </c>
      <c r="F188" s="13">
        <v>31.4283293000707</v>
      </c>
      <c r="G188" s="13">
        <v>178.02842092742401</v>
      </c>
      <c r="H188" s="13">
        <f t="shared" si="29"/>
        <v>178.02842092742401</v>
      </c>
      <c r="I188" s="11">
        <v>20.299903020999999</v>
      </c>
      <c r="J188" s="11">
        <v>31.428329300000001</v>
      </c>
      <c r="K188" s="9">
        <f t="shared" si="30"/>
        <v>31.428329300000001</v>
      </c>
      <c r="L188" s="12">
        <v>358.02842099999998</v>
      </c>
      <c r="M188" s="3">
        <f t="shared" si="31"/>
        <v>178.02842099999998</v>
      </c>
      <c r="N188" s="15">
        <f t="shared" si="24"/>
        <v>20.299903024468186</v>
      </c>
      <c r="O188" s="23">
        <f t="shared" si="32"/>
        <v>8.191491929210315E-11</v>
      </c>
      <c r="P188" s="22">
        <f t="shared" si="33"/>
        <v>3.4681875149544794E-9</v>
      </c>
      <c r="Q188" s="16">
        <f t="shared" si="34"/>
        <v>31.428329300070544</v>
      </c>
      <c r="R188" s="23">
        <f t="shared" si="25"/>
        <v>1.5631940186722204E-13</v>
      </c>
      <c r="S188" s="22">
        <f t="shared" si="26"/>
        <v>7.0542682806262746E-11</v>
      </c>
      <c r="T188" s="16">
        <f t="shared" si="35"/>
        <v>178.02842092742455</v>
      </c>
      <c r="U188" s="23">
        <f t="shared" si="27"/>
        <v>5.4001247917767614E-13</v>
      </c>
      <c r="V188" s="22">
        <f t="shared" si="28"/>
        <v>7.2575431886434671E-8</v>
      </c>
    </row>
    <row r="189" spans="1:22" x14ac:dyDescent="0.45">
      <c r="A189">
        <v>2.6245699999999998</v>
      </c>
      <c r="B189">
        <v>79.611260000000001</v>
      </c>
      <c r="C189">
        <v>349.54712000000001</v>
      </c>
      <c r="D189">
        <v>934757.1679</v>
      </c>
      <c r="E189" s="13">
        <v>10.9346816465873</v>
      </c>
      <c r="F189" s="13">
        <v>78.065217769178503</v>
      </c>
      <c r="G189" s="13">
        <v>-10.6358857308851</v>
      </c>
      <c r="H189" s="13">
        <f t="shared" si="29"/>
        <v>349.36411426911491</v>
      </c>
      <c r="I189" s="9">
        <v>10.934681647</v>
      </c>
      <c r="J189" s="9">
        <v>78.065217769</v>
      </c>
      <c r="K189" s="9">
        <f t="shared" si="30"/>
        <v>78.065217769000014</v>
      </c>
      <c r="L189" s="10">
        <v>169.364114</v>
      </c>
      <c r="M189" s="3">
        <f t="shared" si="31"/>
        <v>349.36411399999997</v>
      </c>
      <c r="N189" s="15">
        <f t="shared" si="24"/>
        <v>10.934681646593031</v>
      </c>
      <c r="O189" s="23">
        <f t="shared" si="32"/>
        <v>5.730527163905208E-12</v>
      </c>
      <c r="P189" s="22">
        <f t="shared" si="33"/>
        <v>4.0696868097711558E-10</v>
      </c>
      <c r="Q189" s="16">
        <f t="shared" si="34"/>
        <v>78.065217769175831</v>
      </c>
      <c r="R189" s="23">
        <f t="shared" si="25"/>
        <v>2.6716406864579767E-12</v>
      </c>
      <c r="S189" s="22">
        <f t="shared" si="26"/>
        <v>1.7581669453647919E-10</v>
      </c>
      <c r="T189" s="16">
        <f t="shared" si="35"/>
        <v>349.36411426911428</v>
      </c>
      <c r="U189" s="23">
        <f t="shared" si="27"/>
        <v>6.2527760746888816E-13</v>
      </c>
      <c r="V189" s="22">
        <f t="shared" si="28"/>
        <v>2.6911430950349313E-7</v>
      </c>
    </row>
    <row r="190" spans="1:22" x14ac:dyDescent="0.45">
      <c r="A190">
        <v>73.9572</v>
      </c>
      <c r="B190">
        <v>-21.14536</v>
      </c>
      <c r="C190">
        <v>113.57872999999999</v>
      </c>
      <c r="D190">
        <v>2202448.0323999999</v>
      </c>
      <c r="E190" s="13">
        <v>60.135731584481498</v>
      </c>
      <c r="F190" s="13">
        <v>17.281352895106199</v>
      </c>
      <c r="G190" s="13">
        <v>149.406221088281</v>
      </c>
      <c r="H190" s="13">
        <f t="shared" si="29"/>
        <v>149.406221088281</v>
      </c>
      <c r="I190" s="11">
        <v>60.135731587999999</v>
      </c>
      <c r="J190" s="11">
        <v>17.281352891000001</v>
      </c>
      <c r="K190" s="9">
        <f t="shared" si="30"/>
        <v>17.281352891000012</v>
      </c>
      <c r="L190" s="12">
        <v>329.40622100000002</v>
      </c>
      <c r="M190" s="3">
        <f t="shared" si="31"/>
        <v>149.40622100000002</v>
      </c>
      <c r="N190" s="15">
        <f t="shared" si="24"/>
        <v>60.135731584475749</v>
      </c>
      <c r="O190" s="23">
        <f t="shared" si="32"/>
        <v>5.7482907322992105E-12</v>
      </c>
      <c r="P190" s="22">
        <f t="shared" si="33"/>
        <v>3.5242493368059513E-9</v>
      </c>
      <c r="Q190" s="16">
        <f t="shared" si="34"/>
        <v>17.28135289509305</v>
      </c>
      <c r="R190" s="23">
        <f t="shared" si="25"/>
        <v>1.3148593325240654E-11</v>
      </c>
      <c r="S190" s="22">
        <f t="shared" si="26"/>
        <v>4.0930387967819115E-9</v>
      </c>
      <c r="T190" s="16">
        <f t="shared" si="35"/>
        <v>149.40622108828626</v>
      </c>
      <c r="U190" s="23">
        <f t="shared" si="27"/>
        <v>5.2580162446247414E-12</v>
      </c>
      <c r="V190" s="22">
        <f t="shared" si="28"/>
        <v>8.8286242316826247E-8</v>
      </c>
    </row>
    <row r="191" spans="1:22" x14ac:dyDescent="0.45">
      <c r="A191">
        <v>-26.624669999999998</v>
      </c>
      <c r="B191">
        <v>-129.90504999999999</v>
      </c>
      <c r="C191">
        <v>15.761990000000001</v>
      </c>
      <c r="D191">
        <v>1541236.2863</v>
      </c>
      <c r="E191" s="13">
        <v>-13.178633226223701</v>
      </c>
      <c r="F191" s="13">
        <v>-126.077877166067</v>
      </c>
      <c r="G191" s="13">
        <v>14.4497059546964</v>
      </c>
      <c r="H191" s="13">
        <f t="shared" si="29"/>
        <v>14.4497059546964</v>
      </c>
      <c r="I191" s="9">
        <v>-13.178633229000001</v>
      </c>
      <c r="J191" s="9">
        <v>-126.077877167</v>
      </c>
      <c r="K191" s="9">
        <f t="shared" si="30"/>
        <v>-126.077877167</v>
      </c>
      <c r="L191" s="10">
        <v>194.44970599999999</v>
      </c>
      <c r="M191" s="3">
        <f t="shared" si="31"/>
        <v>14.449705999999992</v>
      </c>
      <c r="N191" s="15">
        <f t="shared" si="24"/>
        <v>-13.17863322618132</v>
      </c>
      <c r="O191" s="23">
        <f t="shared" si="32"/>
        <v>4.2380321474411176E-11</v>
      </c>
      <c r="P191" s="22">
        <f t="shared" si="33"/>
        <v>2.8186804001961718E-9</v>
      </c>
      <c r="Q191" s="16">
        <f t="shared" si="34"/>
        <v>-126.07787716606498</v>
      </c>
      <c r="R191" s="23">
        <f t="shared" si="25"/>
        <v>2.0179413695586845E-12</v>
      </c>
      <c r="S191" s="22">
        <f t="shared" si="26"/>
        <v>9.3501739684143104E-10</v>
      </c>
      <c r="T191" s="16">
        <f t="shared" si="35"/>
        <v>14.449705954693842</v>
      </c>
      <c r="U191" s="23">
        <f t="shared" si="27"/>
        <v>2.5579538487363607E-12</v>
      </c>
      <c r="V191" s="22">
        <f t="shared" si="28"/>
        <v>4.5306149942803131E-8</v>
      </c>
    </row>
    <row r="192" spans="1:22" x14ac:dyDescent="0.45">
      <c r="A192">
        <v>66.366519999999994</v>
      </c>
      <c r="B192">
        <v>-161.80237</v>
      </c>
      <c r="C192">
        <v>326.47483999999997</v>
      </c>
      <c r="D192">
        <v>2847786.9182000002</v>
      </c>
      <c r="E192" s="13">
        <v>76.1108854331613</v>
      </c>
      <c r="F192" s="13">
        <v>116.069504516875</v>
      </c>
      <c r="G192" s="13">
        <v>-112.771951487378</v>
      </c>
      <c r="H192" s="13">
        <f t="shared" si="29"/>
        <v>247.228048512622</v>
      </c>
      <c r="I192" s="11">
        <v>76.110885433999997</v>
      </c>
      <c r="J192" s="11">
        <v>-243.930495476</v>
      </c>
      <c r="K192" s="9">
        <f t="shared" si="30"/>
        <v>116.06950452399997</v>
      </c>
      <c r="L192" s="12">
        <v>67.228048999999999</v>
      </c>
      <c r="M192" s="3">
        <f t="shared" si="31"/>
        <v>247.228049</v>
      </c>
      <c r="N192" s="15">
        <f t="shared" si="24"/>
        <v>76.110885433156184</v>
      </c>
      <c r="O192" s="23">
        <f t="shared" si="32"/>
        <v>5.1159076974727213E-12</v>
      </c>
      <c r="P192" s="22">
        <f t="shared" si="33"/>
        <v>8.4381213127926458E-10</v>
      </c>
      <c r="Q192" s="16">
        <f t="shared" si="34"/>
        <v>116.06950451685429</v>
      </c>
      <c r="R192" s="23">
        <f t="shared" si="25"/>
        <v>2.0705215320049319E-11</v>
      </c>
      <c r="S192" s="22">
        <f t="shared" si="26"/>
        <v>7.1456724981544539E-9</v>
      </c>
      <c r="T192" s="16">
        <f t="shared" si="35"/>
        <v>247.22804851257399</v>
      </c>
      <c r="U192" s="23">
        <f t="shared" si="27"/>
        <v>4.8004267227952369E-11</v>
      </c>
      <c r="V192" s="22">
        <f t="shared" si="28"/>
        <v>4.8742600711193518E-7</v>
      </c>
    </row>
    <row r="193" spans="1:22" x14ac:dyDescent="0.45">
      <c r="A193">
        <v>27.10934</v>
      </c>
      <c r="B193">
        <v>-107.87071</v>
      </c>
      <c r="C193">
        <v>65.259439999999998</v>
      </c>
      <c r="D193">
        <v>2278616.4051999999</v>
      </c>
      <c r="E193" s="13">
        <v>33.890507900344801</v>
      </c>
      <c r="F193" s="13">
        <v>-85.399480205443396</v>
      </c>
      <c r="G193" s="13">
        <v>76.794660313059595</v>
      </c>
      <c r="H193" s="13">
        <f t="shared" si="29"/>
        <v>76.794660313059595</v>
      </c>
      <c r="I193" s="9">
        <v>33.890507900000003</v>
      </c>
      <c r="J193" s="9">
        <v>-85.399480208</v>
      </c>
      <c r="K193" s="9">
        <f t="shared" si="30"/>
        <v>-85.399480208</v>
      </c>
      <c r="L193" s="10">
        <v>256.79466000000002</v>
      </c>
      <c r="M193" s="3">
        <f t="shared" si="31"/>
        <v>76.794660000000022</v>
      </c>
      <c r="N193" s="15">
        <f t="shared" si="24"/>
        <v>33.890507900369322</v>
      </c>
      <c r="O193" s="23">
        <f t="shared" si="32"/>
        <v>2.4520829811081057E-11</v>
      </c>
      <c r="P193" s="22">
        <f t="shared" si="33"/>
        <v>3.6931879776602727E-10</v>
      </c>
      <c r="Q193" s="16">
        <f t="shared" si="34"/>
        <v>-85.399480205456783</v>
      </c>
      <c r="R193" s="23">
        <f t="shared" si="25"/>
        <v>1.3386625141720288E-11</v>
      </c>
      <c r="S193" s="22">
        <f t="shared" si="26"/>
        <v>2.5432171923966962E-9</v>
      </c>
      <c r="T193" s="16">
        <f t="shared" si="35"/>
        <v>76.794660313129256</v>
      </c>
      <c r="U193" s="23">
        <f t="shared" si="27"/>
        <v>6.9661609813920222E-11</v>
      </c>
      <c r="V193" s="22">
        <f t="shared" si="28"/>
        <v>3.1312923454152042E-7</v>
      </c>
    </row>
    <row r="194" spans="1:22" x14ac:dyDescent="0.45">
      <c r="A194">
        <v>27.242100000000001</v>
      </c>
      <c r="B194">
        <v>-150.59838999999999</v>
      </c>
      <c r="C194">
        <v>206.12979999999999</v>
      </c>
      <c r="D194">
        <v>2226010.7078</v>
      </c>
      <c r="E194" s="13">
        <v>8.9408645210848494</v>
      </c>
      <c r="F194" s="13">
        <v>-159.366150398429</v>
      </c>
      <c r="G194" s="13">
        <v>-156.633021997143</v>
      </c>
      <c r="H194" s="13">
        <f t="shared" si="29"/>
        <v>203.366978002857</v>
      </c>
      <c r="I194" s="11">
        <v>8.9408645189999998</v>
      </c>
      <c r="J194" s="11">
        <v>-159.36615039899999</v>
      </c>
      <c r="K194" s="9">
        <f t="shared" si="30"/>
        <v>-159.36615039899999</v>
      </c>
      <c r="L194" s="12">
        <v>23.366978</v>
      </c>
      <c r="M194" s="3">
        <f t="shared" si="31"/>
        <v>203.36697799999999</v>
      </c>
      <c r="N194" s="15">
        <f t="shared" si="24"/>
        <v>8.9408645210139834</v>
      </c>
      <c r="O194" s="23">
        <f t="shared" si="32"/>
        <v>7.0865979751033592E-11</v>
      </c>
      <c r="P194" s="22">
        <f t="shared" si="33"/>
        <v>2.0139836465205008E-9</v>
      </c>
      <c r="Q194" s="16">
        <f t="shared" si="34"/>
        <v>-159.3661503984427</v>
      </c>
      <c r="R194" s="23">
        <f t="shared" si="25"/>
        <v>1.3699263945454732E-11</v>
      </c>
      <c r="S194" s="22">
        <f t="shared" si="26"/>
        <v>5.5729287851136178E-10</v>
      </c>
      <c r="T194" s="16">
        <f t="shared" si="35"/>
        <v>203.36697800285211</v>
      </c>
      <c r="U194" s="23">
        <f t="shared" si="27"/>
        <v>4.8885340220294893E-12</v>
      </c>
      <c r="V194" s="22">
        <f t="shared" si="28"/>
        <v>2.8521185413410421E-9</v>
      </c>
    </row>
    <row r="195" spans="1:22" x14ac:dyDescent="0.45">
      <c r="A195">
        <v>-51.306910000000002</v>
      </c>
      <c r="B195">
        <v>-69.268109999999993</v>
      </c>
      <c r="C195">
        <v>29.194759999999999</v>
      </c>
      <c r="D195">
        <v>165961.9748</v>
      </c>
      <c r="E195" s="13">
        <v>-49.998963871666597</v>
      </c>
      <c r="F195" s="13">
        <v>-68.139071240190106</v>
      </c>
      <c r="G195" s="13">
        <v>28.321583734943399</v>
      </c>
      <c r="H195" s="13">
        <f t="shared" si="29"/>
        <v>28.321583734943399</v>
      </c>
      <c r="I195" s="9">
        <v>-49.998963871999997</v>
      </c>
      <c r="J195" s="9">
        <v>-68.139071240000007</v>
      </c>
      <c r="K195" s="9">
        <f t="shared" si="30"/>
        <v>-68.139071240000007</v>
      </c>
      <c r="L195" s="10">
        <v>208.321584</v>
      </c>
      <c r="M195" s="3">
        <f t="shared" si="31"/>
        <v>28.32158400000003</v>
      </c>
      <c r="N195" s="15">
        <f t="shared" ref="N195:N258" si="36">vincentyDirLat(A195, $B195, $C195, $D195)</f>
        <v>-49.998963871662433</v>
      </c>
      <c r="O195" s="23">
        <f t="shared" si="32"/>
        <v>4.1637804315541871E-12</v>
      </c>
      <c r="P195" s="22">
        <f t="shared" si="33"/>
        <v>3.375646429049084E-10</v>
      </c>
      <c r="Q195" s="16">
        <f t="shared" si="34"/>
        <v>-68.139071240188116</v>
      </c>
      <c r="R195" s="23">
        <f t="shared" ref="R195:R258" si="37">ABS(F195-Q195)</f>
        <v>1.9895196601282805E-12</v>
      </c>
      <c r="S195" s="22">
        <f t="shared" ref="S195:S258" si="38">ABS(K195-Q195)</f>
        <v>1.8810908386512892E-10</v>
      </c>
      <c r="T195" s="16">
        <f t="shared" si="35"/>
        <v>28.321583734940766</v>
      </c>
      <c r="U195" s="23">
        <f t="shared" ref="U195:U258" si="39">ABS(H195-T195)</f>
        <v>2.6325608359911712E-12</v>
      </c>
      <c r="V195" s="22">
        <f t="shared" ref="V195:V258" si="40">ABS(M195-T195)</f>
        <v>2.6505926342679231E-7</v>
      </c>
    </row>
    <row r="196" spans="1:22" x14ac:dyDescent="0.45">
      <c r="A196">
        <v>72.25667</v>
      </c>
      <c r="B196">
        <v>43.026400000000002</v>
      </c>
      <c r="C196">
        <v>199.46280999999999</v>
      </c>
      <c r="D196">
        <v>176432.5575</v>
      </c>
      <c r="E196" s="13">
        <v>70.758832501150593</v>
      </c>
      <c r="F196" s="13">
        <v>41.428709850690701</v>
      </c>
      <c r="G196" s="13">
        <v>-162.05252530685701</v>
      </c>
      <c r="H196" s="13">
        <f t="shared" ref="H196:H259" si="41">NormalizeAzimuth(G196, TRUE)</f>
        <v>197.94747469314299</v>
      </c>
      <c r="I196" s="11">
        <v>70.758832501000001</v>
      </c>
      <c r="J196" s="11">
        <v>41.428709851000001</v>
      </c>
      <c r="K196" s="9">
        <f t="shared" ref="K196:K259" si="42">normalizelon(J196)</f>
        <v>41.428709851000008</v>
      </c>
      <c r="L196" s="12">
        <v>17.947475000000001</v>
      </c>
      <c r="M196" s="3">
        <f t="shared" ref="M196:M259" si="43">NormalizeAzimuth(L196+180, TRUE)</f>
        <v>197.947475</v>
      </c>
      <c r="N196" s="15">
        <f t="shared" si="36"/>
        <v>70.758832501153165</v>
      </c>
      <c r="O196" s="23">
        <f t="shared" ref="O196:O259" si="44">ABS(E196-N196)</f>
        <v>2.5721647034515627E-12</v>
      </c>
      <c r="P196" s="22">
        <f t="shared" ref="P196:P259" si="45">ABS(I196-N196)</f>
        <v>1.531645921204472E-10</v>
      </c>
      <c r="Q196" s="16">
        <f t="shared" ref="Q196:Q259" si="46">VincentyDirLon($A196, $B196, $C196, $D196)</f>
        <v>41.428709850693792</v>
      </c>
      <c r="R196" s="23">
        <f t="shared" si="37"/>
        <v>3.0908609005564358E-12</v>
      </c>
      <c r="S196" s="22">
        <f t="shared" si="38"/>
        <v>3.0621549740317278E-10</v>
      </c>
      <c r="T196" s="16">
        <f t="shared" ref="T196:T259" si="47">VincentyDirRevAzimuth($A196, $B196, $C196, $D196)</f>
        <v>197.94747469314487</v>
      </c>
      <c r="U196" s="23">
        <f t="shared" si="39"/>
        <v>1.8758328224066645E-12</v>
      </c>
      <c r="V196" s="22">
        <f t="shared" si="40"/>
        <v>3.0685512797390402E-7</v>
      </c>
    </row>
    <row r="197" spans="1:22" x14ac:dyDescent="0.45">
      <c r="A197">
        <v>-0.96489000000000003</v>
      </c>
      <c r="B197">
        <v>93.639960000000002</v>
      </c>
      <c r="C197">
        <v>334.64443999999997</v>
      </c>
      <c r="D197">
        <v>2913012.5767000001</v>
      </c>
      <c r="E197" s="13">
        <v>22.687216133045101</v>
      </c>
      <c r="F197" s="13">
        <v>81.836545723606903</v>
      </c>
      <c r="G197" s="13">
        <v>-27.635930625254598</v>
      </c>
      <c r="H197" s="13">
        <f t="shared" si="41"/>
        <v>332.36406937474538</v>
      </c>
      <c r="I197" s="9">
        <v>22.687216135</v>
      </c>
      <c r="J197" s="9">
        <v>81.836545721999997</v>
      </c>
      <c r="K197" s="9">
        <f t="shared" si="42"/>
        <v>81.836545721999983</v>
      </c>
      <c r="L197" s="10">
        <v>152.364069</v>
      </c>
      <c r="M197" s="3">
        <f t="shared" si="43"/>
        <v>332.36406899999997</v>
      </c>
      <c r="N197" s="15">
        <f t="shared" si="36"/>
        <v>22.687216133178644</v>
      </c>
      <c r="O197" s="23">
        <f t="shared" si="44"/>
        <v>1.3354295447243203E-10</v>
      </c>
      <c r="P197" s="22">
        <f t="shared" si="45"/>
        <v>1.8213555108559376E-9</v>
      </c>
      <c r="Q197" s="16">
        <f t="shared" si="46"/>
        <v>81.836545723538393</v>
      </c>
      <c r="R197" s="23">
        <f t="shared" si="37"/>
        <v>6.851053058198886E-11</v>
      </c>
      <c r="S197" s="22">
        <f t="shared" si="38"/>
        <v>1.5384102880489081E-9</v>
      </c>
      <c r="T197" s="16">
        <f t="shared" si="47"/>
        <v>332.36406937471594</v>
      </c>
      <c r="U197" s="23">
        <f t="shared" si="39"/>
        <v>2.9444890969898552E-11</v>
      </c>
      <c r="V197" s="22">
        <f t="shared" si="40"/>
        <v>3.7471596670002327E-7</v>
      </c>
    </row>
    <row r="198" spans="1:22" x14ac:dyDescent="0.45">
      <c r="A198">
        <v>79.068299999999994</v>
      </c>
      <c r="B198">
        <v>-14.22913</v>
      </c>
      <c r="C198">
        <v>217.73258999999999</v>
      </c>
      <c r="D198">
        <v>55334.114500000003</v>
      </c>
      <c r="E198" s="13">
        <v>78.672335571492198</v>
      </c>
      <c r="F198" s="13">
        <v>-15.773022566537501</v>
      </c>
      <c r="G198" s="13">
        <v>-143.78227872419501</v>
      </c>
      <c r="H198" s="13">
        <f t="shared" si="41"/>
        <v>216.21772127580499</v>
      </c>
      <c r="I198" s="11">
        <v>78.672335571000005</v>
      </c>
      <c r="J198" s="11">
        <v>-15.773022567</v>
      </c>
      <c r="K198" s="9">
        <f t="shared" si="42"/>
        <v>-15.773022566999998</v>
      </c>
      <c r="L198" s="12">
        <v>36.217720999999997</v>
      </c>
      <c r="M198" s="3">
        <f t="shared" si="43"/>
        <v>216.21772099999998</v>
      </c>
      <c r="N198" s="15">
        <f t="shared" si="36"/>
        <v>78.672335571494486</v>
      </c>
      <c r="O198" s="23">
        <f t="shared" si="44"/>
        <v>2.2879476091475226E-12</v>
      </c>
      <c r="P198" s="22">
        <f t="shared" si="45"/>
        <v>4.9448090067016892E-10</v>
      </c>
      <c r="Q198" s="16">
        <f t="shared" si="46"/>
        <v>-15.773022566528311</v>
      </c>
      <c r="R198" s="23">
        <f t="shared" si="37"/>
        <v>9.1890939302174957E-12</v>
      </c>
      <c r="S198" s="22">
        <f t="shared" si="38"/>
        <v>4.7168668970698491E-10</v>
      </c>
      <c r="T198" s="16">
        <f t="shared" si="47"/>
        <v>216.217721275814</v>
      </c>
      <c r="U198" s="23">
        <f t="shared" si="39"/>
        <v>9.0096818894380704E-12</v>
      </c>
      <c r="V198" s="22">
        <f t="shared" si="40"/>
        <v>2.7581401695897512E-7</v>
      </c>
    </row>
    <row r="199" spans="1:22" x14ac:dyDescent="0.45">
      <c r="A199">
        <v>64.10736</v>
      </c>
      <c r="B199">
        <v>-122.36005</v>
      </c>
      <c r="C199">
        <v>299.22041000000002</v>
      </c>
      <c r="D199">
        <v>1237165.5629</v>
      </c>
      <c r="E199" s="13">
        <v>67.493951814450199</v>
      </c>
      <c r="F199" s="13">
        <v>-148.35198748083101</v>
      </c>
      <c r="G199" s="13">
        <v>-84.565618639559204</v>
      </c>
      <c r="H199" s="13">
        <f t="shared" si="41"/>
        <v>275.4343813604408</v>
      </c>
      <c r="I199" s="9">
        <v>67.493951815000003</v>
      </c>
      <c r="J199" s="9">
        <v>-148.35198748299999</v>
      </c>
      <c r="K199" s="9">
        <f t="shared" si="42"/>
        <v>-148.35198748299999</v>
      </c>
      <c r="L199" s="10">
        <v>95.434381000000002</v>
      </c>
      <c r="M199" s="3">
        <f t="shared" si="43"/>
        <v>275.43438100000003</v>
      </c>
      <c r="N199" s="15">
        <f t="shared" si="36"/>
        <v>67.49395181444693</v>
      </c>
      <c r="O199" s="23">
        <f t="shared" si="44"/>
        <v>3.2684965844964609E-12</v>
      </c>
      <c r="P199" s="22">
        <f t="shared" si="45"/>
        <v>5.5307225466094678E-10</v>
      </c>
      <c r="Q199" s="16">
        <f t="shared" si="46"/>
        <v>-148.35198748071974</v>
      </c>
      <c r="R199" s="23">
        <f t="shared" si="37"/>
        <v>1.1127099242003169E-10</v>
      </c>
      <c r="S199" s="22">
        <f t="shared" si="38"/>
        <v>2.2802453258918831E-9</v>
      </c>
      <c r="T199" s="16">
        <f t="shared" si="47"/>
        <v>275.43438136051986</v>
      </c>
      <c r="U199" s="23">
        <f t="shared" si="39"/>
        <v>7.9069195635383949E-11</v>
      </c>
      <c r="V199" s="22">
        <f t="shared" si="40"/>
        <v>3.6051983443030622E-7</v>
      </c>
    </row>
    <row r="200" spans="1:22" x14ac:dyDescent="0.45">
      <c r="A200">
        <v>80.774240000000006</v>
      </c>
      <c r="B200">
        <v>127.7698</v>
      </c>
      <c r="C200">
        <v>218.86179000000001</v>
      </c>
      <c r="D200">
        <v>106597.6541</v>
      </c>
      <c r="E200" s="13">
        <v>80.013077707422795</v>
      </c>
      <c r="F200" s="13">
        <v>124.314607088746</v>
      </c>
      <c r="G200" s="13">
        <v>-144.545056598603</v>
      </c>
      <c r="H200" s="13">
        <f t="shared" si="41"/>
        <v>215.454943401397</v>
      </c>
      <c r="I200" s="11">
        <v>80.013077706999994</v>
      </c>
      <c r="J200" s="11">
        <v>124.31460708900001</v>
      </c>
      <c r="K200" s="9">
        <f t="shared" si="42"/>
        <v>124.31460708899999</v>
      </c>
      <c r="L200" s="12">
        <v>35.454943</v>
      </c>
      <c r="M200" s="3">
        <f t="shared" si="43"/>
        <v>215.45494300000001</v>
      </c>
      <c r="N200" s="15">
        <f t="shared" si="36"/>
        <v>80.013077707427726</v>
      </c>
      <c r="O200" s="23">
        <f t="shared" si="44"/>
        <v>4.9311665861750953E-12</v>
      </c>
      <c r="P200" s="22">
        <f t="shared" si="45"/>
        <v>4.2773251607286511E-10</v>
      </c>
      <c r="Q200" s="16">
        <f t="shared" si="46"/>
        <v>124.31460708876762</v>
      </c>
      <c r="R200" s="23">
        <f t="shared" si="37"/>
        <v>2.1614710021822248E-11</v>
      </c>
      <c r="S200" s="22">
        <f t="shared" si="38"/>
        <v>2.3237589630298316E-10</v>
      </c>
      <c r="T200" s="16">
        <f t="shared" si="47"/>
        <v>215.45494340141752</v>
      </c>
      <c r="U200" s="23">
        <f t="shared" si="39"/>
        <v>2.0520474208751693E-11</v>
      </c>
      <c r="V200" s="22">
        <f t="shared" si="40"/>
        <v>4.0141750901057094E-7</v>
      </c>
    </row>
    <row r="201" spans="1:22" x14ac:dyDescent="0.45">
      <c r="A201">
        <v>-11.60303</v>
      </c>
      <c r="B201">
        <v>79.391970000000001</v>
      </c>
      <c r="C201">
        <v>87.639240000000001</v>
      </c>
      <c r="D201">
        <v>2806480.9803999998</v>
      </c>
      <c r="E201" s="13">
        <v>-9.4715959011763093</v>
      </c>
      <c r="F201" s="13">
        <v>104.950816725349</v>
      </c>
      <c r="G201" s="13">
        <v>82.887453906497996</v>
      </c>
      <c r="H201" s="13">
        <f t="shared" si="41"/>
        <v>82.887453906497996</v>
      </c>
      <c r="I201" s="9">
        <v>-9.4715959020000007</v>
      </c>
      <c r="J201" s="9">
        <v>104.950816722</v>
      </c>
      <c r="K201" s="9">
        <f t="shared" si="42"/>
        <v>104.95081672200001</v>
      </c>
      <c r="L201" s="10">
        <v>262.88745399999999</v>
      </c>
      <c r="M201" s="3">
        <f t="shared" si="43"/>
        <v>82.887453999999991</v>
      </c>
      <c r="N201" s="15">
        <f t="shared" si="36"/>
        <v>-9.4715959011546556</v>
      </c>
      <c r="O201" s="23">
        <f t="shared" si="44"/>
        <v>2.1653789872289053E-11</v>
      </c>
      <c r="P201" s="22">
        <f t="shared" si="45"/>
        <v>8.4534512723166699E-10</v>
      </c>
      <c r="Q201" s="16">
        <f t="shared" si="46"/>
        <v>104.95081672547281</v>
      </c>
      <c r="R201" s="23">
        <f t="shared" si="37"/>
        <v>1.2380496627883986E-10</v>
      </c>
      <c r="S201" s="22">
        <f t="shared" si="38"/>
        <v>3.4727918318822049E-9</v>
      </c>
      <c r="T201" s="16">
        <f t="shared" si="47"/>
        <v>82.887453906469204</v>
      </c>
      <c r="U201" s="23">
        <f t="shared" si="39"/>
        <v>2.879119165299926E-11</v>
      </c>
      <c r="V201" s="22">
        <f t="shared" si="40"/>
        <v>9.3530786671180977E-8</v>
      </c>
    </row>
    <row r="202" spans="1:22" x14ac:dyDescent="0.45">
      <c r="A202">
        <v>63.920409999999997</v>
      </c>
      <c r="B202">
        <v>71.722110000000001</v>
      </c>
      <c r="C202">
        <v>83.220979999999997</v>
      </c>
      <c r="D202">
        <v>2700547.5251000002</v>
      </c>
      <c r="E202" s="13">
        <v>57.1871274338028</v>
      </c>
      <c r="F202" s="13">
        <v>120.419761998493</v>
      </c>
      <c r="G202" s="13">
        <v>126.306593200053</v>
      </c>
      <c r="H202" s="13">
        <f t="shared" si="41"/>
        <v>126.306593200053</v>
      </c>
      <c r="I202" s="11">
        <v>57.187127433999997</v>
      </c>
      <c r="J202" s="11">
        <v>120.41976199699999</v>
      </c>
      <c r="K202" s="9">
        <f t="shared" si="42"/>
        <v>120.41976199700002</v>
      </c>
      <c r="L202" s="12">
        <v>306.30659300000002</v>
      </c>
      <c r="M202" s="3">
        <f t="shared" si="43"/>
        <v>126.30659300000002</v>
      </c>
      <c r="N202" s="15">
        <f t="shared" si="36"/>
        <v>57.187127433799326</v>
      </c>
      <c r="O202" s="23">
        <f t="shared" si="44"/>
        <v>3.4745539778668899E-12</v>
      </c>
      <c r="P202" s="22">
        <f t="shared" si="45"/>
        <v>2.0067147943336749E-10</v>
      </c>
      <c r="Q202" s="16">
        <f t="shared" si="46"/>
        <v>120.41976199843475</v>
      </c>
      <c r="R202" s="23">
        <f t="shared" si="37"/>
        <v>5.8250293477613013E-11</v>
      </c>
      <c r="S202" s="22">
        <f t="shared" si="38"/>
        <v>1.4347278920467943E-9</v>
      </c>
      <c r="T202" s="16">
        <f t="shared" si="47"/>
        <v>126.30659320006022</v>
      </c>
      <c r="U202" s="23">
        <f t="shared" si="39"/>
        <v>7.2191141953226179E-12</v>
      </c>
      <c r="V202" s="22">
        <f t="shared" si="40"/>
        <v>2.0006019951779308E-7</v>
      </c>
    </row>
    <row r="203" spans="1:22" x14ac:dyDescent="0.45">
      <c r="A203">
        <v>21.538509999999999</v>
      </c>
      <c r="B203">
        <v>175.23721</v>
      </c>
      <c r="C203">
        <v>199.35462999999999</v>
      </c>
      <c r="D203">
        <v>176914.5307</v>
      </c>
      <c r="E203" s="13">
        <v>20.029949559333001</v>
      </c>
      <c r="F203" s="13">
        <v>174.676884254562</v>
      </c>
      <c r="G203" s="13">
        <v>-160.844220083587</v>
      </c>
      <c r="H203" s="13">
        <f t="shared" si="41"/>
        <v>199.155779916413</v>
      </c>
      <c r="I203" s="9">
        <v>20.029949558999999</v>
      </c>
      <c r="J203" s="9">
        <v>174.676884255</v>
      </c>
      <c r="K203" s="9">
        <f t="shared" si="42"/>
        <v>174.676884255</v>
      </c>
      <c r="L203" s="10">
        <v>19.15578</v>
      </c>
      <c r="M203" s="3">
        <f t="shared" si="43"/>
        <v>199.15577999999999</v>
      </c>
      <c r="N203" s="15">
        <f t="shared" si="36"/>
        <v>20.029949559325608</v>
      </c>
      <c r="O203" s="23">
        <f t="shared" si="44"/>
        <v>7.3931971655838424E-12</v>
      </c>
      <c r="P203" s="22">
        <f t="shared" si="45"/>
        <v>3.2560976137574471E-10</v>
      </c>
      <c r="Q203" s="16">
        <f t="shared" si="46"/>
        <v>174.67688425456038</v>
      </c>
      <c r="R203" s="23">
        <f t="shared" si="37"/>
        <v>1.6200374375330284E-12</v>
      </c>
      <c r="S203" s="22">
        <f t="shared" si="38"/>
        <v>4.3962700146948919E-10</v>
      </c>
      <c r="T203" s="16">
        <f t="shared" si="47"/>
        <v>199.15577991641231</v>
      </c>
      <c r="U203" s="23">
        <f t="shared" si="39"/>
        <v>6.8212102632969618E-13</v>
      </c>
      <c r="V203" s="22">
        <f t="shared" si="40"/>
        <v>8.3587679000629578E-8</v>
      </c>
    </row>
    <row r="204" spans="1:22" x14ac:dyDescent="0.45">
      <c r="A204">
        <v>-59.665759999999999</v>
      </c>
      <c r="B204">
        <v>-72.618840000000006</v>
      </c>
      <c r="C204">
        <v>224.98760999999999</v>
      </c>
      <c r="D204">
        <v>150372.09640000001</v>
      </c>
      <c r="E204" s="13">
        <v>-60.606327205059898</v>
      </c>
      <c r="F204" s="13">
        <v>-74.559782116203294</v>
      </c>
      <c r="G204" s="13">
        <v>-133.329088530804</v>
      </c>
      <c r="H204" s="13">
        <f t="shared" si="41"/>
        <v>226.670911469196</v>
      </c>
      <c r="I204" s="11">
        <v>-60.606327204999999</v>
      </c>
      <c r="J204" s="11">
        <v>-74.559782115999994</v>
      </c>
      <c r="K204" s="9">
        <f t="shared" si="42"/>
        <v>-74.559782115999994</v>
      </c>
      <c r="L204" s="12">
        <v>46.670910999999997</v>
      </c>
      <c r="M204" s="3">
        <f t="shared" si="43"/>
        <v>226.67091099999999</v>
      </c>
      <c r="N204" s="15">
        <f t="shared" si="36"/>
        <v>-60.606327205060765</v>
      </c>
      <c r="O204" s="23">
        <f t="shared" si="44"/>
        <v>8.6686213762732223E-13</v>
      </c>
      <c r="P204" s="22">
        <f t="shared" si="45"/>
        <v>6.0765614762203768E-11</v>
      </c>
      <c r="Q204" s="16">
        <f t="shared" si="46"/>
        <v>-74.55978211620338</v>
      </c>
      <c r="R204" s="23">
        <f t="shared" si="37"/>
        <v>8.5265128291212022E-14</v>
      </c>
      <c r="S204" s="22">
        <f t="shared" si="38"/>
        <v>2.0338575268397108E-10</v>
      </c>
      <c r="T204" s="16">
        <f t="shared" si="47"/>
        <v>226.67091146919773</v>
      </c>
      <c r="U204" s="23">
        <f t="shared" si="39"/>
        <v>1.7337242752546445E-12</v>
      </c>
      <c r="V204" s="22">
        <f t="shared" si="40"/>
        <v>4.6919774376874557E-7</v>
      </c>
    </row>
    <row r="205" spans="1:22" x14ac:dyDescent="0.45">
      <c r="A205">
        <v>-33.798830000000002</v>
      </c>
      <c r="B205">
        <v>25.238350000000001</v>
      </c>
      <c r="C205">
        <v>228.72524000000001</v>
      </c>
      <c r="D205">
        <v>207159.9688</v>
      </c>
      <c r="E205" s="13">
        <v>-35.0190097343202</v>
      </c>
      <c r="F205" s="13">
        <v>23.532502183266701</v>
      </c>
      <c r="G205" s="13">
        <v>-130.310689649241</v>
      </c>
      <c r="H205" s="13">
        <f t="shared" si="41"/>
        <v>229.689310350759</v>
      </c>
      <c r="I205" s="9">
        <v>-35.019009734000001</v>
      </c>
      <c r="J205" s="9">
        <v>23.532502182999998</v>
      </c>
      <c r="K205" s="9">
        <f t="shared" si="42"/>
        <v>23.532502182999991</v>
      </c>
      <c r="L205" s="10">
        <v>49.689309999999999</v>
      </c>
      <c r="M205" s="3">
        <f t="shared" si="43"/>
        <v>229.68931000000001</v>
      </c>
      <c r="N205" s="15">
        <f t="shared" si="36"/>
        <v>-35.019009734326367</v>
      </c>
      <c r="O205" s="23">
        <f t="shared" si="44"/>
        <v>6.1675109463976696E-12</v>
      </c>
      <c r="P205" s="22">
        <f t="shared" si="45"/>
        <v>3.2636648938932922E-10</v>
      </c>
      <c r="Q205" s="16">
        <f t="shared" si="46"/>
        <v>23.532502183264512</v>
      </c>
      <c r="R205" s="23">
        <f t="shared" si="37"/>
        <v>2.1884716261411086E-12</v>
      </c>
      <c r="S205" s="22">
        <f t="shared" si="38"/>
        <v>2.645208496687701E-10</v>
      </c>
      <c r="T205" s="16">
        <f t="shared" si="47"/>
        <v>229.689310350764</v>
      </c>
      <c r="U205" s="23">
        <f t="shared" si="39"/>
        <v>5.0022208597511053E-12</v>
      </c>
      <c r="V205" s="22">
        <f t="shared" si="40"/>
        <v>3.5076399740319175E-7</v>
      </c>
    </row>
    <row r="206" spans="1:22" x14ac:dyDescent="0.45">
      <c r="A206">
        <v>-31.408069999999999</v>
      </c>
      <c r="B206">
        <v>-121.16597</v>
      </c>
      <c r="C206">
        <v>189.62191999999999</v>
      </c>
      <c r="D206">
        <v>158829.51319999999</v>
      </c>
      <c r="E206" s="13">
        <v>-32.8199384369344</v>
      </c>
      <c r="F206" s="13">
        <v>-121.449442194821</v>
      </c>
      <c r="G206" s="13">
        <v>-170.227372891898</v>
      </c>
      <c r="H206" s="13">
        <f t="shared" si="41"/>
        <v>189.772627108102</v>
      </c>
      <c r="I206" s="11">
        <v>-32.819938436999998</v>
      </c>
      <c r="J206" s="11">
        <v>-121.449442195</v>
      </c>
      <c r="K206" s="9">
        <f t="shared" si="42"/>
        <v>-121.449442195</v>
      </c>
      <c r="L206" s="12">
        <v>9.772627</v>
      </c>
      <c r="M206" s="3">
        <f t="shared" si="43"/>
        <v>189.772627</v>
      </c>
      <c r="N206" s="15">
        <f t="shared" si="36"/>
        <v>-32.81993843694179</v>
      </c>
      <c r="O206" s="23">
        <f t="shared" si="44"/>
        <v>7.3896444519050419E-12</v>
      </c>
      <c r="P206" s="22">
        <f t="shared" si="45"/>
        <v>5.8207660913467407E-11</v>
      </c>
      <c r="Q206" s="16">
        <f t="shared" si="46"/>
        <v>-121.44944219482109</v>
      </c>
      <c r="R206" s="23">
        <f t="shared" si="37"/>
        <v>8.5265128291212022E-14</v>
      </c>
      <c r="S206" s="22">
        <f t="shared" si="38"/>
        <v>1.7891466086439323E-10</v>
      </c>
      <c r="T206" s="16">
        <f t="shared" si="47"/>
        <v>189.77262710810245</v>
      </c>
      <c r="U206" s="23">
        <f t="shared" si="39"/>
        <v>4.5474735088646412E-13</v>
      </c>
      <c r="V206" s="22">
        <f t="shared" si="40"/>
        <v>1.0810245498760196E-7</v>
      </c>
    </row>
    <row r="207" spans="1:22" x14ac:dyDescent="0.45">
      <c r="A207">
        <v>-47.694389999999999</v>
      </c>
      <c r="B207">
        <v>-133.09656000000001</v>
      </c>
      <c r="C207">
        <v>281.80646000000002</v>
      </c>
      <c r="D207">
        <v>250931.2175</v>
      </c>
      <c r="E207" s="13">
        <v>-47.186485754788002</v>
      </c>
      <c r="F207" s="13">
        <v>-136.338246262159</v>
      </c>
      <c r="G207" s="13">
        <v>-75.805480366076793</v>
      </c>
      <c r="H207" s="13">
        <f t="shared" si="41"/>
        <v>284.19451963392322</v>
      </c>
      <c r="I207" s="9">
        <v>-47.186485755</v>
      </c>
      <c r="J207" s="9">
        <v>-136.33824626200001</v>
      </c>
      <c r="K207" s="9">
        <f t="shared" si="42"/>
        <v>-136.33824626200001</v>
      </c>
      <c r="L207" s="10">
        <v>104.19452</v>
      </c>
      <c r="M207" s="3">
        <f t="shared" si="43"/>
        <v>284.19452000000001</v>
      </c>
      <c r="N207" s="15">
        <f t="shared" si="36"/>
        <v>-47.18648575478646</v>
      </c>
      <c r="O207" s="23">
        <f t="shared" si="44"/>
        <v>1.5418777365994174E-12</v>
      </c>
      <c r="P207" s="22">
        <f t="shared" si="45"/>
        <v>2.1353940837798291E-10</v>
      </c>
      <c r="Q207" s="16">
        <f t="shared" si="46"/>
        <v>-136.33824626215335</v>
      </c>
      <c r="R207" s="23">
        <f t="shared" si="37"/>
        <v>5.6559201766503975E-12</v>
      </c>
      <c r="S207" s="22">
        <f t="shared" si="38"/>
        <v>1.5333512237702962E-10</v>
      </c>
      <c r="T207" s="16">
        <f t="shared" si="47"/>
        <v>284.1945196339293</v>
      </c>
      <c r="U207" s="23">
        <f t="shared" si="39"/>
        <v>6.0822458181064576E-12</v>
      </c>
      <c r="V207" s="22">
        <f t="shared" si="40"/>
        <v>3.6607070796890184E-7</v>
      </c>
    </row>
    <row r="208" spans="1:22" x14ac:dyDescent="0.45">
      <c r="A208">
        <v>-55.798969999999997</v>
      </c>
      <c r="B208">
        <v>62.763629999999999</v>
      </c>
      <c r="C208">
        <v>42.702710000000003</v>
      </c>
      <c r="D208">
        <v>55238.374199999998</v>
      </c>
      <c r="E208" s="13">
        <v>-55.432925524221801</v>
      </c>
      <c r="F208" s="13">
        <v>63.355425141103701</v>
      </c>
      <c r="G208" s="13">
        <v>42.214314914924202</v>
      </c>
      <c r="H208" s="13">
        <f t="shared" si="41"/>
        <v>42.214314914924202</v>
      </c>
      <c r="I208" s="11">
        <v>-55.432925523999998</v>
      </c>
      <c r="J208" s="11">
        <v>63.355425140999998</v>
      </c>
      <c r="K208" s="9">
        <f t="shared" si="42"/>
        <v>63.355425141000012</v>
      </c>
      <c r="L208" s="12">
        <v>222.214315</v>
      </c>
      <c r="M208" s="3">
        <f t="shared" si="43"/>
        <v>42.214314999999999</v>
      </c>
      <c r="N208" s="15">
        <f t="shared" si="36"/>
        <v>-55.432925524220842</v>
      </c>
      <c r="O208" s="23">
        <f t="shared" si="44"/>
        <v>9.5923269327613525E-13</v>
      </c>
      <c r="P208" s="22">
        <f t="shared" si="45"/>
        <v>2.2084378770159674E-10</v>
      </c>
      <c r="Q208" s="16">
        <f t="shared" si="46"/>
        <v>63.35542514110432</v>
      </c>
      <c r="R208" s="23">
        <f t="shared" si="37"/>
        <v>6.1817218011128716E-13</v>
      </c>
      <c r="S208" s="22">
        <f t="shared" si="38"/>
        <v>1.0430767360958271E-10</v>
      </c>
      <c r="T208" s="16">
        <f t="shared" si="47"/>
        <v>42.21431491492315</v>
      </c>
      <c r="U208" s="23">
        <f t="shared" si="39"/>
        <v>1.0516032489249483E-12</v>
      </c>
      <c r="V208" s="22">
        <f t="shared" si="40"/>
        <v>8.5076848677090311E-8</v>
      </c>
    </row>
    <row r="209" spans="1:22" x14ac:dyDescent="0.45">
      <c r="A209">
        <v>-39.496360000000003</v>
      </c>
      <c r="B209">
        <v>-55.758110000000002</v>
      </c>
      <c r="C209">
        <v>114.02579</v>
      </c>
      <c r="D209">
        <v>159268.535</v>
      </c>
      <c r="E209" s="13">
        <v>-40.067944673938896</v>
      </c>
      <c r="F209" s="13">
        <v>-54.052826953855799</v>
      </c>
      <c r="G209" s="13">
        <v>112.9345685744</v>
      </c>
      <c r="H209" s="13">
        <f t="shared" si="41"/>
        <v>112.9345685744</v>
      </c>
      <c r="I209" s="9">
        <v>-40.067944674000003</v>
      </c>
      <c r="J209" s="9">
        <v>-54.052826953999997</v>
      </c>
      <c r="K209" s="9">
        <f t="shared" si="42"/>
        <v>-54.052826953999997</v>
      </c>
      <c r="L209" s="10">
        <v>292.93456900000001</v>
      </c>
      <c r="M209" s="3">
        <f t="shared" si="43"/>
        <v>112.93456900000001</v>
      </c>
      <c r="N209" s="15">
        <f t="shared" si="36"/>
        <v>-40.067944673941234</v>
      </c>
      <c r="O209" s="23">
        <f t="shared" si="44"/>
        <v>2.3376856006507296E-12</v>
      </c>
      <c r="P209" s="22">
        <f t="shared" si="45"/>
        <v>5.8768989674717886E-11</v>
      </c>
      <c r="Q209" s="16">
        <f t="shared" si="46"/>
        <v>-54.052826953857306</v>
      </c>
      <c r="R209" s="23">
        <f t="shared" si="37"/>
        <v>1.5063505998114124E-12</v>
      </c>
      <c r="S209" s="22">
        <f t="shared" si="38"/>
        <v>1.4269119219534332E-10</v>
      </c>
      <c r="T209" s="16">
        <f t="shared" si="47"/>
        <v>112.93456857439554</v>
      </c>
      <c r="U209" s="23">
        <f t="shared" si="39"/>
        <v>4.4622083805734292E-12</v>
      </c>
      <c r="V209" s="22">
        <f t="shared" si="40"/>
        <v>4.2560446900097304E-7</v>
      </c>
    </row>
    <row r="210" spans="1:22" x14ac:dyDescent="0.45">
      <c r="A210">
        <v>56.888509999999997</v>
      </c>
      <c r="B210">
        <v>139.53071</v>
      </c>
      <c r="C210">
        <v>168.49395999999999</v>
      </c>
      <c r="D210">
        <v>239557.7653</v>
      </c>
      <c r="E210" s="13">
        <v>54.777827073940401</v>
      </c>
      <c r="F210" s="13">
        <v>140.27316622138301</v>
      </c>
      <c r="G210" s="13">
        <v>169.108379688208</v>
      </c>
      <c r="H210" s="13">
        <f t="shared" si="41"/>
        <v>169.108379688208</v>
      </c>
      <c r="I210" s="11">
        <v>54.777827074000001</v>
      </c>
      <c r="J210" s="11">
        <v>140.273166221</v>
      </c>
      <c r="K210" s="9">
        <f t="shared" si="42"/>
        <v>140.273166221</v>
      </c>
      <c r="L210" s="12">
        <v>349.10838000000001</v>
      </c>
      <c r="M210" s="3">
        <f t="shared" si="43"/>
        <v>169.10838000000001</v>
      </c>
      <c r="N210" s="15">
        <f t="shared" si="36"/>
        <v>54.777827073934581</v>
      </c>
      <c r="O210" s="23">
        <f t="shared" si="44"/>
        <v>5.8193450058752205E-12</v>
      </c>
      <c r="P210" s="22">
        <f t="shared" si="45"/>
        <v>6.5419669681432424E-11</v>
      </c>
      <c r="Q210" s="16">
        <f t="shared" si="46"/>
        <v>140.27316622138449</v>
      </c>
      <c r="R210" s="23">
        <f t="shared" si="37"/>
        <v>1.4779288903810084E-12</v>
      </c>
      <c r="S210" s="22">
        <f t="shared" si="38"/>
        <v>3.8448888517450541E-10</v>
      </c>
      <c r="T210" s="16">
        <f t="shared" si="47"/>
        <v>169.10837968820891</v>
      </c>
      <c r="U210" s="23">
        <f t="shared" si="39"/>
        <v>9.0949470177292824E-13</v>
      </c>
      <c r="V210" s="22">
        <f t="shared" si="40"/>
        <v>3.1179109782897285E-7</v>
      </c>
    </row>
    <row r="211" spans="1:22" x14ac:dyDescent="0.45">
      <c r="A211">
        <v>71.575249999999997</v>
      </c>
      <c r="B211">
        <v>23.944949999999999</v>
      </c>
      <c r="C211">
        <v>68.937200000000004</v>
      </c>
      <c r="D211">
        <v>60041.874300000003</v>
      </c>
      <c r="E211" s="13">
        <v>71.761966785479203</v>
      </c>
      <c r="F211" s="13">
        <v>25.548529211982199</v>
      </c>
      <c r="G211" s="13">
        <v>70.459414719790203</v>
      </c>
      <c r="H211" s="13">
        <f t="shared" si="41"/>
        <v>70.459414719790203</v>
      </c>
      <c r="I211" s="9">
        <v>71.761966784999998</v>
      </c>
      <c r="J211" s="9">
        <v>25.548529211999998</v>
      </c>
      <c r="K211" s="9">
        <f t="shared" si="42"/>
        <v>25.548529212000005</v>
      </c>
      <c r="L211" s="10">
        <v>250.45941500000001</v>
      </c>
      <c r="M211" s="3">
        <f t="shared" si="43"/>
        <v>70.459415000000035</v>
      </c>
      <c r="N211" s="15">
        <f t="shared" si="36"/>
        <v>71.761966785478307</v>
      </c>
      <c r="O211" s="23">
        <f t="shared" si="44"/>
        <v>8.9528384705772623E-13</v>
      </c>
      <c r="P211" s="22">
        <f t="shared" si="45"/>
        <v>4.7830894800426904E-10</v>
      </c>
      <c r="Q211" s="16">
        <f t="shared" si="46"/>
        <v>25.548529211973943</v>
      </c>
      <c r="R211" s="23">
        <f t="shared" si="37"/>
        <v>8.2565065895323642E-12</v>
      </c>
      <c r="S211" s="22">
        <f t="shared" si="38"/>
        <v>2.6062707547680475E-11</v>
      </c>
      <c r="T211" s="16">
        <f t="shared" si="47"/>
        <v>70.459414719783183</v>
      </c>
      <c r="U211" s="23">
        <f t="shared" si="39"/>
        <v>7.0201622293097898E-12</v>
      </c>
      <c r="V211" s="22">
        <f t="shared" si="40"/>
        <v>2.8021685238854843E-7</v>
      </c>
    </row>
    <row r="212" spans="1:22" x14ac:dyDescent="0.45">
      <c r="A212">
        <v>20.433440000000001</v>
      </c>
      <c r="B212">
        <v>-21.656220000000001</v>
      </c>
      <c r="C212">
        <v>120.85769999999999</v>
      </c>
      <c r="D212">
        <v>155642.25839999999</v>
      </c>
      <c r="E212" s="13">
        <v>19.7077015462331</v>
      </c>
      <c r="F212" s="13">
        <v>-20.381808578174901</v>
      </c>
      <c r="G212" s="13">
        <v>121.295073874273</v>
      </c>
      <c r="H212" s="13">
        <f t="shared" si="41"/>
        <v>121.295073874273</v>
      </c>
      <c r="I212" s="11">
        <v>19.707701545999999</v>
      </c>
      <c r="J212" s="11">
        <v>-20.381808578000001</v>
      </c>
      <c r="K212" s="9">
        <f t="shared" si="42"/>
        <v>-20.381808578000005</v>
      </c>
      <c r="L212" s="12">
        <v>301.295074</v>
      </c>
      <c r="M212" s="3">
        <f t="shared" si="43"/>
        <v>121.295074</v>
      </c>
      <c r="N212" s="15">
        <f t="shared" si="36"/>
        <v>19.707701546235121</v>
      </c>
      <c r="O212" s="23">
        <f t="shared" si="44"/>
        <v>2.021494083237485E-12</v>
      </c>
      <c r="P212" s="22">
        <f t="shared" si="45"/>
        <v>2.3512214397669595E-10</v>
      </c>
      <c r="Q212" s="16">
        <f t="shared" si="46"/>
        <v>-20.381808578182927</v>
      </c>
      <c r="R212" s="23">
        <f t="shared" si="37"/>
        <v>8.0255802004103316E-12</v>
      </c>
      <c r="S212" s="22">
        <f t="shared" si="38"/>
        <v>1.8292212189408019E-10</v>
      </c>
      <c r="T212" s="16">
        <f t="shared" si="47"/>
        <v>121.29507387427203</v>
      </c>
      <c r="U212" s="23">
        <f t="shared" si="39"/>
        <v>9.6633812063373625E-13</v>
      </c>
      <c r="V212" s="22">
        <f t="shared" si="40"/>
        <v>1.2572796492804628E-7</v>
      </c>
    </row>
    <row r="213" spans="1:22" x14ac:dyDescent="0.45">
      <c r="A213">
        <v>76.526079999999993</v>
      </c>
      <c r="B213">
        <v>52.966540000000002</v>
      </c>
      <c r="C213">
        <v>268.70026000000001</v>
      </c>
      <c r="D213">
        <v>135939.71830000001</v>
      </c>
      <c r="E213" s="13">
        <v>76.444712733659699</v>
      </c>
      <c r="F213" s="13">
        <v>47.7675187471824</v>
      </c>
      <c r="G213" s="13">
        <v>-96.354993072686895</v>
      </c>
      <c r="H213" s="13">
        <f t="shared" si="41"/>
        <v>263.64500692731309</v>
      </c>
      <c r="I213" s="9">
        <v>76.444712734000007</v>
      </c>
      <c r="J213" s="9">
        <v>47.767518746999997</v>
      </c>
      <c r="K213" s="9">
        <f t="shared" si="42"/>
        <v>47.767518746999997</v>
      </c>
      <c r="L213" s="10">
        <v>83.645007000000007</v>
      </c>
      <c r="M213" s="3">
        <f t="shared" si="43"/>
        <v>263.64500700000002</v>
      </c>
      <c r="N213" s="15">
        <f t="shared" si="36"/>
        <v>76.444712733660424</v>
      </c>
      <c r="O213" s="23">
        <f t="shared" si="44"/>
        <v>7.2475359047530219E-13</v>
      </c>
      <c r="P213" s="22">
        <f t="shared" si="45"/>
        <v>3.3958258427446708E-10</v>
      </c>
      <c r="Q213" s="16">
        <f t="shared" si="46"/>
        <v>47.767518747217281</v>
      </c>
      <c r="R213" s="23">
        <f t="shared" si="37"/>
        <v>3.4880542898463318E-11</v>
      </c>
      <c r="S213" s="22">
        <f t="shared" si="38"/>
        <v>2.1728396859543864E-10</v>
      </c>
      <c r="T213" s="16">
        <f t="shared" si="47"/>
        <v>263.64500692734509</v>
      </c>
      <c r="U213" s="23">
        <f t="shared" si="39"/>
        <v>3.2002844818634912E-11</v>
      </c>
      <c r="V213" s="22">
        <f t="shared" si="40"/>
        <v>7.2654927407711511E-8</v>
      </c>
    </row>
    <row r="214" spans="1:22" x14ac:dyDescent="0.45">
      <c r="A214">
        <v>13.729810000000001</v>
      </c>
      <c r="B214">
        <v>58.733600000000003</v>
      </c>
      <c r="C214">
        <v>139.60749000000001</v>
      </c>
      <c r="D214">
        <v>181052.9467</v>
      </c>
      <c r="E214" s="13">
        <v>12.4810819871468</v>
      </c>
      <c r="F214" s="13">
        <v>59.812817548607498</v>
      </c>
      <c r="G214" s="13">
        <v>139.85221747695101</v>
      </c>
      <c r="H214" s="13">
        <f t="shared" si="41"/>
        <v>139.85221747695101</v>
      </c>
      <c r="I214" s="11">
        <v>12.481081987</v>
      </c>
      <c r="J214" s="11">
        <v>59.812817549000002</v>
      </c>
      <c r="K214" s="9">
        <f t="shared" si="42"/>
        <v>59.812817548999988</v>
      </c>
      <c r="L214" s="12">
        <v>319.852217</v>
      </c>
      <c r="M214" s="3">
        <f t="shared" si="43"/>
        <v>139.852217</v>
      </c>
      <c r="N214" s="15">
        <f t="shared" si="36"/>
        <v>12.481081987139051</v>
      </c>
      <c r="O214" s="23">
        <f t="shared" si="44"/>
        <v>7.7484685334638925E-12</v>
      </c>
      <c r="P214" s="22">
        <f t="shared" si="45"/>
        <v>1.3905143703141221E-10</v>
      </c>
      <c r="Q214" s="16">
        <f t="shared" si="46"/>
        <v>59.812817548612884</v>
      </c>
      <c r="R214" s="23">
        <f t="shared" si="37"/>
        <v>5.3859139370615594E-12</v>
      </c>
      <c r="S214" s="22">
        <f t="shared" si="38"/>
        <v>3.8710368244210258E-10</v>
      </c>
      <c r="T214" s="16">
        <f t="shared" si="47"/>
        <v>139.85221747695195</v>
      </c>
      <c r="U214" s="23">
        <f t="shared" si="39"/>
        <v>9.3791641120333225E-13</v>
      </c>
      <c r="V214" s="22">
        <f t="shared" si="40"/>
        <v>4.769519534875144E-7</v>
      </c>
    </row>
    <row r="215" spans="1:22" x14ac:dyDescent="0.45">
      <c r="A215">
        <v>-34.268940000000001</v>
      </c>
      <c r="B215">
        <v>-128.57247000000001</v>
      </c>
      <c r="C215">
        <v>306.93416999999999</v>
      </c>
      <c r="D215">
        <v>229254.93650000001</v>
      </c>
      <c r="E215" s="13">
        <v>-33.011179453936201</v>
      </c>
      <c r="F215" s="13">
        <v>-130.533547339975</v>
      </c>
      <c r="G215" s="13">
        <v>-51.9793050852929</v>
      </c>
      <c r="H215" s="13">
        <f t="shared" si="41"/>
        <v>308.02069491470712</v>
      </c>
      <c r="I215" s="9">
        <v>-33.011179454000001</v>
      </c>
      <c r="J215" s="9">
        <v>-130.53354734000001</v>
      </c>
      <c r="K215" s="9">
        <f t="shared" si="42"/>
        <v>-130.53354734000001</v>
      </c>
      <c r="L215" s="10">
        <v>128.02069499999999</v>
      </c>
      <c r="M215" s="3">
        <f t="shared" si="43"/>
        <v>308.02069499999999</v>
      </c>
      <c r="N215" s="15">
        <f t="shared" si="36"/>
        <v>-33.011179453929678</v>
      </c>
      <c r="O215" s="23">
        <f t="shared" si="44"/>
        <v>6.5227823142777197E-12</v>
      </c>
      <c r="P215" s="22">
        <f t="shared" si="45"/>
        <v>7.0322414558177115E-11</v>
      </c>
      <c r="Q215" s="16">
        <f t="shared" si="46"/>
        <v>-130.53354733997654</v>
      </c>
      <c r="R215" s="23">
        <f t="shared" si="37"/>
        <v>1.5347723092418164E-12</v>
      </c>
      <c r="S215" s="22">
        <f t="shared" si="38"/>
        <v>2.347633198951371E-11</v>
      </c>
      <c r="T215" s="16">
        <f t="shared" si="47"/>
        <v>308.02069491471224</v>
      </c>
      <c r="U215" s="23">
        <f t="shared" si="39"/>
        <v>5.1159076974727213E-12</v>
      </c>
      <c r="V215" s="22">
        <f t="shared" si="40"/>
        <v>8.5287751971918624E-8</v>
      </c>
    </row>
    <row r="216" spans="1:22" x14ac:dyDescent="0.45">
      <c r="A216">
        <v>67.883499999999998</v>
      </c>
      <c r="B216">
        <v>102.04498</v>
      </c>
      <c r="C216">
        <v>125.37953</v>
      </c>
      <c r="D216">
        <v>269764.81349999999</v>
      </c>
      <c r="E216" s="13">
        <v>66.404651559977395</v>
      </c>
      <c r="F216" s="13">
        <v>106.97188621248399</v>
      </c>
      <c r="G216" s="13">
        <v>129.920397974541</v>
      </c>
      <c r="H216" s="13">
        <f t="shared" si="41"/>
        <v>129.920397974541</v>
      </c>
      <c r="I216" s="11">
        <v>66.404651560000005</v>
      </c>
      <c r="J216" s="11">
        <v>106.971886212</v>
      </c>
      <c r="K216" s="9">
        <f t="shared" si="42"/>
        <v>106.97188621200002</v>
      </c>
      <c r="L216" s="12">
        <v>309.92039799999998</v>
      </c>
      <c r="M216" s="3">
        <f t="shared" si="43"/>
        <v>129.92039799999998</v>
      </c>
      <c r="N216" s="15">
        <f t="shared" si="36"/>
        <v>66.404651559979726</v>
      </c>
      <c r="O216" s="23">
        <f t="shared" si="44"/>
        <v>2.3305801732931286E-12</v>
      </c>
      <c r="P216" s="22">
        <f t="shared" si="45"/>
        <v>2.0278889678593259E-11</v>
      </c>
      <c r="Q216" s="16">
        <f t="shared" si="46"/>
        <v>106.97188621247312</v>
      </c>
      <c r="R216" s="23">
        <f t="shared" si="37"/>
        <v>1.0871303857129533E-11</v>
      </c>
      <c r="S216" s="22">
        <f t="shared" si="38"/>
        <v>4.7310777517850511E-10</v>
      </c>
      <c r="T216" s="16">
        <f t="shared" si="47"/>
        <v>129.9203979745345</v>
      </c>
      <c r="U216" s="23">
        <f t="shared" si="39"/>
        <v>6.5085714595625177E-12</v>
      </c>
      <c r="V216" s="22">
        <f t="shared" si="40"/>
        <v>2.5465482167419395E-8</v>
      </c>
    </row>
    <row r="217" spans="1:22" x14ac:dyDescent="0.45">
      <c r="A217">
        <v>63.306890000000003</v>
      </c>
      <c r="B217">
        <v>-176.46136999999999</v>
      </c>
      <c r="C217">
        <v>198.92063999999999</v>
      </c>
      <c r="D217">
        <v>109197.39780000001</v>
      </c>
      <c r="E217" s="13">
        <v>62.378426951477003</v>
      </c>
      <c r="F217" s="13">
        <v>-177.145605841692</v>
      </c>
      <c r="G217" s="13">
        <v>-161.68818476549501</v>
      </c>
      <c r="H217" s="13">
        <f t="shared" si="41"/>
        <v>198.31181523450499</v>
      </c>
      <c r="I217" s="9">
        <v>62.378426951000002</v>
      </c>
      <c r="J217" s="9">
        <v>-177.14560584200001</v>
      </c>
      <c r="K217" s="9">
        <f t="shared" si="42"/>
        <v>-177.14560584200001</v>
      </c>
      <c r="L217" s="10">
        <v>18.311814999999999</v>
      </c>
      <c r="M217" s="3">
        <f t="shared" si="43"/>
        <v>198.311815</v>
      </c>
      <c r="N217" s="15">
        <f t="shared" si="36"/>
        <v>62.378426951475561</v>
      </c>
      <c r="O217" s="23">
        <f t="shared" si="44"/>
        <v>1.4424017535930034E-12</v>
      </c>
      <c r="P217" s="22">
        <f t="shared" si="45"/>
        <v>4.7555914761687745E-10</v>
      </c>
      <c r="Q217" s="16">
        <f t="shared" si="46"/>
        <v>-177.14560584169232</v>
      </c>
      <c r="R217" s="23">
        <f t="shared" si="37"/>
        <v>3.1263880373444408E-13</v>
      </c>
      <c r="S217" s="22">
        <f t="shared" si="38"/>
        <v>3.0769342629355378E-10</v>
      </c>
      <c r="T217" s="16">
        <f t="shared" si="47"/>
        <v>198.31181523450414</v>
      </c>
      <c r="U217" s="23">
        <f t="shared" si="39"/>
        <v>8.5265128291212022E-13</v>
      </c>
      <c r="V217" s="22">
        <f t="shared" si="40"/>
        <v>2.3450414232684125E-7</v>
      </c>
    </row>
    <row r="218" spans="1:22" x14ac:dyDescent="0.45">
      <c r="A218">
        <v>5.7434000000000003</v>
      </c>
      <c r="B218">
        <v>125.30200000000001</v>
      </c>
      <c r="C218">
        <v>97.137860000000003</v>
      </c>
      <c r="D218">
        <v>239202.74900000001</v>
      </c>
      <c r="E218" s="13">
        <v>5.4706714178052902</v>
      </c>
      <c r="F218" s="13">
        <v>127.443829429601</v>
      </c>
      <c r="G218" s="13">
        <v>97.347152575076905</v>
      </c>
      <c r="H218" s="13">
        <f t="shared" si="41"/>
        <v>97.347152575076905</v>
      </c>
      <c r="I218" s="11">
        <v>5.4706714180000002</v>
      </c>
      <c r="J218" s="11">
        <v>127.44382942999999</v>
      </c>
      <c r="K218" s="9">
        <f t="shared" si="42"/>
        <v>127.44382942999999</v>
      </c>
      <c r="L218" s="12">
        <v>277.34715299999999</v>
      </c>
      <c r="M218" s="3">
        <f t="shared" si="43"/>
        <v>97.347152999999992</v>
      </c>
      <c r="N218" s="15">
        <f t="shared" si="36"/>
        <v>5.4706714178033504</v>
      </c>
      <c r="O218" s="23">
        <f t="shared" si="44"/>
        <v>1.9397816686250735E-12</v>
      </c>
      <c r="P218" s="22">
        <f t="shared" si="45"/>
        <v>1.9664980754896533E-10</v>
      </c>
      <c r="Q218" s="16">
        <f t="shared" si="46"/>
        <v>127.44382942961516</v>
      </c>
      <c r="R218" s="23">
        <f t="shared" si="37"/>
        <v>1.4168222151056398E-11</v>
      </c>
      <c r="S218" s="22">
        <f t="shared" si="38"/>
        <v>3.8482994568767026E-10</v>
      </c>
      <c r="T218" s="16">
        <f t="shared" si="47"/>
        <v>97.347152575078255</v>
      </c>
      <c r="U218" s="23">
        <f t="shared" si="39"/>
        <v>1.3500311979441904E-12</v>
      </c>
      <c r="V218" s="22">
        <f t="shared" si="40"/>
        <v>4.2492173690789059E-7</v>
      </c>
    </row>
    <row r="219" spans="1:22" x14ac:dyDescent="0.45">
      <c r="A219">
        <v>-21.29729</v>
      </c>
      <c r="B219">
        <v>-2.90787</v>
      </c>
      <c r="C219">
        <v>283.41816</v>
      </c>
      <c r="D219">
        <v>261627.51920000001</v>
      </c>
      <c r="E219" s="13">
        <v>-20.731282237147699</v>
      </c>
      <c r="F219" s="13">
        <v>-5.3512540467624303</v>
      </c>
      <c r="G219" s="13">
        <v>-75.705513588228996</v>
      </c>
      <c r="H219" s="13">
        <f t="shared" si="41"/>
        <v>284.294486411771</v>
      </c>
      <c r="I219" s="9">
        <v>-20.731282236999999</v>
      </c>
      <c r="J219" s="9">
        <v>-5.3512540470000003</v>
      </c>
      <c r="K219" s="9">
        <f t="shared" si="42"/>
        <v>-5.3512540469999976</v>
      </c>
      <c r="L219" s="10">
        <v>104.29448600000001</v>
      </c>
      <c r="M219" s="3">
        <f t="shared" si="43"/>
        <v>284.29448600000001</v>
      </c>
      <c r="N219" s="15">
        <f t="shared" si="36"/>
        <v>-20.731282237143009</v>
      </c>
      <c r="O219" s="23">
        <f t="shared" si="44"/>
        <v>4.6895820560166612E-12</v>
      </c>
      <c r="P219" s="22">
        <f t="shared" si="45"/>
        <v>1.4301093642643536E-10</v>
      </c>
      <c r="Q219" s="16">
        <f t="shared" si="46"/>
        <v>-5.3512540467695828</v>
      </c>
      <c r="R219" s="23">
        <f t="shared" si="37"/>
        <v>7.1525008138451085E-12</v>
      </c>
      <c r="S219" s="22">
        <f t="shared" si="38"/>
        <v>2.3041479835228529E-10</v>
      </c>
      <c r="T219" s="16">
        <f t="shared" si="47"/>
        <v>284.29448641177771</v>
      </c>
      <c r="U219" s="23">
        <f t="shared" si="39"/>
        <v>6.7075234255753458E-12</v>
      </c>
      <c r="V219" s="22">
        <f t="shared" si="40"/>
        <v>4.1177770526701352E-7</v>
      </c>
    </row>
    <row r="220" spans="1:22" x14ac:dyDescent="0.45">
      <c r="A220">
        <v>42.500529999999998</v>
      </c>
      <c r="B220">
        <v>89.240600000000001</v>
      </c>
      <c r="C220">
        <v>117.77651</v>
      </c>
      <c r="D220">
        <v>288789.2316</v>
      </c>
      <c r="E220" s="13">
        <v>41.247816070951401</v>
      </c>
      <c r="F220" s="13">
        <v>92.289375349090804</v>
      </c>
      <c r="G220" s="13">
        <v>119.811947483126</v>
      </c>
      <c r="H220" s="13">
        <f t="shared" si="41"/>
        <v>119.811947483126</v>
      </c>
      <c r="I220" s="11">
        <v>41.247816071000003</v>
      </c>
      <c r="J220" s="11">
        <v>92.289375348999997</v>
      </c>
      <c r="K220" s="9">
        <f t="shared" si="42"/>
        <v>92.289375349000011</v>
      </c>
      <c r="L220" s="12">
        <v>299.81194699999998</v>
      </c>
      <c r="M220" s="3">
        <f t="shared" si="43"/>
        <v>119.81194699999998</v>
      </c>
      <c r="N220" s="15">
        <f t="shared" si="36"/>
        <v>41.247816070946293</v>
      </c>
      <c r="O220" s="23">
        <f t="shared" si="44"/>
        <v>5.1088022701151203E-12</v>
      </c>
      <c r="P220" s="22">
        <f t="shared" si="45"/>
        <v>5.3709925396105973E-11</v>
      </c>
      <c r="Q220" s="16">
        <f t="shared" si="46"/>
        <v>92.289375349089823</v>
      </c>
      <c r="R220" s="23">
        <f t="shared" si="37"/>
        <v>9.8054897534893826E-13</v>
      </c>
      <c r="S220" s="22">
        <f t="shared" si="38"/>
        <v>8.9812601800076663E-11</v>
      </c>
      <c r="T220" s="16">
        <f t="shared" si="47"/>
        <v>119.81194748313349</v>
      </c>
      <c r="U220" s="23">
        <f t="shared" si="39"/>
        <v>7.489120434911456E-12</v>
      </c>
      <c r="V220" s="22">
        <f t="shared" si="40"/>
        <v>4.8313351896922541E-7</v>
      </c>
    </row>
    <row r="221" spans="1:22" x14ac:dyDescent="0.45">
      <c r="A221">
        <v>-43.726329999999997</v>
      </c>
      <c r="B221">
        <v>-162.36582999999999</v>
      </c>
      <c r="C221">
        <v>248.34501</v>
      </c>
      <c r="D221">
        <v>223681.27929999999</v>
      </c>
      <c r="E221" s="13">
        <v>-44.439582203817302</v>
      </c>
      <c r="F221" s="13">
        <v>-164.97755805528701</v>
      </c>
      <c r="G221" s="13">
        <v>-109.83781483816099</v>
      </c>
      <c r="H221" s="13">
        <f t="shared" si="41"/>
        <v>250.16218516183901</v>
      </c>
      <c r="I221" s="9">
        <v>-44.439582203999997</v>
      </c>
      <c r="J221" s="9">
        <v>-164.977558055</v>
      </c>
      <c r="K221" s="9">
        <f t="shared" si="42"/>
        <v>-164.977558055</v>
      </c>
      <c r="L221" s="10">
        <v>70.162184999999994</v>
      </c>
      <c r="M221" s="3">
        <f t="shared" si="43"/>
        <v>250.16218499999999</v>
      </c>
      <c r="N221" s="15">
        <f t="shared" si="36"/>
        <v>-44.439582203819661</v>
      </c>
      <c r="O221" s="23">
        <f t="shared" si="44"/>
        <v>2.3590018827235326E-12</v>
      </c>
      <c r="P221" s="22">
        <f t="shared" si="45"/>
        <v>1.8033574633591343E-10</v>
      </c>
      <c r="Q221" s="16">
        <f t="shared" si="46"/>
        <v>-164.97755805528439</v>
      </c>
      <c r="R221" s="23">
        <f t="shared" si="37"/>
        <v>2.6147972675971687E-12</v>
      </c>
      <c r="S221" s="22">
        <f t="shared" si="38"/>
        <v>2.843876245606225E-10</v>
      </c>
      <c r="T221" s="16">
        <f t="shared" si="47"/>
        <v>250.16218516184475</v>
      </c>
      <c r="U221" s="23">
        <f t="shared" si="39"/>
        <v>5.7411853049416095E-12</v>
      </c>
      <c r="V221" s="22">
        <f t="shared" si="40"/>
        <v>1.6184475271074916E-7</v>
      </c>
    </row>
    <row r="222" spans="1:22" x14ac:dyDescent="0.45">
      <c r="A222">
        <v>85.670190000000005</v>
      </c>
      <c r="B222">
        <v>-30.801480000000002</v>
      </c>
      <c r="C222">
        <v>310.89265999999998</v>
      </c>
      <c r="D222">
        <v>250297.2035</v>
      </c>
      <c r="E222" s="13">
        <v>86.674404425722599</v>
      </c>
      <c r="F222" s="13">
        <v>-61.434860609499601</v>
      </c>
      <c r="G222" s="13">
        <v>-79.6767052285701</v>
      </c>
      <c r="H222" s="13">
        <f t="shared" si="41"/>
        <v>280.32329477142991</v>
      </c>
      <c r="I222" s="11">
        <v>86.674404425999995</v>
      </c>
      <c r="J222" s="11">
        <v>-61.434860608999998</v>
      </c>
      <c r="K222" s="9">
        <f t="shared" si="42"/>
        <v>-61.434860608999998</v>
      </c>
      <c r="L222" s="12">
        <v>100.323295</v>
      </c>
      <c r="M222" s="3">
        <f t="shared" si="43"/>
        <v>280.32329500000003</v>
      </c>
      <c r="N222" s="15">
        <f t="shared" si="36"/>
        <v>86.674404425719203</v>
      </c>
      <c r="O222" s="23">
        <f t="shared" si="44"/>
        <v>3.3963942769332789E-12</v>
      </c>
      <c r="P222" s="22">
        <f t="shared" si="45"/>
        <v>2.8079227831767639E-10</v>
      </c>
      <c r="Q222" s="16">
        <f t="shared" si="46"/>
        <v>-61.434860609181015</v>
      </c>
      <c r="R222" s="23">
        <f t="shared" si="37"/>
        <v>3.1858604643275612E-10</v>
      </c>
      <c r="S222" s="22">
        <f t="shared" si="38"/>
        <v>1.8101786736224312E-10</v>
      </c>
      <c r="T222" s="16">
        <f t="shared" si="47"/>
        <v>280.32329477174687</v>
      </c>
      <c r="U222" s="23">
        <f t="shared" si="39"/>
        <v>3.1695890356786549E-10</v>
      </c>
      <c r="V222" s="22">
        <f t="shared" si="40"/>
        <v>2.2825315681984648E-7</v>
      </c>
    </row>
    <row r="223" spans="1:22" x14ac:dyDescent="0.45">
      <c r="A223">
        <v>-42.551229999999997</v>
      </c>
      <c r="B223">
        <v>7.8101500000000001</v>
      </c>
      <c r="C223">
        <v>321.21706</v>
      </c>
      <c r="D223">
        <v>117917.5376</v>
      </c>
      <c r="E223" s="13">
        <v>-41.720226661543002</v>
      </c>
      <c r="F223" s="13">
        <v>6.9225573788814003</v>
      </c>
      <c r="G223" s="13">
        <v>-38.187441455459897</v>
      </c>
      <c r="H223" s="13">
        <f t="shared" si="41"/>
        <v>321.81255854454008</v>
      </c>
      <c r="I223" s="9">
        <v>-41.720226662000002</v>
      </c>
      <c r="J223" s="9">
        <v>6.9225573789999997</v>
      </c>
      <c r="K223" s="9">
        <f t="shared" si="42"/>
        <v>6.9225573790000112</v>
      </c>
      <c r="L223" s="10">
        <v>141.81255899999999</v>
      </c>
      <c r="M223" s="3">
        <f t="shared" si="43"/>
        <v>321.81255899999996</v>
      </c>
      <c r="N223" s="15">
        <f t="shared" si="36"/>
        <v>-41.720226661535641</v>
      </c>
      <c r="O223" s="23">
        <f t="shared" si="44"/>
        <v>7.3612227424746379E-12</v>
      </c>
      <c r="P223" s="22">
        <f t="shared" si="45"/>
        <v>4.6436099410129827E-10</v>
      </c>
      <c r="Q223" s="16">
        <f t="shared" si="46"/>
        <v>6.9225573788758936</v>
      </c>
      <c r="R223" s="23">
        <f t="shared" si="37"/>
        <v>5.5067062021407764E-12</v>
      </c>
      <c r="S223" s="22">
        <f t="shared" si="38"/>
        <v>1.241176050825743E-10</v>
      </c>
      <c r="T223" s="16">
        <f t="shared" si="47"/>
        <v>321.8125585445448</v>
      </c>
      <c r="U223" s="23">
        <f t="shared" si="39"/>
        <v>4.7180037654470652E-12</v>
      </c>
      <c r="V223" s="22">
        <f t="shared" si="40"/>
        <v>4.554551651381189E-7</v>
      </c>
    </row>
    <row r="224" spans="1:22" x14ac:dyDescent="0.45">
      <c r="A224">
        <v>81.664879999999997</v>
      </c>
      <c r="B224">
        <v>172.62612999999999</v>
      </c>
      <c r="C224">
        <v>326.02055000000001</v>
      </c>
      <c r="D224">
        <v>236250.2966</v>
      </c>
      <c r="E224" s="13">
        <v>83.314532636096203</v>
      </c>
      <c r="F224" s="13">
        <v>162.41978013055299</v>
      </c>
      <c r="G224" s="13">
        <v>-44.099743400445398</v>
      </c>
      <c r="H224" s="13">
        <f t="shared" si="41"/>
        <v>315.90025659955461</v>
      </c>
      <c r="I224" s="11">
        <v>83.314532635999996</v>
      </c>
      <c r="J224" s="11">
        <v>162.41978013100001</v>
      </c>
      <c r="K224" s="9">
        <f t="shared" si="42"/>
        <v>162.41978013100004</v>
      </c>
      <c r="L224" s="12">
        <v>135.90025700000001</v>
      </c>
      <c r="M224" s="3">
        <f t="shared" si="43"/>
        <v>315.90025700000001</v>
      </c>
      <c r="N224" s="15">
        <f t="shared" si="36"/>
        <v>83.314532636084749</v>
      </c>
      <c r="O224" s="23">
        <f t="shared" si="44"/>
        <v>1.1453948900452815E-11</v>
      </c>
      <c r="P224" s="22">
        <f t="shared" si="45"/>
        <v>8.475353752146475E-11</v>
      </c>
      <c r="Q224" s="16">
        <f t="shared" si="46"/>
        <v>162.41978013064875</v>
      </c>
      <c r="R224" s="23">
        <f t="shared" si="37"/>
        <v>9.5752739071031101E-11</v>
      </c>
      <c r="S224" s="22">
        <f t="shared" si="38"/>
        <v>3.5129232855979353E-10</v>
      </c>
      <c r="T224" s="16">
        <f t="shared" si="47"/>
        <v>315.90025659964829</v>
      </c>
      <c r="U224" s="23">
        <f t="shared" si="39"/>
        <v>9.3677954282611609E-11</v>
      </c>
      <c r="V224" s="22">
        <f t="shared" si="40"/>
        <v>4.0035172332864022E-7</v>
      </c>
    </row>
    <row r="225" spans="1:22" x14ac:dyDescent="0.45">
      <c r="A225">
        <v>-67.322550000000007</v>
      </c>
      <c r="B225">
        <v>144.511</v>
      </c>
      <c r="C225">
        <v>168.7217</v>
      </c>
      <c r="D225">
        <v>152724.31289999999</v>
      </c>
      <c r="E225" s="13">
        <v>-68.663804540891604</v>
      </c>
      <c r="F225" s="13">
        <v>145.24626739109399</v>
      </c>
      <c r="G225" s="13">
        <v>168.03995670804599</v>
      </c>
      <c r="H225" s="13">
        <f t="shared" si="41"/>
        <v>168.03995670804599</v>
      </c>
      <c r="I225" s="9">
        <v>-68.663804541000005</v>
      </c>
      <c r="J225" s="9">
        <v>145.246267391</v>
      </c>
      <c r="K225" s="9">
        <f t="shared" si="42"/>
        <v>145.246267391</v>
      </c>
      <c r="L225" s="10">
        <v>348.03995700000002</v>
      </c>
      <c r="M225" s="3">
        <f t="shared" si="43"/>
        <v>168.03995699999996</v>
      </c>
      <c r="N225" s="15">
        <f t="shared" si="36"/>
        <v>-68.663804540890993</v>
      </c>
      <c r="O225" s="23">
        <f t="shared" si="44"/>
        <v>6.1106675275368616E-13</v>
      </c>
      <c r="P225" s="22">
        <f t="shared" si="45"/>
        <v>1.0901146652031457E-10</v>
      </c>
      <c r="Q225" s="16">
        <f t="shared" si="46"/>
        <v>145.24626739109368</v>
      </c>
      <c r="R225" s="23">
        <f t="shared" si="37"/>
        <v>3.1263880373444408E-13</v>
      </c>
      <c r="S225" s="22">
        <f t="shared" si="38"/>
        <v>9.3677954282611609E-11</v>
      </c>
      <c r="T225" s="16">
        <f t="shared" si="47"/>
        <v>168.03995670804636</v>
      </c>
      <c r="U225" s="23">
        <f t="shared" si="39"/>
        <v>3.694822225952521E-13</v>
      </c>
      <c r="V225" s="22">
        <f t="shared" si="40"/>
        <v>2.9195359729783377E-7</v>
      </c>
    </row>
    <row r="226" spans="1:22" x14ac:dyDescent="0.45">
      <c r="A226">
        <v>-36.309139999999999</v>
      </c>
      <c r="B226">
        <v>-105.28355000000001</v>
      </c>
      <c r="C226">
        <v>238.57171</v>
      </c>
      <c r="D226">
        <v>140330.49110000001</v>
      </c>
      <c r="E226" s="13">
        <v>-36.9609903091281</v>
      </c>
      <c r="F226" s="13">
        <v>-106.628130029757</v>
      </c>
      <c r="G226" s="13">
        <v>-120.625920629939</v>
      </c>
      <c r="H226" s="13">
        <f t="shared" si="41"/>
        <v>239.374079370061</v>
      </c>
      <c r="I226" s="11">
        <v>-36.960990309000003</v>
      </c>
      <c r="J226" s="11">
        <v>-106.62813002999999</v>
      </c>
      <c r="K226" s="9">
        <f t="shared" si="42"/>
        <v>-106.62813002999999</v>
      </c>
      <c r="L226" s="12">
        <v>59.374079000000002</v>
      </c>
      <c r="M226" s="3">
        <f t="shared" si="43"/>
        <v>239.37407899999999</v>
      </c>
      <c r="N226" s="15">
        <f t="shared" si="36"/>
        <v>-36.960990309152223</v>
      </c>
      <c r="O226" s="23">
        <f t="shared" si="44"/>
        <v>2.4122925879055401E-11</v>
      </c>
      <c r="P226" s="22">
        <f t="shared" si="45"/>
        <v>1.5221957028188626E-10</v>
      </c>
      <c r="Q226" s="16">
        <f t="shared" si="46"/>
        <v>-106.62813002980124</v>
      </c>
      <c r="R226" s="23">
        <f t="shared" si="37"/>
        <v>4.4238390728423838E-11</v>
      </c>
      <c r="S226" s="22">
        <f t="shared" si="38"/>
        <v>1.9875301404681522E-10</v>
      </c>
      <c r="T226" s="16">
        <f t="shared" si="47"/>
        <v>239.37407937009095</v>
      </c>
      <c r="U226" s="23">
        <f t="shared" si="39"/>
        <v>2.9956481739645824E-11</v>
      </c>
      <c r="V226" s="22">
        <f t="shared" si="40"/>
        <v>3.7009095876783249E-7</v>
      </c>
    </row>
    <row r="227" spans="1:22" x14ac:dyDescent="0.45">
      <c r="A227">
        <v>41.576300000000003</v>
      </c>
      <c r="B227">
        <v>54.880719999999997</v>
      </c>
      <c r="C227">
        <v>302.06475</v>
      </c>
      <c r="D227">
        <v>108131.13069999999</v>
      </c>
      <c r="E227" s="13">
        <v>42.087820656755902</v>
      </c>
      <c r="F227" s="13">
        <v>53.773147891286897</v>
      </c>
      <c r="G227" s="13">
        <v>-58.673964864169299</v>
      </c>
      <c r="H227" s="13">
        <f t="shared" si="41"/>
        <v>301.32603513583069</v>
      </c>
      <c r="I227" s="9">
        <v>42.087820657000002</v>
      </c>
      <c r="J227" s="9">
        <v>53.773147891000001</v>
      </c>
      <c r="K227" s="9">
        <f t="shared" si="42"/>
        <v>53.773147891000008</v>
      </c>
      <c r="L227" s="10">
        <v>121.326035</v>
      </c>
      <c r="M227" s="3">
        <f t="shared" si="43"/>
        <v>301.32603499999999</v>
      </c>
      <c r="N227" s="15">
        <f t="shared" si="36"/>
        <v>42.087820656757913</v>
      </c>
      <c r="O227" s="23">
        <f t="shared" si="44"/>
        <v>2.0108359422010835E-12</v>
      </c>
      <c r="P227" s="22">
        <f t="shared" si="45"/>
        <v>2.4208901550082373E-10</v>
      </c>
      <c r="Q227" s="16">
        <f t="shared" si="46"/>
        <v>53.77314789128684</v>
      </c>
      <c r="R227" s="23">
        <f t="shared" si="37"/>
        <v>5.6843418860808015E-14</v>
      </c>
      <c r="S227" s="22">
        <f t="shared" si="38"/>
        <v>2.8683189157163724E-10</v>
      </c>
      <c r="T227" s="16">
        <f t="shared" si="47"/>
        <v>301.32603513582745</v>
      </c>
      <c r="U227" s="23">
        <f t="shared" si="39"/>
        <v>3.2400748750660568E-12</v>
      </c>
      <c r="V227" s="22">
        <f t="shared" si="40"/>
        <v>1.3582746305473847E-7</v>
      </c>
    </row>
    <row r="228" spans="1:22" x14ac:dyDescent="0.45">
      <c r="A228">
        <v>56.360080000000004</v>
      </c>
      <c r="B228">
        <v>-36.270580000000002</v>
      </c>
      <c r="C228">
        <v>305.72883999999999</v>
      </c>
      <c r="D228">
        <v>234979.94039999999</v>
      </c>
      <c r="E228" s="13">
        <v>57.552421213111103</v>
      </c>
      <c r="F228" s="13">
        <v>-39.4577071041072</v>
      </c>
      <c r="G228" s="13">
        <v>-56.943133502113398</v>
      </c>
      <c r="H228" s="13">
        <f t="shared" si="41"/>
        <v>303.05686649788663</v>
      </c>
      <c r="I228" s="11">
        <v>57.552421213000002</v>
      </c>
      <c r="J228" s="11">
        <v>-39.457707104000001</v>
      </c>
      <c r="K228" s="9">
        <f t="shared" si="42"/>
        <v>-39.457707104000008</v>
      </c>
      <c r="L228" s="12">
        <v>123.056866</v>
      </c>
      <c r="M228" s="3">
        <f t="shared" si="43"/>
        <v>303.05686600000001</v>
      </c>
      <c r="N228" s="15">
        <f t="shared" si="36"/>
        <v>57.552421213112503</v>
      </c>
      <c r="O228" s="23">
        <f t="shared" si="44"/>
        <v>1.3997691894473974E-12</v>
      </c>
      <c r="P228" s="22">
        <f t="shared" si="45"/>
        <v>1.1250023135289666E-10</v>
      </c>
      <c r="Q228" s="16">
        <f t="shared" si="46"/>
        <v>-39.457707104106447</v>
      </c>
      <c r="R228" s="23">
        <f t="shared" si="37"/>
        <v>7.531752999057062E-13</v>
      </c>
      <c r="S228" s="22">
        <f t="shared" si="38"/>
        <v>1.0643930181686301E-10</v>
      </c>
      <c r="T228" s="16">
        <f t="shared" si="47"/>
        <v>303.05686649788282</v>
      </c>
      <c r="U228" s="23">
        <f t="shared" si="39"/>
        <v>3.808509063674137E-12</v>
      </c>
      <c r="V228" s="22">
        <f t="shared" si="40"/>
        <v>4.978828087587317E-7</v>
      </c>
    </row>
    <row r="229" spans="1:22" x14ac:dyDescent="0.45">
      <c r="A229">
        <v>74.583179999999999</v>
      </c>
      <c r="B229">
        <v>-170.44665000000001</v>
      </c>
      <c r="C229">
        <v>223.96682000000001</v>
      </c>
      <c r="D229">
        <v>221205.2267</v>
      </c>
      <c r="E229" s="13">
        <v>73.101921577581805</v>
      </c>
      <c r="F229" s="13">
        <v>-175.182605921283</v>
      </c>
      <c r="G229" s="13">
        <v>-140.582649002723</v>
      </c>
      <c r="H229" s="13">
        <f t="shared" si="41"/>
        <v>219.417350997277</v>
      </c>
      <c r="I229" s="9">
        <v>73.101921578000002</v>
      </c>
      <c r="J229" s="9">
        <v>-175.182605921</v>
      </c>
      <c r="K229" s="9">
        <f t="shared" si="42"/>
        <v>-175.182605921</v>
      </c>
      <c r="L229" s="10">
        <v>39.417350999999996</v>
      </c>
      <c r="M229" s="3">
        <f t="shared" si="43"/>
        <v>219.417351</v>
      </c>
      <c r="N229" s="15">
        <f t="shared" si="36"/>
        <v>73.101921577587447</v>
      </c>
      <c r="O229" s="23">
        <f t="shared" si="44"/>
        <v>5.6417093219351955E-12</v>
      </c>
      <c r="P229" s="22">
        <f t="shared" si="45"/>
        <v>4.1255532323702937E-10</v>
      </c>
      <c r="Q229" s="16">
        <f t="shared" si="46"/>
        <v>-175.18260592126464</v>
      </c>
      <c r="R229" s="23">
        <f t="shared" si="37"/>
        <v>1.8360424292040989E-11</v>
      </c>
      <c r="S229" s="22">
        <f t="shared" si="38"/>
        <v>2.6463453650649171E-10</v>
      </c>
      <c r="T229" s="16">
        <f t="shared" si="47"/>
        <v>219.41735099729286</v>
      </c>
      <c r="U229" s="23">
        <f t="shared" si="39"/>
        <v>1.5859313862165436E-11</v>
      </c>
      <c r="V229" s="22">
        <f t="shared" si="40"/>
        <v>2.7071394015365513E-9</v>
      </c>
    </row>
    <row r="230" spans="1:22" x14ac:dyDescent="0.45">
      <c r="A230">
        <v>0.32369999999999999</v>
      </c>
      <c r="B230">
        <v>-32.251750000000001</v>
      </c>
      <c r="C230">
        <v>218.91633999999999</v>
      </c>
      <c r="D230">
        <v>77287.303799999994</v>
      </c>
      <c r="E230" s="13">
        <v>-0.220141910005592</v>
      </c>
      <c r="F230" s="13">
        <v>-32.6878852591217</v>
      </c>
      <c r="G230" s="13">
        <v>-141.084054148218</v>
      </c>
      <c r="H230" s="13">
        <f t="shared" si="41"/>
        <v>218.915945851782</v>
      </c>
      <c r="I230" s="11">
        <v>-0.22014191</v>
      </c>
      <c r="J230" s="11">
        <v>-32.687885258999998</v>
      </c>
      <c r="K230" s="9">
        <f t="shared" si="42"/>
        <v>-32.687885258999984</v>
      </c>
      <c r="L230" s="12">
        <v>38.915945999999998</v>
      </c>
      <c r="M230" s="3">
        <f t="shared" si="43"/>
        <v>218.91594599999999</v>
      </c>
      <c r="N230" s="15">
        <f t="shared" si="36"/>
        <v>-0.22014191000877834</v>
      </c>
      <c r="O230" s="23">
        <f t="shared" si="44"/>
        <v>3.1863400806741993E-12</v>
      </c>
      <c r="P230" s="22">
        <f t="shared" si="45"/>
        <v>8.7783391666818034E-12</v>
      </c>
      <c r="Q230" s="16">
        <f t="shared" si="46"/>
        <v>-32.687885259124499</v>
      </c>
      <c r="R230" s="23">
        <f t="shared" si="37"/>
        <v>2.7995383788947947E-12</v>
      </c>
      <c r="S230" s="22">
        <f t="shared" si="38"/>
        <v>1.2451550901459996E-10</v>
      </c>
      <c r="T230" s="16">
        <f t="shared" si="47"/>
        <v>218.91594585178223</v>
      </c>
      <c r="U230" s="23">
        <f t="shared" si="39"/>
        <v>2.2737367544323206E-13</v>
      </c>
      <c r="V230" s="22">
        <f t="shared" si="40"/>
        <v>1.4821776517237595E-7</v>
      </c>
    </row>
    <row r="231" spans="1:22" x14ac:dyDescent="0.45">
      <c r="A231">
        <v>-84.848879999999994</v>
      </c>
      <c r="B231">
        <v>79.329400000000007</v>
      </c>
      <c r="C231">
        <v>356.97872999999998</v>
      </c>
      <c r="D231">
        <v>206909.5417</v>
      </c>
      <c r="E231" s="13">
        <v>-82.998096488660096</v>
      </c>
      <c r="F231" s="13">
        <v>78.528525211014895</v>
      </c>
      <c r="G231" s="13">
        <v>-2.2247909582816399</v>
      </c>
      <c r="H231" s="13">
        <f t="shared" si="41"/>
        <v>357.77520904171837</v>
      </c>
      <c r="I231" s="9">
        <v>-82.998096489000005</v>
      </c>
      <c r="J231" s="9">
        <v>78.528525211000002</v>
      </c>
      <c r="K231" s="9">
        <f t="shared" si="42"/>
        <v>78.528525210999987</v>
      </c>
      <c r="L231" s="10">
        <v>177.77520899999999</v>
      </c>
      <c r="M231" s="3">
        <f t="shared" si="43"/>
        <v>357.77520900000002</v>
      </c>
      <c r="N231" s="15">
        <f t="shared" si="36"/>
        <v>-82.998096488673582</v>
      </c>
      <c r="O231" s="23">
        <f t="shared" si="44"/>
        <v>1.3486101124726702E-11</v>
      </c>
      <c r="P231" s="22">
        <f t="shared" si="45"/>
        <v>3.2642333280819003E-10</v>
      </c>
      <c r="Q231" s="16">
        <f t="shared" si="46"/>
        <v>78.5285252110192</v>
      </c>
      <c r="R231" s="23">
        <f t="shared" si="37"/>
        <v>4.3058889787062071E-12</v>
      </c>
      <c r="S231" s="22">
        <f t="shared" si="38"/>
        <v>1.9213075574953109E-11</v>
      </c>
      <c r="T231" s="16">
        <f t="shared" si="47"/>
        <v>357.77520904171377</v>
      </c>
      <c r="U231" s="23">
        <f t="shared" si="39"/>
        <v>4.6043169277254492E-12</v>
      </c>
      <c r="V231" s="22">
        <f t="shared" si="40"/>
        <v>4.171374712313991E-8</v>
      </c>
    </row>
    <row r="232" spans="1:22" x14ac:dyDescent="0.45">
      <c r="A232">
        <v>-22.447389999999999</v>
      </c>
      <c r="B232">
        <v>61.43526</v>
      </c>
      <c r="C232">
        <v>180.12512000000001</v>
      </c>
      <c r="D232">
        <v>55374.978499999997</v>
      </c>
      <c r="E232" s="13">
        <v>-22.947434631910902</v>
      </c>
      <c r="F232" s="13">
        <v>61.4340809708157</v>
      </c>
      <c r="G232" s="13">
        <v>-179.87442505029099</v>
      </c>
      <c r="H232" s="13">
        <f t="shared" si="41"/>
        <v>180.12557494970901</v>
      </c>
      <c r="I232" s="11">
        <v>-22.947434632</v>
      </c>
      <c r="J232" s="11">
        <v>61.434080971</v>
      </c>
      <c r="K232" s="9">
        <f t="shared" si="42"/>
        <v>61.434080971000014</v>
      </c>
      <c r="L232" s="12">
        <v>0.12557499999999999</v>
      </c>
      <c r="M232" s="3">
        <f t="shared" si="43"/>
        <v>180.125575</v>
      </c>
      <c r="N232" s="15">
        <f t="shared" si="36"/>
        <v>-22.94743463191314</v>
      </c>
      <c r="O232" s="23">
        <f t="shared" si="44"/>
        <v>2.2382096176443156E-12</v>
      </c>
      <c r="P232" s="22">
        <f t="shared" si="45"/>
        <v>8.6860296732993447E-11</v>
      </c>
      <c r="Q232" s="16">
        <f t="shared" si="46"/>
        <v>61.434080970815643</v>
      </c>
      <c r="R232" s="23">
        <f t="shared" si="37"/>
        <v>5.6843418860808015E-14</v>
      </c>
      <c r="S232" s="22">
        <f t="shared" si="38"/>
        <v>1.843716290750308E-10</v>
      </c>
      <c r="T232" s="16">
        <f t="shared" si="47"/>
        <v>180.12557494970929</v>
      </c>
      <c r="U232" s="23">
        <f t="shared" si="39"/>
        <v>2.8421709430404007E-13</v>
      </c>
      <c r="V232" s="22">
        <f t="shared" si="40"/>
        <v>5.029070848650008E-8</v>
      </c>
    </row>
    <row r="233" spans="1:22" x14ac:dyDescent="0.45">
      <c r="A233">
        <v>7.9348999999999998</v>
      </c>
      <c r="B233">
        <v>135.13274000000001</v>
      </c>
      <c r="C233">
        <v>104.66131</v>
      </c>
      <c r="D233">
        <v>19205.576300000001</v>
      </c>
      <c r="E233" s="13">
        <v>7.8909127274287698</v>
      </c>
      <c r="F233" s="13">
        <v>135.301233852558</v>
      </c>
      <c r="G233" s="13">
        <v>104.68450617318101</v>
      </c>
      <c r="H233" s="13">
        <f t="shared" si="41"/>
        <v>104.68450617318101</v>
      </c>
      <c r="I233" s="9">
        <v>7.8909127269999999</v>
      </c>
      <c r="J233" s="9">
        <v>135.30123385300001</v>
      </c>
      <c r="K233" s="9">
        <f t="shared" si="42"/>
        <v>135.30123385299999</v>
      </c>
      <c r="L233" s="10">
        <v>284.684506</v>
      </c>
      <c r="M233" s="3">
        <f t="shared" si="43"/>
        <v>104.684506</v>
      </c>
      <c r="N233" s="15">
        <f t="shared" si="36"/>
        <v>7.8909127274284776</v>
      </c>
      <c r="O233" s="23">
        <f t="shared" si="44"/>
        <v>2.922107000813412E-13</v>
      </c>
      <c r="P233" s="22">
        <f t="shared" si="45"/>
        <v>4.2847769776699351E-10</v>
      </c>
      <c r="Q233" s="16">
        <f t="shared" si="46"/>
        <v>135.30123385255877</v>
      </c>
      <c r="R233" s="23">
        <f t="shared" si="37"/>
        <v>7.673861546209082E-13</v>
      </c>
      <c r="S233" s="22">
        <f t="shared" si="38"/>
        <v>4.4121861719759181E-10</v>
      </c>
      <c r="T233" s="16">
        <f t="shared" si="47"/>
        <v>104.68450617318126</v>
      </c>
      <c r="U233" s="23">
        <f t="shared" si="39"/>
        <v>2.5579538487363607E-13</v>
      </c>
      <c r="V233" s="22">
        <f t="shared" si="40"/>
        <v>1.7318126310783555E-7</v>
      </c>
    </row>
    <row r="234" spans="1:22" x14ac:dyDescent="0.45">
      <c r="A234">
        <v>52.739800000000002</v>
      </c>
      <c r="B234">
        <v>-104.9357</v>
      </c>
      <c r="C234">
        <v>311.80421000000001</v>
      </c>
      <c r="D234">
        <v>287624.93400000001</v>
      </c>
      <c r="E234" s="13">
        <v>54.417920185581302</v>
      </c>
      <c r="F234" s="13">
        <v>-108.239135265535</v>
      </c>
      <c r="G234" s="13">
        <v>-50.854526712537897</v>
      </c>
      <c r="H234" s="13">
        <f t="shared" si="41"/>
        <v>309.1454732874621</v>
      </c>
      <c r="I234" s="11">
        <v>54.417920186000003</v>
      </c>
      <c r="J234" s="11">
        <v>-108.23913526600001</v>
      </c>
      <c r="K234" s="9">
        <f t="shared" si="42"/>
        <v>-108.23913526600001</v>
      </c>
      <c r="L234" s="12">
        <v>129.14547300000001</v>
      </c>
      <c r="M234" s="3">
        <f t="shared" si="43"/>
        <v>309.14547300000004</v>
      </c>
      <c r="N234" s="15">
        <f t="shared" si="36"/>
        <v>54.417920185585011</v>
      </c>
      <c r="O234" s="23">
        <f t="shared" si="44"/>
        <v>3.709033080667723E-12</v>
      </c>
      <c r="P234" s="22">
        <f t="shared" si="45"/>
        <v>4.1499248482068651E-10</v>
      </c>
      <c r="Q234" s="16">
        <f t="shared" si="46"/>
        <v>-108.23913526553794</v>
      </c>
      <c r="R234" s="23">
        <f t="shared" si="37"/>
        <v>2.9416469260468148E-12</v>
      </c>
      <c r="S234" s="22">
        <f t="shared" si="38"/>
        <v>4.6206594106479315E-10</v>
      </c>
      <c r="T234" s="16">
        <f t="shared" si="47"/>
        <v>309.14547328745527</v>
      </c>
      <c r="U234" s="23">
        <f t="shared" si="39"/>
        <v>6.8212102632969618E-12</v>
      </c>
      <c r="V234" s="22">
        <f t="shared" si="40"/>
        <v>2.8745523650286486E-7</v>
      </c>
    </row>
    <row r="235" spans="1:22" x14ac:dyDescent="0.45">
      <c r="A235">
        <v>-50.593969999999999</v>
      </c>
      <c r="B235">
        <v>99.317189999999997</v>
      </c>
      <c r="C235">
        <v>5.0808499999999999</v>
      </c>
      <c r="D235">
        <v>28140.0406</v>
      </c>
      <c r="E235" s="13">
        <v>-50.341987400936802</v>
      </c>
      <c r="F235" s="13">
        <v>99.352198526659507</v>
      </c>
      <c r="G235" s="13">
        <v>5.0538489438443603</v>
      </c>
      <c r="H235" s="13">
        <f t="shared" si="41"/>
        <v>5.0538489438443603</v>
      </c>
      <c r="I235" s="9">
        <v>-50.341987400999997</v>
      </c>
      <c r="J235" s="9">
        <v>99.352198526999999</v>
      </c>
      <c r="K235" s="9">
        <f t="shared" si="42"/>
        <v>99.352198526999985</v>
      </c>
      <c r="L235" s="10">
        <v>185.05384900000001</v>
      </c>
      <c r="M235" s="3">
        <f t="shared" si="43"/>
        <v>5.0538490000000138</v>
      </c>
      <c r="N235" s="15">
        <f t="shared" si="36"/>
        <v>-50.341987400928105</v>
      </c>
      <c r="O235" s="23">
        <f t="shared" si="44"/>
        <v>8.6970430857036263E-12</v>
      </c>
      <c r="P235" s="22">
        <f t="shared" si="45"/>
        <v>7.1892714004206937E-11</v>
      </c>
      <c r="Q235" s="16">
        <f t="shared" si="46"/>
        <v>99.352198526660572</v>
      </c>
      <c r="R235" s="23">
        <f t="shared" si="37"/>
        <v>1.0658141036401503E-12</v>
      </c>
      <c r="S235" s="22">
        <f t="shared" si="38"/>
        <v>3.3941205401788466E-10</v>
      </c>
      <c r="T235" s="16">
        <f t="shared" si="47"/>
        <v>5.0538489438434402</v>
      </c>
      <c r="U235" s="23">
        <f t="shared" si="39"/>
        <v>9.2015284280932974E-13</v>
      </c>
      <c r="V235" s="22">
        <f t="shared" si="40"/>
        <v>5.6156573613463934E-8</v>
      </c>
    </row>
    <row r="236" spans="1:22" x14ac:dyDescent="0.45">
      <c r="A236">
        <v>-25.973269999999999</v>
      </c>
      <c r="B236">
        <v>-17.925370000000001</v>
      </c>
      <c r="C236">
        <v>2.7909299999999999</v>
      </c>
      <c r="D236">
        <v>174600.7726</v>
      </c>
      <c r="E236" s="13">
        <v>-24.398950655421501</v>
      </c>
      <c r="F236" s="13">
        <v>-17.8415677207106</v>
      </c>
      <c r="G236" s="13">
        <v>2.7552637244073699</v>
      </c>
      <c r="H236" s="13">
        <f t="shared" si="41"/>
        <v>2.7552637244073699</v>
      </c>
      <c r="I236" s="11">
        <v>-24.398950655</v>
      </c>
      <c r="J236" s="11">
        <v>-17.841567721000001</v>
      </c>
      <c r="K236" s="9">
        <f t="shared" si="42"/>
        <v>-17.84156772099999</v>
      </c>
      <c r="L236" s="12">
        <v>182.75526400000001</v>
      </c>
      <c r="M236" s="3">
        <f t="shared" si="43"/>
        <v>2.755264000000011</v>
      </c>
      <c r="N236" s="15">
        <f t="shared" si="36"/>
        <v>-24.39895065541382</v>
      </c>
      <c r="O236" s="23">
        <f t="shared" si="44"/>
        <v>7.680966973566683E-12</v>
      </c>
      <c r="P236" s="22">
        <f t="shared" si="45"/>
        <v>4.1382008930668235E-10</v>
      </c>
      <c r="Q236" s="16">
        <f t="shared" si="46"/>
        <v>-17.841567720710458</v>
      </c>
      <c r="R236" s="23">
        <f t="shared" si="37"/>
        <v>1.4210854715202004E-13</v>
      </c>
      <c r="S236" s="22">
        <f t="shared" si="38"/>
        <v>2.8953195396752562E-10</v>
      </c>
      <c r="T236" s="16">
        <f t="shared" si="47"/>
        <v>2.7552637244072096</v>
      </c>
      <c r="U236" s="23">
        <f t="shared" si="39"/>
        <v>1.603162047558726E-13</v>
      </c>
      <c r="V236" s="22">
        <f t="shared" si="40"/>
        <v>2.7559280146860488E-7</v>
      </c>
    </row>
    <row r="237" spans="1:22" x14ac:dyDescent="0.45">
      <c r="A237">
        <v>82.774640000000005</v>
      </c>
      <c r="B237">
        <v>152.99755999999999</v>
      </c>
      <c r="C237">
        <v>335.66955000000002</v>
      </c>
      <c r="D237">
        <v>118249.6508</v>
      </c>
      <c r="E237" s="13">
        <v>83.724341190427396</v>
      </c>
      <c r="F237" s="13">
        <v>149.00416390986399</v>
      </c>
      <c r="G237" s="13">
        <v>-28.296319797580999</v>
      </c>
      <c r="H237" s="13">
        <f t="shared" si="41"/>
        <v>331.70368020241898</v>
      </c>
      <c r="I237" s="9">
        <v>83.724341190000004</v>
      </c>
      <c r="J237" s="9">
        <v>149.00416390999999</v>
      </c>
      <c r="K237" s="9">
        <f t="shared" si="42"/>
        <v>149.00416390999999</v>
      </c>
      <c r="L237" s="10">
        <v>151.70367999999999</v>
      </c>
      <c r="M237" s="3">
        <f t="shared" si="43"/>
        <v>331.70367999999996</v>
      </c>
      <c r="N237" s="15">
        <f t="shared" si="36"/>
        <v>83.724341190420276</v>
      </c>
      <c r="O237" s="23">
        <f t="shared" si="44"/>
        <v>7.1196382123162039E-12</v>
      </c>
      <c r="P237" s="22">
        <f t="shared" si="45"/>
        <v>4.2027181734738406E-10</v>
      </c>
      <c r="Q237" s="16">
        <f t="shared" si="46"/>
        <v>149.00416390989915</v>
      </c>
      <c r="R237" s="23">
        <f t="shared" si="37"/>
        <v>3.5157654565409757E-11</v>
      </c>
      <c r="S237" s="22">
        <f t="shared" si="38"/>
        <v>1.0084022505907342E-10</v>
      </c>
      <c r="T237" s="16">
        <f t="shared" si="47"/>
        <v>331.70368020245286</v>
      </c>
      <c r="U237" s="23">
        <f t="shared" si="39"/>
        <v>3.3878677641041577E-11</v>
      </c>
      <c r="V237" s="22">
        <f t="shared" si="40"/>
        <v>2.0245289533704636E-7</v>
      </c>
    </row>
    <row r="238" spans="1:22" x14ac:dyDescent="0.45">
      <c r="A238">
        <v>-39.776350000000001</v>
      </c>
      <c r="B238">
        <v>1.72333</v>
      </c>
      <c r="C238">
        <v>5.2405499999999998</v>
      </c>
      <c r="D238">
        <v>199578.12959999999</v>
      </c>
      <c r="E238" s="13">
        <v>-37.9858900806028</v>
      </c>
      <c r="F238" s="13">
        <v>1.93079899906264</v>
      </c>
      <c r="G238" s="13">
        <v>5.1103043165013702</v>
      </c>
      <c r="H238" s="13">
        <f t="shared" si="41"/>
        <v>5.1103043165013702</v>
      </c>
      <c r="I238" s="11">
        <v>-37.985890081000001</v>
      </c>
      <c r="J238" s="11">
        <v>1.9307989990000001</v>
      </c>
      <c r="K238" s="9">
        <f t="shared" si="42"/>
        <v>1.9307989989999896</v>
      </c>
      <c r="L238" s="12">
        <v>185.11030400000001</v>
      </c>
      <c r="M238" s="3">
        <f t="shared" si="43"/>
        <v>5.1103040000000419</v>
      </c>
      <c r="N238" s="15">
        <f t="shared" si="36"/>
        <v>-37.985890080595091</v>
      </c>
      <c r="O238" s="23">
        <f t="shared" si="44"/>
        <v>7.709388682997087E-12</v>
      </c>
      <c r="P238" s="22">
        <f t="shared" si="45"/>
        <v>4.0490988340025069E-10</v>
      </c>
      <c r="Q238" s="16">
        <f t="shared" si="46"/>
        <v>1.9307989990628869</v>
      </c>
      <c r="R238" s="23">
        <f t="shared" si="37"/>
        <v>2.4691360067663481E-13</v>
      </c>
      <c r="S238" s="22">
        <f t="shared" si="38"/>
        <v>6.2897242969484068E-11</v>
      </c>
      <c r="T238" s="16">
        <f t="shared" si="47"/>
        <v>5.1103043165008337</v>
      </c>
      <c r="U238" s="23">
        <f t="shared" si="39"/>
        <v>5.3645976549887564E-13</v>
      </c>
      <c r="V238" s="22">
        <f t="shared" si="40"/>
        <v>3.165007917971252E-7</v>
      </c>
    </row>
    <row r="239" spans="1:22" x14ac:dyDescent="0.45">
      <c r="A239">
        <v>-88.795199999999994</v>
      </c>
      <c r="B239">
        <v>-50.071170000000002</v>
      </c>
      <c r="C239">
        <v>190.27211</v>
      </c>
      <c r="D239">
        <v>12571.034600000001</v>
      </c>
      <c r="E239" s="13">
        <v>-88.905761364834703</v>
      </c>
      <c r="F239" s="13">
        <v>-51.122189723029599</v>
      </c>
      <c r="G239" s="13">
        <v>-168.677081297087</v>
      </c>
      <c r="H239" s="13">
        <f t="shared" si="41"/>
        <v>191.322918702913</v>
      </c>
      <c r="I239" s="9">
        <v>-88.905761365000004</v>
      </c>
      <c r="J239" s="9">
        <v>-51.122189722999998</v>
      </c>
      <c r="K239" s="9">
        <f t="shared" si="42"/>
        <v>-51.122189722999991</v>
      </c>
      <c r="L239" s="10">
        <v>11.322919000000001</v>
      </c>
      <c r="M239" s="3">
        <f t="shared" si="43"/>
        <v>191.32291900000001</v>
      </c>
      <c r="N239" s="15">
        <f t="shared" si="36"/>
        <v>-88.90576136483368</v>
      </c>
      <c r="O239" s="23">
        <f t="shared" si="44"/>
        <v>1.0231815394945443E-12</v>
      </c>
      <c r="P239" s="22">
        <f t="shared" si="45"/>
        <v>1.6632384358672425E-10</v>
      </c>
      <c r="Q239" s="16">
        <f t="shared" si="46"/>
        <v>-51.122189723019716</v>
      </c>
      <c r="R239" s="23">
        <f t="shared" si="37"/>
        <v>9.8836494544229936E-12</v>
      </c>
      <c r="S239" s="22">
        <f t="shared" si="38"/>
        <v>1.9724666344700381E-11</v>
      </c>
      <c r="T239" s="16">
        <f t="shared" si="47"/>
        <v>191.32291870290294</v>
      </c>
      <c r="U239" s="23">
        <f t="shared" si="39"/>
        <v>1.0061285138363019E-11</v>
      </c>
      <c r="V239" s="22">
        <f t="shared" si="40"/>
        <v>2.9709707405345398E-7</v>
      </c>
    </row>
    <row r="240" spans="1:22" x14ac:dyDescent="0.45">
      <c r="A240">
        <v>60.718339999999998</v>
      </c>
      <c r="B240">
        <v>-70.369810000000001</v>
      </c>
      <c r="C240">
        <v>35.957909999999998</v>
      </c>
      <c r="D240">
        <v>207268.5889</v>
      </c>
      <c r="E240" s="13">
        <v>62.204349268835898</v>
      </c>
      <c r="F240" s="13">
        <v>-68.031178120440401</v>
      </c>
      <c r="G240" s="13">
        <v>38.012624497496901</v>
      </c>
      <c r="H240" s="13">
        <f t="shared" si="41"/>
        <v>38.012624497496901</v>
      </c>
      <c r="I240" s="11">
        <v>62.204349268999998</v>
      </c>
      <c r="J240" s="11">
        <v>-68.031178120000007</v>
      </c>
      <c r="K240" s="9">
        <f t="shared" si="42"/>
        <v>-68.031178120000007</v>
      </c>
      <c r="L240" s="12">
        <v>218.01262399999999</v>
      </c>
      <c r="M240" s="3">
        <f t="shared" si="43"/>
        <v>38.01262399999996</v>
      </c>
      <c r="N240" s="15">
        <f t="shared" si="36"/>
        <v>62.204349268837227</v>
      </c>
      <c r="O240" s="23">
        <f t="shared" si="44"/>
        <v>1.3287149158713873E-12</v>
      </c>
      <c r="P240" s="22">
        <f t="shared" si="45"/>
        <v>1.6277112990792375E-10</v>
      </c>
      <c r="Q240" s="16">
        <f t="shared" si="46"/>
        <v>-68.031178120439577</v>
      </c>
      <c r="R240" s="23">
        <f t="shared" si="37"/>
        <v>8.2422957348171622E-13</v>
      </c>
      <c r="S240" s="22">
        <f t="shared" si="38"/>
        <v>4.3957015805062838E-10</v>
      </c>
      <c r="T240" s="16">
        <f t="shared" si="47"/>
        <v>38.012624497499097</v>
      </c>
      <c r="U240" s="23">
        <f t="shared" si="39"/>
        <v>2.1955770534987096E-12</v>
      </c>
      <c r="V240" s="22">
        <f t="shared" si="40"/>
        <v>4.9749913699770332E-7</v>
      </c>
    </row>
    <row r="241" spans="1:22" x14ac:dyDescent="0.45">
      <c r="A241">
        <v>-12.41427</v>
      </c>
      <c r="B241">
        <v>-79.374200000000002</v>
      </c>
      <c r="C241">
        <v>103.33063</v>
      </c>
      <c r="D241">
        <v>45876.0173</v>
      </c>
      <c r="E241" s="13">
        <v>-12.5095744543565</v>
      </c>
      <c r="F241" s="13">
        <v>-78.963505804569493</v>
      </c>
      <c r="G241" s="13">
        <v>103.24200560201599</v>
      </c>
      <c r="H241" s="13">
        <f t="shared" si="41"/>
        <v>103.24200560201599</v>
      </c>
      <c r="I241" s="9">
        <v>-12.509574453999999</v>
      </c>
      <c r="J241" s="9">
        <v>-78.963505804999997</v>
      </c>
      <c r="K241" s="9">
        <f t="shared" si="42"/>
        <v>-78.963505804999997</v>
      </c>
      <c r="L241" s="10">
        <v>283.242006</v>
      </c>
      <c r="M241" s="3">
        <f t="shared" si="43"/>
        <v>103.242006</v>
      </c>
      <c r="N241" s="15">
        <f t="shared" si="36"/>
        <v>-12.509574454353373</v>
      </c>
      <c r="O241" s="23">
        <f t="shared" si="44"/>
        <v>3.1263880373444408E-12</v>
      </c>
      <c r="P241" s="22">
        <f t="shared" si="45"/>
        <v>3.5337421877557063E-10</v>
      </c>
      <c r="Q241" s="16">
        <f t="shared" si="46"/>
        <v>-78.963505804584045</v>
      </c>
      <c r="R241" s="23">
        <f t="shared" si="37"/>
        <v>1.4551915228366852E-11</v>
      </c>
      <c r="S241" s="22">
        <f t="shared" si="38"/>
        <v>4.1595171751396265E-10</v>
      </c>
      <c r="T241" s="16">
        <f t="shared" si="47"/>
        <v>103.24200560201919</v>
      </c>
      <c r="U241" s="23">
        <f t="shared" si="39"/>
        <v>3.1974423109204508E-12</v>
      </c>
      <c r="V241" s="22">
        <f t="shared" si="40"/>
        <v>3.9798081274966535E-7</v>
      </c>
    </row>
    <row r="242" spans="1:22" x14ac:dyDescent="0.45">
      <c r="A242">
        <v>-7.6498100000000004</v>
      </c>
      <c r="B242">
        <v>-170.84107</v>
      </c>
      <c r="C242">
        <v>244.39635999999999</v>
      </c>
      <c r="D242">
        <v>97962.3079</v>
      </c>
      <c r="E242" s="13">
        <v>-8.0318357974830992</v>
      </c>
      <c r="F242" s="13">
        <v>-171.64247189364499</v>
      </c>
      <c r="G242" s="13">
        <v>-115.494309228736</v>
      </c>
      <c r="H242" s="13">
        <f t="shared" si="41"/>
        <v>244.505690771264</v>
      </c>
      <c r="I242" s="11">
        <v>-8.0318357969999994</v>
      </c>
      <c r="J242" s="11">
        <v>-171.64247189400001</v>
      </c>
      <c r="K242" s="9">
        <f t="shared" si="42"/>
        <v>-171.64247189400001</v>
      </c>
      <c r="L242" s="12">
        <v>64.505690999999999</v>
      </c>
      <c r="M242" s="3">
        <f t="shared" si="43"/>
        <v>244.50569100000001</v>
      </c>
      <c r="N242" s="15">
        <f t="shared" si="36"/>
        <v>-8.031835797477898</v>
      </c>
      <c r="O242" s="23">
        <f t="shared" si="44"/>
        <v>5.2011728257639334E-12</v>
      </c>
      <c r="P242" s="22">
        <f t="shared" si="45"/>
        <v>4.7789860957436758E-10</v>
      </c>
      <c r="Q242" s="16">
        <f t="shared" si="46"/>
        <v>-171.64247189363309</v>
      </c>
      <c r="R242" s="23">
        <f t="shared" si="37"/>
        <v>1.1908696251339279E-11</v>
      </c>
      <c r="S242" s="22">
        <f t="shared" si="38"/>
        <v>3.6692426874651574E-10</v>
      </c>
      <c r="T242" s="16">
        <f t="shared" si="47"/>
        <v>244.50569077126184</v>
      </c>
      <c r="U242" s="23">
        <f t="shared" si="39"/>
        <v>2.1600499167107046E-12</v>
      </c>
      <c r="V242" s="22">
        <f t="shared" si="40"/>
        <v>2.2873817329127633E-7</v>
      </c>
    </row>
    <row r="243" spans="1:22" x14ac:dyDescent="0.45">
      <c r="A243">
        <v>-19.262889999999999</v>
      </c>
      <c r="B243">
        <v>-114.08077</v>
      </c>
      <c r="C243">
        <v>207.94067000000001</v>
      </c>
      <c r="D243">
        <v>183912.6581</v>
      </c>
      <c r="E243" s="13">
        <v>-20.7286355979106</v>
      </c>
      <c r="F243" s="13">
        <v>-114.90802541036901</v>
      </c>
      <c r="G243" s="13">
        <v>-151.77642187559599</v>
      </c>
      <c r="H243" s="13">
        <f t="shared" si="41"/>
        <v>208.22357812440401</v>
      </c>
      <c r="I243" s="9">
        <v>-20.728635598</v>
      </c>
      <c r="J243" s="9">
        <v>-114.90802540999999</v>
      </c>
      <c r="K243" s="9">
        <f t="shared" si="42"/>
        <v>-114.90802540999999</v>
      </c>
      <c r="L243" s="10">
        <v>28.223578</v>
      </c>
      <c r="M243" s="3">
        <f t="shared" si="43"/>
        <v>208.223578</v>
      </c>
      <c r="N243" s="15">
        <f t="shared" si="36"/>
        <v>-20.728635597918895</v>
      </c>
      <c r="O243" s="23">
        <f t="shared" si="44"/>
        <v>8.2955864399991697E-12</v>
      </c>
      <c r="P243" s="22">
        <f t="shared" si="45"/>
        <v>8.1104900573336636E-11</v>
      </c>
      <c r="Q243" s="16">
        <f t="shared" si="46"/>
        <v>-114.90802541037152</v>
      </c>
      <c r="R243" s="23">
        <f t="shared" si="37"/>
        <v>2.5153212845907547E-12</v>
      </c>
      <c r="S243" s="22">
        <f t="shared" si="38"/>
        <v>3.7152858567424119E-10</v>
      </c>
      <c r="T243" s="16">
        <f t="shared" si="47"/>
        <v>208.22357812440586</v>
      </c>
      <c r="U243" s="23">
        <f t="shared" si="39"/>
        <v>1.8474111129762605E-12</v>
      </c>
      <c r="V243" s="22">
        <f t="shared" si="40"/>
        <v>1.2440585805961746E-7</v>
      </c>
    </row>
    <row r="244" spans="1:22" x14ac:dyDescent="0.45">
      <c r="A244">
        <v>85.425820000000002</v>
      </c>
      <c r="B244">
        <v>51.507939999999998</v>
      </c>
      <c r="C244">
        <v>309.94004999999999</v>
      </c>
      <c r="D244">
        <v>182734.12549999999</v>
      </c>
      <c r="E244" s="13">
        <v>86.260013083084004</v>
      </c>
      <c r="F244" s="13">
        <v>31.899458430858999</v>
      </c>
      <c r="G244" s="13">
        <v>-69.6183483223423</v>
      </c>
      <c r="H244" s="13">
        <f t="shared" si="41"/>
        <v>290.38165167765771</v>
      </c>
      <c r="I244" s="11">
        <v>86.260013083000004</v>
      </c>
      <c r="J244" s="11">
        <v>31.899458430999999</v>
      </c>
      <c r="K244" s="9">
        <f t="shared" si="42"/>
        <v>31.899458430999999</v>
      </c>
      <c r="L244" s="12">
        <v>110.381652</v>
      </c>
      <c r="M244" s="3">
        <f t="shared" si="43"/>
        <v>290.38165200000003</v>
      </c>
      <c r="N244" s="15">
        <f t="shared" si="36"/>
        <v>86.260013083079158</v>
      </c>
      <c r="O244" s="23">
        <f t="shared" si="44"/>
        <v>4.8459014578838833E-12</v>
      </c>
      <c r="P244" s="22">
        <f t="shared" si="45"/>
        <v>7.9154460763675161E-11</v>
      </c>
      <c r="Q244" s="16">
        <f t="shared" si="46"/>
        <v>31.899458431054825</v>
      </c>
      <c r="R244" s="23">
        <f t="shared" si="37"/>
        <v>1.9582557797548361E-10</v>
      </c>
      <c r="S244" s="22">
        <f t="shared" si="38"/>
        <v>5.482547749124933E-11</v>
      </c>
      <c r="T244" s="16">
        <f t="shared" si="47"/>
        <v>290.38165167785223</v>
      </c>
      <c r="U244" s="23">
        <f t="shared" si="39"/>
        <v>1.9451817934168503E-10</v>
      </c>
      <c r="V244" s="22">
        <f t="shared" si="40"/>
        <v>3.2214779821515549E-7</v>
      </c>
    </row>
    <row r="245" spans="1:22" x14ac:dyDescent="0.45">
      <c r="A245">
        <v>-73.406419999999997</v>
      </c>
      <c r="B245">
        <v>-147.40089</v>
      </c>
      <c r="C245">
        <v>134.14331000000001</v>
      </c>
      <c r="D245">
        <v>25367.8884</v>
      </c>
      <c r="E245" s="13">
        <v>-73.563941665948605</v>
      </c>
      <c r="F245" s="13">
        <v>-146.82471010594799</v>
      </c>
      <c r="G245" s="13">
        <v>133.590898792139</v>
      </c>
      <c r="H245" s="13">
        <f t="shared" si="41"/>
        <v>133.590898792139</v>
      </c>
      <c r="I245" s="9">
        <v>-73.563941666000005</v>
      </c>
      <c r="J245" s="9">
        <v>-146.824710106</v>
      </c>
      <c r="K245" s="9">
        <f t="shared" si="42"/>
        <v>-146.824710106</v>
      </c>
      <c r="L245" s="10">
        <v>313.59089899999998</v>
      </c>
      <c r="M245" s="3">
        <f t="shared" si="43"/>
        <v>133.59089899999998</v>
      </c>
      <c r="N245" s="15">
        <f t="shared" si="36"/>
        <v>-73.563941665947894</v>
      </c>
      <c r="O245" s="23">
        <f t="shared" si="44"/>
        <v>7.1054273576010019E-13</v>
      </c>
      <c r="P245" s="22">
        <f t="shared" si="45"/>
        <v>5.2111204240645748E-11</v>
      </c>
      <c r="Q245" s="16">
        <f t="shared" si="46"/>
        <v>-146.82471010595023</v>
      </c>
      <c r="R245" s="23">
        <f t="shared" si="37"/>
        <v>2.2453150450019166E-12</v>
      </c>
      <c r="S245" s="22">
        <f t="shared" si="38"/>
        <v>4.9766413212637417E-11</v>
      </c>
      <c r="T245" s="16">
        <f t="shared" si="47"/>
        <v>133.59089879214091</v>
      </c>
      <c r="U245" s="23">
        <f t="shared" si="39"/>
        <v>1.9042545318370685E-12</v>
      </c>
      <c r="V245" s="22">
        <f t="shared" si="40"/>
        <v>2.0785907395293179E-7</v>
      </c>
    </row>
    <row r="246" spans="1:22" x14ac:dyDescent="0.45">
      <c r="A246">
        <v>-17.195329999999998</v>
      </c>
      <c r="B246">
        <v>-155.57432</v>
      </c>
      <c r="C246">
        <v>134.59263999999999</v>
      </c>
      <c r="D246">
        <v>159167.3683</v>
      </c>
      <c r="E246" s="13">
        <v>-18.202097895072399</v>
      </c>
      <c r="F246" s="13">
        <v>-154.502883710438</v>
      </c>
      <c r="G246" s="13">
        <v>134.26688956552599</v>
      </c>
      <c r="H246" s="13">
        <f t="shared" si="41"/>
        <v>134.26688956552599</v>
      </c>
      <c r="I246" s="11">
        <v>-18.202097895000001</v>
      </c>
      <c r="J246" s="11">
        <v>-154.50288370999999</v>
      </c>
      <c r="K246" s="9">
        <f t="shared" si="42"/>
        <v>-154.50288370999999</v>
      </c>
      <c r="L246" s="12">
        <v>314.26688999999999</v>
      </c>
      <c r="M246" s="3">
        <f t="shared" si="43"/>
        <v>134.26688999999999</v>
      </c>
      <c r="N246" s="15">
        <f t="shared" si="36"/>
        <v>-18.202097895078833</v>
      </c>
      <c r="O246" s="23">
        <f t="shared" si="44"/>
        <v>6.4339644723077072E-12</v>
      </c>
      <c r="P246" s="22">
        <f t="shared" si="45"/>
        <v>7.8831163818904315E-11</v>
      </c>
      <c r="Q246" s="16">
        <f t="shared" si="46"/>
        <v>-154.50288371043328</v>
      </c>
      <c r="R246" s="23">
        <f t="shared" si="37"/>
        <v>4.7180037654470652E-12</v>
      </c>
      <c r="S246" s="22">
        <f t="shared" si="38"/>
        <v>4.3328896026650909E-10</v>
      </c>
      <c r="T246" s="16">
        <f t="shared" si="47"/>
        <v>134.26688956552383</v>
      </c>
      <c r="U246" s="23">
        <f t="shared" si="39"/>
        <v>2.1600499167107046E-12</v>
      </c>
      <c r="V246" s="22">
        <f t="shared" si="40"/>
        <v>4.344761634911265E-7</v>
      </c>
    </row>
    <row r="247" spans="1:22" x14ac:dyDescent="0.45">
      <c r="A247">
        <v>-85.787790000000001</v>
      </c>
      <c r="B247">
        <v>173.88919999999999</v>
      </c>
      <c r="C247">
        <v>243.84408999999999</v>
      </c>
      <c r="D247">
        <v>292098.01140000002</v>
      </c>
      <c r="E247" s="13">
        <v>-86.145114254314095</v>
      </c>
      <c r="F247" s="13">
        <v>136.35825572458799</v>
      </c>
      <c r="G247" s="13">
        <v>-78.711274299533699</v>
      </c>
      <c r="H247" s="13">
        <f t="shared" si="41"/>
        <v>281.28872570046633</v>
      </c>
      <c r="I247" s="9">
        <v>-86.145114254000006</v>
      </c>
      <c r="J247" s="9">
        <v>136.35825572499999</v>
      </c>
      <c r="K247" s="9">
        <f t="shared" si="42"/>
        <v>136.35825572499999</v>
      </c>
      <c r="L247" s="10">
        <v>101.288726</v>
      </c>
      <c r="M247" s="3">
        <f t="shared" si="43"/>
        <v>281.288726</v>
      </c>
      <c r="N247" s="15">
        <f t="shared" si="36"/>
        <v>-86.145114254318329</v>
      </c>
      <c r="O247" s="23">
        <f t="shared" si="44"/>
        <v>4.2348347051301971E-12</v>
      </c>
      <c r="P247" s="22">
        <f t="shared" si="45"/>
        <v>3.1832314562052488E-10</v>
      </c>
      <c r="Q247" s="16">
        <f t="shared" si="46"/>
        <v>136.35825572490728</v>
      </c>
      <c r="R247" s="23">
        <f t="shared" si="37"/>
        <v>3.1928948374115862E-10</v>
      </c>
      <c r="S247" s="22">
        <f t="shared" si="38"/>
        <v>9.2711616161977872E-11</v>
      </c>
      <c r="T247" s="16">
        <f t="shared" si="47"/>
        <v>281.28872570014818</v>
      </c>
      <c r="U247" s="23">
        <f t="shared" si="39"/>
        <v>3.1815261536394246E-10</v>
      </c>
      <c r="V247" s="22">
        <f t="shared" si="40"/>
        <v>2.9985181981828646E-7</v>
      </c>
    </row>
    <row r="248" spans="1:22" x14ac:dyDescent="0.45">
      <c r="A248">
        <v>64.4529</v>
      </c>
      <c r="B248">
        <v>130.70177000000001</v>
      </c>
      <c r="C248">
        <v>324.40525000000002</v>
      </c>
      <c r="D248">
        <v>136302.18700000001</v>
      </c>
      <c r="E248" s="13">
        <v>65.437400175787801</v>
      </c>
      <c r="F248" s="13">
        <v>128.99195211725799</v>
      </c>
      <c r="G248" s="13">
        <v>-37.143756643631903</v>
      </c>
      <c r="H248" s="13">
        <f t="shared" si="41"/>
        <v>322.85624335636811</v>
      </c>
      <c r="I248" s="11">
        <v>65.437400175999997</v>
      </c>
      <c r="J248" s="11">
        <v>128.99195211700001</v>
      </c>
      <c r="K248" s="9">
        <f t="shared" si="42"/>
        <v>128.99195211699998</v>
      </c>
      <c r="L248" s="12">
        <v>142.85624300000001</v>
      </c>
      <c r="M248" s="3">
        <f t="shared" si="43"/>
        <v>322.85624300000001</v>
      </c>
      <c r="N248" s="15">
        <f t="shared" si="36"/>
        <v>65.437400175787687</v>
      </c>
      <c r="O248" s="23">
        <f t="shared" si="44"/>
        <v>1.1368683772161603E-13</v>
      </c>
      <c r="P248" s="22">
        <f t="shared" si="45"/>
        <v>2.1231016944511794E-10</v>
      </c>
      <c r="Q248" s="16">
        <f t="shared" si="46"/>
        <v>128.99195211725896</v>
      </c>
      <c r="R248" s="23">
        <f t="shared" si="37"/>
        <v>9.6633812063373625E-13</v>
      </c>
      <c r="S248" s="22">
        <f t="shared" si="38"/>
        <v>2.5897861632984132E-10</v>
      </c>
      <c r="T248" s="16">
        <f t="shared" si="47"/>
        <v>322.85624335636777</v>
      </c>
      <c r="U248" s="23">
        <f t="shared" si="39"/>
        <v>3.4106051316484809E-13</v>
      </c>
      <c r="V248" s="22">
        <f t="shared" si="40"/>
        <v>3.5636776374303736E-7</v>
      </c>
    </row>
    <row r="249" spans="1:22" x14ac:dyDescent="0.45">
      <c r="A249">
        <v>-36.730919999999998</v>
      </c>
      <c r="B249">
        <v>62.2044</v>
      </c>
      <c r="C249">
        <v>191.80562</v>
      </c>
      <c r="D249">
        <v>90021.128100000002</v>
      </c>
      <c r="E249" s="13">
        <v>-37.5247274837009</v>
      </c>
      <c r="F249" s="13">
        <v>61.996053705956001</v>
      </c>
      <c r="G249" s="13">
        <v>-168.068620055005</v>
      </c>
      <c r="H249" s="13">
        <f t="shared" si="41"/>
        <v>191.931379944995</v>
      </c>
      <c r="I249" s="9">
        <v>-37.524727484000003</v>
      </c>
      <c r="J249" s="9">
        <v>61.996053705999998</v>
      </c>
      <c r="K249" s="9">
        <f t="shared" si="42"/>
        <v>61.996053705999998</v>
      </c>
      <c r="L249" s="10">
        <v>11.931380000000001</v>
      </c>
      <c r="M249" s="3">
        <f t="shared" si="43"/>
        <v>191.93137999999999</v>
      </c>
      <c r="N249" s="15">
        <f t="shared" si="36"/>
        <v>-37.524727483653812</v>
      </c>
      <c r="O249" s="23">
        <f t="shared" si="44"/>
        <v>4.7087667098821839E-11</v>
      </c>
      <c r="P249" s="22">
        <f t="shared" si="45"/>
        <v>3.4619063171703601E-10</v>
      </c>
      <c r="Q249" s="16">
        <f t="shared" si="46"/>
        <v>61.996053705969189</v>
      </c>
      <c r="R249" s="23">
        <f t="shared" si="37"/>
        <v>1.3187673175707459E-11</v>
      </c>
      <c r="S249" s="22">
        <f t="shared" si="38"/>
        <v>3.0809133022557944E-11</v>
      </c>
      <c r="T249" s="16">
        <f t="shared" si="47"/>
        <v>191.93137994498716</v>
      </c>
      <c r="U249" s="23">
        <f t="shared" si="39"/>
        <v>7.8443918027915061E-12</v>
      </c>
      <c r="V249" s="22">
        <f t="shared" si="40"/>
        <v>5.5012833399814554E-8</v>
      </c>
    </row>
    <row r="250" spans="1:22" x14ac:dyDescent="0.45">
      <c r="A250">
        <v>-36.426609999999997</v>
      </c>
      <c r="B250">
        <v>97.364329999999995</v>
      </c>
      <c r="C250">
        <v>155.47677999999999</v>
      </c>
      <c r="D250">
        <v>34078.6319</v>
      </c>
      <c r="E250" s="13">
        <v>-36.705901770095203</v>
      </c>
      <c r="F250" s="13">
        <v>97.522630730778602</v>
      </c>
      <c r="G250" s="13">
        <v>155.38247171029099</v>
      </c>
      <c r="H250" s="13">
        <f t="shared" si="41"/>
        <v>155.38247171029099</v>
      </c>
      <c r="I250" s="11">
        <v>-36.705901769999997</v>
      </c>
      <c r="J250" s="11">
        <v>97.522630731000007</v>
      </c>
      <c r="K250" s="9">
        <f t="shared" si="42"/>
        <v>97.522630730999992</v>
      </c>
      <c r="L250" s="12">
        <v>335.38247200000001</v>
      </c>
      <c r="M250" s="3">
        <f t="shared" si="43"/>
        <v>155.38247200000001</v>
      </c>
      <c r="N250" s="15">
        <f t="shared" si="36"/>
        <v>-36.705901770089028</v>
      </c>
      <c r="O250" s="23">
        <f t="shared" si="44"/>
        <v>6.1746163737552706E-12</v>
      </c>
      <c r="P250" s="22">
        <f t="shared" si="45"/>
        <v>8.9031004790740553E-11</v>
      </c>
      <c r="Q250" s="16">
        <f t="shared" si="46"/>
        <v>97.522630730774551</v>
      </c>
      <c r="R250" s="23">
        <f t="shared" si="37"/>
        <v>4.0500935938325711E-12</v>
      </c>
      <c r="S250" s="22">
        <f t="shared" si="38"/>
        <v>2.2544099920196459E-10</v>
      </c>
      <c r="T250" s="16">
        <f t="shared" si="47"/>
        <v>155.38247171029298</v>
      </c>
      <c r="U250" s="23">
        <f t="shared" si="39"/>
        <v>1.9895196601282805E-12</v>
      </c>
      <c r="V250" s="22">
        <f t="shared" si="40"/>
        <v>2.8970703169761691E-7</v>
      </c>
    </row>
    <row r="251" spans="1:22" x14ac:dyDescent="0.45">
      <c r="A251">
        <v>-30.062360000000002</v>
      </c>
      <c r="B251">
        <v>120.28981</v>
      </c>
      <c r="C251">
        <v>351.96325000000002</v>
      </c>
      <c r="D251">
        <v>72338.909400000004</v>
      </c>
      <c r="E251" s="13">
        <v>-29.4161329604439</v>
      </c>
      <c r="F251" s="13">
        <v>120.185598022782</v>
      </c>
      <c r="G251" s="13">
        <v>-7.9850544433977504</v>
      </c>
      <c r="H251" s="13">
        <f t="shared" si="41"/>
        <v>352.01494555660224</v>
      </c>
      <c r="I251" s="9">
        <v>-29.416132959999999</v>
      </c>
      <c r="J251" s="9">
        <v>120.185598023</v>
      </c>
      <c r="K251" s="9">
        <f t="shared" si="42"/>
        <v>120.18559802300001</v>
      </c>
      <c r="L251" s="10">
        <v>172.01494600000001</v>
      </c>
      <c r="M251" s="3">
        <f t="shared" si="43"/>
        <v>352.01494600000001</v>
      </c>
      <c r="N251" s="15">
        <f t="shared" si="36"/>
        <v>-29.416132960440464</v>
      </c>
      <c r="O251" s="23">
        <f t="shared" si="44"/>
        <v>3.4354741274000844E-12</v>
      </c>
      <c r="P251" s="22">
        <f t="shared" si="45"/>
        <v>4.4046544189768611E-10</v>
      </c>
      <c r="Q251" s="16">
        <f t="shared" si="46"/>
        <v>120.18559802278219</v>
      </c>
      <c r="R251" s="23">
        <f t="shared" si="37"/>
        <v>1.8474111129762605E-13</v>
      </c>
      <c r="S251" s="22">
        <f t="shared" si="38"/>
        <v>2.1782398107461631E-10</v>
      </c>
      <c r="T251" s="16">
        <f t="shared" si="47"/>
        <v>352.01494555660213</v>
      </c>
      <c r="U251" s="23">
        <f t="shared" si="39"/>
        <v>1.1368683772161603E-13</v>
      </c>
      <c r="V251" s="22">
        <f t="shared" si="40"/>
        <v>4.4339788018987747E-7</v>
      </c>
    </row>
    <row r="252" spans="1:22" x14ac:dyDescent="0.45">
      <c r="A252">
        <v>-41.601529999999997</v>
      </c>
      <c r="B252">
        <v>-126.05842</v>
      </c>
      <c r="C252">
        <v>84.820650000000001</v>
      </c>
      <c r="D252">
        <v>114948.1189</v>
      </c>
      <c r="E252" s="13">
        <v>-41.499916325803099</v>
      </c>
      <c r="F252" s="13">
        <v>-124.68729857368901</v>
      </c>
      <c r="G252" s="13">
        <v>83.9111839442877</v>
      </c>
      <c r="H252" s="13">
        <f t="shared" si="41"/>
        <v>83.9111839442877</v>
      </c>
      <c r="I252" s="11">
        <v>-41.499916325999997</v>
      </c>
      <c r="J252" s="11">
        <v>-124.687298574</v>
      </c>
      <c r="K252" s="9">
        <f t="shared" si="42"/>
        <v>-124.687298574</v>
      </c>
      <c r="L252" s="12">
        <v>263.91118399999999</v>
      </c>
      <c r="M252" s="3">
        <f t="shared" si="43"/>
        <v>83.911183999999992</v>
      </c>
      <c r="N252" s="15">
        <f t="shared" si="36"/>
        <v>-41.499916325802737</v>
      </c>
      <c r="O252" s="23">
        <f t="shared" si="44"/>
        <v>3.6237679523765109E-13</v>
      </c>
      <c r="P252" s="22">
        <f t="shared" si="45"/>
        <v>1.9726087430171901E-10</v>
      </c>
      <c r="Q252" s="16">
        <f t="shared" si="46"/>
        <v>-124.68729857369222</v>
      </c>
      <c r="R252" s="23">
        <f t="shared" si="37"/>
        <v>3.2116531656356528E-12</v>
      </c>
      <c r="S252" s="22">
        <f t="shared" si="38"/>
        <v>3.07778691421845E-10</v>
      </c>
      <c r="T252" s="16">
        <f t="shared" si="47"/>
        <v>83.911183944284289</v>
      </c>
      <c r="U252" s="23">
        <f t="shared" si="39"/>
        <v>3.4106051316484809E-12</v>
      </c>
      <c r="V252" s="22">
        <f t="shared" si="40"/>
        <v>5.5715702274028445E-8</v>
      </c>
    </row>
    <row r="253" spans="1:22" x14ac:dyDescent="0.45">
      <c r="A253">
        <v>-58.229199999999999</v>
      </c>
      <c r="B253">
        <v>-22.044229999999999</v>
      </c>
      <c r="C253">
        <v>61.329009999999997</v>
      </c>
      <c r="D253">
        <v>12919.8554</v>
      </c>
      <c r="E253" s="13">
        <v>-58.173401740507799</v>
      </c>
      <c r="F253" s="13">
        <v>-21.8515981404048</v>
      </c>
      <c r="G253" s="13">
        <v>61.1652912231066</v>
      </c>
      <c r="H253" s="13">
        <f t="shared" si="41"/>
        <v>61.1652912231066</v>
      </c>
      <c r="I253" s="9">
        <v>-58.173401740999999</v>
      </c>
      <c r="J253" s="9">
        <v>-21.85159814</v>
      </c>
      <c r="K253" s="9">
        <f t="shared" si="42"/>
        <v>-21.851598139999993</v>
      </c>
      <c r="L253" s="10">
        <v>241.165291</v>
      </c>
      <c r="M253" s="3">
        <f t="shared" si="43"/>
        <v>61.165291000000025</v>
      </c>
      <c r="N253" s="15">
        <f t="shared" si="36"/>
        <v>-58.173401740507686</v>
      </c>
      <c r="O253" s="23">
        <f t="shared" si="44"/>
        <v>1.1368683772161603E-13</v>
      </c>
      <c r="P253" s="22">
        <f t="shared" si="45"/>
        <v>4.9231374532610062E-10</v>
      </c>
      <c r="Q253" s="16">
        <f t="shared" si="46"/>
        <v>-21.851598140405002</v>
      </c>
      <c r="R253" s="23">
        <f t="shared" si="37"/>
        <v>2.0250467969162855E-13</v>
      </c>
      <c r="S253" s="22">
        <f t="shared" si="38"/>
        <v>4.0500935938325711E-10</v>
      </c>
      <c r="T253" s="16">
        <f t="shared" si="47"/>
        <v>61.165291223106436</v>
      </c>
      <c r="U253" s="23">
        <f t="shared" si="39"/>
        <v>1.6342482922482304E-13</v>
      </c>
      <c r="V253" s="22">
        <f t="shared" si="40"/>
        <v>2.2310641156764177E-7</v>
      </c>
    </row>
    <row r="254" spans="1:22" x14ac:dyDescent="0.45">
      <c r="A254">
        <v>79.469350000000006</v>
      </c>
      <c r="B254">
        <v>-49.015509999999999</v>
      </c>
      <c r="C254">
        <v>233.84180000000001</v>
      </c>
      <c r="D254">
        <v>266034.81579999998</v>
      </c>
      <c r="E254" s="13">
        <v>77.911219995586293</v>
      </c>
      <c r="F254" s="13">
        <v>-58.236448874000502</v>
      </c>
      <c r="G254" s="13">
        <v>-135.20166390521999</v>
      </c>
      <c r="H254" s="13">
        <f t="shared" si="41"/>
        <v>224.79833609478001</v>
      </c>
      <c r="I254" s="11">
        <v>77.911219996</v>
      </c>
      <c r="J254" s="11">
        <v>-58.236448873999997</v>
      </c>
      <c r="K254" s="9">
        <f t="shared" si="42"/>
        <v>-58.23644887399999</v>
      </c>
      <c r="L254" s="12">
        <v>44.798335999999999</v>
      </c>
      <c r="M254" s="3">
        <f t="shared" si="43"/>
        <v>224.79833600000001</v>
      </c>
      <c r="N254" s="15">
        <f t="shared" si="36"/>
        <v>77.911219995596468</v>
      </c>
      <c r="O254" s="23">
        <f t="shared" si="44"/>
        <v>1.0174971976084635E-11</v>
      </c>
      <c r="P254" s="22">
        <f t="shared" si="45"/>
        <v>4.035314304928761E-10</v>
      </c>
      <c r="Q254" s="16">
        <f t="shared" si="46"/>
        <v>-58.236448873950025</v>
      </c>
      <c r="R254" s="23">
        <f t="shared" si="37"/>
        <v>5.0476955948397517E-11</v>
      </c>
      <c r="S254" s="22">
        <f t="shared" si="38"/>
        <v>4.9965365178650245E-11</v>
      </c>
      <c r="T254" s="16">
        <f t="shared" si="47"/>
        <v>224.79833609482722</v>
      </c>
      <c r="U254" s="23">
        <f t="shared" si="39"/>
        <v>4.7208459363901056E-11</v>
      </c>
      <c r="V254" s="22">
        <f t="shared" si="40"/>
        <v>9.4827214525139425E-8</v>
      </c>
    </row>
    <row r="255" spans="1:22" x14ac:dyDescent="0.45">
      <c r="A255">
        <v>-66.508170000000007</v>
      </c>
      <c r="B255">
        <v>162.89202</v>
      </c>
      <c r="C255">
        <v>271.56639000000001</v>
      </c>
      <c r="D255">
        <v>36730.163999999997</v>
      </c>
      <c r="E255" s="13">
        <v>-66.496993149519497</v>
      </c>
      <c r="F255" s="13">
        <v>162.06726695894801</v>
      </c>
      <c r="G255" s="13">
        <v>-87.6772450157507</v>
      </c>
      <c r="H255" s="13">
        <f t="shared" si="41"/>
        <v>272.32275498424929</v>
      </c>
      <c r="I255" s="9">
        <v>-66.496993149999994</v>
      </c>
      <c r="J255" s="9">
        <v>162.06726695899999</v>
      </c>
      <c r="K255" s="9">
        <f t="shared" si="42"/>
        <v>162.06726695899999</v>
      </c>
      <c r="L255" s="10">
        <v>92.322755000000001</v>
      </c>
      <c r="M255" s="3">
        <f t="shared" si="43"/>
        <v>272.32275500000003</v>
      </c>
      <c r="N255" s="15">
        <f t="shared" si="36"/>
        <v>-66.496993149519469</v>
      </c>
      <c r="O255" s="23">
        <f t="shared" si="44"/>
        <v>2.8421709430404007E-14</v>
      </c>
      <c r="P255" s="22">
        <f t="shared" si="45"/>
        <v>4.8052584133984055E-10</v>
      </c>
      <c r="Q255" s="16">
        <f t="shared" si="46"/>
        <v>162.06726695895122</v>
      </c>
      <c r="R255" s="23">
        <f t="shared" si="37"/>
        <v>3.2116531656356528E-12</v>
      </c>
      <c r="S255" s="22">
        <f t="shared" si="38"/>
        <v>4.8771653382573277E-11</v>
      </c>
      <c r="T255" s="16">
        <f t="shared" si="47"/>
        <v>272.32275498424656</v>
      </c>
      <c r="U255" s="23">
        <f t="shared" si="39"/>
        <v>2.7284841053187847E-12</v>
      </c>
      <c r="V255" s="22">
        <f t="shared" si="40"/>
        <v>1.5753471416246612E-8</v>
      </c>
    </row>
    <row r="256" spans="1:22" x14ac:dyDescent="0.45">
      <c r="A256">
        <v>-89.068039999999996</v>
      </c>
      <c r="B256">
        <v>137.26307</v>
      </c>
      <c r="C256">
        <v>188.14599999999999</v>
      </c>
      <c r="D256">
        <v>195008.64120000001</v>
      </c>
      <c r="E256" s="13">
        <v>-89.166116982116094</v>
      </c>
      <c r="F256" s="13">
        <v>-25.481215246219101</v>
      </c>
      <c r="G256" s="13">
        <v>-9.1117266991282797</v>
      </c>
      <c r="H256" s="13">
        <f t="shared" si="41"/>
        <v>350.88827330087173</v>
      </c>
      <c r="I256" s="11">
        <v>-89.166116982000005</v>
      </c>
      <c r="J256" s="11">
        <v>-25.481215246000001</v>
      </c>
      <c r="K256" s="9">
        <f t="shared" si="42"/>
        <v>-25.481215246000005</v>
      </c>
      <c r="L256" s="12">
        <v>170.888273</v>
      </c>
      <c r="M256" s="3">
        <f t="shared" si="43"/>
        <v>350.88827300000003</v>
      </c>
      <c r="N256" s="15">
        <f t="shared" si="36"/>
        <v>-89.166116982130873</v>
      </c>
      <c r="O256" s="23">
        <f t="shared" si="44"/>
        <v>1.4779288903810084E-11</v>
      </c>
      <c r="P256" s="22">
        <f t="shared" si="45"/>
        <v>1.3086776107229525E-10</v>
      </c>
      <c r="Q256" s="16">
        <f t="shared" si="46"/>
        <v>-25.481215246055655</v>
      </c>
      <c r="R256" s="23">
        <f t="shared" si="37"/>
        <v>1.6344614550689585E-10</v>
      </c>
      <c r="S256" s="22">
        <f t="shared" si="38"/>
        <v>5.5649707064731047E-11</v>
      </c>
      <c r="T256" s="16">
        <f t="shared" si="47"/>
        <v>350.88827330070819</v>
      </c>
      <c r="U256" s="23">
        <f t="shared" si="39"/>
        <v>1.6353851606254466E-10</v>
      </c>
      <c r="V256" s="22">
        <f t="shared" si="40"/>
        <v>3.0070816592342453E-7</v>
      </c>
    </row>
    <row r="257" spans="1:22" x14ac:dyDescent="0.45">
      <c r="A257">
        <v>27.484500000000001</v>
      </c>
      <c r="B257">
        <v>-151.23648</v>
      </c>
      <c r="C257">
        <v>176.18144000000001</v>
      </c>
      <c r="D257">
        <v>253855.41510000001</v>
      </c>
      <c r="E257" s="13">
        <v>25.198234640194201</v>
      </c>
      <c r="F257" s="13">
        <v>-151.06878480807899</v>
      </c>
      <c r="G257" s="13">
        <v>176.25586433951</v>
      </c>
      <c r="H257" s="13">
        <f t="shared" si="41"/>
        <v>176.25586433951</v>
      </c>
      <c r="I257" s="9">
        <v>25.198234639999999</v>
      </c>
      <c r="J257" s="9">
        <v>-151.068784808</v>
      </c>
      <c r="K257" s="9">
        <f t="shared" si="42"/>
        <v>-151.068784808</v>
      </c>
      <c r="L257" s="10">
        <v>356.25586399999997</v>
      </c>
      <c r="M257" s="3">
        <f t="shared" si="43"/>
        <v>176.25586399999997</v>
      </c>
      <c r="N257" s="15">
        <f t="shared" si="36"/>
        <v>25.198234640182857</v>
      </c>
      <c r="O257" s="23">
        <f t="shared" si="44"/>
        <v>1.1343814776409999E-11</v>
      </c>
      <c r="P257" s="22">
        <f t="shared" si="45"/>
        <v>1.8285817304786178E-10</v>
      </c>
      <c r="Q257" s="16">
        <f t="shared" si="46"/>
        <v>-151.06878480807853</v>
      </c>
      <c r="R257" s="23">
        <f t="shared" si="37"/>
        <v>4.5474735088646412E-13</v>
      </c>
      <c r="S257" s="22">
        <f t="shared" si="38"/>
        <v>7.8529183156206273E-11</v>
      </c>
      <c r="T257" s="16">
        <f t="shared" si="47"/>
        <v>176.25586433951023</v>
      </c>
      <c r="U257" s="23">
        <f t="shared" si="39"/>
        <v>2.2737367544323206E-13</v>
      </c>
      <c r="V257" s="22">
        <f t="shared" si="40"/>
        <v>3.395102510239667E-7</v>
      </c>
    </row>
    <row r="258" spans="1:22" x14ac:dyDescent="0.45">
      <c r="A258">
        <v>-67.861440000000002</v>
      </c>
      <c r="B258">
        <v>45.040439999999997</v>
      </c>
      <c r="C258">
        <v>47.127630000000003</v>
      </c>
      <c r="D258">
        <v>132081.4932</v>
      </c>
      <c r="E258" s="13">
        <v>-67.040119427220404</v>
      </c>
      <c r="F258" s="13">
        <v>47.263645332654001</v>
      </c>
      <c r="G258" s="13">
        <v>45.074297041460298</v>
      </c>
      <c r="H258" s="13">
        <f t="shared" si="41"/>
        <v>45.074297041460298</v>
      </c>
      <c r="I258" s="11">
        <v>-67.040119426999993</v>
      </c>
      <c r="J258" s="11">
        <v>47.263645332999999</v>
      </c>
      <c r="K258" s="9">
        <f t="shared" si="42"/>
        <v>47.263645332999999</v>
      </c>
      <c r="L258" s="12">
        <v>225.074297</v>
      </c>
      <c r="M258" s="3">
        <f t="shared" si="43"/>
        <v>45.074297000000001</v>
      </c>
      <c r="N258" s="15">
        <f t="shared" si="36"/>
        <v>-67.040119427221427</v>
      </c>
      <c r="O258" s="23">
        <f t="shared" si="44"/>
        <v>1.0231815394945443E-12</v>
      </c>
      <c r="P258" s="22">
        <f t="shared" si="45"/>
        <v>2.2143353817227762E-10</v>
      </c>
      <c r="Q258" s="16">
        <f t="shared" si="46"/>
        <v>47.26364533264973</v>
      </c>
      <c r="R258" s="23">
        <f t="shared" si="37"/>
        <v>4.2703618419182021E-12</v>
      </c>
      <c r="S258" s="22">
        <f t="shared" si="38"/>
        <v>3.5026914702029899E-10</v>
      </c>
      <c r="T258" s="16">
        <f t="shared" si="47"/>
        <v>45.074297041462899</v>
      </c>
      <c r="U258" s="23">
        <f t="shared" si="39"/>
        <v>2.6005864128819667E-12</v>
      </c>
      <c r="V258" s="22">
        <f t="shared" si="40"/>
        <v>4.1462897115707165E-8</v>
      </c>
    </row>
    <row r="259" spans="1:22" x14ac:dyDescent="0.45">
      <c r="A259">
        <v>-15.984220000000001</v>
      </c>
      <c r="B259">
        <v>-14.593719999999999</v>
      </c>
      <c r="C259">
        <v>341.59005000000002</v>
      </c>
      <c r="D259">
        <v>170365.54819999999</v>
      </c>
      <c r="E259" s="13">
        <v>-14.522789656073099</v>
      </c>
      <c r="F259" s="13">
        <v>-15.0928422809917</v>
      </c>
      <c r="G259" s="13">
        <v>-18.278624301905701</v>
      </c>
      <c r="H259" s="13">
        <f t="shared" si="41"/>
        <v>341.72137569809428</v>
      </c>
      <c r="I259" s="9">
        <v>-14.522789656</v>
      </c>
      <c r="J259" s="9">
        <v>-15.092842280999999</v>
      </c>
      <c r="K259" s="9">
        <f t="shared" si="42"/>
        <v>-15.092842281000003</v>
      </c>
      <c r="L259" s="10">
        <v>161.72137599999999</v>
      </c>
      <c r="M259" s="3">
        <f t="shared" si="43"/>
        <v>341.72137599999996</v>
      </c>
      <c r="N259" s="15">
        <f t="shared" ref="N259:N322" si="48">vincentyDirLat(A259, $B259, $C259, $D259)</f>
        <v>-14.522789656067861</v>
      </c>
      <c r="O259" s="23">
        <f t="shared" si="44"/>
        <v>5.2384763193913386E-12</v>
      </c>
      <c r="P259" s="22">
        <f t="shared" si="45"/>
        <v>6.7860383978768368E-11</v>
      </c>
      <c r="Q259" s="16">
        <f t="shared" si="46"/>
        <v>-15.092842280992869</v>
      </c>
      <c r="R259" s="23">
        <f t="shared" ref="R259:R322" si="49">ABS(F259-Q259)</f>
        <v>1.1688428003253648E-12</v>
      </c>
      <c r="S259" s="22">
        <f t="shared" ref="S259:S322" si="50">ABS(K259-Q259)</f>
        <v>7.1338490670314059E-12</v>
      </c>
      <c r="T259" s="16">
        <f t="shared" si="47"/>
        <v>341.72137569809439</v>
      </c>
      <c r="U259" s="23">
        <f t="shared" ref="U259:U322" si="51">ABS(H259-T259)</f>
        <v>1.1368683772161603E-13</v>
      </c>
      <c r="V259" s="22">
        <f t="shared" ref="V259:V322" si="52">ABS(M259-T259)</f>
        <v>3.0190557254172745E-7</v>
      </c>
    </row>
    <row r="260" spans="1:22" x14ac:dyDescent="0.45">
      <c r="A260">
        <v>75.715829999999997</v>
      </c>
      <c r="B260">
        <v>67.995959999999997</v>
      </c>
      <c r="C260">
        <v>45.207999999999998</v>
      </c>
      <c r="D260">
        <v>169355.3083</v>
      </c>
      <c r="E260" s="13">
        <v>76.741830004062706</v>
      </c>
      <c r="F260" s="13">
        <v>72.693381843949993</v>
      </c>
      <c r="G260" s="13">
        <v>49.770718174960003</v>
      </c>
      <c r="H260" s="13">
        <f t="shared" ref="H260:H323" si="53">NormalizeAzimuth(G260, TRUE)</f>
        <v>49.770718174960003</v>
      </c>
      <c r="I260" s="11">
        <v>76.741830003999993</v>
      </c>
      <c r="J260" s="11">
        <v>72.693381844000001</v>
      </c>
      <c r="K260" s="9">
        <f t="shared" ref="K260:K323" si="54">normalizelon(J260)</f>
        <v>72.693381843999987</v>
      </c>
      <c r="L260" s="12">
        <v>229.77071799999999</v>
      </c>
      <c r="M260" s="3">
        <f t="shared" ref="M260:M323" si="55">NormalizeAzimuth(L260+180, TRUE)</f>
        <v>49.770717999999988</v>
      </c>
      <c r="N260" s="15">
        <f t="shared" si="48"/>
        <v>76.741830004057334</v>
      </c>
      <c r="O260" s="23">
        <f t="shared" ref="O260:O288" si="56">ABS(E260-N260)</f>
        <v>5.3717030823463574E-12</v>
      </c>
      <c r="P260" s="22">
        <f t="shared" ref="P260:P288" si="57">ABS(I260-N260)</f>
        <v>5.7340798775840085E-11</v>
      </c>
      <c r="Q260" s="16">
        <f t="shared" ref="Q260:Q323" si="58">VincentyDirLon($A260, $B260, $C260, $D260)</f>
        <v>72.693381843921316</v>
      </c>
      <c r="R260" s="23">
        <f t="shared" si="49"/>
        <v>2.8677504815277644E-11</v>
      </c>
      <c r="S260" s="22">
        <f t="shared" si="50"/>
        <v>7.8671291703358293E-11</v>
      </c>
      <c r="T260" s="16">
        <f t="shared" ref="T260:T323" si="59">VincentyDirRevAzimuth($A260, $B260, $C260, $D260)</f>
        <v>49.770718174933229</v>
      </c>
      <c r="U260" s="23">
        <f t="shared" si="51"/>
        <v>2.6773250283440575E-11</v>
      </c>
      <c r="V260" s="22">
        <f t="shared" si="52"/>
        <v>1.7493324122597187E-7</v>
      </c>
    </row>
    <row r="261" spans="1:22" x14ac:dyDescent="0.45">
      <c r="A261">
        <v>30.255659999999999</v>
      </c>
      <c r="B261">
        <v>54.106180000000002</v>
      </c>
      <c r="C261">
        <v>40.88852</v>
      </c>
      <c r="D261">
        <v>34280.7667</v>
      </c>
      <c r="E261" s="13">
        <v>30.489224059326101</v>
      </c>
      <c r="F261" s="13">
        <v>54.339904550007198</v>
      </c>
      <c r="G261" s="13">
        <v>41.006695908497797</v>
      </c>
      <c r="H261" s="13">
        <f t="shared" si="53"/>
        <v>41.006695908497797</v>
      </c>
      <c r="I261" s="9">
        <v>30.489224059000001</v>
      </c>
      <c r="J261" s="9">
        <v>54.33990455</v>
      </c>
      <c r="K261" s="9">
        <f t="shared" si="54"/>
        <v>54.33990455</v>
      </c>
      <c r="L261" s="10">
        <v>221.00669600000001</v>
      </c>
      <c r="M261" s="3">
        <f t="shared" si="55"/>
        <v>41.006696000000034</v>
      </c>
      <c r="N261" s="15">
        <f t="shared" si="48"/>
        <v>30.489224059322002</v>
      </c>
      <c r="O261" s="23">
        <f t="shared" si="56"/>
        <v>4.0998315853357781E-12</v>
      </c>
      <c r="P261" s="22">
        <f t="shared" si="57"/>
        <v>3.220002042780834E-10</v>
      </c>
      <c r="Q261" s="16">
        <f t="shared" si="58"/>
        <v>54.339904550002245</v>
      </c>
      <c r="R261" s="23">
        <f t="shared" si="49"/>
        <v>4.9524828682478983E-12</v>
      </c>
      <c r="S261" s="22">
        <f t="shared" si="50"/>
        <v>2.2453150450019166E-12</v>
      </c>
      <c r="T261" s="16">
        <f t="shared" si="59"/>
        <v>41.006695908495729</v>
      </c>
      <c r="U261" s="23">
        <f t="shared" si="51"/>
        <v>2.0676793610618915E-12</v>
      </c>
      <c r="V261" s="22">
        <f t="shared" si="52"/>
        <v>9.1504304577938456E-8</v>
      </c>
    </row>
    <row r="262" spans="1:22" x14ac:dyDescent="0.45">
      <c r="A262">
        <v>55.852899999999998</v>
      </c>
      <c r="B262">
        <v>-102.58091</v>
      </c>
      <c r="C262">
        <v>2.56027</v>
      </c>
      <c r="D262">
        <v>95631.720499999996</v>
      </c>
      <c r="E262" s="13">
        <v>56.710885905649199</v>
      </c>
      <c r="F262" s="13">
        <v>-102.51115901476901</v>
      </c>
      <c r="G262" s="13">
        <v>2.6182890169533501</v>
      </c>
      <c r="H262" s="13">
        <f t="shared" si="53"/>
        <v>2.6182890169533501</v>
      </c>
      <c r="I262" s="11">
        <v>56.710885906000001</v>
      </c>
      <c r="J262" s="11">
        <v>-102.511159015</v>
      </c>
      <c r="K262" s="9">
        <f t="shared" si="54"/>
        <v>-102.511159015</v>
      </c>
      <c r="L262" s="12">
        <v>182.618289</v>
      </c>
      <c r="M262" s="3">
        <f t="shared" si="55"/>
        <v>2.6182890000000043</v>
      </c>
      <c r="N262" s="15">
        <f t="shared" si="48"/>
        <v>56.710885905651381</v>
      </c>
      <c r="O262" s="23">
        <f t="shared" si="56"/>
        <v>2.1813661987835076E-12</v>
      </c>
      <c r="P262" s="22">
        <f t="shared" si="57"/>
        <v>3.4862068787333556E-10</v>
      </c>
      <c r="Q262" s="16">
        <f t="shared" si="58"/>
        <v>-102.51115901476835</v>
      </c>
      <c r="R262" s="23">
        <f t="shared" si="49"/>
        <v>6.5369931689929217E-13</v>
      </c>
      <c r="S262" s="22">
        <f t="shared" si="50"/>
        <v>2.3165114271250786E-10</v>
      </c>
      <c r="T262" s="16">
        <f t="shared" si="59"/>
        <v>2.61828901695351</v>
      </c>
      <c r="U262" s="23">
        <f t="shared" si="51"/>
        <v>1.5987211554602254E-13</v>
      </c>
      <c r="V262" s="22">
        <f t="shared" si="52"/>
        <v>1.6953505710404215E-8</v>
      </c>
    </row>
    <row r="263" spans="1:22" x14ac:dyDescent="0.45">
      <c r="A263">
        <v>-18.257709999999999</v>
      </c>
      <c r="B263">
        <v>-67.428340000000006</v>
      </c>
      <c r="C263">
        <v>219.79338999999999</v>
      </c>
      <c r="D263">
        <v>103399.0039</v>
      </c>
      <c r="E263" s="13">
        <v>-18.974432561089099</v>
      </c>
      <c r="F263" s="13">
        <v>-68.056743442519107</v>
      </c>
      <c r="G263" s="13">
        <v>-140.00600206487701</v>
      </c>
      <c r="H263" s="13">
        <f t="shared" si="53"/>
        <v>219.99399793512299</v>
      </c>
      <c r="I263" s="9">
        <v>-18.974432561</v>
      </c>
      <c r="J263" s="9">
        <v>-68.056743443000002</v>
      </c>
      <c r="K263" s="9">
        <f t="shared" si="54"/>
        <v>-68.056743443000002</v>
      </c>
      <c r="L263" s="10">
        <v>39.993997999999998</v>
      </c>
      <c r="M263" s="3">
        <f t="shared" si="55"/>
        <v>219.993998</v>
      </c>
      <c r="N263" s="15">
        <f t="shared" si="48"/>
        <v>-18.974432561093511</v>
      </c>
      <c r="O263" s="23">
        <f t="shared" si="56"/>
        <v>4.4124703890702222E-12</v>
      </c>
      <c r="P263" s="22">
        <f t="shared" si="57"/>
        <v>9.3510976739707985E-11</v>
      </c>
      <c r="Q263" s="16">
        <f t="shared" si="58"/>
        <v>-68.056743442521537</v>
      </c>
      <c r="R263" s="23">
        <f t="shared" si="49"/>
        <v>2.4300561562995426E-12</v>
      </c>
      <c r="S263" s="22">
        <f t="shared" si="50"/>
        <v>4.7846526740613626E-10</v>
      </c>
      <c r="T263" s="16">
        <f t="shared" si="59"/>
        <v>219.99399793512399</v>
      </c>
      <c r="U263" s="23">
        <f t="shared" si="51"/>
        <v>9.9475983006414026E-13</v>
      </c>
      <c r="V263" s="22">
        <f t="shared" si="52"/>
        <v>6.4876019223447656E-8</v>
      </c>
    </row>
    <row r="264" spans="1:22" x14ac:dyDescent="0.45">
      <c r="A264">
        <v>57.290219999999998</v>
      </c>
      <c r="B264">
        <v>-50.804630000000003</v>
      </c>
      <c r="C264">
        <v>139.18638999999999</v>
      </c>
      <c r="D264">
        <v>198631.8469</v>
      </c>
      <c r="E264" s="13">
        <v>55.922474074270802</v>
      </c>
      <c r="F264" s="13">
        <v>-48.727881291595899</v>
      </c>
      <c r="G264" s="13">
        <v>140.92046714299099</v>
      </c>
      <c r="H264" s="13">
        <f t="shared" si="53"/>
        <v>140.92046714299099</v>
      </c>
      <c r="I264" s="11">
        <v>55.922474074</v>
      </c>
      <c r="J264" s="11">
        <v>-48.727881291999999</v>
      </c>
      <c r="K264" s="9">
        <f t="shared" si="54"/>
        <v>-48.727881292000006</v>
      </c>
      <c r="L264" s="12">
        <v>320.92046699999997</v>
      </c>
      <c r="M264" s="3">
        <f t="shared" si="55"/>
        <v>140.92046699999997</v>
      </c>
      <c r="N264" s="15">
        <f t="shared" si="48"/>
        <v>55.922474074267662</v>
      </c>
      <c r="O264" s="23">
        <f t="shared" si="56"/>
        <v>3.1405988920596428E-12</v>
      </c>
      <c r="P264" s="22">
        <f t="shared" si="57"/>
        <v>2.6766144856082974E-10</v>
      </c>
      <c r="Q264" s="16">
        <f t="shared" si="58"/>
        <v>-48.727881291593548</v>
      </c>
      <c r="R264" s="23">
        <f t="shared" si="49"/>
        <v>2.3518964553659316E-12</v>
      </c>
      <c r="S264" s="22">
        <f t="shared" si="50"/>
        <v>4.0645886656420771E-10</v>
      </c>
      <c r="T264" s="16">
        <f t="shared" si="59"/>
        <v>140.92046714299408</v>
      </c>
      <c r="U264" s="23">
        <f t="shared" si="51"/>
        <v>3.0979663279140368E-12</v>
      </c>
      <c r="V264" s="22">
        <f t="shared" si="52"/>
        <v>1.4299411077445257E-7</v>
      </c>
    </row>
    <row r="265" spans="1:22" x14ac:dyDescent="0.45">
      <c r="A265">
        <v>-3.7221899999999999</v>
      </c>
      <c r="B265">
        <v>-31.04684</v>
      </c>
      <c r="C265">
        <v>4.0206900000000001</v>
      </c>
      <c r="D265">
        <v>165946.44219999999</v>
      </c>
      <c r="E265" s="13">
        <v>-2.2251506351870902</v>
      </c>
      <c r="F265" s="13">
        <v>-30.942248953145501</v>
      </c>
      <c r="G265" s="13">
        <v>4.0152636593600599</v>
      </c>
      <c r="H265" s="13">
        <f t="shared" si="53"/>
        <v>4.0152636593600599</v>
      </c>
      <c r="I265" s="9">
        <v>-2.2251506349999999</v>
      </c>
      <c r="J265" s="9">
        <v>-30.942248953</v>
      </c>
      <c r="K265" s="9">
        <f t="shared" si="54"/>
        <v>-30.942248952999989</v>
      </c>
      <c r="L265" s="10">
        <v>184.015264</v>
      </c>
      <c r="M265" s="3">
        <f t="shared" si="55"/>
        <v>4.0152640000000019</v>
      </c>
      <c r="N265" s="15">
        <f t="shared" si="48"/>
        <v>-2.2251506351900465</v>
      </c>
      <c r="O265" s="23">
        <f t="shared" si="56"/>
        <v>2.9563018699718668E-12</v>
      </c>
      <c r="P265" s="22">
        <f t="shared" si="57"/>
        <v>1.9004664508770475E-10</v>
      </c>
      <c r="Q265" s="16">
        <f t="shared" si="58"/>
        <v>-30.942248953145565</v>
      </c>
      <c r="R265" s="23">
        <f t="shared" si="49"/>
        <v>6.3948846218409017E-14</v>
      </c>
      <c r="S265" s="22">
        <f t="shared" si="50"/>
        <v>1.4557599570252933E-10</v>
      </c>
      <c r="T265" s="16">
        <f t="shared" si="59"/>
        <v>4.0152636593600679</v>
      </c>
      <c r="U265" s="23">
        <f t="shared" si="51"/>
        <v>7.9936057773011271E-15</v>
      </c>
      <c r="V265" s="22">
        <f t="shared" si="52"/>
        <v>3.4063993403776749E-7</v>
      </c>
    </row>
    <row r="266" spans="1:22" x14ac:dyDescent="0.45">
      <c r="A266">
        <v>24.50461</v>
      </c>
      <c r="B266">
        <v>-130.68146999999999</v>
      </c>
      <c r="C266">
        <v>53.574210000000001</v>
      </c>
      <c r="D266">
        <v>177415.48389999999</v>
      </c>
      <c r="E266" s="13">
        <v>25.4489211471716</v>
      </c>
      <c r="F266" s="13">
        <v>-129.26221061478401</v>
      </c>
      <c r="G266" s="13">
        <v>54.173539017922799</v>
      </c>
      <c r="H266" s="13">
        <f t="shared" si="53"/>
        <v>54.173539017922799</v>
      </c>
      <c r="I266" s="11">
        <v>25.448921147</v>
      </c>
      <c r="J266" s="11">
        <v>-129.26221061499999</v>
      </c>
      <c r="K266" s="9">
        <f t="shared" si="54"/>
        <v>-129.26221061499999</v>
      </c>
      <c r="L266" s="12">
        <v>234.17353900000001</v>
      </c>
      <c r="M266" s="3">
        <f t="shared" si="55"/>
        <v>54.173539000000005</v>
      </c>
      <c r="N266" s="15">
        <f t="shared" si="48"/>
        <v>25.44892114717258</v>
      </c>
      <c r="O266" s="23">
        <f t="shared" si="56"/>
        <v>9.8054897534893826E-13</v>
      </c>
      <c r="P266" s="22">
        <f t="shared" si="57"/>
        <v>1.7258017237509193E-10</v>
      </c>
      <c r="Q266" s="16">
        <f t="shared" si="58"/>
        <v>-129.2622106147883</v>
      </c>
      <c r="R266" s="23">
        <f t="shared" si="49"/>
        <v>4.2916781239910051E-12</v>
      </c>
      <c r="S266" s="22">
        <f t="shared" si="50"/>
        <v>2.1168489183764905E-10</v>
      </c>
      <c r="T266" s="16">
        <f t="shared" si="59"/>
        <v>54.17353901792336</v>
      </c>
      <c r="U266" s="23">
        <f t="shared" si="51"/>
        <v>5.6132876125047915E-13</v>
      </c>
      <c r="V266" s="22">
        <f t="shared" si="52"/>
        <v>1.7923355244420236E-8</v>
      </c>
    </row>
    <row r="267" spans="1:22" x14ac:dyDescent="0.45">
      <c r="A267">
        <v>-49.103529999999999</v>
      </c>
      <c r="B267">
        <v>-34.437240000000003</v>
      </c>
      <c r="C267">
        <v>123.05946</v>
      </c>
      <c r="D267">
        <v>100912.3855</v>
      </c>
      <c r="E267" s="13">
        <v>-49.5926154454705</v>
      </c>
      <c r="F267" s="13">
        <v>-33.267422427876298</v>
      </c>
      <c r="G267" s="13">
        <v>122.17192018215501</v>
      </c>
      <c r="H267" s="13">
        <f t="shared" si="53"/>
        <v>122.17192018215501</v>
      </c>
      <c r="I267" s="9">
        <v>-49.592615445</v>
      </c>
      <c r="J267" s="9">
        <v>-33.267422428000003</v>
      </c>
      <c r="K267" s="9">
        <f t="shared" si="54"/>
        <v>-33.267422428000003</v>
      </c>
      <c r="L267" s="10">
        <v>302.17192</v>
      </c>
      <c r="M267" s="3">
        <f t="shared" si="55"/>
        <v>122.17192</v>
      </c>
      <c r="N267" s="15">
        <f t="shared" si="48"/>
        <v>-49.592615445471822</v>
      </c>
      <c r="O267" s="23">
        <f t="shared" si="56"/>
        <v>1.3216094885137863E-12</v>
      </c>
      <c r="P267" s="22">
        <f t="shared" si="57"/>
        <v>4.7182169282677933E-10</v>
      </c>
      <c r="Q267" s="16">
        <f t="shared" si="58"/>
        <v>-33.267422427875971</v>
      </c>
      <c r="R267" s="23">
        <f t="shared" si="49"/>
        <v>3.2684965844964609E-13</v>
      </c>
      <c r="S267" s="22">
        <f t="shared" si="50"/>
        <v>1.2403233995428309E-10</v>
      </c>
      <c r="T267" s="16">
        <f t="shared" si="59"/>
        <v>122.17192018215231</v>
      </c>
      <c r="U267" s="23">
        <f t="shared" si="51"/>
        <v>2.7000623958883807E-12</v>
      </c>
      <c r="V267" s="22">
        <f t="shared" si="52"/>
        <v>1.8215230568330298E-7</v>
      </c>
    </row>
    <row r="268" spans="1:22" x14ac:dyDescent="0.45">
      <c r="A268">
        <v>78.33399</v>
      </c>
      <c r="B268">
        <v>15.32395</v>
      </c>
      <c r="C268">
        <v>106.19398</v>
      </c>
      <c r="D268">
        <v>165257.90979999999</v>
      </c>
      <c r="E268" s="13">
        <v>77.838998863814894</v>
      </c>
      <c r="F268" s="13">
        <v>22.0846827890892</v>
      </c>
      <c r="G268" s="13">
        <v>112.809477562314</v>
      </c>
      <c r="H268" s="13">
        <f t="shared" si="53"/>
        <v>112.809477562314</v>
      </c>
      <c r="I268" s="11">
        <v>77.838998864000004</v>
      </c>
      <c r="J268" s="11">
        <v>22.084682788999999</v>
      </c>
      <c r="K268" s="9">
        <f t="shared" si="54"/>
        <v>22.084682788999999</v>
      </c>
      <c r="L268" s="12">
        <v>292.80947800000001</v>
      </c>
      <c r="M268" s="3">
        <f t="shared" si="55"/>
        <v>112.80947800000001</v>
      </c>
      <c r="N268" s="15">
        <f t="shared" si="48"/>
        <v>77.83899886381856</v>
      </c>
      <c r="O268" s="23">
        <f t="shared" si="56"/>
        <v>3.666400516522117E-12</v>
      </c>
      <c r="P268" s="22">
        <f t="shared" si="57"/>
        <v>1.8144419300369918E-10</v>
      </c>
      <c r="Q268" s="16">
        <f t="shared" si="58"/>
        <v>22.084682789044876</v>
      </c>
      <c r="R268" s="23">
        <f t="shared" si="49"/>
        <v>4.432365585671505E-11</v>
      </c>
      <c r="S268" s="22">
        <f t="shared" si="50"/>
        <v>4.4877879190607928E-11</v>
      </c>
      <c r="T268" s="16">
        <f t="shared" si="59"/>
        <v>112.80947756227263</v>
      </c>
      <c r="U268" s="23">
        <f t="shared" si="51"/>
        <v>4.1367798075953033E-11</v>
      </c>
      <c r="V268" s="22">
        <f t="shared" si="52"/>
        <v>4.3772737967628927E-7</v>
      </c>
    </row>
    <row r="269" spans="1:22" x14ac:dyDescent="0.45">
      <c r="A269">
        <v>-17.395489999999999</v>
      </c>
      <c r="B269">
        <v>-64.608440000000002</v>
      </c>
      <c r="C269">
        <v>52.176949999999998</v>
      </c>
      <c r="D269">
        <v>104705.3213</v>
      </c>
      <c r="E269" s="13">
        <v>-16.813821089399202</v>
      </c>
      <c r="F269" s="13">
        <v>-63.832512634598402</v>
      </c>
      <c r="G269" s="13">
        <v>51.948729647425402</v>
      </c>
      <c r="H269" s="13">
        <f t="shared" si="53"/>
        <v>51.948729647425402</v>
      </c>
      <c r="I269" s="9">
        <v>-16.813821089000001</v>
      </c>
      <c r="J269" s="9">
        <v>-63.832512635000001</v>
      </c>
      <c r="K269" s="9">
        <f t="shared" si="54"/>
        <v>-63.832512635000001</v>
      </c>
      <c r="L269" s="10">
        <v>231.94873000000001</v>
      </c>
      <c r="M269" s="3">
        <f t="shared" si="55"/>
        <v>51.948730000000012</v>
      </c>
      <c r="N269" s="15">
        <f t="shared" si="48"/>
        <v>-16.813821089395375</v>
      </c>
      <c r="O269" s="23">
        <f t="shared" si="56"/>
        <v>3.8262726320681395E-12</v>
      </c>
      <c r="P269" s="22">
        <f t="shared" si="57"/>
        <v>3.9537439988635015E-10</v>
      </c>
      <c r="Q269" s="16">
        <f t="shared" si="58"/>
        <v>-63.832512634595389</v>
      </c>
      <c r="R269" s="23">
        <f t="shared" si="49"/>
        <v>3.0127011996228248E-12</v>
      </c>
      <c r="S269" s="22">
        <f t="shared" si="50"/>
        <v>4.0461145545123145E-10</v>
      </c>
      <c r="T269" s="16">
        <f t="shared" si="59"/>
        <v>51.948729647423853</v>
      </c>
      <c r="U269" s="23">
        <f t="shared" si="51"/>
        <v>1.5489831639570184E-12</v>
      </c>
      <c r="V269" s="22">
        <f t="shared" si="52"/>
        <v>3.5257615849104695E-7</v>
      </c>
    </row>
    <row r="270" spans="1:22" x14ac:dyDescent="0.45">
      <c r="A270">
        <v>25.40428</v>
      </c>
      <c r="B270">
        <v>92.048240000000007</v>
      </c>
      <c r="C270">
        <v>193.15189000000001</v>
      </c>
      <c r="D270">
        <v>186534.3131</v>
      </c>
      <c r="E270" s="13">
        <v>23.763838771826499</v>
      </c>
      <c r="F270" s="13">
        <v>91.631931558171402</v>
      </c>
      <c r="G270" s="13">
        <v>-167.02132433782199</v>
      </c>
      <c r="H270" s="13">
        <f t="shared" si="53"/>
        <v>192.97867566217801</v>
      </c>
      <c r="I270" s="11">
        <v>23.763838772</v>
      </c>
      <c r="J270" s="11">
        <v>91.631931558000005</v>
      </c>
      <c r="K270" s="9">
        <f t="shared" si="54"/>
        <v>91.631931558000019</v>
      </c>
      <c r="L270" s="12">
        <v>12.978676</v>
      </c>
      <c r="M270" s="3">
        <f t="shared" si="55"/>
        <v>192.97867600000001</v>
      </c>
      <c r="N270" s="15">
        <f t="shared" si="48"/>
        <v>23.763838771818214</v>
      </c>
      <c r="O270" s="23">
        <f t="shared" si="56"/>
        <v>8.2849282989627682E-12</v>
      </c>
      <c r="P270" s="22">
        <f t="shared" si="57"/>
        <v>1.8178525351686403E-10</v>
      </c>
      <c r="Q270" s="16">
        <f t="shared" si="58"/>
        <v>91.631931558170777</v>
      </c>
      <c r="R270" s="23">
        <f t="shared" si="49"/>
        <v>6.2527760746888816E-13</v>
      </c>
      <c r="S270" s="22">
        <f t="shared" si="50"/>
        <v>1.7075763025786728E-10</v>
      </c>
      <c r="T270" s="16">
        <f t="shared" si="59"/>
        <v>192.97867566217727</v>
      </c>
      <c r="U270" s="23">
        <f t="shared" si="51"/>
        <v>7.3896444519050419E-13</v>
      </c>
      <c r="V270" s="22">
        <f t="shared" si="52"/>
        <v>3.378227404482459E-7</v>
      </c>
    </row>
    <row r="271" spans="1:22" x14ac:dyDescent="0.45">
      <c r="A271">
        <v>-84.760810000000006</v>
      </c>
      <c r="B271">
        <v>-141.00604000000001</v>
      </c>
      <c r="C271">
        <v>72.059640000000002</v>
      </c>
      <c r="D271">
        <v>144966.76180000001</v>
      </c>
      <c r="E271" s="13">
        <v>-84.227729871270299</v>
      </c>
      <c r="F271" s="13">
        <v>-128.63344767775601</v>
      </c>
      <c r="G271" s="13">
        <v>59.743555469277098</v>
      </c>
      <c r="H271" s="13">
        <f t="shared" si="53"/>
        <v>59.743555469277098</v>
      </c>
      <c r="I271" s="9">
        <v>-84.227729870999994</v>
      </c>
      <c r="J271" s="9">
        <v>-128.63344767800001</v>
      </c>
      <c r="K271" s="9">
        <f t="shared" si="54"/>
        <v>-128.63344767800001</v>
      </c>
      <c r="L271" s="10">
        <v>239.74355499999999</v>
      </c>
      <c r="M271" s="3">
        <f t="shared" si="55"/>
        <v>59.743555000000015</v>
      </c>
      <c r="N271" s="15">
        <f t="shared" si="48"/>
        <v>-84.227729871275443</v>
      </c>
      <c r="O271" s="23">
        <f t="shared" si="56"/>
        <v>5.1443294069031253E-12</v>
      </c>
      <c r="P271" s="22">
        <f t="shared" si="57"/>
        <v>2.7544899694476044E-10</v>
      </c>
      <c r="Q271" s="16">
        <f t="shared" si="58"/>
        <v>-128.63344767784619</v>
      </c>
      <c r="R271" s="23">
        <f t="shared" si="49"/>
        <v>9.0182084022671916E-11</v>
      </c>
      <c r="S271" s="22">
        <f t="shared" si="50"/>
        <v>1.5381829143734649E-10</v>
      </c>
      <c r="T271" s="16">
        <f t="shared" si="59"/>
        <v>59.743555469366328</v>
      </c>
      <c r="U271" s="23">
        <f t="shared" si="51"/>
        <v>8.9229956756753381E-11</v>
      </c>
      <c r="V271" s="22">
        <f t="shared" si="52"/>
        <v>4.6936631292737729E-7</v>
      </c>
    </row>
    <row r="272" spans="1:22" x14ac:dyDescent="0.45">
      <c r="A272">
        <v>53.348779999999998</v>
      </c>
      <c r="B272">
        <v>44.853169999999999</v>
      </c>
      <c r="C272">
        <v>316.99038999999999</v>
      </c>
      <c r="D272">
        <v>130323.55349999999</v>
      </c>
      <c r="E272" s="13">
        <v>54.197352703369198</v>
      </c>
      <c r="F272" s="13">
        <v>43.491056342475503</v>
      </c>
      <c r="G272" s="13">
        <v>-44.108451664800299</v>
      </c>
      <c r="H272" s="13">
        <f t="shared" si="53"/>
        <v>315.89154833519967</v>
      </c>
      <c r="I272" s="11">
        <v>54.197352703</v>
      </c>
      <c r="J272" s="11">
        <v>43.491056342</v>
      </c>
      <c r="K272" s="9">
        <f t="shared" si="54"/>
        <v>43.491056342000007</v>
      </c>
      <c r="L272" s="12">
        <v>135.891548</v>
      </c>
      <c r="M272" s="3">
        <f t="shared" si="55"/>
        <v>315.891548</v>
      </c>
      <c r="N272" s="15">
        <f t="shared" si="48"/>
        <v>54.19735270337118</v>
      </c>
      <c r="O272" s="23">
        <f t="shared" si="56"/>
        <v>1.9824142327706795E-12</v>
      </c>
      <c r="P272" s="22">
        <f t="shared" si="57"/>
        <v>3.7118041973371874E-10</v>
      </c>
      <c r="Q272" s="16">
        <f t="shared" si="58"/>
        <v>43.491056342473854</v>
      </c>
      <c r="R272" s="23">
        <f t="shared" si="49"/>
        <v>1.6484591469634324E-12</v>
      </c>
      <c r="S272" s="22">
        <f t="shared" si="50"/>
        <v>4.7384673962369561E-10</v>
      </c>
      <c r="T272" s="16">
        <f t="shared" si="59"/>
        <v>315.89154833519649</v>
      </c>
      <c r="U272" s="23">
        <f t="shared" si="51"/>
        <v>3.1832314562052488E-12</v>
      </c>
      <c r="V272" s="22">
        <f t="shared" si="52"/>
        <v>3.3519648923174827E-7</v>
      </c>
    </row>
    <row r="273" spans="1:22" x14ac:dyDescent="0.45">
      <c r="A273">
        <v>13.801080000000001</v>
      </c>
      <c r="B273">
        <v>78.251080000000002</v>
      </c>
      <c r="C273">
        <v>213.95029</v>
      </c>
      <c r="D273">
        <v>204439.66</v>
      </c>
      <c r="E273" s="13">
        <v>12.2659959377331</v>
      </c>
      <c r="F273" s="13">
        <v>77.201756279571001</v>
      </c>
      <c r="G273" s="13">
        <v>-146.28638255803199</v>
      </c>
      <c r="H273" s="13">
        <f t="shared" si="53"/>
        <v>213.71361744196801</v>
      </c>
      <c r="I273" s="9">
        <v>12.265995938</v>
      </c>
      <c r="J273" s="9">
        <v>77.201756279999998</v>
      </c>
      <c r="K273" s="9">
        <f t="shared" si="54"/>
        <v>77.201756279999984</v>
      </c>
      <c r="L273" s="10">
        <v>33.713616999999999</v>
      </c>
      <c r="M273" s="3">
        <f t="shared" si="55"/>
        <v>213.713617</v>
      </c>
      <c r="N273" s="15">
        <f t="shared" si="48"/>
        <v>12.26599593772451</v>
      </c>
      <c r="O273" s="23">
        <f t="shared" si="56"/>
        <v>8.5904616753396112E-12</v>
      </c>
      <c r="P273" s="22">
        <f t="shared" si="57"/>
        <v>2.7548985315206664E-10</v>
      </c>
      <c r="Q273" s="16">
        <f t="shared" si="58"/>
        <v>77.201756279566212</v>
      </c>
      <c r="R273" s="23">
        <f t="shared" si="49"/>
        <v>4.7890580390230753E-12</v>
      </c>
      <c r="S273" s="22">
        <f t="shared" si="50"/>
        <v>4.3377212932682596E-10</v>
      </c>
      <c r="T273" s="16">
        <f t="shared" si="59"/>
        <v>213.71361744196702</v>
      </c>
      <c r="U273" s="23">
        <f t="shared" si="51"/>
        <v>9.9475983006414026E-13</v>
      </c>
      <c r="V273" s="22">
        <f t="shared" si="52"/>
        <v>4.4196701765031321E-7</v>
      </c>
    </row>
    <row r="274" spans="1:22" x14ac:dyDescent="0.45">
      <c r="A274">
        <v>-51.927579999999999</v>
      </c>
      <c r="B274">
        <v>35.426679999999998</v>
      </c>
      <c r="C274">
        <v>0.50551000000000001</v>
      </c>
      <c r="D274">
        <v>178801.56409999999</v>
      </c>
      <c r="E274" s="13">
        <v>-50.320444522130899</v>
      </c>
      <c r="F274" s="13">
        <v>35.448827552265897</v>
      </c>
      <c r="G274" s="13">
        <v>0.48826629307613201</v>
      </c>
      <c r="H274" s="13">
        <f t="shared" si="53"/>
        <v>0.48826629307613201</v>
      </c>
      <c r="I274" s="11">
        <v>-50.320444522000003</v>
      </c>
      <c r="J274" s="11">
        <v>35.448827551999997</v>
      </c>
      <c r="K274" s="9">
        <f t="shared" si="54"/>
        <v>35.448827552000012</v>
      </c>
      <c r="L274" s="12">
        <v>180.48826600000001</v>
      </c>
      <c r="M274" s="3">
        <f t="shared" si="55"/>
        <v>0.48826600000001008</v>
      </c>
      <c r="N274" s="15">
        <f t="shared" si="48"/>
        <v>-50.320444522073267</v>
      </c>
      <c r="O274" s="23">
        <f t="shared" si="56"/>
        <v>5.7632121297501726E-11</v>
      </c>
      <c r="P274" s="22">
        <f t="shared" si="57"/>
        <v>7.326406148422393E-11</v>
      </c>
      <c r="Q274" s="16">
        <f t="shared" si="58"/>
        <v>35.448827552266664</v>
      </c>
      <c r="R274" s="23">
        <f t="shared" si="49"/>
        <v>7.673861546209082E-13</v>
      </c>
      <c r="S274" s="22">
        <f t="shared" si="50"/>
        <v>2.666524778760504E-10</v>
      </c>
      <c r="T274" s="16">
        <f t="shared" si="59"/>
        <v>0.4882662930755427</v>
      </c>
      <c r="U274" s="23">
        <f t="shared" si="51"/>
        <v>5.8930638147103309E-13</v>
      </c>
      <c r="V274" s="22">
        <f t="shared" si="52"/>
        <v>2.9307553262025721E-7</v>
      </c>
    </row>
    <row r="275" spans="1:22" x14ac:dyDescent="0.45">
      <c r="A275">
        <v>-17.479710000000001</v>
      </c>
      <c r="B275">
        <v>-68.211600000000004</v>
      </c>
      <c r="C275">
        <v>357.62948</v>
      </c>
      <c r="D275">
        <v>83198.181500000006</v>
      </c>
      <c r="E275" s="13">
        <v>-16.728585321512298</v>
      </c>
      <c r="F275" s="13">
        <v>-68.243869103857307</v>
      </c>
      <c r="G275" s="13">
        <v>-2.3610291445759799</v>
      </c>
      <c r="H275" s="13">
        <f t="shared" si="53"/>
        <v>357.63897085542402</v>
      </c>
      <c r="I275" s="9">
        <v>-16.728585322000001</v>
      </c>
      <c r="J275" s="9">
        <v>-68.243869103999998</v>
      </c>
      <c r="K275" s="9">
        <f t="shared" si="54"/>
        <v>-68.243869103999998</v>
      </c>
      <c r="L275" s="10">
        <v>177.638971</v>
      </c>
      <c r="M275" s="3">
        <f t="shared" si="55"/>
        <v>357.63897099999997</v>
      </c>
      <c r="N275" s="15">
        <f t="shared" si="48"/>
        <v>-16.728585321510295</v>
      </c>
      <c r="O275" s="23">
        <f t="shared" si="56"/>
        <v>2.0037305148434825E-12</v>
      </c>
      <c r="P275" s="22">
        <f t="shared" si="57"/>
        <v>4.8970605348586105E-10</v>
      </c>
      <c r="Q275" s="16">
        <f t="shared" si="58"/>
        <v>-68.243869103857307</v>
      </c>
      <c r="R275" s="23">
        <f t="shared" si="49"/>
        <v>0</v>
      </c>
      <c r="S275" s="22">
        <f t="shared" si="50"/>
        <v>1.4269119219534332E-10</v>
      </c>
      <c r="T275" s="16">
        <f t="shared" si="59"/>
        <v>357.63897085542368</v>
      </c>
      <c r="U275" s="23">
        <f t="shared" si="51"/>
        <v>3.4106051316484809E-13</v>
      </c>
      <c r="V275" s="22">
        <f t="shared" si="52"/>
        <v>1.445762904950243E-7</v>
      </c>
    </row>
    <row r="276" spans="1:22" x14ac:dyDescent="0.45">
      <c r="A276">
        <v>7.2005299999999997</v>
      </c>
      <c r="B276">
        <v>115.12662</v>
      </c>
      <c r="C276">
        <v>69.900729999999996</v>
      </c>
      <c r="D276">
        <v>274779.46269999997</v>
      </c>
      <c r="E276" s="13">
        <v>8.0481425016800703</v>
      </c>
      <c r="F276" s="13">
        <v>117.467509036263</v>
      </c>
      <c r="G276" s="13">
        <v>70.211364324341702</v>
      </c>
      <c r="H276" s="13">
        <f t="shared" si="53"/>
        <v>70.211364324341702</v>
      </c>
      <c r="I276" s="11">
        <v>8.0481425019999993</v>
      </c>
      <c r="J276" s="11">
        <v>117.467509036</v>
      </c>
      <c r="K276" s="9">
        <f t="shared" si="54"/>
        <v>117.46750903600002</v>
      </c>
      <c r="L276" s="12">
        <v>250.211364</v>
      </c>
      <c r="M276" s="3">
        <f t="shared" si="55"/>
        <v>70.211364000000003</v>
      </c>
      <c r="N276" s="15">
        <f t="shared" si="48"/>
        <v>8.0481425016825856</v>
      </c>
      <c r="O276" s="23">
        <f t="shared" si="56"/>
        <v>2.5153212845907547E-12</v>
      </c>
      <c r="P276" s="22">
        <f t="shared" si="57"/>
        <v>3.1741365091875196E-10</v>
      </c>
      <c r="Q276" s="16">
        <f t="shared" si="58"/>
        <v>117.4675090362681</v>
      </c>
      <c r="R276" s="23">
        <f t="shared" si="49"/>
        <v>5.1016968427575193E-12</v>
      </c>
      <c r="S276" s="22">
        <f t="shared" si="50"/>
        <v>2.680735633475706E-10</v>
      </c>
      <c r="T276" s="16">
        <f t="shared" si="59"/>
        <v>70.211364324342568</v>
      </c>
      <c r="U276" s="23">
        <f t="shared" si="51"/>
        <v>8.6686213762732223E-13</v>
      </c>
      <c r="V276" s="22">
        <f t="shared" si="52"/>
        <v>3.2434256524993543E-7</v>
      </c>
    </row>
    <row r="277" spans="1:22" x14ac:dyDescent="0.45">
      <c r="A277">
        <v>49.770699999999998</v>
      </c>
      <c r="B277">
        <v>90.89958</v>
      </c>
      <c r="C277">
        <v>61.03425</v>
      </c>
      <c r="D277">
        <v>110341.4342</v>
      </c>
      <c r="E277" s="13">
        <v>50.243276714060997</v>
      </c>
      <c r="F277" s="13">
        <v>92.252985875757005</v>
      </c>
      <c r="G277" s="13">
        <v>62.071153953892697</v>
      </c>
      <c r="H277" s="13">
        <f t="shared" si="53"/>
        <v>62.071153953892697</v>
      </c>
      <c r="I277" s="9">
        <v>50.243276713999997</v>
      </c>
      <c r="J277" s="9">
        <v>92.252985875999997</v>
      </c>
      <c r="K277" s="9">
        <f t="shared" si="54"/>
        <v>92.252985876000025</v>
      </c>
      <c r="L277" s="10">
        <v>242.07115400000001</v>
      </c>
      <c r="M277" s="3">
        <f t="shared" si="55"/>
        <v>62.071153999999979</v>
      </c>
      <c r="N277" s="15">
        <f t="shared" si="48"/>
        <v>50.243276714062091</v>
      </c>
      <c r="O277" s="23">
        <f t="shared" si="56"/>
        <v>1.0942358130705543E-12</v>
      </c>
      <c r="P277" s="22">
        <f t="shared" si="57"/>
        <v>6.2094329678075155E-11</v>
      </c>
      <c r="Q277" s="16">
        <f t="shared" si="58"/>
        <v>92.252985875756735</v>
      </c>
      <c r="R277" s="23">
        <f t="shared" si="49"/>
        <v>2.7000623958883807E-13</v>
      </c>
      <c r="S277" s="22">
        <f t="shared" si="50"/>
        <v>2.432898327242583E-10</v>
      </c>
      <c r="T277" s="16">
        <f t="shared" si="59"/>
        <v>62.071153953895383</v>
      </c>
      <c r="U277" s="23">
        <f t="shared" si="51"/>
        <v>2.6858515411731787E-12</v>
      </c>
      <c r="V277" s="22">
        <f t="shared" si="52"/>
        <v>4.6104595696760953E-8</v>
      </c>
    </row>
    <row r="278" spans="1:22" x14ac:dyDescent="0.45">
      <c r="A278">
        <v>-27.150790000000001</v>
      </c>
      <c r="B278">
        <v>96.234210000000004</v>
      </c>
      <c r="C278">
        <v>316.70879000000002</v>
      </c>
      <c r="D278">
        <v>193300.0251</v>
      </c>
      <c r="E278" s="13">
        <v>-25.874689150071902</v>
      </c>
      <c r="F278" s="13">
        <v>94.911782519557306</v>
      </c>
      <c r="G278" s="13">
        <v>-42.700824783814397</v>
      </c>
      <c r="H278" s="13">
        <f t="shared" si="53"/>
        <v>317.29917521618563</v>
      </c>
      <c r="I278" s="11">
        <v>-25.874689149999998</v>
      </c>
      <c r="J278" s="11">
        <v>94.911782520000003</v>
      </c>
      <c r="K278" s="9">
        <f t="shared" si="54"/>
        <v>94.911782519999974</v>
      </c>
      <c r="L278" s="12">
        <v>137.29917499999999</v>
      </c>
      <c r="M278" s="3">
        <f t="shared" si="55"/>
        <v>317.29917499999999</v>
      </c>
      <c r="N278" s="15">
        <f t="shared" si="48"/>
        <v>-25.874689150064636</v>
      </c>
      <c r="O278" s="23">
        <f t="shared" si="56"/>
        <v>7.2652994731470244E-12</v>
      </c>
      <c r="P278" s="22">
        <f t="shared" si="57"/>
        <v>6.4638072672096314E-11</v>
      </c>
      <c r="Q278" s="16">
        <f t="shared" si="58"/>
        <v>94.911782519554379</v>
      </c>
      <c r="R278" s="23">
        <f t="shared" si="49"/>
        <v>2.9274360713316128E-12</v>
      </c>
      <c r="S278" s="22">
        <f t="shared" si="50"/>
        <v>4.4559556044987403E-10</v>
      </c>
      <c r="T278" s="16">
        <f t="shared" si="59"/>
        <v>317.29917521618847</v>
      </c>
      <c r="U278" s="23">
        <f t="shared" si="51"/>
        <v>2.8421709430404007E-12</v>
      </c>
      <c r="V278" s="22">
        <f t="shared" si="52"/>
        <v>2.1618848222715314E-7</v>
      </c>
    </row>
    <row r="279" spans="1:22" x14ac:dyDescent="0.45">
      <c r="A279">
        <v>-82.286060000000006</v>
      </c>
      <c r="B279">
        <v>49.893050000000002</v>
      </c>
      <c r="C279">
        <v>22.143830000000001</v>
      </c>
      <c r="D279">
        <v>77243.746899999998</v>
      </c>
      <c r="E279" s="13">
        <v>-81.641334828514502</v>
      </c>
      <c r="F279" s="13">
        <v>51.686611400745903</v>
      </c>
      <c r="G279" s="13">
        <v>20.367850986406999</v>
      </c>
      <c r="H279" s="13">
        <f t="shared" si="53"/>
        <v>20.367850986406999</v>
      </c>
      <c r="I279" s="9">
        <v>-81.641334829000002</v>
      </c>
      <c r="J279" s="9">
        <v>51.686611401</v>
      </c>
      <c r="K279" s="9">
        <f t="shared" si="54"/>
        <v>51.686611400999993</v>
      </c>
      <c r="L279" s="10">
        <v>200.367851</v>
      </c>
      <c r="M279" s="3">
        <f t="shared" si="55"/>
        <v>20.367850999999973</v>
      </c>
      <c r="N279" s="15">
        <f t="shared" si="48"/>
        <v>-81.641334828518893</v>
      </c>
      <c r="O279" s="23">
        <f t="shared" si="56"/>
        <v>4.3911541069974191E-12</v>
      </c>
      <c r="P279" s="22">
        <f t="shared" si="57"/>
        <v>4.8110848638316384E-10</v>
      </c>
      <c r="Q279" s="16">
        <f t="shared" si="58"/>
        <v>51.686611400734392</v>
      </c>
      <c r="R279" s="23">
        <f t="shared" si="49"/>
        <v>1.1510792319313623E-11</v>
      </c>
      <c r="S279" s="22">
        <f t="shared" si="50"/>
        <v>2.6560087462712545E-10</v>
      </c>
      <c r="T279" s="16">
        <f t="shared" si="59"/>
        <v>20.367850986418294</v>
      </c>
      <c r="U279" s="23">
        <f t="shared" si="51"/>
        <v>1.1294076784906792E-11</v>
      </c>
      <c r="V279" s="22">
        <f t="shared" si="52"/>
        <v>1.3581679780827471E-8</v>
      </c>
    </row>
    <row r="280" spans="1:22" x14ac:dyDescent="0.45">
      <c r="A280">
        <v>-38.246949999999998</v>
      </c>
      <c r="B280">
        <v>-76.409300000000002</v>
      </c>
      <c r="C280">
        <v>296.10725000000002</v>
      </c>
      <c r="D280">
        <v>288295.25770000002</v>
      </c>
      <c r="E280" s="13">
        <v>-37.067546203585302</v>
      </c>
      <c r="F280" s="13">
        <v>-79.320534283065101</v>
      </c>
      <c r="G280" s="13">
        <v>-62.113835410045503</v>
      </c>
      <c r="H280" s="13">
        <f t="shared" si="53"/>
        <v>297.88616458995449</v>
      </c>
      <c r="I280" s="11">
        <v>-37.067546204000003</v>
      </c>
      <c r="J280" s="11">
        <v>-79.320534283000001</v>
      </c>
      <c r="K280" s="9">
        <f t="shared" si="54"/>
        <v>-79.320534283000001</v>
      </c>
      <c r="L280" s="12">
        <v>117.88616500000001</v>
      </c>
      <c r="M280" s="3">
        <f t="shared" si="55"/>
        <v>297.88616500000001</v>
      </c>
      <c r="N280" s="15">
        <f t="shared" si="48"/>
        <v>-37.067546203579894</v>
      </c>
      <c r="O280" s="23">
        <f t="shared" si="56"/>
        <v>5.4072302191343624E-12</v>
      </c>
      <c r="P280" s="22">
        <f t="shared" si="57"/>
        <v>4.2010839251815923E-10</v>
      </c>
      <c r="Q280" s="16">
        <f t="shared" si="58"/>
        <v>-79.320534283063381</v>
      </c>
      <c r="R280" s="23">
        <f t="shared" si="49"/>
        <v>1.7195134205394424E-12</v>
      </c>
      <c r="S280" s="22">
        <f t="shared" si="50"/>
        <v>6.3380412029800937E-11</v>
      </c>
      <c r="T280" s="16">
        <f t="shared" si="59"/>
        <v>297.88616458996199</v>
      </c>
      <c r="U280" s="23">
        <f t="shared" si="51"/>
        <v>7.503331289626658E-12</v>
      </c>
      <c r="V280" s="22">
        <f t="shared" si="52"/>
        <v>4.1003801243277849E-7</v>
      </c>
    </row>
    <row r="281" spans="1:22" x14ac:dyDescent="0.45">
      <c r="A281">
        <v>-9.3842300000000005</v>
      </c>
      <c r="B281">
        <v>168.07739000000001</v>
      </c>
      <c r="C281">
        <v>253.15599</v>
      </c>
      <c r="D281">
        <v>292025.33350000001</v>
      </c>
      <c r="E281" s="13">
        <v>-10.139864839584201</v>
      </c>
      <c r="F281" s="13">
        <v>165.52710490925699</v>
      </c>
      <c r="G281" s="13">
        <v>-106.411512747743</v>
      </c>
      <c r="H281" s="13">
        <f t="shared" si="53"/>
        <v>253.58848725225698</v>
      </c>
      <c r="I281" s="9">
        <v>-10.13986484</v>
      </c>
      <c r="J281" s="9">
        <v>165.527104909</v>
      </c>
      <c r="K281" s="9">
        <f t="shared" si="54"/>
        <v>165.527104909</v>
      </c>
      <c r="L281" s="10">
        <v>73.588487000000001</v>
      </c>
      <c r="M281" s="3">
        <f t="shared" si="55"/>
        <v>253.58848699999999</v>
      </c>
      <c r="N281" s="15">
        <f t="shared" si="48"/>
        <v>-10.139864839588949</v>
      </c>
      <c r="O281" s="23">
        <f t="shared" si="56"/>
        <v>4.7482018317168695E-12</v>
      </c>
      <c r="P281" s="22">
        <f t="shared" si="57"/>
        <v>4.1105074899405736E-10</v>
      </c>
      <c r="Q281" s="16">
        <f t="shared" si="58"/>
        <v>165.52710490924414</v>
      </c>
      <c r="R281" s="23">
        <f t="shared" si="49"/>
        <v>1.2846612662542611E-11</v>
      </c>
      <c r="S281" s="22">
        <f t="shared" si="50"/>
        <v>2.4414248400717042E-10</v>
      </c>
      <c r="T281" s="16">
        <f t="shared" si="59"/>
        <v>253.58848725225943</v>
      </c>
      <c r="U281" s="23">
        <f t="shared" si="51"/>
        <v>2.4442670110147446E-12</v>
      </c>
      <c r="V281" s="22">
        <f t="shared" si="52"/>
        <v>2.522594400033995E-7</v>
      </c>
    </row>
    <row r="282" spans="1:22" x14ac:dyDescent="0.45">
      <c r="A282">
        <v>71.533760000000001</v>
      </c>
      <c r="B282">
        <v>55.158099999999997</v>
      </c>
      <c r="C282">
        <v>141.4316</v>
      </c>
      <c r="D282">
        <v>222200.34969999999</v>
      </c>
      <c r="E282" s="13">
        <v>69.939541616614306</v>
      </c>
      <c r="F282" s="13">
        <v>58.777031780417502</v>
      </c>
      <c r="G282" s="13">
        <v>144.84836999130999</v>
      </c>
      <c r="H282" s="13">
        <f t="shared" si="53"/>
        <v>144.84836999130999</v>
      </c>
      <c r="I282" s="11">
        <v>69.939541617000003</v>
      </c>
      <c r="J282" s="11">
        <v>58.777031780000002</v>
      </c>
      <c r="K282" s="9">
        <f t="shared" si="54"/>
        <v>58.777031780000016</v>
      </c>
      <c r="L282" s="12">
        <v>324.84836999999999</v>
      </c>
      <c r="M282" s="3">
        <f t="shared" si="55"/>
        <v>144.84836999999999</v>
      </c>
      <c r="N282" s="15">
        <f t="shared" si="48"/>
        <v>69.939541616617689</v>
      </c>
      <c r="O282" s="23">
        <f t="shared" si="56"/>
        <v>3.3821834222180769E-12</v>
      </c>
      <c r="P282" s="22">
        <f t="shared" si="57"/>
        <v>3.8231462440307951E-10</v>
      </c>
      <c r="Q282" s="16">
        <f t="shared" si="58"/>
        <v>58.777031780408919</v>
      </c>
      <c r="R282" s="23">
        <f t="shared" si="49"/>
        <v>8.5833562479820102E-12</v>
      </c>
      <c r="S282" s="22">
        <f t="shared" si="50"/>
        <v>4.0890313357522245E-10</v>
      </c>
      <c r="T282" s="16">
        <f t="shared" si="59"/>
        <v>144.8483699913028</v>
      </c>
      <c r="U282" s="23">
        <f t="shared" si="51"/>
        <v>7.1906924858922139E-12</v>
      </c>
      <c r="V282" s="22">
        <f t="shared" si="52"/>
        <v>8.6971851942507783E-9</v>
      </c>
    </row>
    <row r="283" spans="1:22" x14ac:dyDescent="0.45">
      <c r="A283">
        <v>15.882110000000001</v>
      </c>
      <c r="B283">
        <v>19.712569999999999</v>
      </c>
      <c r="C283">
        <v>115.18104</v>
      </c>
      <c r="D283">
        <v>177401.35699999999</v>
      </c>
      <c r="E283" s="13">
        <v>15.1948733126034</v>
      </c>
      <c r="F283" s="13">
        <v>21.206626100571</v>
      </c>
      <c r="G283" s="13">
        <v>115.581304659707</v>
      </c>
      <c r="H283" s="13">
        <f t="shared" si="53"/>
        <v>115.581304659707</v>
      </c>
      <c r="I283" s="9">
        <v>15.194873313</v>
      </c>
      <c r="J283" s="9">
        <v>21.206626101000001</v>
      </c>
      <c r="K283" s="9">
        <f t="shared" si="54"/>
        <v>21.206626101000012</v>
      </c>
      <c r="L283" s="10">
        <v>295.58130499999999</v>
      </c>
      <c r="M283" s="3">
        <f t="shared" si="55"/>
        <v>115.58130499999999</v>
      </c>
      <c r="N283" s="15">
        <f t="shared" si="48"/>
        <v>15.194873312602502</v>
      </c>
      <c r="O283" s="23">
        <f t="shared" si="56"/>
        <v>8.9883656073652674E-13</v>
      </c>
      <c r="P283" s="22">
        <f t="shared" si="57"/>
        <v>3.9749892266627285E-10</v>
      </c>
      <c r="Q283" s="16">
        <f t="shared" si="58"/>
        <v>21.206626100568741</v>
      </c>
      <c r="R283" s="23">
        <f t="shared" si="49"/>
        <v>2.2595258997171186E-12</v>
      </c>
      <c r="S283" s="22">
        <f t="shared" si="50"/>
        <v>4.3127101889695041E-10</v>
      </c>
      <c r="T283" s="16">
        <f t="shared" si="59"/>
        <v>115.58130465970729</v>
      </c>
      <c r="U283" s="23">
        <f t="shared" si="51"/>
        <v>2.8421709430404007E-13</v>
      </c>
      <c r="V283" s="22">
        <f t="shared" si="52"/>
        <v>3.4029270068458572E-7</v>
      </c>
    </row>
    <row r="284" spans="1:22" x14ac:dyDescent="0.45">
      <c r="A284">
        <v>-5.5233600000000003</v>
      </c>
      <c r="B284">
        <v>64.698269999999994</v>
      </c>
      <c r="C284">
        <v>166.57232999999999</v>
      </c>
      <c r="D284">
        <v>197105.63070000001</v>
      </c>
      <c r="E284" s="13">
        <v>-7.25681869153106</v>
      </c>
      <c r="F284" s="13">
        <v>65.112676767602807</v>
      </c>
      <c r="G284" s="13">
        <v>166.526202254623</v>
      </c>
      <c r="H284" s="13">
        <f t="shared" si="53"/>
        <v>166.526202254623</v>
      </c>
      <c r="I284" s="11">
        <v>-7.2568186920000004</v>
      </c>
      <c r="J284" s="11">
        <v>65.112676768</v>
      </c>
      <c r="K284" s="9">
        <f t="shared" si="54"/>
        <v>65.112676768</v>
      </c>
      <c r="L284" s="12">
        <v>346.52620200000001</v>
      </c>
      <c r="M284" s="3">
        <f t="shared" si="55"/>
        <v>166.52620200000001</v>
      </c>
      <c r="N284" s="15">
        <f t="shared" si="48"/>
        <v>-7.2568186915318931</v>
      </c>
      <c r="O284" s="23">
        <f t="shared" si="56"/>
        <v>8.3311135767871747E-13</v>
      </c>
      <c r="P284" s="22">
        <f t="shared" si="57"/>
        <v>4.681073306755934E-10</v>
      </c>
      <c r="Q284" s="16">
        <f t="shared" si="58"/>
        <v>65.112676767603432</v>
      </c>
      <c r="R284" s="23">
        <f t="shared" si="49"/>
        <v>6.2527760746888816E-13</v>
      </c>
      <c r="S284" s="22">
        <f t="shared" si="50"/>
        <v>3.9656811168242712E-10</v>
      </c>
      <c r="T284" s="16">
        <f t="shared" si="59"/>
        <v>166.526202254623</v>
      </c>
      <c r="U284" s="23">
        <f t="shared" si="51"/>
        <v>0</v>
      </c>
      <c r="V284" s="22">
        <f t="shared" si="52"/>
        <v>2.546229893596319E-7</v>
      </c>
    </row>
    <row r="285" spans="1:22" x14ac:dyDescent="0.45">
      <c r="A285">
        <v>-1.2930000000000001E-2</v>
      </c>
      <c r="B285">
        <v>-152.20808</v>
      </c>
      <c r="C285">
        <v>52.045490000000001</v>
      </c>
      <c r="D285">
        <v>262201.39919999999</v>
      </c>
      <c r="E285" s="13">
        <v>1.44523180040636</v>
      </c>
      <c r="F285" s="13">
        <v>-150.35046458604799</v>
      </c>
      <c r="G285" s="13">
        <v>52.068712021429</v>
      </c>
      <c r="H285" s="13">
        <f t="shared" si="53"/>
        <v>52.068712021429</v>
      </c>
      <c r="I285" s="9">
        <v>1.4452318</v>
      </c>
      <c r="J285" s="9">
        <v>-150.35046458599999</v>
      </c>
      <c r="K285" s="9">
        <f t="shared" si="54"/>
        <v>-150.35046458599999</v>
      </c>
      <c r="L285" s="10">
        <v>232.068712</v>
      </c>
      <c r="M285" s="3">
        <f t="shared" si="55"/>
        <v>52.068712000000005</v>
      </c>
      <c r="N285" s="15">
        <f t="shared" si="48"/>
        <v>1.4452318004164444</v>
      </c>
      <c r="O285" s="23">
        <f t="shared" si="56"/>
        <v>1.0084377777275222E-11</v>
      </c>
      <c r="P285" s="22">
        <f t="shared" si="57"/>
        <v>4.1644443449229129E-10</v>
      </c>
      <c r="Q285" s="16">
        <f t="shared" si="58"/>
        <v>-150.35046458603506</v>
      </c>
      <c r="R285" s="23">
        <f t="shared" si="49"/>
        <v>1.2931877790833823E-11</v>
      </c>
      <c r="S285" s="22">
        <f t="shared" si="50"/>
        <v>3.5072389437118545E-11</v>
      </c>
      <c r="T285" s="16">
        <f t="shared" si="59"/>
        <v>52.068712021429249</v>
      </c>
      <c r="U285" s="23">
        <f t="shared" si="51"/>
        <v>2.4868995751603507E-13</v>
      </c>
      <c r="V285" s="22">
        <f t="shared" si="52"/>
        <v>2.1429244156934146E-8</v>
      </c>
    </row>
    <row r="286" spans="1:22" x14ac:dyDescent="0.45">
      <c r="A286">
        <v>-44.229190000000003</v>
      </c>
      <c r="B286">
        <v>5.6013099999999998</v>
      </c>
      <c r="C286">
        <v>179.15088</v>
      </c>
      <c r="D286">
        <v>286129.73320000002</v>
      </c>
      <c r="E286" s="13">
        <v>-46.803349227755497</v>
      </c>
      <c r="F286" s="13">
        <v>5.6568398482172801</v>
      </c>
      <c r="G286" s="13">
        <v>179.11125223879</v>
      </c>
      <c r="H286" s="13">
        <f t="shared" si="53"/>
        <v>179.11125223879</v>
      </c>
      <c r="I286" s="11">
        <v>-46.803349228000002</v>
      </c>
      <c r="J286" s="11">
        <v>5.6568398479999997</v>
      </c>
      <c r="K286" s="9">
        <f t="shared" si="54"/>
        <v>5.6568398480000042</v>
      </c>
      <c r="L286" s="12">
        <v>359.11125199999998</v>
      </c>
      <c r="M286" s="3">
        <f t="shared" si="55"/>
        <v>179.11125199999992</v>
      </c>
      <c r="N286" s="15">
        <f t="shared" si="48"/>
        <v>-46.803349227764976</v>
      </c>
      <c r="O286" s="23">
        <f t="shared" si="56"/>
        <v>9.4786400950397365E-12</v>
      </c>
      <c r="P286" s="22">
        <f t="shared" si="57"/>
        <v>2.3502622070736834E-10</v>
      </c>
      <c r="Q286" s="16">
        <f t="shared" si="58"/>
        <v>5.6568398482174018</v>
      </c>
      <c r="R286" s="23">
        <f t="shared" si="49"/>
        <v>1.2168044349891716E-13</v>
      </c>
      <c r="S286" s="22">
        <f t="shared" si="50"/>
        <v>2.1739765543316025E-10</v>
      </c>
      <c r="T286" s="16">
        <f t="shared" si="59"/>
        <v>179.11125223878935</v>
      </c>
      <c r="U286" s="23">
        <f t="shared" si="51"/>
        <v>6.5369931689929217E-13</v>
      </c>
      <c r="V286" s="22">
        <f t="shared" si="52"/>
        <v>2.3878942556621041E-7</v>
      </c>
    </row>
    <row r="287" spans="1:22" x14ac:dyDescent="0.45">
      <c r="A287">
        <v>-39.063740000000003</v>
      </c>
      <c r="B287">
        <v>127.23394999999999</v>
      </c>
      <c r="C287">
        <v>46.69359</v>
      </c>
      <c r="D287">
        <v>88781.474700000006</v>
      </c>
      <c r="E287" s="13">
        <v>-38.512829793992303</v>
      </c>
      <c r="F287" s="13">
        <v>127.974693504133</v>
      </c>
      <c r="G287" s="13">
        <v>46.229546023218099</v>
      </c>
      <c r="H287" s="13">
        <f t="shared" si="53"/>
        <v>46.229546023218099</v>
      </c>
      <c r="I287" s="9">
        <v>-38.512829793999998</v>
      </c>
      <c r="J287" s="9">
        <v>127.974693504</v>
      </c>
      <c r="K287" s="9">
        <f t="shared" si="54"/>
        <v>127.97469350400002</v>
      </c>
      <c r="L287" s="10">
        <v>226.229546</v>
      </c>
      <c r="M287" s="3">
        <f t="shared" si="55"/>
        <v>46.229546000000028</v>
      </c>
      <c r="N287" s="15">
        <f t="shared" si="48"/>
        <v>-38.512829793987613</v>
      </c>
      <c r="O287" s="23">
        <f t="shared" si="56"/>
        <v>4.6895820560166612E-12</v>
      </c>
      <c r="P287" s="22">
        <f t="shared" si="57"/>
        <v>1.2384759884298546E-11</v>
      </c>
      <c r="Q287" s="16">
        <f t="shared" si="58"/>
        <v>127.97469350413661</v>
      </c>
      <c r="R287" s="23">
        <f t="shared" si="49"/>
        <v>3.6095570976613089E-12</v>
      </c>
      <c r="S287" s="22">
        <f t="shared" si="50"/>
        <v>1.3659473552252166E-10</v>
      </c>
      <c r="T287" s="16">
        <f t="shared" si="59"/>
        <v>46.229546023214134</v>
      </c>
      <c r="U287" s="23">
        <f t="shared" si="51"/>
        <v>3.964828465541359E-12</v>
      </c>
      <c r="V287" s="22">
        <f t="shared" si="52"/>
        <v>2.3214106192881445E-8</v>
      </c>
    </row>
    <row r="288" spans="1:22" x14ac:dyDescent="0.45">
      <c r="A288">
        <v>-30.410959999999999</v>
      </c>
      <c r="B288">
        <v>169.83555999999999</v>
      </c>
      <c r="C288">
        <v>235.24044000000001</v>
      </c>
      <c r="D288">
        <v>25934.422999999999</v>
      </c>
      <c r="E288" s="13">
        <v>-30.544146861125601</v>
      </c>
      <c r="F288" s="13">
        <v>169.613514812331</v>
      </c>
      <c r="G288" s="13">
        <v>-124.64693832906801</v>
      </c>
      <c r="H288" s="13">
        <f t="shared" si="53"/>
        <v>235.35306167093199</v>
      </c>
      <c r="I288" s="11">
        <v>-30.544146861000002</v>
      </c>
      <c r="J288" s="11">
        <v>169.61351481200001</v>
      </c>
      <c r="K288" s="9">
        <f t="shared" si="54"/>
        <v>169.61351481200001</v>
      </c>
      <c r="L288" s="12">
        <v>55.353062000000001</v>
      </c>
      <c r="M288" s="3">
        <f t="shared" si="55"/>
        <v>235.35306199999999</v>
      </c>
      <c r="N288" s="15">
        <f t="shared" si="48"/>
        <v>-30.544146861126269</v>
      </c>
      <c r="O288" s="23">
        <f t="shared" si="56"/>
        <v>6.6791017161449417E-13</v>
      </c>
      <c r="P288" s="22">
        <f t="shared" si="57"/>
        <v>1.262669968582486E-10</v>
      </c>
      <c r="Q288" s="16">
        <f t="shared" si="58"/>
        <v>169.61351481233078</v>
      </c>
      <c r="R288" s="23">
        <f t="shared" si="49"/>
        <v>2.2737367544323206E-13</v>
      </c>
      <c r="S288" s="22">
        <f t="shared" si="50"/>
        <v>3.3077185435104184E-10</v>
      </c>
      <c r="T288" s="16">
        <f t="shared" si="59"/>
        <v>235.35306167093262</v>
      </c>
      <c r="U288" s="23">
        <f t="shared" si="51"/>
        <v>6.2527760746888816E-13</v>
      </c>
      <c r="V288" s="22">
        <f t="shared" si="52"/>
        <v>3.2906737601479108E-7</v>
      </c>
    </row>
    <row r="289" spans="1:22" x14ac:dyDescent="0.45">
      <c r="A289">
        <v>13.316839999999999</v>
      </c>
      <c r="B289">
        <v>3.9E-2</v>
      </c>
      <c r="C289">
        <v>45.356749999999998</v>
      </c>
      <c r="D289">
        <v>165847.5191</v>
      </c>
      <c r="E289" s="13">
        <v>14.367775313923399</v>
      </c>
      <c r="F289" s="13">
        <v>1.1329522027655099</v>
      </c>
      <c r="G289" s="13">
        <v>45.618497193583103</v>
      </c>
      <c r="H289" s="13">
        <f t="shared" si="53"/>
        <v>45.618497193583103</v>
      </c>
      <c r="I289" s="9">
        <v>14.367775313999999</v>
      </c>
      <c r="J289" s="9">
        <v>1.1329522030000001</v>
      </c>
      <c r="K289" s="9">
        <f t="shared" si="54"/>
        <v>1.1329522030000021</v>
      </c>
      <c r="L289" s="10">
        <v>225.61849699999999</v>
      </c>
      <c r="M289" s="3">
        <f t="shared" si="55"/>
        <v>45.618496999999991</v>
      </c>
      <c r="N289" s="15">
        <f t="shared" si="48"/>
        <v>14.367775313930217</v>
      </c>
      <c r="O289" s="23">
        <f t="shared" ref="O289:O352" si="60">ABS(E289-N289)</f>
        <v>6.8176575496181613E-12</v>
      </c>
      <c r="P289" s="22">
        <f t="shared" ref="P289:P352" si="61">ABS(I289-N289)</f>
        <v>6.9782402078999439E-11</v>
      </c>
      <c r="Q289" s="16">
        <f t="shared" si="58"/>
        <v>1.13295220277098</v>
      </c>
      <c r="R289" s="23">
        <f t="shared" si="49"/>
        <v>5.4700688423281463E-12</v>
      </c>
      <c r="S289" s="22">
        <f t="shared" si="50"/>
        <v>2.2902213459019549E-10</v>
      </c>
      <c r="T289" s="16">
        <f t="shared" si="59"/>
        <v>45.618497193584766</v>
      </c>
      <c r="U289" s="23">
        <f t="shared" si="51"/>
        <v>1.6626700016786344E-12</v>
      </c>
      <c r="V289" s="22">
        <f t="shared" si="52"/>
        <v>1.9358477487685377E-7</v>
      </c>
    </row>
    <row r="290" spans="1:22" x14ac:dyDescent="0.45">
      <c r="A290">
        <v>-54.13944</v>
      </c>
      <c r="B290">
        <v>-135.55312000000001</v>
      </c>
      <c r="C290">
        <v>349.81680999999998</v>
      </c>
      <c r="D290">
        <v>135935.63690000001</v>
      </c>
      <c r="E290" s="13">
        <v>-52.936752376098703</v>
      </c>
      <c r="F290" s="13">
        <v>-135.910539631033</v>
      </c>
      <c r="G290" s="13">
        <v>-9.8957182935922194</v>
      </c>
      <c r="H290" s="13">
        <f t="shared" si="53"/>
        <v>350.10428170640779</v>
      </c>
      <c r="I290" s="11">
        <v>-52.936752376000001</v>
      </c>
      <c r="J290" s="11">
        <v>-135.91053963100001</v>
      </c>
      <c r="K290" s="9">
        <f t="shared" si="54"/>
        <v>-135.91053963100001</v>
      </c>
      <c r="L290" s="12">
        <v>170.10428200000001</v>
      </c>
      <c r="M290" s="3">
        <f t="shared" si="55"/>
        <v>350.10428200000001</v>
      </c>
      <c r="N290" s="15">
        <f t="shared" si="48"/>
        <v>-52.936752376095164</v>
      </c>
      <c r="O290" s="23">
        <f t="shared" si="60"/>
        <v>3.5385028240852989E-12</v>
      </c>
      <c r="P290" s="22">
        <f t="shared" si="61"/>
        <v>9.5162988600350218E-11</v>
      </c>
      <c r="Q290" s="16">
        <f t="shared" si="58"/>
        <v>-135.91053963103357</v>
      </c>
      <c r="R290" s="23">
        <f t="shared" si="49"/>
        <v>5.6843418860808015E-13</v>
      </c>
      <c r="S290" s="22">
        <f t="shared" si="50"/>
        <v>3.3566038837307133E-11</v>
      </c>
      <c r="T290" s="16">
        <f t="shared" si="59"/>
        <v>350.10428170640819</v>
      </c>
      <c r="U290" s="23">
        <f t="shared" si="51"/>
        <v>3.979039320256561E-13</v>
      </c>
      <c r="V290" s="22">
        <f t="shared" si="52"/>
        <v>2.9359182462940225E-7</v>
      </c>
    </row>
    <row r="291" spans="1:22" x14ac:dyDescent="0.45">
      <c r="A291">
        <v>-11.50356</v>
      </c>
      <c r="B291">
        <v>-79.062759999999997</v>
      </c>
      <c r="C291">
        <v>9.8500399999999999</v>
      </c>
      <c r="D291">
        <v>8165.8377</v>
      </c>
      <c r="E291" s="13">
        <v>-11.430827874247001</v>
      </c>
      <c r="F291" s="13">
        <v>-79.049958901114707</v>
      </c>
      <c r="G291" s="13">
        <v>9.8474950536804808</v>
      </c>
      <c r="H291" s="13">
        <f t="shared" si="53"/>
        <v>9.8474950536804808</v>
      </c>
      <c r="I291" s="9">
        <v>-11.430827874</v>
      </c>
      <c r="J291" s="9">
        <v>-79.049958900999997</v>
      </c>
      <c r="K291" s="9">
        <f t="shared" si="54"/>
        <v>-79.049958900999997</v>
      </c>
      <c r="L291" s="10">
        <v>189.84749500000001</v>
      </c>
      <c r="M291" s="3">
        <f t="shared" si="55"/>
        <v>9.8474949999999808</v>
      </c>
      <c r="N291" s="15">
        <f t="shared" si="48"/>
        <v>-11.430827874246885</v>
      </c>
      <c r="O291" s="23">
        <f t="shared" si="60"/>
        <v>1.1546319456101628E-13</v>
      </c>
      <c r="P291" s="22">
        <f t="shared" si="61"/>
        <v>2.4688517896720441E-10</v>
      </c>
      <c r="Q291" s="16">
        <f t="shared" si="58"/>
        <v>-79.04995890111465</v>
      </c>
      <c r="R291" s="23">
        <f t="shared" si="49"/>
        <v>5.6843418860808015E-14</v>
      </c>
      <c r="S291" s="22">
        <f t="shared" si="50"/>
        <v>1.1465317584224977E-10</v>
      </c>
      <c r="T291" s="16">
        <f t="shared" si="59"/>
        <v>9.8474950536804791</v>
      </c>
      <c r="U291" s="23">
        <f t="shared" si="51"/>
        <v>1.7763568394002505E-15</v>
      </c>
      <c r="V291" s="22">
        <f t="shared" si="52"/>
        <v>5.3680498268704469E-8</v>
      </c>
    </row>
    <row r="292" spans="1:22" x14ac:dyDescent="0.45">
      <c r="A292">
        <v>63.859450000000002</v>
      </c>
      <c r="B292">
        <v>-85.935820000000007</v>
      </c>
      <c r="C292">
        <v>142.18870000000001</v>
      </c>
      <c r="D292">
        <v>297038.68729999999</v>
      </c>
      <c r="E292" s="13">
        <v>61.710171566999598</v>
      </c>
      <c r="F292" s="13">
        <v>-82.492273326420303</v>
      </c>
      <c r="G292" s="13">
        <v>145.251761467264</v>
      </c>
      <c r="H292" s="13">
        <f t="shared" si="53"/>
        <v>145.251761467264</v>
      </c>
      <c r="I292" s="11">
        <v>61.710171567000003</v>
      </c>
      <c r="J292" s="11">
        <v>-82.492273326000003</v>
      </c>
      <c r="K292" s="9">
        <f t="shared" si="54"/>
        <v>-82.492273326000003</v>
      </c>
      <c r="L292" s="12">
        <v>325.25176099999999</v>
      </c>
      <c r="M292" s="3">
        <f t="shared" si="55"/>
        <v>145.25176099999999</v>
      </c>
      <c r="N292" s="15">
        <f t="shared" si="48"/>
        <v>61.710171566997374</v>
      </c>
      <c r="O292" s="23">
        <f t="shared" si="60"/>
        <v>2.2239987629291136E-12</v>
      </c>
      <c r="P292" s="22">
        <f t="shared" si="61"/>
        <v>2.6290081223123707E-12</v>
      </c>
      <c r="Q292" s="16">
        <f t="shared" si="58"/>
        <v>-82.492273326419365</v>
      </c>
      <c r="R292" s="23">
        <f t="shared" si="49"/>
        <v>9.3791641120333225E-13</v>
      </c>
      <c r="S292" s="22">
        <f t="shared" si="50"/>
        <v>4.1936232264561113E-10</v>
      </c>
      <c r="T292" s="16">
        <f t="shared" si="59"/>
        <v>145.25176146726625</v>
      </c>
      <c r="U292" s="23">
        <f t="shared" si="51"/>
        <v>2.2453150450019166E-12</v>
      </c>
      <c r="V292" s="22">
        <f t="shared" si="52"/>
        <v>4.6726626123927417E-7</v>
      </c>
    </row>
    <row r="293" spans="1:22" x14ac:dyDescent="0.45">
      <c r="A293">
        <v>79.603430000000003</v>
      </c>
      <c r="B293">
        <v>-25.198319999999999</v>
      </c>
      <c r="C293">
        <v>142.81933000000001</v>
      </c>
      <c r="D293">
        <v>20162.4198</v>
      </c>
      <c r="E293" s="13">
        <v>79.459001166920004</v>
      </c>
      <c r="F293" s="13">
        <v>-24.601920946304499</v>
      </c>
      <c r="G293" s="13">
        <v>143.40580206336301</v>
      </c>
      <c r="H293" s="13">
        <f t="shared" si="53"/>
        <v>143.40580206336301</v>
      </c>
      <c r="I293" s="9">
        <v>79.459001166999997</v>
      </c>
      <c r="J293" s="9">
        <v>-24.601920946</v>
      </c>
      <c r="K293" s="9">
        <f t="shared" si="54"/>
        <v>-24.601920946000007</v>
      </c>
      <c r="L293" s="10">
        <v>323.40580199999999</v>
      </c>
      <c r="M293" s="3">
        <f t="shared" si="55"/>
        <v>143.40580199999999</v>
      </c>
      <c r="N293" s="15">
        <f t="shared" si="48"/>
        <v>79.459001166920856</v>
      </c>
      <c r="O293" s="23">
        <f t="shared" si="60"/>
        <v>8.5265128291212022E-13</v>
      </c>
      <c r="P293" s="22">
        <f t="shared" si="61"/>
        <v>7.9140249908959959E-11</v>
      </c>
      <c r="Q293" s="16">
        <f t="shared" si="58"/>
        <v>-24.601920946308212</v>
      </c>
      <c r="R293" s="23">
        <f t="shared" si="49"/>
        <v>3.7125857943465235E-12</v>
      </c>
      <c r="S293" s="22">
        <f t="shared" si="50"/>
        <v>3.0820501706330106E-10</v>
      </c>
      <c r="T293" s="16">
        <f t="shared" si="59"/>
        <v>143.40580206335966</v>
      </c>
      <c r="U293" s="23">
        <f t="shared" si="51"/>
        <v>3.3537617127876729E-12</v>
      </c>
      <c r="V293" s="22">
        <f t="shared" si="52"/>
        <v>6.3359664181916742E-8</v>
      </c>
    </row>
    <row r="294" spans="1:22" x14ac:dyDescent="0.45">
      <c r="A294">
        <v>-64.213909999999998</v>
      </c>
      <c r="B294">
        <v>107.39639</v>
      </c>
      <c r="C294">
        <v>84.293390000000002</v>
      </c>
      <c r="D294">
        <v>164584.4406</v>
      </c>
      <c r="E294" s="13">
        <v>-64.028425753129795</v>
      </c>
      <c r="F294" s="13">
        <v>110.74821787616899</v>
      </c>
      <c r="G294" s="13">
        <v>81.2775184656969</v>
      </c>
      <c r="H294" s="13">
        <f t="shared" si="53"/>
        <v>81.2775184656969</v>
      </c>
      <c r="I294" s="11">
        <v>-64.028425752999993</v>
      </c>
      <c r="J294" s="11">
        <v>110.748217876</v>
      </c>
      <c r="K294" s="9">
        <f t="shared" si="54"/>
        <v>110.74821787600001</v>
      </c>
      <c r="L294" s="12">
        <v>261.27751799999999</v>
      </c>
      <c r="M294" s="3">
        <f t="shared" si="55"/>
        <v>81.277517999999986</v>
      </c>
      <c r="N294" s="15">
        <f t="shared" si="48"/>
        <v>-64.028425753130179</v>
      </c>
      <c r="O294" s="23">
        <f t="shared" si="60"/>
        <v>3.836930773104541E-13</v>
      </c>
      <c r="P294" s="22">
        <f t="shared" si="61"/>
        <v>1.3018564004596556E-10</v>
      </c>
      <c r="Q294" s="16">
        <f t="shared" si="58"/>
        <v>110.7482178761573</v>
      </c>
      <c r="R294" s="23">
        <f t="shared" si="49"/>
        <v>1.1695533430611249E-11</v>
      </c>
      <c r="S294" s="22">
        <f t="shared" si="50"/>
        <v>1.5728573998785578E-10</v>
      </c>
      <c r="T294" s="16">
        <f t="shared" si="59"/>
        <v>81.277518465703423</v>
      </c>
      <c r="U294" s="23">
        <f t="shared" si="51"/>
        <v>6.5227823142777197E-12</v>
      </c>
      <c r="V294" s="22">
        <f t="shared" si="52"/>
        <v>4.6570343670282455E-7</v>
      </c>
    </row>
    <row r="295" spans="1:22" x14ac:dyDescent="0.45">
      <c r="A295">
        <v>78.640919999999994</v>
      </c>
      <c r="B295">
        <v>-43.137920000000001</v>
      </c>
      <c r="C295">
        <v>339.28708</v>
      </c>
      <c r="D295">
        <v>38397.614699999998</v>
      </c>
      <c r="E295" s="13">
        <v>78.961936396534995</v>
      </c>
      <c r="F295" s="13">
        <v>-43.773062963374798</v>
      </c>
      <c r="G295" s="13">
        <v>-21.335972525117</v>
      </c>
      <c r="H295" s="13">
        <f t="shared" si="53"/>
        <v>338.66402747488303</v>
      </c>
      <c r="I295" s="9">
        <v>78.961936397000002</v>
      </c>
      <c r="J295" s="9">
        <v>-43.773062963000001</v>
      </c>
      <c r="K295" s="9">
        <f t="shared" si="54"/>
        <v>-43.773062963000001</v>
      </c>
      <c r="L295" s="10">
        <v>158.664027</v>
      </c>
      <c r="M295" s="3">
        <f t="shared" si="55"/>
        <v>338.66402700000003</v>
      </c>
      <c r="N295" s="15">
        <f t="shared" si="48"/>
        <v>78.961936396533119</v>
      </c>
      <c r="O295" s="23">
        <f t="shared" si="60"/>
        <v>1.8758328224066645E-12</v>
      </c>
      <c r="P295" s="22">
        <f t="shared" si="61"/>
        <v>4.6688342081324663E-10</v>
      </c>
      <c r="Q295" s="16">
        <f t="shared" si="58"/>
        <v>-43.77306296337099</v>
      </c>
      <c r="R295" s="23">
        <f t="shared" si="49"/>
        <v>3.808509063674137E-12</v>
      </c>
      <c r="S295" s="22">
        <f t="shared" si="50"/>
        <v>3.7098857319506351E-10</v>
      </c>
      <c r="T295" s="16">
        <f t="shared" si="59"/>
        <v>338.66402747488627</v>
      </c>
      <c r="U295" s="23">
        <f t="shared" si="51"/>
        <v>3.2400748750660568E-12</v>
      </c>
      <c r="V295" s="22">
        <f t="shared" si="52"/>
        <v>4.7488623522440321E-7</v>
      </c>
    </row>
    <row r="296" spans="1:22" x14ac:dyDescent="0.45">
      <c r="A296">
        <v>-18.062360000000002</v>
      </c>
      <c r="B296">
        <v>-64.4589</v>
      </c>
      <c r="C296">
        <v>156.02377999999999</v>
      </c>
      <c r="D296">
        <v>215099.4129</v>
      </c>
      <c r="E296" s="13">
        <v>-19.836080422785699</v>
      </c>
      <c r="F296" s="13">
        <v>-63.624632309453297</v>
      </c>
      <c r="G296" s="13">
        <v>155.75283132691001</v>
      </c>
      <c r="H296" s="13">
        <f t="shared" si="53"/>
        <v>155.75283132691001</v>
      </c>
      <c r="I296" s="11">
        <v>-19.836080422999999</v>
      </c>
      <c r="J296" s="11">
        <v>-63.624632308999999</v>
      </c>
      <c r="K296" s="9">
        <f t="shared" si="54"/>
        <v>-63.624632308999992</v>
      </c>
      <c r="L296" s="12">
        <v>335.75283100000001</v>
      </c>
      <c r="M296" s="3">
        <f t="shared" si="55"/>
        <v>155.75283100000001</v>
      </c>
      <c r="N296" s="15">
        <f t="shared" si="48"/>
        <v>-19.836080422795057</v>
      </c>
      <c r="O296" s="23">
        <f t="shared" si="60"/>
        <v>9.3578478299605194E-12</v>
      </c>
      <c r="P296" s="22">
        <f t="shared" si="61"/>
        <v>2.049418412752857E-10</v>
      </c>
      <c r="Q296" s="16">
        <f t="shared" si="58"/>
        <v>-63.624632309450618</v>
      </c>
      <c r="R296" s="23">
        <f t="shared" si="49"/>
        <v>2.6787461138155777E-12</v>
      </c>
      <c r="S296" s="22">
        <f t="shared" si="50"/>
        <v>4.5062620301905554E-10</v>
      </c>
      <c r="T296" s="16">
        <f t="shared" si="59"/>
        <v>155.75283132690868</v>
      </c>
      <c r="U296" s="23">
        <f t="shared" si="51"/>
        <v>1.3358203432289883E-12</v>
      </c>
      <c r="V296" s="22">
        <f t="shared" si="52"/>
        <v>3.269086619184236E-7</v>
      </c>
    </row>
    <row r="297" spans="1:22" x14ac:dyDescent="0.45">
      <c r="A297">
        <v>77.103059999999999</v>
      </c>
      <c r="B297">
        <v>66.263689999999997</v>
      </c>
      <c r="C297">
        <v>297.70787999999999</v>
      </c>
      <c r="D297">
        <v>6297.3679000000002</v>
      </c>
      <c r="E297" s="13">
        <v>77.129192877648904</v>
      </c>
      <c r="F297" s="13">
        <v>66.039568479482398</v>
      </c>
      <c r="G297" s="13">
        <v>-62.510599054735401</v>
      </c>
      <c r="H297" s="13">
        <f t="shared" si="53"/>
        <v>297.48940094526461</v>
      </c>
      <c r="I297" s="9">
        <v>77.129192877999998</v>
      </c>
      <c r="J297" s="9">
        <v>66.039568478999996</v>
      </c>
      <c r="K297" s="9">
        <f t="shared" si="54"/>
        <v>66.039568478999996</v>
      </c>
      <c r="L297" s="10">
        <v>117.489401</v>
      </c>
      <c r="M297" s="3">
        <f t="shared" si="55"/>
        <v>297.48940099999999</v>
      </c>
      <c r="N297" s="15">
        <f t="shared" si="48"/>
        <v>77.129192877648677</v>
      </c>
      <c r="O297" s="23">
        <f t="shared" si="60"/>
        <v>2.2737367544323206E-13</v>
      </c>
      <c r="P297" s="22">
        <f t="shared" si="61"/>
        <v>3.5132075026922394E-10</v>
      </c>
      <c r="Q297" s="16">
        <f t="shared" si="58"/>
        <v>66.039568479483847</v>
      </c>
      <c r="R297" s="23">
        <f t="shared" si="49"/>
        <v>1.4495071809506044E-12</v>
      </c>
      <c r="S297" s="22">
        <f t="shared" si="50"/>
        <v>4.8385118134319782E-10</v>
      </c>
      <c r="T297" s="16">
        <f t="shared" si="59"/>
        <v>297.48940094526569</v>
      </c>
      <c r="U297" s="23">
        <f t="shared" si="51"/>
        <v>1.0800249583553523E-12</v>
      </c>
      <c r="V297" s="22">
        <f t="shared" si="52"/>
        <v>5.4734300647396594E-8</v>
      </c>
    </row>
    <row r="298" spans="1:22" x14ac:dyDescent="0.45">
      <c r="A298">
        <v>54.81241</v>
      </c>
      <c r="B298">
        <v>-36.177729999999997</v>
      </c>
      <c r="C298">
        <v>341.52323000000001</v>
      </c>
      <c r="D298">
        <v>187751.1091</v>
      </c>
      <c r="E298" s="13">
        <v>56.408150401356799</v>
      </c>
      <c r="F298" s="13">
        <v>-37.1414891375927</v>
      </c>
      <c r="G298" s="13">
        <v>-19.272161577489001</v>
      </c>
      <c r="H298" s="13">
        <f t="shared" si="53"/>
        <v>340.72783842251101</v>
      </c>
      <c r="I298" s="11">
        <v>56.408150401</v>
      </c>
      <c r="J298" s="11">
        <v>-37.141489137999997</v>
      </c>
      <c r="K298" s="9">
        <f t="shared" si="54"/>
        <v>-37.141489137999997</v>
      </c>
      <c r="L298" s="12">
        <v>160.72783799999999</v>
      </c>
      <c r="M298" s="3">
        <f t="shared" si="55"/>
        <v>340.72783800000002</v>
      </c>
      <c r="N298" s="15">
        <f t="shared" si="48"/>
        <v>56.408150401360821</v>
      </c>
      <c r="O298" s="23">
        <f t="shared" si="60"/>
        <v>4.0216718844021671E-12</v>
      </c>
      <c r="P298" s="22">
        <f t="shared" si="61"/>
        <v>3.6082070664633648E-10</v>
      </c>
      <c r="Q298" s="16">
        <f t="shared" si="58"/>
        <v>-37.141489137594704</v>
      </c>
      <c r="R298" s="23">
        <f t="shared" si="49"/>
        <v>2.0037305148434825E-12</v>
      </c>
      <c r="S298" s="22">
        <f t="shared" si="50"/>
        <v>4.0529357647756115E-10</v>
      </c>
      <c r="T298" s="16">
        <f t="shared" si="59"/>
        <v>340.7278384225084</v>
      </c>
      <c r="U298" s="23">
        <f t="shared" si="51"/>
        <v>2.6147972675971687E-12</v>
      </c>
      <c r="V298" s="22">
        <f t="shared" si="52"/>
        <v>4.2250837850588141E-7</v>
      </c>
    </row>
    <row r="299" spans="1:22" x14ac:dyDescent="0.45">
      <c r="A299">
        <v>37.155099999999997</v>
      </c>
      <c r="B299">
        <v>175.12719999999999</v>
      </c>
      <c r="C299">
        <v>202.77239</v>
      </c>
      <c r="D299">
        <v>152425.64629999999</v>
      </c>
      <c r="E299" s="13">
        <v>35.886767235900898</v>
      </c>
      <c r="F299" s="13">
        <v>174.47382001709599</v>
      </c>
      <c r="G299" s="13">
        <v>-157.616473793361</v>
      </c>
      <c r="H299" s="13">
        <f t="shared" si="53"/>
        <v>202.383526206639</v>
      </c>
      <c r="I299" s="9">
        <v>35.886767235999997</v>
      </c>
      <c r="J299" s="9">
        <v>174.47382001700001</v>
      </c>
      <c r="K299" s="9">
        <f t="shared" si="54"/>
        <v>174.47382001699998</v>
      </c>
      <c r="L299" s="10">
        <v>22.383526</v>
      </c>
      <c r="M299" s="3">
        <f t="shared" si="55"/>
        <v>202.38352599999999</v>
      </c>
      <c r="N299" s="15">
        <f t="shared" si="48"/>
        <v>35.886767235895007</v>
      </c>
      <c r="O299" s="23">
        <f t="shared" si="60"/>
        <v>5.8903992794512305E-12</v>
      </c>
      <c r="P299" s="22">
        <f t="shared" si="61"/>
        <v>1.049897946359124E-10</v>
      </c>
      <c r="Q299" s="16">
        <f t="shared" si="58"/>
        <v>174.47382001709468</v>
      </c>
      <c r="R299" s="23">
        <f t="shared" si="49"/>
        <v>1.3073986337985843E-12</v>
      </c>
      <c r="S299" s="22">
        <f t="shared" si="50"/>
        <v>9.4701135822106153E-11</v>
      </c>
      <c r="T299" s="16">
        <f t="shared" si="59"/>
        <v>202.38352620663684</v>
      </c>
      <c r="U299" s="23">
        <f t="shared" si="51"/>
        <v>2.1600499167107046E-12</v>
      </c>
      <c r="V299" s="22">
        <f t="shared" si="52"/>
        <v>2.0663685518229613E-7</v>
      </c>
    </row>
    <row r="300" spans="1:22" x14ac:dyDescent="0.45">
      <c r="A300">
        <v>-77.082490000000007</v>
      </c>
      <c r="B300">
        <v>32.140450000000001</v>
      </c>
      <c r="C300">
        <v>201.11084</v>
      </c>
      <c r="D300">
        <v>110725.2023</v>
      </c>
      <c r="E300" s="13">
        <v>-78.002492218585601</v>
      </c>
      <c r="F300" s="13">
        <v>30.4223641925614</v>
      </c>
      <c r="G300" s="13">
        <v>-157.21146444688699</v>
      </c>
      <c r="H300" s="13">
        <f t="shared" si="53"/>
        <v>202.78853555311301</v>
      </c>
      <c r="I300" s="11">
        <v>-78.002492219000004</v>
      </c>
      <c r="J300" s="11">
        <v>30.422364193</v>
      </c>
      <c r="K300" s="9">
        <f t="shared" si="54"/>
        <v>30.422364192999993</v>
      </c>
      <c r="L300" s="12">
        <v>22.788536000000001</v>
      </c>
      <c r="M300" s="3">
        <f t="shared" si="55"/>
        <v>202.78853599999999</v>
      </c>
      <c r="N300" s="15">
        <f t="shared" si="48"/>
        <v>-78.002492218580826</v>
      </c>
      <c r="O300" s="23">
        <f t="shared" si="60"/>
        <v>4.7748471843078732E-12</v>
      </c>
      <c r="P300" s="22">
        <f t="shared" si="61"/>
        <v>4.191775815343135E-10</v>
      </c>
      <c r="Q300" s="16">
        <f t="shared" si="58"/>
        <v>30.422364192571308</v>
      </c>
      <c r="R300" s="23">
        <f t="shared" si="49"/>
        <v>9.9085184501745971E-12</v>
      </c>
      <c r="S300" s="22">
        <f t="shared" si="50"/>
        <v>4.2868464333878364E-10</v>
      </c>
      <c r="T300" s="16">
        <f t="shared" si="59"/>
        <v>202.78853555310383</v>
      </c>
      <c r="U300" s="23">
        <f t="shared" si="51"/>
        <v>9.1802121460204944E-12</v>
      </c>
      <c r="V300" s="22">
        <f t="shared" si="52"/>
        <v>4.4689616629511875E-7</v>
      </c>
    </row>
    <row r="301" spans="1:22" x14ac:dyDescent="0.45">
      <c r="A301">
        <v>-70.880790000000005</v>
      </c>
      <c r="B301">
        <v>-124.19826</v>
      </c>
      <c r="C301">
        <v>343.82002999999997</v>
      </c>
      <c r="D301">
        <v>71301.474900000001</v>
      </c>
      <c r="E301" s="13">
        <v>-70.266251668402106</v>
      </c>
      <c r="F301" s="13">
        <v>-124.725287969863</v>
      </c>
      <c r="G301" s="13">
        <v>-15.682938694680001</v>
      </c>
      <c r="H301" s="13">
        <f t="shared" si="53"/>
        <v>344.31706130532001</v>
      </c>
      <c r="I301" s="9">
        <v>-70.266251667999995</v>
      </c>
      <c r="J301" s="9">
        <v>-124.72528797</v>
      </c>
      <c r="K301" s="9">
        <f t="shared" si="54"/>
        <v>-124.72528797</v>
      </c>
      <c r="L301" s="10">
        <v>164.317061</v>
      </c>
      <c r="M301" s="3">
        <f t="shared" si="55"/>
        <v>344.31706099999997</v>
      </c>
      <c r="N301" s="15">
        <f t="shared" si="48"/>
        <v>-70.266251668402887</v>
      </c>
      <c r="O301" s="23">
        <f t="shared" si="60"/>
        <v>7.815970093361102E-13</v>
      </c>
      <c r="P301" s="22">
        <f t="shared" si="61"/>
        <v>4.0289194203069201E-10</v>
      </c>
      <c r="Q301" s="16">
        <f t="shared" si="58"/>
        <v>-124.72528796986244</v>
      </c>
      <c r="R301" s="23">
        <f t="shared" si="49"/>
        <v>5.6843418860808015E-13</v>
      </c>
      <c r="S301" s="22">
        <f t="shared" si="50"/>
        <v>1.375610736431554E-10</v>
      </c>
      <c r="T301" s="16">
        <f t="shared" si="59"/>
        <v>344.31706130531899</v>
      </c>
      <c r="U301" s="23">
        <f t="shared" si="51"/>
        <v>1.0231815394945443E-12</v>
      </c>
      <c r="V301" s="22">
        <f t="shared" si="52"/>
        <v>3.0531901984431897E-7</v>
      </c>
    </row>
    <row r="302" spans="1:22" x14ac:dyDescent="0.45">
      <c r="A302">
        <v>56.882150000000003</v>
      </c>
      <c r="B302">
        <v>-12.01582</v>
      </c>
      <c r="C302">
        <v>74.446529999999996</v>
      </c>
      <c r="D302">
        <v>147375.0055</v>
      </c>
      <c r="E302" s="13">
        <v>57.215072005118898</v>
      </c>
      <c r="F302" s="13">
        <v>-9.6655600736259792</v>
      </c>
      <c r="G302" s="13">
        <v>76.418799445159607</v>
      </c>
      <c r="H302" s="13">
        <f t="shared" si="53"/>
        <v>76.418799445159607</v>
      </c>
      <c r="I302" s="11">
        <v>57.215072005000003</v>
      </c>
      <c r="J302" s="11">
        <v>-9.6655600740000001</v>
      </c>
      <c r="K302" s="9">
        <f t="shared" si="54"/>
        <v>-9.6655600740000125</v>
      </c>
      <c r="L302" s="12">
        <v>256.41879899999998</v>
      </c>
      <c r="M302" s="3">
        <f t="shared" si="55"/>
        <v>76.418798999999979</v>
      </c>
      <c r="N302" s="15">
        <f t="shared" si="48"/>
        <v>57.215072005118842</v>
      </c>
      <c r="O302" s="23">
        <f t="shared" si="60"/>
        <v>5.6843418860808015E-14</v>
      </c>
      <c r="P302" s="22">
        <f t="shared" si="61"/>
        <v>1.1883827255587676E-10</v>
      </c>
      <c r="Q302" s="16">
        <f t="shared" si="58"/>
        <v>-9.6655600736306724</v>
      </c>
      <c r="R302" s="23">
        <f t="shared" si="49"/>
        <v>4.6931347696954617E-12</v>
      </c>
      <c r="S302" s="22">
        <f t="shared" si="50"/>
        <v>3.6934011404810008E-10</v>
      </c>
      <c r="T302" s="16">
        <f t="shared" si="59"/>
        <v>76.418799445159976</v>
      </c>
      <c r="U302" s="23">
        <f t="shared" si="51"/>
        <v>3.694822225952521E-13</v>
      </c>
      <c r="V302" s="22">
        <f t="shared" si="52"/>
        <v>4.4515999775285309E-7</v>
      </c>
    </row>
    <row r="303" spans="1:22" x14ac:dyDescent="0.45">
      <c r="A303">
        <v>62.916879999999999</v>
      </c>
      <c r="B303">
        <v>114.59908</v>
      </c>
      <c r="C303">
        <v>54.045189999999998</v>
      </c>
      <c r="D303">
        <v>7257.9587000000001</v>
      </c>
      <c r="E303" s="13">
        <v>62.955065707780598</v>
      </c>
      <c r="F303" s="13">
        <v>114.714845461705</v>
      </c>
      <c r="G303" s="13">
        <v>54.148278999276997</v>
      </c>
      <c r="H303" s="13">
        <f t="shared" si="53"/>
        <v>54.148278999276997</v>
      </c>
      <c r="I303" s="9">
        <v>62.955065707999999</v>
      </c>
      <c r="J303" s="9">
        <v>114.714845462</v>
      </c>
      <c r="K303" s="9">
        <f t="shared" si="54"/>
        <v>114.71484546199997</v>
      </c>
      <c r="L303" s="10">
        <v>234.148279</v>
      </c>
      <c r="M303" s="3">
        <f t="shared" si="55"/>
        <v>54.148279000000002</v>
      </c>
      <c r="N303" s="15">
        <f t="shared" si="48"/>
        <v>62.955065707780527</v>
      </c>
      <c r="O303" s="23">
        <f t="shared" si="60"/>
        <v>7.1054273576010019E-14</v>
      </c>
      <c r="P303" s="22">
        <f t="shared" si="61"/>
        <v>2.1947244022157975E-10</v>
      </c>
      <c r="Q303" s="16">
        <f t="shared" si="58"/>
        <v>114.71484546170461</v>
      </c>
      <c r="R303" s="23">
        <f t="shared" si="49"/>
        <v>3.836930773104541E-13</v>
      </c>
      <c r="S303" s="22">
        <f t="shared" si="50"/>
        <v>2.9535840440075845E-10</v>
      </c>
      <c r="T303" s="16">
        <f t="shared" si="59"/>
        <v>54.148278999276904</v>
      </c>
      <c r="U303" s="23">
        <f t="shared" si="51"/>
        <v>9.2370555648813024E-14</v>
      </c>
      <c r="V303" s="22">
        <f t="shared" si="52"/>
        <v>7.2309802590098116E-10</v>
      </c>
    </row>
    <row r="304" spans="1:22" x14ac:dyDescent="0.45">
      <c r="A304">
        <v>31.286470000000001</v>
      </c>
      <c r="B304">
        <v>127.72828</v>
      </c>
      <c r="C304">
        <v>23.56521</v>
      </c>
      <c r="D304">
        <v>12132.3408</v>
      </c>
      <c r="E304" s="13">
        <v>31.386757921263701</v>
      </c>
      <c r="F304" s="13">
        <v>127.779274412337</v>
      </c>
      <c r="G304" s="13">
        <v>23.591730422266401</v>
      </c>
      <c r="H304" s="13">
        <f t="shared" si="53"/>
        <v>23.591730422266401</v>
      </c>
      <c r="I304" s="11">
        <v>31.386757921000001</v>
      </c>
      <c r="J304" s="11">
        <v>127.77927441200001</v>
      </c>
      <c r="K304" s="9">
        <f t="shared" si="54"/>
        <v>127.77927441200001</v>
      </c>
      <c r="L304" s="12">
        <v>203.59173000000001</v>
      </c>
      <c r="M304" s="3">
        <f t="shared" si="55"/>
        <v>23.591729999999984</v>
      </c>
      <c r="N304" s="15">
        <f t="shared" si="48"/>
        <v>31.386757921244985</v>
      </c>
      <c r="O304" s="23">
        <f t="shared" si="60"/>
        <v>1.8715695659921039E-11</v>
      </c>
      <c r="P304" s="22">
        <f t="shared" si="61"/>
        <v>2.4498447714904614E-10</v>
      </c>
      <c r="Q304" s="16">
        <f t="shared" si="58"/>
        <v>127.77927441232691</v>
      </c>
      <c r="R304" s="23">
        <f t="shared" si="49"/>
        <v>1.0089706847793423E-11</v>
      </c>
      <c r="S304" s="22">
        <f t="shared" si="50"/>
        <v>3.2690650186850689E-10</v>
      </c>
      <c r="T304" s="16">
        <f t="shared" si="59"/>
        <v>23.591730422261442</v>
      </c>
      <c r="U304" s="23">
        <f t="shared" si="51"/>
        <v>4.9595882956054993E-12</v>
      </c>
      <c r="V304" s="22">
        <f t="shared" si="52"/>
        <v>4.2226145779977742E-7</v>
      </c>
    </row>
    <row r="305" spans="1:22" x14ac:dyDescent="0.45">
      <c r="A305">
        <v>13.955679999999999</v>
      </c>
      <c r="B305">
        <v>106.92726999999999</v>
      </c>
      <c r="C305">
        <v>143.01515000000001</v>
      </c>
      <c r="D305">
        <v>1942.0318</v>
      </c>
      <c r="E305" s="13">
        <v>13.941658600945701</v>
      </c>
      <c r="F305" s="13">
        <v>106.938081779399</v>
      </c>
      <c r="G305" s="13">
        <v>143.01775620670401</v>
      </c>
      <c r="H305" s="13">
        <f t="shared" si="53"/>
        <v>143.01775620670401</v>
      </c>
      <c r="I305" s="9">
        <v>13.941658601</v>
      </c>
      <c r="J305" s="9">
        <v>106.938081779</v>
      </c>
      <c r="K305" s="9">
        <f t="shared" si="54"/>
        <v>106.93808177900002</v>
      </c>
      <c r="L305" s="10">
        <v>323.01775600000002</v>
      </c>
      <c r="M305" s="3">
        <f t="shared" si="55"/>
        <v>143.01775600000002</v>
      </c>
      <c r="N305" s="15">
        <f t="shared" si="48"/>
        <v>13.941658600956302</v>
      </c>
      <c r="O305" s="23">
        <f t="shared" si="60"/>
        <v>1.0601297617540695E-11</v>
      </c>
      <c r="P305" s="22">
        <f t="shared" si="61"/>
        <v>4.3698378249246161E-11</v>
      </c>
      <c r="Q305" s="16">
        <f t="shared" si="58"/>
        <v>106.93808177939053</v>
      </c>
      <c r="R305" s="23">
        <f t="shared" si="49"/>
        <v>8.4696694102603942E-12</v>
      </c>
      <c r="S305" s="22">
        <f t="shared" si="50"/>
        <v>3.9051428757375106E-10</v>
      </c>
      <c r="T305" s="16">
        <f t="shared" si="59"/>
        <v>143.01775620670179</v>
      </c>
      <c r="U305" s="23">
        <f t="shared" si="51"/>
        <v>2.2168933355715126E-12</v>
      </c>
      <c r="V305" s="22">
        <f t="shared" si="52"/>
        <v>2.0670177036663517E-7</v>
      </c>
    </row>
    <row r="306" spans="1:22" x14ac:dyDescent="0.45">
      <c r="A306">
        <v>48.459600000000002</v>
      </c>
      <c r="B306">
        <v>62.42924</v>
      </c>
      <c r="C306">
        <v>46.348959999999998</v>
      </c>
      <c r="D306">
        <v>17871.3066</v>
      </c>
      <c r="E306" s="13">
        <v>48.570401095591698</v>
      </c>
      <c r="F306" s="13">
        <v>62.604457998062898</v>
      </c>
      <c r="G306" s="13">
        <v>46.480221020832602</v>
      </c>
      <c r="H306" s="13">
        <f t="shared" si="53"/>
        <v>46.480221020832602</v>
      </c>
      <c r="I306" s="11">
        <v>48.570401095999998</v>
      </c>
      <c r="J306" s="11">
        <v>62.604457998000001</v>
      </c>
      <c r="K306" s="9">
        <f t="shared" si="54"/>
        <v>62.604457997999987</v>
      </c>
      <c r="L306" s="12">
        <v>226.480221</v>
      </c>
      <c r="M306" s="3">
        <f t="shared" si="55"/>
        <v>46.480221000000029</v>
      </c>
      <c r="N306" s="15">
        <f t="shared" si="48"/>
        <v>48.570401095614763</v>
      </c>
      <c r="O306" s="23">
        <f t="shared" si="60"/>
        <v>2.3064217202772852E-11</v>
      </c>
      <c r="P306" s="22">
        <f t="shared" si="61"/>
        <v>3.8523495504705352E-10</v>
      </c>
      <c r="Q306" s="16">
        <f t="shared" si="58"/>
        <v>62.604457998099406</v>
      </c>
      <c r="R306" s="23">
        <f t="shared" si="49"/>
        <v>3.6507685763353948E-11</v>
      </c>
      <c r="S306" s="22">
        <f t="shared" si="50"/>
        <v>9.9419139587553218E-11</v>
      </c>
      <c r="T306" s="16">
        <f t="shared" si="59"/>
        <v>46.480221020860121</v>
      </c>
      <c r="U306" s="23">
        <f t="shared" si="51"/>
        <v>2.751932015598868E-11</v>
      </c>
      <c r="V306" s="22">
        <f t="shared" si="52"/>
        <v>2.0860092320162948E-8</v>
      </c>
    </row>
    <row r="307" spans="1:22" x14ac:dyDescent="0.45">
      <c r="A307">
        <v>-29.79008</v>
      </c>
      <c r="B307">
        <v>6.68893</v>
      </c>
      <c r="C307">
        <v>136.10297</v>
      </c>
      <c r="D307">
        <v>9537.8850000000002</v>
      </c>
      <c r="E307" s="13">
        <v>-29.852064195514</v>
      </c>
      <c r="F307" s="13">
        <v>6.7573693417154903</v>
      </c>
      <c r="G307" s="13">
        <v>136.06893558145501</v>
      </c>
      <c r="H307" s="13">
        <f t="shared" si="53"/>
        <v>136.06893558145501</v>
      </c>
      <c r="I307" s="9">
        <v>-29.852064196000001</v>
      </c>
      <c r="J307" s="9">
        <v>6.7573693419999996</v>
      </c>
      <c r="K307" s="9">
        <f t="shared" si="54"/>
        <v>6.7573693420000041</v>
      </c>
      <c r="L307" s="10">
        <v>316.06893600000001</v>
      </c>
      <c r="M307" s="3">
        <f t="shared" si="55"/>
        <v>136.06893600000001</v>
      </c>
      <c r="N307" s="15">
        <f t="shared" si="48"/>
        <v>-29.852064195513471</v>
      </c>
      <c r="O307" s="23">
        <f t="shared" si="60"/>
        <v>5.2935433814127464E-13</v>
      </c>
      <c r="P307" s="22">
        <f t="shared" si="61"/>
        <v>4.865299274570134E-10</v>
      </c>
      <c r="Q307" s="16">
        <f t="shared" si="58"/>
        <v>6.7573693417146217</v>
      </c>
      <c r="R307" s="23">
        <f t="shared" si="49"/>
        <v>8.6863849446672248E-13</v>
      </c>
      <c r="S307" s="22">
        <f t="shared" si="50"/>
        <v>2.8538238439068664E-10</v>
      </c>
      <c r="T307" s="16">
        <f t="shared" si="59"/>
        <v>136.06893558145509</v>
      </c>
      <c r="U307" s="23">
        <f t="shared" si="51"/>
        <v>8.5265128291212022E-14</v>
      </c>
      <c r="V307" s="22">
        <f t="shared" si="52"/>
        <v>4.1854491428239271E-7</v>
      </c>
    </row>
    <row r="308" spans="1:22" x14ac:dyDescent="0.45">
      <c r="A308">
        <v>50.317419999999998</v>
      </c>
      <c r="B308">
        <v>-59.62623</v>
      </c>
      <c r="C308">
        <v>355.24381</v>
      </c>
      <c r="D308">
        <v>22982.406299999999</v>
      </c>
      <c r="E308" s="13">
        <v>50.523312745260398</v>
      </c>
      <c r="F308" s="13">
        <v>-59.653101823066599</v>
      </c>
      <c r="G308" s="13">
        <v>-4.7769012164567499</v>
      </c>
      <c r="H308" s="13">
        <f t="shared" si="53"/>
        <v>355.22309878354326</v>
      </c>
      <c r="I308" s="11">
        <v>50.523312744999998</v>
      </c>
      <c r="J308" s="11">
        <v>-59.653101823</v>
      </c>
      <c r="K308" s="9">
        <f t="shared" si="54"/>
        <v>-59.653101823</v>
      </c>
      <c r="L308" s="12">
        <v>175.22309899999999</v>
      </c>
      <c r="M308" s="3">
        <f t="shared" si="55"/>
        <v>355.22309899999999</v>
      </c>
      <c r="N308" s="15">
        <f t="shared" si="48"/>
        <v>50.523312745267624</v>
      </c>
      <c r="O308" s="23">
        <f t="shared" si="60"/>
        <v>7.2262196226802189E-12</v>
      </c>
      <c r="P308" s="22">
        <f t="shared" si="61"/>
        <v>2.6762592142404174E-10</v>
      </c>
      <c r="Q308" s="16">
        <f t="shared" si="58"/>
        <v>-59.653101823067544</v>
      </c>
      <c r="R308" s="23">
        <f t="shared" si="49"/>
        <v>9.4502183856093325E-13</v>
      </c>
      <c r="S308" s="22">
        <f t="shared" si="50"/>
        <v>6.7544192461355124E-11</v>
      </c>
      <c r="T308" s="16">
        <f t="shared" si="59"/>
        <v>355.22309878354213</v>
      </c>
      <c r="U308" s="23">
        <f t="shared" si="51"/>
        <v>1.1368683772161603E-12</v>
      </c>
      <c r="V308" s="22">
        <f t="shared" si="52"/>
        <v>2.1645786318913451E-7</v>
      </c>
    </row>
    <row r="309" spans="1:22" x14ac:dyDescent="0.45">
      <c r="A309">
        <v>-78.428160000000005</v>
      </c>
      <c r="B309">
        <v>39.337110000000003</v>
      </c>
      <c r="C309">
        <v>195.47834</v>
      </c>
      <c r="D309">
        <v>20848.2294</v>
      </c>
      <c r="E309" s="13">
        <v>-78.608009778682003</v>
      </c>
      <c r="F309" s="13">
        <v>39.084882883593203</v>
      </c>
      <c r="G309" s="13">
        <v>-164.274480237142</v>
      </c>
      <c r="H309" s="13">
        <f t="shared" si="53"/>
        <v>195.725519762858</v>
      </c>
      <c r="I309" s="9">
        <v>-78.608009779</v>
      </c>
      <c r="J309" s="9">
        <v>39.084882884000002</v>
      </c>
      <c r="K309" s="9">
        <f t="shared" si="54"/>
        <v>39.084882883999995</v>
      </c>
      <c r="L309" s="10">
        <v>15.725519999999999</v>
      </c>
      <c r="M309" s="3">
        <f t="shared" si="55"/>
        <v>195.72551999999999</v>
      </c>
      <c r="N309" s="15">
        <f t="shared" si="48"/>
        <v>-78.608009778680952</v>
      </c>
      <c r="O309" s="23">
        <f t="shared" si="60"/>
        <v>1.0516032489249483E-12</v>
      </c>
      <c r="P309" s="22">
        <f t="shared" si="61"/>
        <v>3.1904789921100019E-10</v>
      </c>
      <c r="Q309" s="16">
        <f t="shared" si="58"/>
        <v>39.084882883594616</v>
      </c>
      <c r="R309" s="23">
        <f t="shared" si="49"/>
        <v>1.4139800441625994E-12</v>
      </c>
      <c r="S309" s="22">
        <f t="shared" si="50"/>
        <v>4.0537884160585236E-10</v>
      </c>
      <c r="T309" s="16">
        <f t="shared" si="59"/>
        <v>195.72551976285607</v>
      </c>
      <c r="U309" s="23">
        <f t="shared" si="51"/>
        <v>1.9326762412674725E-12</v>
      </c>
      <c r="V309" s="22">
        <f t="shared" si="52"/>
        <v>2.3714392227702774E-7</v>
      </c>
    </row>
    <row r="310" spans="1:22" x14ac:dyDescent="0.45">
      <c r="A310">
        <v>-59.35342</v>
      </c>
      <c r="B310">
        <v>-29.843499999999999</v>
      </c>
      <c r="C310">
        <v>69.971779999999995</v>
      </c>
      <c r="D310">
        <v>13206.8264</v>
      </c>
      <c r="E310" s="13">
        <v>-59.312635711654501</v>
      </c>
      <c r="F310" s="13">
        <v>-29.625635095717598</v>
      </c>
      <c r="G310" s="13">
        <v>69.784384209951</v>
      </c>
      <c r="H310" s="13">
        <f t="shared" si="53"/>
        <v>69.784384209951</v>
      </c>
      <c r="I310" s="11">
        <v>-59.312635712000002</v>
      </c>
      <c r="J310" s="11">
        <v>-29.625635096</v>
      </c>
      <c r="K310" s="9">
        <f t="shared" si="54"/>
        <v>-29.625635095999996</v>
      </c>
      <c r="L310" s="12">
        <v>249.78438399999999</v>
      </c>
      <c r="M310" s="3">
        <f t="shared" si="55"/>
        <v>69.784383999999989</v>
      </c>
      <c r="N310" s="15">
        <f t="shared" si="48"/>
        <v>-59.312635711654423</v>
      </c>
      <c r="O310" s="23">
        <f t="shared" si="60"/>
        <v>7.815970093361102E-14</v>
      </c>
      <c r="P310" s="22">
        <f t="shared" si="61"/>
        <v>3.4557956496428233E-10</v>
      </c>
      <c r="Q310" s="16">
        <f t="shared" si="58"/>
        <v>-29.625635095717996</v>
      </c>
      <c r="R310" s="23">
        <f t="shared" si="49"/>
        <v>3.979039320256561E-13</v>
      </c>
      <c r="S310" s="22">
        <f t="shared" si="50"/>
        <v>2.8200020096846856E-10</v>
      </c>
      <c r="T310" s="16">
        <f t="shared" si="59"/>
        <v>69.784384209950943</v>
      </c>
      <c r="U310" s="23">
        <f t="shared" si="51"/>
        <v>5.6843418860808015E-14</v>
      </c>
      <c r="V310" s="22">
        <f t="shared" si="52"/>
        <v>2.0995095439957367E-7</v>
      </c>
    </row>
    <row r="311" spans="1:22" x14ac:dyDescent="0.45">
      <c r="A311">
        <v>57.926810000000003</v>
      </c>
      <c r="B311">
        <v>-42.026730000000001</v>
      </c>
      <c r="C311">
        <v>318.43894999999998</v>
      </c>
      <c r="D311">
        <v>7221.5405000000001</v>
      </c>
      <c r="E311" s="13">
        <v>57.975299848942399</v>
      </c>
      <c r="F311" s="13">
        <v>-42.107693476542202</v>
      </c>
      <c r="G311" s="13">
        <v>-41.629674255515702</v>
      </c>
      <c r="H311" s="13">
        <f t="shared" si="53"/>
        <v>318.37032574448432</v>
      </c>
      <c r="I311" s="9">
        <v>57.975299849000002</v>
      </c>
      <c r="J311" s="9">
        <v>-42.107693476999998</v>
      </c>
      <c r="K311" s="9">
        <f t="shared" si="54"/>
        <v>-42.107693476999998</v>
      </c>
      <c r="L311" s="10">
        <v>138.37032600000001</v>
      </c>
      <c r="M311" s="3">
        <f t="shared" si="55"/>
        <v>318.37032599999998</v>
      </c>
      <c r="N311" s="15">
        <f t="shared" si="48"/>
        <v>57.975299848982651</v>
      </c>
      <c r="O311" s="23">
        <f t="shared" si="60"/>
        <v>4.0252245980809676E-11</v>
      </c>
      <c r="P311" s="22">
        <f t="shared" si="61"/>
        <v>1.7351453607261647E-11</v>
      </c>
      <c r="Q311" s="16">
        <f t="shared" si="58"/>
        <v>-42.107693476609683</v>
      </c>
      <c r="R311" s="23">
        <f t="shared" si="49"/>
        <v>6.7480243615136715E-11</v>
      </c>
      <c r="S311" s="22">
        <f t="shared" si="50"/>
        <v>3.9031533560773823E-10</v>
      </c>
      <c r="T311" s="16">
        <f t="shared" si="59"/>
        <v>318.37032574442674</v>
      </c>
      <c r="U311" s="23">
        <f t="shared" si="51"/>
        <v>5.7582383305998519E-11</v>
      </c>
      <c r="V311" s="22">
        <f t="shared" si="52"/>
        <v>2.5557324079272803E-7</v>
      </c>
    </row>
    <row r="312" spans="1:22" x14ac:dyDescent="0.45">
      <c r="A312">
        <v>12.99788</v>
      </c>
      <c r="B312">
        <v>-120.31726999999999</v>
      </c>
      <c r="C312">
        <v>88.075620000000001</v>
      </c>
      <c r="D312">
        <v>26715.8367</v>
      </c>
      <c r="E312" s="13">
        <v>13.005872626713201</v>
      </c>
      <c r="F312" s="13">
        <v>-120.071139552959</v>
      </c>
      <c r="G312" s="13">
        <v>88.130995238695803</v>
      </c>
      <c r="H312" s="13">
        <f t="shared" si="53"/>
        <v>88.130995238695803</v>
      </c>
      <c r="I312" s="11">
        <v>13.005872627</v>
      </c>
      <c r="J312" s="11">
        <v>-120.07113955299999</v>
      </c>
      <c r="K312" s="9">
        <f t="shared" si="54"/>
        <v>-120.07113955299999</v>
      </c>
      <c r="L312" s="12">
        <v>268.13099499999998</v>
      </c>
      <c r="M312" s="3">
        <f t="shared" si="55"/>
        <v>88.130994999999984</v>
      </c>
      <c r="N312" s="15">
        <f t="shared" si="48"/>
        <v>13.005872626713217</v>
      </c>
      <c r="O312" s="23">
        <f t="shared" si="60"/>
        <v>1.5987211554602254E-14</v>
      </c>
      <c r="P312" s="22">
        <f t="shared" si="61"/>
        <v>2.8678392993697344E-10</v>
      </c>
      <c r="Q312" s="16">
        <f t="shared" si="58"/>
        <v>-120.07113955295816</v>
      </c>
      <c r="R312" s="23">
        <f t="shared" si="49"/>
        <v>8.3844042819691822E-13</v>
      </c>
      <c r="S312" s="22">
        <f t="shared" si="50"/>
        <v>4.1836756281554699E-11</v>
      </c>
      <c r="T312" s="16">
        <f t="shared" si="59"/>
        <v>88.130995238696059</v>
      </c>
      <c r="U312" s="23">
        <f t="shared" si="51"/>
        <v>2.5579538487363607E-13</v>
      </c>
      <c r="V312" s="22">
        <f t="shared" si="52"/>
        <v>2.3869607446158625E-7</v>
      </c>
    </row>
    <row r="313" spans="1:22" x14ac:dyDescent="0.45">
      <c r="A313">
        <v>-18.429410000000001</v>
      </c>
      <c r="B313">
        <v>-87.414559999999994</v>
      </c>
      <c r="C313">
        <v>19.704820000000002</v>
      </c>
      <c r="D313">
        <v>2268.5140000000001</v>
      </c>
      <c r="E313" s="13">
        <v>-18.410114831867801</v>
      </c>
      <c r="F313" s="13">
        <v>-87.407320710900507</v>
      </c>
      <c r="G313" s="13">
        <v>19.702532556153301</v>
      </c>
      <c r="H313" s="13">
        <f t="shared" si="53"/>
        <v>19.702532556153301</v>
      </c>
      <c r="I313" s="9">
        <v>-18.410114832000001</v>
      </c>
      <c r="J313" s="9">
        <v>-87.407320710999997</v>
      </c>
      <c r="K313" s="9">
        <f t="shared" si="54"/>
        <v>-87.407320710999997</v>
      </c>
      <c r="L313" s="10">
        <v>199.70253299999999</v>
      </c>
      <c r="M313" s="3">
        <f t="shared" si="55"/>
        <v>19.702533000000017</v>
      </c>
      <c r="N313" s="15">
        <f t="shared" si="48"/>
        <v>-18.410114831898966</v>
      </c>
      <c r="O313" s="23">
        <f t="shared" si="60"/>
        <v>3.1164404390437994E-11</v>
      </c>
      <c r="P313" s="22">
        <f t="shared" si="61"/>
        <v>1.0103562431140745E-10</v>
      </c>
      <c r="Q313" s="16">
        <f t="shared" si="58"/>
        <v>-87.407320710912288</v>
      </c>
      <c r="R313" s="23">
        <f t="shared" si="49"/>
        <v>1.1780798558902461E-11</v>
      </c>
      <c r="S313" s="22">
        <f t="shared" si="50"/>
        <v>8.7709395302226767E-11</v>
      </c>
      <c r="T313" s="16">
        <f t="shared" si="59"/>
        <v>19.702532556156996</v>
      </c>
      <c r="U313" s="23">
        <f t="shared" si="51"/>
        <v>3.694822225952521E-12</v>
      </c>
      <c r="V313" s="22">
        <f t="shared" si="52"/>
        <v>4.4384302100297646E-7</v>
      </c>
    </row>
    <row r="314" spans="1:22" x14ac:dyDescent="0.45">
      <c r="A314">
        <v>6.5839100000000004</v>
      </c>
      <c r="B314">
        <v>95.047150000000002</v>
      </c>
      <c r="C314">
        <v>352.29441000000003</v>
      </c>
      <c r="D314">
        <v>3493.4261999999999</v>
      </c>
      <c r="E314" s="13">
        <v>6.6152140244840396</v>
      </c>
      <c r="F314" s="13">
        <v>95.042914199951099</v>
      </c>
      <c r="G314" s="13">
        <v>-7.7060768186408399</v>
      </c>
      <c r="H314" s="13">
        <f t="shared" si="53"/>
        <v>352.29392318135916</v>
      </c>
      <c r="I314" s="11">
        <v>6.6152140240000001</v>
      </c>
      <c r="J314" s="11">
        <v>95.042914199999998</v>
      </c>
      <c r="K314" s="9">
        <f t="shared" si="54"/>
        <v>95.042914199999984</v>
      </c>
      <c r="L314" s="12">
        <v>172.29392300000001</v>
      </c>
      <c r="M314" s="3">
        <f t="shared" si="55"/>
        <v>352.29392300000001</v>
      </c>
      <c r="N314" s="15">
        <f t="shared" si="48"/>
        <v>6.6152140244840121</v>
      </c>
      <c r="O314" s="23">
        <f t="shared" si="60"/>
        <v>2.7533531010703882E-14</v>
      </c>
      <c r="P314" s="22">
        <f t="shared" si="61"/>
        <v>4.8401194163716355E-10</v>
      </c>
      <c r="Q314" s="16">
        <f t="shared" si="58"/>
        <v>95.042914199951099</v>
      </c>
      <c r="R314" s="23">
        <f t="shared" si="49"/>
        <v>0</v>
      </c>
      <c r="S314" s="22">
        <f t="shared" si="50"/>
        <v>4.8885340220294893E-11</v>
      </c>
      <c r="T314" s="16">
        <f t="shared" si="59"/>
        <v>352.29392318135882</v>
      </c>
      <c r="U314" s="23">
        <f t="shared" si="51"/>
        <v>3.4106051316484809E-13</v>
      </c>
      <c r="V314" s="22">
        <f t="shared" si="52"/>
        <v>1.8135881418857025E-7</v>
      </c>
    </row>
    <row r="315" spans="1:22" x14ac:dyDescent="0.45">
      <c r="A315">
        <v>76.157539999999997</v>
      </c>
      <c r="B315">
        <v>76.154849999999996</v>
      </c>
      <c r="C315">
        <v>122.24347</v>
      </c>
      <c r="D315">
        <v>28650.026600000001</v>
      </c>
      <c r="E315" s="13">
        <v>76.018958395373403</v>
      </c>
      <c r="F315" s="13">
        <v>77.053023917154107</v>
      </c>
      <c r="G315" s="13">
        <v>123.115299624866</v>
      </c>
      <c r="H315" s="13">
        <f t="shared" si="53"/>
        <v>123.115299624866</v>
      </c>
      <c r="I315" s="9">
        <v>76.018958394999999</v>
      </c>
      <c r="J315" s="9">
        <v>77.053023917000004</v>
      </c>
      <c r="K315" s="9">
        <f t="shared" si="54"/>
        <v>77.053023917000019</v>
      </c>
      <c r="L315" s="10">
        <v>303.11529999999999</v>
      </c>
      <c r="M315" s="3">
        <f t="shared" si="55"/>
        <v>123.11529999999999</v>
      </c>
      <c r="N315" s="15">
        <f t="shared" si="48"/>
        <v>76.018958395374128</v>
      </c>
      <c r="O315" s="23">
        <f t="shared" si="60"/>
        <v>7.2475359047530219E-13</v>
      </c>
      <c r="P315" s="22">
        <f t="shared" si="61"/>
        <v>3.7412917208712315E-10</v>
      </c>
      <c r="Q315" s="16">
        <f t="shared" si="58"/>
        <v>77.053023917148892</v>
      </c>
      <c r="R315" s="23">
        <f t="shared" si="49"/>
        <v>5.2153836804791354E-12</v>
      </c>
      <c r="S315" s="22">
        <f t="shared" si="50"/>
        <v>1.4887291399645619E-10</v>
      </c>
      <c r="T315" s="16">
        <f t="shared" si="59"/>
        <v>123.11529962486094</v>
      </c>
      <c r="U315" s="23">
        <f t="shared" si="51"/>
        <v>5.0590642786119133E-12</v>
      </c>
      <c r="V315" s="22">
        <f t="shared" si="52"/>
        <v>3.7513905226660427E-7</v>
      </c>
    </row>
    <row r="316" spans="1:22" x14ac:dyDescent="0.45">
      <c r="A316">
        <v>-38.692169999999997</v>
      </c>
      <c r="B316">
        <v>11.741680000000001</v>
      </c>
      <c r="C316">
        <v>115.08647000000001</v>
      </c>
      <c r="D316">
        <v>17881.781599999998</v>
      </c>
      <c r="E316" s="13">
        <v>-38.760318181065699</v>
      </c>
      <c r="F316" s="13">
        <v>11.928005042885699</v>
      </c>
      <c r="G316" s="13">
        <v>114.96990495787399</v>
      </c>
      <c r="H316" s="13">
        <f t="shared" si="53"/>
        <v>114.96990495787399</v>
      </c>
      <c r="I316" s="11">
        <v>-38.760318181000002</v>
      </c>
      <c r="J316" s="11">
        <v>11.928005043000001</v>
      </c>
      <c r="K316" s="9">
        <f t="shared" si="54"/>
        <v>11.928005043000013</v>
      </c>
      <c r="L316" s="12">
        <v>294.96990499999998</v>
      </c>
      <c r="M316" s="3">
        <f t="shared" si="55"/>
        <v>114.96990499999998</v>
      </c>
      <c r="N316" s="15">
        <f t="shared" si="48"/>
        <v>-38.760318181073202</v>
      </c>
      <c r="O316" s="23">
        <f t="shared" si="60"/>
        <v>7.503331289626658E-12</v>
      </c>
      <c r="P316" s="22">
        <f t="shared" si="61"/>
        <v>7.3200112638005521E-11</v>
      </c>
      <c r="Q316" s="16">
        <f t="shared" si="58"/>
        <v>11.928005042905369</v>
      </c>
      <c r="R316" s="23">
        <f t="shared" si="49"/>
        <v>1.9669599282678973E-11</v>
      </c>
      <c r="S316" s="22">
        <f t="shared" si="50"/>
        <v>9.4644292403245345E-11</v>
      </c>
      <c r="T316" s="16">
        <f t="shared" si="59"/>
        <v>114.96990495786069</v>
      </c>
      <c r="U316" s="23">
        <f t="shared" si="51"/>
        <v>1.3301360013429075E-11</v>
      </c>
      <c r="V316" s="22">
        <f t="shared" si="52"/>
        <v>4.2139291167586634E-8</v>
      </c>
    </row>
    <row r="317" spans="1:22" x14ac:dyDescent="0.45">
      <c r="A317">
        <v>7.6002900000000002</v>
      </c>
      <c r="B317">
        <v>-18.95205</v>
      </c>
      <c r="C317">
        <v>121.41288</v>
      </c>
      <c r="D317">
        <v>8602.7864000000009</v>
      </c>
      <c r="E317" s="13">
        <v>7.5597420122514603</v>
      </c>
      <c r="F317" s="13">
        <v>-18.885522104037001</v>
      </c>
      <c r="G317" s="13">
        <v>121.421655740167</v>
      </c>
      <c r="H317" s="13">
        <f t="shared" si="53"/>
        <v>121.421655740167</v>
      </c>
      <c r="I317" s="9">
        <v>7.5597420120000001</v>
      </c>
      <c r="J317" s="9">
        <v>-18.885522104</v>
      </c>
      <c r="K317" s="9">
        <f t="shared" si="54"/>
        <v>-18.885522103999989</v>
      </c>
      <c r="L317" s="10">
        <v>301.42165599999998</v>
      </c>
      <c r="M317" s="3">
        <f t="shared" si="55"/>
        <v>121.42165599999998</v>
      </c>
      <c r="N317" s="15">
        <f t="shared" si="48"/>
        <v>7.5597420122541976</v>
      </c>
      <c r="O317" s="23">
        <f t="shared" si="60"/>
        <v>2.737365889515786E-12</v>
      </c>
      <c r="P317" s="22">
        <f t="shared" si="61"/>
        <v>2.5419755189659554E-10</v>
      </c>
      <c r="Q317" s="16">
        <f t="shared" si="58"/>
        <v>-18.88552210404157</v>
      </c>
      <c r="R317" s="23">
        <f t="shared" si="49"/>
        <v>4.5687897909374442E-12</v>
      </c>
      <c r="S317" s="22">
        <f t="shared" si="50"/>
        <v>4.1580960896681063E-11</v>
      </c>
      <c r="T317" s="16">
        <f t="shared" si="59"/>
        <v>121.4216557401666</v>
      </c>
      <c r="U317" s="23">
        <f t="shared" si="51"/>
        <v>3.979039320256561E-13</v>
      </c>
      <c r="V317" s="22">
        <f t="shared" si="52"/>
        <v>2.59833385030106E-7</v>
      </c>
    </row>
    <row r="318" spans="1:22" x14ac:dyDescent="0.45">
      <c r="A318">
        <v>8.7885799999999996</v>
      </c>
      <c r="B318">
        <v>-6.5092100000000004</v>
      </c>
      <c r="C318">
        <v>263.46775000000002</v>
      </c>
      <c r="D318">
        <v>4760.5142999999998</v>
      </c>
      <c r="E318" s="13">
        <v>8.7836809233830699</v>
      </c>
      <c r="F318" s="13">
        <v>-6.5521976465391401</v>
      </c>
      <c r="G318" s="13">
        <v>-96.538816217685806</v>
      </c>
      <c r="H318" s="13">
        <f t="shared" si="53"/>
        <v>263.46118378231421</v>
      </c>
      <c r="I318" s="11">
        <v>8.7836809230000004</v>
      </c>
      <c r="J318" s="11">
        <v>-6.5521976469999998</v>
      </c>
      <c r="K318" s="9">
        <f t="shared" si="54"/>
        <v>-6.5521976470000141</v>
      </c>
      <c r="L318" s="12">
        <v>83.461184000000003</v>
      </c>
      <c r="M318" s="3">
        <f t="shared" si="55"/>
        <v>263.461184</v>
      </c>
      <c r="N318" s="15">
        <f t="shared" si="48"/>
        <v>8.7836809233845763</v>
      </c>
      <c r="O318" s="23">
        <f t="shared" si="60"/>
        <v>1.5063505998114124E-12</v>
      </c>
      <c r="P318" s="22">
        <f t="shared" si="61"/>
        <v>3.8457592665963602E-10</v>
      </c>
      <c r="Q318" s="16">
        <f t="shared" si="58"/>
        <v>-6.5521976465258547</v>
      </c>
      <c r="R318" s="23">
        <f t="shared" si="49"/>
        <v>1.3285372801874473E-11</v>
      </c>
      <c r="S318" s="22">
        <f t="shared" si="50"/>
        <v>4.7415937842743006E-10</v>
      </c>
      <c r="T318" s="16">
        <f t="shared" si="59"/>
        <v>263.46118378231586</v>
      </c>
      <c r="U318" s="23">
        <f t="shared" si="51"/>
        <v>1.6484591469634324E-12</v>
      </c>
      <c r="V318" s="22">
        <f t="shared" si="52"/>
        <v>2.1768414626421873E-7</v>
      </c>
    </row>
    <row r="319" spans="1:22" x14ac:dyDescent="0.45">
      <c r="A319">
        <v>-18.837409999999998</v>
      </c>
      <c r="B319">
        <v>-21.42191</v>
      </c>
      <c r="C319">
        <v>76.472800000000007</v>
      </c>
      <c r="D319">
        <v>15629.453799999999</v>
      </c>
      <c r="E319" s="13">
        <v>-18.804326535220401</v>
      </c>
      <c r="F319" s="13">
        <v>-21.277756379121701</v>
      </c>
      <c r="G319" s="13">
        <v>76.426294509651598</v>
      </c>
      <c r="H319" s="13">
        <f t="shared" si="53"/>
        <v>76.426294509651598</v>
      </c>
      <c r="I319" s="9">
        <v>-18.804326535000001</v>
      </c>
      <c r="J319" s="9">
        <v>-21.277756378999999</v>
      </c>
      <c r="K319" s="9">
        <f t="shared" si="54"/>
        <v>-21.27775637900001</v>
      </c>
      <c r="L319" s="10">
        <v>256.42629499999998</v>
      </c>
      <c r="M319" s="3">
        <f t="shared" si="55"/>
        <v>76.426294999999982</v>
      </c>
      <c r="N319" s="15">
        <f t="shared" si="48"/>
        <v>-18.804326535220213</v>
      </c>
      <c r="O319" s="23">
        <f t="shared" si="60"/>
        <v>1.8829382497642655E-13</v>
      </c>
      <c r="P319" s="22">
        <f t="shared" si="61"/>
        <v>2.2021140466677025E-10</v>
      </c>
      <c r="Q319" s="16">
        <f t="shared" si="58"/>
        <v>-21.277756379121314</v>
      </c>
      <c r="R319" s="23">
        <f t="shared" si="49"/>
        <v>3.872457909892546E-13</v>
      </c>
      <c r="S319" s="22">
        <f t="shared" si="50"/>
        <v>1.213038558489643E-10</v>
      </c>
      <c r="T319" s="16">
        <f t="shared" si="59"/>
        <v>76.426294509651143</v>
      </c>
      <c r="U319" s="23">
        <f t="shared" si="51"/>
        <v>4.5474735088646412E-13</v>
      </c>
      <c r="V319" s="22">
        <f t="shared" si="52"/>
        <v>4.9034883886633907E-7</v>
      </c>
    </row>
    <row r="320" spans="1:22" x14ac:dyDescent="0.45">
      <c r="A320">
        <v>82.096909999999994</v>
      </c>
      <c r="B320">
        <v>-144.61358999999999</v>
      </c>
      <c r="C320">
        <v>56.097079999999998</v>
      </c>
      <c r="D320">
        <v>8482.1638000000003</v>
      </c>
      <c r="E320" s="13">
        <v>82.139025890988293</v>
      </c>
      <c r="F320" s="13">
        <v>-144.15270974549401</v>
      </c>
      <c r="G320" s="13">
        <v>56.553606173322798</v>
      </c>
      <c r="H320" s="13">
        <f t="shared" si="53"/>
        <v>56.553606173322798</v>
      </c>
      <c r="I320" s="11">
        <v>82.139025891000003</v>
      </c>
      <c r="J320" s="11">
        <v>-144.15270974500001</v>
      </c>
      <c r="K320" s="9">
        <f t="shared" si="54"/>
        <v>-144.15270974500001</v>
      </c>
      <c r="L320" s="12">
        <v>236.553606</v>
      </c>
      <c r="M320" s="3">
        <f t="shared" si="55"/>
        <v>56.553606000000002</v>
      </c>
      <c r="N320" s="15">
        <f t="shared" si="48"/>
        <v>82.139025890987909</v>
      </c>
      <c r="O320" s="23">
        <f t="shared" si="60"/>
        <v>3.836930773104541E-13</v>
      </c>
      <c r="P320" s="22">
        <f t="shared" si="61"/>
        <v>1.2093437362636905E-11</v>
      </c>
      <c r="Q320" s="16">
        <f t="shared" si="58"/>
        <v>-144.15270974549779</v>
      </c>
      <c r="R320" s="23">
        <f t="shared" si="49"/>
        <v>3.780087354243733E-12</v>
      </c>
      <c r="S320" s="22">
        <f t="shared" si="50"/>
        <v>4.9777781896409579E-10</v>
      </c>
      <c r="T320" s="16">
        <f t="shared" si="59"/>
        <v>56.553606173319217</v>
      </c>
      <c r="U320" s="23">
        <f t="shared" si="51"/>
        <v>3.5811353882309049E-12</v>
      </c>
      <c r="V320" s="22">
        <f t="shared" si="52"/>
        <v>1.7331921497998337E-7</v>
      </c>
    </row>
    <row r="321" spans="1:22" x14ac:dyDescent="0.45">
      <c r="A321">
        <v>-73.587190000000007</v>
      </c>
      <c r="B321">
        <v>64.883449999999996</v>
      </c>
      <c r="C321">
        <v>219.97379000000001</v>
      </c>
      <c r="D321">
        <v>5976.9780000000001</v>
      </c>
      <c r="E321" s="13">
        <v>-73.628196250429696</v>
      </c>
      <c r="F321" s="13">
        <v>64.761452423738106</v>
      </c>
      <c r="G321" s="13">
        <v>-139.90917138532799</v>
      </c>
      <c r="H321" s="13">
        <f t="shared" si="53"/>
        <v>220.09082861467201</v>
      </c>
      <c r="I321" s="9">
        <v>-73.628196250000002</v>
      </c>
      <c r="J321" s="9">
        <v>64.761452423999998</v>
      </c>
      <c r="K321" s="9">
        <f t="shared" si="54"/>
        <v>64.761452423999998</v>
      </c>
      <c r="L321" s="10">
        <v>40.090828999999999</v>
      </c>
      <c r="M321" s="3">
        <f t="shared" si="55"/>
        <v>220.09082899999999</v>
      </c>
      <c r="N321" s="15">
        <f t="shared" si="48"/>
        <v>-73.62819625042944</v>
      </c>
      <c r="O321" s="23">
        <f t="shared" si="60"/>
        <v>2.5579538487363607E-13</v>
      </c>
      <c r="P321" s="22">
        <f t="shared" si="61"/>
        <v>4.2943781863868935E-10</v>
      </c>
      <c r="Q321" s="16">
        <f t="shared" si="58"/>
        <v>64.761452423738604</v>
      </c>
      <c r="R321" s="23">
        <f t="shared" si="49"/>
        <v>4.9737991503207013E-13</v>
      </c>
      <c r="S321" s="22">
        <f t="shared" si="50"/>
        <v>2.6139446163142566E-10</v>
      </c>
      <c r="T321" s="16">
        <f t="shared" si="59"/>
        <v>220.09082861467158</v>
      </c>
      <c r="U321" s="23">
        <f t="shared" si="51"/>
        <v>4.2632564145606011E-13</v>
      </c>
      <c r="V321" s="22">
        <f t="shared" si="52"/>
        <v>3.8532840562766069E-7</v>
      </c>
    </row>
    <row r="322" spans="1:22" x14ac:dyDescent="0.45">
      <c r="A322">
        <v>74.276669999999996</v>
      </c>
      <c r="B322">
        <v>11.632849999999999</v>
      </c>
      <c r="C322">
        <v>110.60079</v>
      </c>
      <c r="D322">
        <v>14930.198</v>
      </c>
      <c r="E322" s="13">
        <v>74.229118062114196</v>
      </c>
      <c r="F322" s="13">
        <v>12.0933334036741</v>
      </c>
      <c r="G322" s="13">
        <v>111.04399119005301</v>
      </c>
      <c r="H322" s="13">
        <f t="shared" si="53"/>
        <v>111.04399119005301</v>
      </c>
      <c r="I322" s="11">
        <v>74.229118061999998</v>
      </c>
      <c r="J322" s="11">
        <v>12.093333403999999</v>
      </c>
      <c r="K322" s="9">
        <f t="shared" si="54"/>
        <v>12.093333403999992</v>
      </c>
      <c r="L322" s="12">
        <v>291.04399100000001</v>
      </c>
      <c r="M322" s="3">
        <f t="shared" si="55"/>
        <v>111.04399100000001</v>
      </c>
      <c r="N322" s="15">
        <f t="shared" si="48"/>
        <v>74.229118062114409</v>
      </c>
      <c r="O322" s="23">
        <f t="shared" si="60"/>
        <v>2.1316282072803006E-13</v>
      </c>
      <c r="P322" s="22">
        <f t="shared" si="61"/>
        <v>1.1441159131209133E-10</v>
      </c>
      <c r="Q322" s="16">
        <f t="shared" si="58"/>
        <v>12.093333403671465</v>
      </c>
      <c r="R322" s="23">
        <f t="shared" si="49"/>
        <v>2.6343371928305714E-12</v>
      </c>
      <c r="S322" s="22">
        <f t="shared" si="50"/>
        <v>3.2852653930603992E-10</v>
      </c>
      <c r="T322" s="16">
        <f t="shared" si="59"/>
        <v>111.04399119005079</v>
      </c>
      <c r="U322" s="23">
        <f t="shared" si="51"/>
        <v>2.2168933355715126E-12</v>
      </c>
      <c r="V322" s="22">
        <f t="shared" si="52"/>
        <v>1.9005078399914055E-7</v>
      </c>
    </row>
    <row r="323" spans="1:22" x14ac:dyDescent="0.45">
      <c r="A323">
        <v>87.329520000000002</v>
      </c>
      <c r="B323">
        <v>-60.50273</v>
      </c>
      <c r="C323">
        <v>262.91134</v>
      </c>
      <c r="D323">
        <v>4443.6885000000002</v>
      </c>
      <c r="E323" s="13">
        <v>87.324319198258806</v>
      </c>
      <c r="F323" s="13">
        <v>-61.348489007068501</v>
      </c>
      <c r="G323" s="13">
        <v>-97.933498768392099</v>
      </c>
      <c r="H323" s="13">
        <f t="shared" si="53"/>
        <v>262.0665012316079</v>
      </c>
      <c r="I323" s="9">
        <v>87.324319197999998</v>
      </c>
      <c r="J323" s="9">
        <v>-61.348489006999998</v>
      </c>
      <c r="K323" s="9">
        <f t="shared" si="54"/>
        <v>-61.348489006999998</v>
      </c>
      <c r="L323" s="10">
        <v>82.066501000000002</v>
      </c>
      <c r="M323" s="3">
        <f t="shared" si="55"/>
        <v>262.06650100000002</v>
      </c>
      <c r="N323" s="15">
        <f t="shared" ref="N323:N386" si="62">vincentyDirLat(A323, $B323, $C323, $D323)</f>
        <v>87.324319198258735</v>
      </c>
      <c r="O323" s="23">
        <f t="shared" si="60"/>
        <v>7.1054273576010019E-14</v>
      </c>
      <c r="P323" s="22">
        <f t="shared" si="61"/>
        <v>2.5873703179968288E-10</v>
      </c>
      <c r="Q323" s="16">
        <f t="shared" si="58"/>
        <v>-61.348489007061346</v>
      </c>
      <c r="R323" s="23">
        <f t="shared" ref="R323:R386" si="63">ABS(F323-Q323)</f>
        <v>7.1551653491042089E-12</v>
      </c>
      <c r="S323" s="22">
        <f t="shared" ref="S323:S386" si="64">ABS(K323-Q323)</f>
        <v>6.134825980552705E-11</v>
      </c>
      <c r="T323" s="16">
        <f t="shared" si="59"/>
        <v>262.06650123161478</v>
      </c>
      <c r="U323" s="23">
        <f t="shared" ref="U323:U386" si="65">ABS(H323-T323)</f>
        <v>6.8780536821577698E-12</v>
      </c>
      <c r="V323" s="22">
        <f t="shared" ref="V323:V386" si="66">ABS(M323-T323)</f>
        <v>2.3161476292443695E-7</v>
      </c>
    </row>
    <row r="324" spans="1:22" x14ac:dyDescent="0.45">
      <c r="A324">
        <v>7.2256799999999997</v>
      </c>
      <c r="B324">
        <v>-156.59262000000001</v>
      </c>
      <c r="C324">
        <v>159.33009999999999</v>
      </c>
      <c r="D324">
        <v>2152.6453000000001</v>
      </c>
      <c r="E324" s="13">
        <v>7.2074681217868797</v>
      </c>
      <c r="F324" s="13">
        <v>-156.585740167219</v>
      </c>
      <c r="G324" s="13">
        <v>159.33096424611401</v>
      </c>
      <c r="H324" s="13">
        <f t="shared" ref="H324:H387" si="67">NormalizeAzimuth(G324, TRUE)</f>
        <v>159.33096424611401</v>
      </c>
      <c r="I324" s="11">
        <v>7.2074681219999999</v>
      </c>
      <c r="J324" s="11">
        <v>-156.58574016700001</v>
      </c>
      <c r="K324" s="9">
        <f t="shared" ref="K324:K387" si="68">normalizelon(J324)</f>
        <v>-156.58574016700001</v>
      </c>
      <c r="L324" s="12">
        <v>339.33096399999999</v>
      </c>
      <c r="M324" s="3">
        <f t="shared" ref="M324:M387" si="69">NormalizeAzimuth(L324+180, TRUE)</f>
        <v>159.33096399999999</v>
      </c>
      <c r="N324" s="15">
        <f t="shared" si="62"/>
        <v>7.2074681218391037</v>
      </c>
      <c r="O324" s="23">
        <f t="shared" si="60"/>
        <v>5.2224002899947664E-11</v>
      </c>
      <c r="P324" s="22">
        <f t="shared" si="61"/>
        <v>1.6089618526393679E-10</v>
      </c>
      <c r="Q324" s="16">
        <f t="shared" ref="Q324:Q387" si="70">VincentyDirLon($A324, $B324, $C324, $D324)</f>
        <v>-156.5857401672387</v>
      </c>
      <c r="R324" s="23">
        <f t="shared" si="63"/>
        <v>1.9696244635269977E-11</v>
      </c>
      <c r="S324" s="22">
        <f t="shared" si="64"/>
        <v>2.3868551579653285E-10</v>
      </c>
      <c r="T324" s="16">
        <f t="shared" ref="T324:T387" si="71">VincentyDirRevAzimuth($A324, $B324, $C324, $D324)</f>
        <v>159.33096424611171</v>
      </c>
      <c r="U324" s="23">
        <f t="shared" si="65"/>
        <v>2.3021584638627246E-12</v>
      </c>
      <c r="V324" s="22">
        <f t="shared" si="66"/>
        <v>2.461117105667654E-7</v>
      </c>
    </row>
    <row r="325" spans="1:22" x14ac:dyDescent="0.45">
      <c r="A325">
        <v>-75.23912</v>
      </c>
      <c r="B325">
        <v>149.93953999999999</v>
      </c>
      <c r="C325">
        <v>246.50832</v>
      </c>
      <c r="D325">
        <v>15120.408799999999</v>
      </c>
      <c r="E325" s="13">
        <v>-75.292604497627295</v>
      </c>
      <c r="F325" s="13">
        <v>149.450409344619</v>
      </c>
      <c r="G325" s="13">
        <v>-113.018633489842</v>
      </c>
      <c r="H325" s="13">
        <f t="shared" si="67"/>
        <v>246.98136651015801</v>
      </c>
      <c r="I325" s="9">
        <v>-75.292604498000003</v>
      </c>
      <c r="J325" s="9">
        <v>149.450409345</v>
      </c>
      <c r="K325" s="9">
        <f t="shared" si="68"/>
        <v>149.45040934500003</v>
      </c>
      <c r="L325" s="10">
        <v>66.981367000000006</v>
      </c>
      <c r="M325" s="3">
        <f t="shared" si="69"/>
        <v>246.98136700000001</v>
      </c>
      <c r="N325" s="15">
        <f t="shared" si="62"/>
        <v>-75.292604497626883</v>
      </c>
      <c r="O325" s="23">
        <f t="shared" si="60"/>
        <v>4.1211478674085811E-13</v>
      </c>
      <c r="P325" s="22">
        <f t="shared" si="61"/>
        <v>3.7312020140234381E-10</v>
      </c>
      <c r="Q325" s="16">
        <f t="shared" si="70"/>
        <v>149.45040934462224</v>
      </c>
      <c r="R325" s="23">
        <f t="shared" si="63"/>
        <v>3.2400748750660568E-12</v>
      </c>
      <c r="S325" s="22">
        <f t="shared" si="64"/>
        <v>3.7778136174893007E-10</v>
      </c>
      <c r="T325" s="16">
        <f t="shared" si="71"/>
        <v>246.98136651015466</v>
      </c>
      <c r="U325" s="23">
        <f t="shared" si="65"/>
        <v>3.3537617127876729E-12</v>
      </c>
      <c r="V325" s="22">
        <f t="shared" si="66"/>
        <v>4.8984534828377946E-7</v>
      </c>
    </row>
    <row r="326" spans="1:22" x14ac:dyDescent="0.45">
      <c r="A326">
        <v>71.338549999999998</v>
      </c>
      <c r="B326">
        <v>72.222679999999997</v>
      </c>
      <c r="C326">
        <v>98.245189999999994</v>
      </c>
      <c r="D326">
        <v>25341.7575</v>
      </c>
      <c r="E326" s="13">
        <v>71.304676453523598</v>
      </c>
      <c r="F326" s="13">
        <v>72.923454211740705</v>
      </c>
      <c r="G326" s="13">
        <v>98.909056120126294</v>
      </c>
      <c r="H326" s="13">
        <f t="shared" si="67"/>
        <v>98.909056120126294</v>
      </c>
      <c r="I326" s="11">
        <v>71.304676454000003</v>
      </c>
      <c r="J326" s="11">
        <v>72.923454211999996</v>
      </c>
      <c r="K326" s="9">
        <f t="shared" si="68"/>
        <v>72.923454211999996</v>
      </c>
      <c r="L326" s="12">
        <v>278.90905600000002</v>
      </c>
      <c r="M326" s="3">
        <f t="shared" si="69"/>
        <v>98.909056000000021</v>
      </c>
      <c r="N326" s="15">
        <f t="shared" si="62"/>
        <v>71.304676453523641</v>
      </c>
      <c r="O326" s="23">
        <f t="shared" si="60"/>
        <v>4.2632564145606011E-14</v>
      </c>
      <c r="P326" s="22">
        <f t="shared" si="61"/>
        <v>4.7636206090828637E-10</v>
      </c>
      <c r="Q326" s="16">
        <f t="shared" si="70"/>
        <v>72.923454211736953</v>
      </c>
      <c r="R326" s="23">
        <f t="shared" si="63"/>
        <v>3.751665644813329E-12</v>
      </c>
      <c r="S326" s="22">
        <f t="shared" si="64"/>
        <v>2.6304292077838909E-10</v>
      </c>
      <c r="T326" s="16">
        <f t="shared" si="71"/>
        <v>98.90905612012304</v>
      </c>
      <c r="U326" s="23">
        <f t="shared" si="65"/>
        <v>3.2542857297812589E-12</v>
      </c>
      <c r="V326" s="22">
        <f t="shared" si="66"/>
        <v>1.2012301908725931E-7</v>
      </c>
    </row>
    <row r="327" spans="1:22" x14ac:dyDescent="0.45">
      <c r="A327">
        <v>-83.366630000000001</v>
      </c>
      <c r="B327">
        <v>39.498179999999998</v>
      </c>
      <c r="C327">
        <v>180.97749999999999</v>
      </c>
      <c r="D327">
        <v>3720.5039000000002</v>
      </c>
      <c r="E327" s="13">
        <v>-83.399939396546699</v>
      </c>
      <c r="F327" s="13">
        <v>39.493235755062699</v>
      </c>
      <c r="G327" s="13">
        <v>-179.01758868752199</v>
      </c>
      <c r="H327" s="13">
        <f t="shared" si="67"/>
        <v>180.98241131247801</v>
      </c>
      <c r="I327" s="9">
        <v>-83.399939396999997</v>
      </c>
      <c r="J327" s="9">
        <v>39.493235755000001</v>
      </c>
      <c r="K327" s="9">
        <f t="shared" si="68"/>
        <v>39.493235755000001</v>
      </c>
      <c r="L327" s="10">
        <v>0.98241100000000003</v>
      </c>
      <c r="M327" s="3">
        <f t="shared" si="69"/>
        <v>180.98241100000001</v>
      </c>
      <c r="N327" s="15">
        <f t="shared" si="62"/>
        <v>-83.39993939654633</v>
      </c>
      <c r="O327" s="23">
        <f t="shared" si="60"/>
        <v>3.694822225952521E-13</v>
      </c>
      <c r="P327" s="22">
        <f t="shared" si="61"/>
        <v>4.5366732592810877E-10</v>
      </c>
      <c r="Q327" s="16">
        <f t="shared" si="70"/>
        <v>39.493235755062699</v>
      </c>
      <c r="R327" s="23">
        <f t="shared" si="63"/>
        <v>0</v>
      </c>
      <c r="S327" s="22">
        <f t="shared" si="64"/>
        <v>6.269829100347124E-11</v>
      </c>
      <c r="T327" s="16">
        <f t="shared" si="71"/>
        <v>180.98241131247792</v>
      </c>
      <c r="U327" s="23">
        <f t="shared" si="65"/>
        <v>8.5265128291212022E-14</v>
      </c>
      <c r="V327" s="22">
        <f t="shared" si="66"/>
        <v>3.1247790843735856E-7</v>
      </c>
    </row>
    <row r="328" spans="1:22" x14ac:dyDescent="0.45">
      <c r="A328">
        <v>-8.4651200000000006</v>
      </c>
      <c r="B328">
        <v>172.90547000000001</v>
      </c>
      <c r="C328">
        <v>43.146749999999997</v>
      </c>
      <c r="D328">
        <v>6894.2614999999996</v>
      </c>
      <c r="E328" s="13">
        <v>-8.4196369576675405</v>
      </c>
      <c r="F328" s="13">
        <v>172.948281908551</v>
      </c>
      <c r="G328" s="13">
        <v>43.140464581795499</v>
      </c>
      <c r="H328" s="13">
        <f t="shared" si="67"/>
        <v>43.140464581795499</v>
      </c>
      <c r="I328" s="11">
        <v>-8.4196369579999999</v>
      </c>
      <c r="J328" s="11">
        <v>172.948281909</v>
      </c>
      <c r="K328" s="9">
        <f t="shared" si="68"/>
        <v>172.948281909</v>
      </c>
      <c r="L328" s="12">
        <v>223.14046500000001</v>
      </c>
      <c r="M328" s="3">
        <f t="shared" si="69"/>
        <v>43.140465000000006</v>
      </c>
      <c r="N328" s="15">
        <f t="shared" si="62"/>
        <v>-8.4196369576942374</v>
      </c>
      <c r="O328" s="23">
        <f t="shared" si="60"/>
        <v>2.6696866939346364E-11</v>
      </c>
      <c r="P328" s="22">
        <f t="shared" si="61"/>
        <v>3.0576252640912571E-10</v>
      </c>
      <c r="Q328" s="16">
        <f t="shared" si="70"/>
        <v>172.94828190852616</v>
      </c>
      <c r="R328" s="23">
        <f t="shared" si="63"/>
        <v>2.4840574042173102E-11</v>
      </c>
      <c r="S328" s="22">
        <f t="shared" si="64"/>
        <v>4.7384673962369561E-10</v>
      </c>
      <c r="T328" s="16">
        <f t="shared" si="71"/>
        <v>43.140464581799179</v>
      </c>
      <c r="U328" s="23">
        <f t="shared" si="65"/>
        <v>3.680611371237319E-12</v>
      </c>
      <c r="V328" s="22">
        <f t="shared" si="66"/>
        <v>4.1820082685717352E-7</v>
      </c>
    </row>
    <row r="329" spans="1:22" x14ac:dyDescent="0.45">
      <c r="A329">
        <v>16.637</v>
      </c>
      <c r="B329">
        <v>15.36511</v>
      </c>
      <c r="C329">
        <v>13.22964</v>
      </c>
      <c r="D329">
        <v>19129.257399999999</v>
      </c>
      <c r="E329" s="13">
        <v>16.805263838178799</v>
      </c>
      <c r="F329" s="13">
        <v>15.4061794902314</v>
      </c>
      <c r="G329" s="13">
        <v>13.2414562709554</v>
      </c>
      <c r="H329" s="13">
        <f t="shared" si="67"/>
        <v>13.2414562709554</v>
      </c>
      <c r="I329" s="9">
        <v>16.805263837999998</v>
      </c>
      <c r="J329" s="9">
        <v>15.40617949</v>
      </c>
      <c r="K329" s="9">
        <f t="shared" si="68"/>
        <v>15.40617949</v>
      </c>
      <c r="L329" s="10">
        <v>193.241456</v>
      </c>
      <c r="M329" s="3">
        <f t="shared" si="69"/>
        <v>13.241455999999971</v>
      </c>
      <c r="N329" s="15">
        <f t="shared" si="62"/>
        <v>16.805263838179428</v>
      </c>
      <c r="O329" s="23">
        <f t="shared" si="60"/>
        <v>6.2883032114768866E-13</v>
      </c>
      <c r="P329" s="22">
        <f t="shared" si="61"/>
        <v>1.794298043478193E-10</v>
      </c>
      <c r="Q329" s="16">
        <f t="shared" si="70"/>
        <v>15.406179490231466</v>
      </c>
      <c r="R329" s="23">
        <f t="shared" si="63"/>
        <v>6.5725203057809267E-14</v>
      </c>
      <c r="S329" s="22">
        <f t="shared" si="64"/>
        <v>2.3146640160121024E-10</v>
      </c>
      <c r="T329" s="16">
        <f t="shared" si="71"/>
        <v>13.241456270955487</v>
      </c>
      <c r="U329" s="23">
        <f t="shared" si="65"/>
        <v>8.7041485130612273E-14</v>
      </c>
      <c r="V329" s="22">
        <f t="shared" si="66"/>
        <v>2.7095551580202937E-7</v>
      </c>
    </row>
    <row r="330" spans="1:22" x14ac:dyDescent="0.45">
      <c r="A330">
        <v>37.150179999999999</v>
      </c>
      <c r="B330">
        <v>-8.9908400000000004</v>
      </c>
      <c r="C330">
        <v>315.87772999999999</v>
      </c>
      <c r="D330">
        <v>8139.16</v>
      </c>
      <c r="E330" s="13">
        <v>37.202809174661397</v>
      </c>
      <c r="F330" s="13">
        <v>-9.0546691808087392</v>
      </c>
      <c r="G330" s="13">
        <v>-44.160840211885798</v>
      </c>
      <c r="H330" s="13">
        <f t="shared" si="67"/>
        <v>315.83915978811422</v>
      </c>
      <c r="I330" s="11">
        <v>37.202809174999999</v>
      </c>
      <c r="J330" s="11">
        <v>-9.0546691809999995</v>
      </c>
      <c r="K330" s="9">
        <f t="shared" si="68"/>
        <v>-9.0546691810000084</v>
      </c>
      <c r="L330" s="12">
        <v>135.83915999999999</v>
      </c>
      <c r="M330" s="3">
        <f t="shared" si="69"/>
        <v>315.83915999999999</v>
      </c>
      <c r="N330" s="15">
        <f t="shared" si="62"/>
        <v>37.202809174661638</v>
      </c>
      <c r="O330" s="23">
        <f t="shared" si="60"/>
        <v>2.4158453015843406E-13</v>
      </c>
      <c r="P330" s="22">
        <f t="shared" si="61"/>
        <v>3.3836045076895971E-10</v>
      </c>
      <c r="Q330" s="16">
        <f t="shared" si="70"/>
        <v>-9.054669180808844</v>
      </c>
      <c r="R330" s="23">
        <f t="shared" si="63"/>
        <v>1.0480505352461478E-13</v>
      </c>
      <c r="S330" s="22">
        <f t="shared" si="64"/>
        <v>1.9116441762889735E-10</v>
      </c>
      <c r="T330" s="16">
        <f t="shared" si="71"/>
        <v>315.83915978811359</v>
      </c>
      <c r="U330" s="23">
        <f t="shared" si="65"/>
        <v>6.2527760746888816E-13</v>
      </c>
      <c r="V330" s="22">
        <f t="shared" si="66"/>
        <v>2.1188640175751061E-7</v>
      </c>
    </row>
    <row r="331" spans="1:22" x14ac:dyDescent="0.45">
      <c r="A331">
        <v>-32.96116</v>
      </c>
      <c r="B331">
        <v>166.1567</v>
      </c>
      <c r="C331">
        <v>34.893540000000002</v>
      </c>
      <c r="D331">
        <v>10194.331099999999</v>
      </c>
      <c r="E331" s="13">
        <v>-32.885749284969002</v>
      </c>
      <c r="F331" s="13">
        <v>166.21902215287901</v>
      </c>
      <c r="G331" s="13">
        <v>34.859666771419299</v>
      </c>
      <c r="H331" s="13">
        <f t="shared" si="67"/>
        <v>34.859666771419299</v>
      </c>
      <c r="I331" s="9">
        <v>-32.885749285000003</v>
      </c>
      <c r="J331" s="9">
        <v>166.219022153</v>
      </c>
      <c r="K331" s="9">
        <f t="shared" si="68"/>
        <v>166.21902215299997</v>
      </c>
      <c r="L331" s="10">
        <v>214.859667</v>
      </c>
      <c r="M331" s="3">
        <f t="shared" si="69"/>
        <v>34.859667000000002</v>
      </c>
      <c r="N331" s="15">
        <f t="shared" si="62"/>
        <v>-32.885749284970807</v>
      </c>
      <c r="O331" s="23">
        <f t="shared" si="60"/>
        <v>1.8047785488306545E-12</v>
      </c>
      <c r="P331" s="22">
        <f t="shared" si="61"/>
        <v>2.9196201012382517E-11</v>
      </c>
      <c r="Q331" s="16">
        <f t="shared" si="70"/>
        <v>166.21902215287764</v>
      </c>
      <c r="R331" s="23">
        <f t="shared" si="63"/>
        <v>1.3642420526593924E-12</v>
      </c>
      <c r="S331" s="22">
        <f t="shared" si="64"/>
        <v>1.2232703738845885E-10</v>
      </c>
      <c r="T331" s="16">
        <f t="shared" si="71"/>
        <v>34.859666771420116</v>
      </c>
      <c r="U331" s="23">
        <f t="shared" si="65"/>
        <v>8.1712414612411521E-13</v>
      </c>
      <c r="V331" s="22">
        <f t="shared" si="66"/>
        <v>2.2857988568603105E-7</v>
      </c>
    </row>
    <row r="332" spans="1:22" x14ac:dyDescent="0.45">
      <c r="A332">
        <v>-8.6792499999999997</v>
      </c>
      <c r="B332">
        <v>-127.74823000000001</v>
      </c>
      <c r="C332">
        <v>113.39433</v>
      </c>
      <c r="D332">
        <v>10382.603300000001</v>
      </c>
      <c r="E332" s="13">
        <v>-8.7165141050796304</v>
      </c>
      <c r="F332" s="13">
        <v>-127.66163516316399</v>
      </c>
      <c r="G332" s="13">
        <v>113.381234754974</v>
      </c>
      <c r="H332" s="13">
        <f t="shared" si="67"/>
        <v>113.381234754974</v>
      </c>
      <c r="I332" s="11">
        <v>-8.7165141049999999</v>
      </c>
      <c r="J332" s="11">
        <v>-127.661635163</v>
      </c>
      <c r="K332" s="9">
        <f t="shared" si="68"/>
        <v>-127.661635163</v>
      </c>
      <c r="L332" s="12">
        <v>293.381235</v>
      </c>
      <c r="M332" s="3">
        <f t="shared" si="69"/>
        <v>113.381235</v>
      </c>
      <c r="N332" s="15">
        <f t="shared" si="62"/>
        <v>-8.7165141050794936</v>
      </c>
      <c r="O332" s="23">
        <f t="shared" si="60"/>
        <v>1.3677947663381929E-13</v>
      </c>
      <c r="P332" s="22">
        <f t="shared" si="61"/>
        <v>7.9493744920000609E-11</v>
      </c>
      <c r="Q332" s="16">
        <f t="shared" si="70"/>
        <v>-127.66163516316485</v>
      </c>
      <c r="R332" s="23">
        <f t="shared" si="63"/>
        <v>8.5265128291212022E-13</v>
      </c>
      <c r="S332" s="22">
        <f t="shared" si="64"/>
        <v>1.6484591469634324E-10</v>
      </c>
      <c r="T332" s="16">
        <f t="shared" si="71"/>
        <v>113.38123475497355</v>
      </c>
      <c r="U332" s="23">
        <f t="shared" si="65"/>
        <v>4.5474735088646412E-13</v>
      </c>
      <c r="V332" s="22">
        <f t="shared" si="66"/>
        <v>2.4502645601387485E-7</v>
      </c>
    </row>
    <row r="333" spans="1:22" x14ac:dyDescent="0.45">
      <c r="A333">
        <v>-83.581980000000001</v>
      </c>
      <c r="B333">
        <v>2.7842500000000001</v>
      </c>
      <c r="C333">
        <v>61.323059999999998</v>
      </c>
      <c r="D333">
        <v>3685.6846999999998</v>
      </c>
      <c r="E333" s="13">
        <v>-83.566078328879897</v>
      </c>
      <c r="F333" s="13">
        <v>3.0426162772316498</v>
      </c>
      <c r="G333" s="13">
        <v>61.066316955029301</v>
      </c>
      <c r="H333" s="13">
        <f t="shared" si="67"/>
        <v>61.066316955029301</v>
      </c>
      <c r="I333" s="9">
        <v>-83.566078329000007</v>
      </c>
      <c r="J333" s="9">
        <v>3.042616277</v>
      </c>
      <c r="K333" s="9">
        <f t="shared" si="68"/>
        <v>3.0426162770000076</v>
      </c>
      <c r="L333" s="10">
        <v>241.066317</v>
      </c>
      <c r="M333" s="3">
        <f t="shared" si="69"/>
        <v>61.066317000000026</v>
      </c>
      <c r="N333" s="15">
        <f t="shared" si="62"/>
        <v>-83.566078328879883</v>
      </c>
      <c r="O333" s="23">
        <f t="shared" si="60"/>
        <v>1.4210854715202004E-14</v>
      </c>
      <c r="P333" s="22">
        <f t="shared" si="61"/>
        <v>1.2012435490760254E-10</v>
      </c>
      <c r="Q333" s="16">
        <f t="shared" si="70"/>
        <v>3.0426162772295982</v>
      </c>
      <c r="R333" s="23">
        <f t="shared" si="63"/>
        <v>2.0516921495072893E-12</v>
      </c>
      <c r="S333" s="22">
        <f t="shared" si="64"/>
        <v>2.2959056877880357E-10</v>
      </c>
      <c r="T333" s="16">
        <f t="shared" si="71"/>
        <v>61.066316955031212</v>
      </c>
      <c r="U333" s="23">
        <f t="shared" si="65"/>
        <v>1.9113599591946695E-12</v>
      </c>
      <c r="V333" s="22">
        <f t="shared" si="66"/>
        <v>4.4968814449930505E-8</v>
      </c>
    </row>
    <row r="334" spans="1:22" x14ac:dyDescent="0.45">
      <c r="A334">
        <v>-10.0052</v>
      </c>
      <c r="B334">
        <v>39.578560000000003</v>
      </c>
      <c r="C334">
        <v>129.38193000000001</v>
      </c>
      <c r="D334">
        <v>415.12889999999999</v>
      </c>
      <c r="E334" s="13">
        <v>-10.007581318096401</v>
      </c>
      <c r="F334" s="13">
        <v>39.581486636495796</v>
      </c>
      <c r="G334" s="13">
        <v>129.381421473437</v>
      </c>
      <c r="H334" s="13">
        <f t="shared" si="67"/>
        <v>129.381421473437</v>
      </c>
      <c r="I334" s="11">
        <v>-10.007581318</v>
      </c>
      <c r="J334" s="11">
        <v>39.581486636999998</v>
      </c>
      <c r="K334" s="9">
        <f t="shared" si="68"/>
        <v>39.581486637000012</v>
      </c>
      <c r="L334" s="12">
        <v>309.38142099999999</v>
      </c>
      <c r="M334" s="3">
        <f t="shared" si="69"/>
        <v>129.38142099999999</v>
      </c>
      <c r="N334" s="15">
        <f t="shared" si="62"/>
        <v>-10.007581318095903</v>
      </c>
      <c r="O334" s="23">
        <f t="shared" si="60"/>
        <v>4.9737991503207013E-13</v>
      </c>
      <c r="P334" s="22">
        <f t="shared" si="61"/>
        <v>9.5903729402380122E-11</v>
      </c>
      <c r="Q334" s="16">
        <f t="shared" si="70"/>
        <v>39.581486636495129</v>
      </c>
      <c r="R334" s="23">
        <f t="shared" si="63"/>
        <v>6.6791017161449417E-13</v>
      </c>
      <c r="S334" s="22">
        <f t="shared" si="64"/>
        <v>5.0488324632169679E-10</v>
      </c>
      <c r="T334" s="16">
        <f t="shared" si="71"/>
        <v>129.38142147343672</v>
      </c>
      <c r="U334" s="23">
        <f t="shared" si="65"/>
        <v>2.8421709430404007E-13</v>
      </c>
      <c r="V334" s="22">
        <f t="shared" si="66"/>
        <v>4.734367280434526E-7</v>
      </c>
    </row>
    <row r="335" spans="1:22" x14ac:dyDescent="0.45">
      <c r="A335">
        <v>-37.678669999999997</v>
      </c>
      <c r="B335">
        <v>167.51958999999999</v>
      </c>
      <c r="C335">
        <v>147.51739000000001</v>
      </c>
      <c r="D335">
        <v>21589.996299999999</v>
      </c>
      <c r="E335" s="13">
        <v>-37.842683522073003</v>
      </c>
      <c r="F335" s="13">
        <v>167.651319030313</v>
      </c>
      <c r="G335" s="13">
        <v>147.43672369854599</v>
      </c>
      <c r="H335" s="13">
        <f t="shared" si="67"/>
        <v>147.43672369854599</v>
      </c>
      <c r="I335" s="9">
        <v>-37.842683522000002</v>
      </c>
      <c r="J335" s="9">
        <v>167.65131903</v>
      </c>
      <c r="K335" s="9">
        <f t="shared" si="68"/>
        <v>167.65131902999997</v>
      </c>
      <c r="L335" s="10">
        <v>327.43672400000003</v>
      </c>
      <c r="M335" s="3">
        <f t="shared" si="69"/>
        <v>147.43672400000003</v>
      </c>
      <c r="N335" s="15">
        <f t="shared" si="62"/>
        <v>-37.842683522073486</v>
      </c>
      <c r="O335" s="23">
        <f t="shared" si="60"/>
        <v>4.8316906031686813E-13</v>
      </c>
      <c r="P335" s="22">
        <f t="shared" si="61"/>
        <v>7.3484329732309561E-11</v>
      </c>
      <c r="Q335" s="16">
        <f t="shared" si="70"/>
        <v>167.6513190303134</v>
      </c>
      <c r="R335" s="23">
        <f t="shared" si="63"/>
        <v>3.979039320256561E-13</v>
      </c>
      <c r="S335" s="22">
        <f t="shared" si="64"/>
        <v>3.1343461159849539E-10</v>
      </c>
      <c r="T335" s="16">
        <f t="shared" si="71"/>
        <v>147.43672369854585</v>
      </c>
      <c r="U335" s="23">
        <f t="shared" si="65"/>
        <v>1.4210854715202004E-13</v>
      </c>
      <c r="V335" s="22">
        <f t="shared" si="66"/>
        <v>3.0145417895255378E-7</v>
      </c>
    </row>
    <row r="336" spans="1:22" x14ac:dyDescent="0.45">
      <c r="A336">
        <v>71.529849999999996</v>
      </c>
      <c r="B336">
        <v>91.221180000000004</v>
      </c>
      <c r="C336">
        <v>169.45003</v>
      </c>
      <c r="D336">
        <v>6650.0622000000003</v>
      </c>
      <c r="E336" s="13">
        <v>71.471255544359494</v>
      </c>
      <c r="F336" s="13">
        <v>91.255495337589906</v>
      </c>
      <c r="G336" s="13">
        <v>169.48257215577399</v>
      </c>
      <c r="H336" s="13">
        <f t="shared" si="67"/>
        <v>169.48257215577399</v>
      </c>
      <c r="I336" s="11">
        <v>71.471255544000002</v>
      </c>
      <c r="J336" s="11">
        <v>91.255495338000003</v>
      </c>
      <c r="K336" s="9">
        <f t="shared" si="68"/>
        <v>91.255495338000003</v>
      </c>
      <c r="L336" s="12">
        <v>349.482572</v>
      </c>
      <c r="M336" s="3">
        <f t="shared" si="69"/>
        <v>169.482572</v>
      </c>
      <c r="N336" s="15">
        <f t="shared" si="62"/>
        <v>71.471255544359465</v>
      </c>
      <c r="O336" s="23">
        <f t="shared" si="60"/>
        <v>2.8421709430404007E-14</v>
      </c>
      <c r="P336" s="22">
        <f t="shared" si="61"/>
        <v>3.5946357002103468E-10</v>
      </c>
      <c r="Q336" s="16">
        <f t="shared" si="70"/>
        <v>91.255495337589821</v>
      </c>
      <c r="R336" s="23">
        <f t="shared" si="63"/>
        <v>8.5265128291212022E-14</v>
      </c>
      <c r="S336" s="22">
        <f t="shared" si="64"/>
        <v>4.1018211049959064E-10</v>
      </c>
      <c r="T336" s="16">
        <f t="shared" si="71"/>
        <v>169.48257215577343</v>
      </c>
      <c r="U336" s="23">
        <f t="shared" si="65"/>
        <v>5.6843418860808015E-13</v>
      </c>
      <c r="V336" s="22">
        <f t="shared" si="66"/>
        <v>1.5577342082906398E-7</v>
      </c>
    </row>
    <row r="337" spans="1:22" x14ac:dyDescent="0.45">
      <c r="A337">
        <v>18.083159999999999</v>
      </c>
      <c r="B337">
        <v>40.104170000000003</v>
      </c>
      <c r="C337">
        <v>188.96442999999999</v>
      </c>
      <c r="D337">
        <v>29162.233</v>
      </c>
      <c r="E337" s="13">
        <v>17.822890872276801</v>
      </c>
      <c r="F337" s="13">
        <v>40.061305441326702</v>
      </c>
      <c r="G337" s="13">
        <v>-171.04878248446499</v>
      </c>
      <c r="H337" s="13">
        <f t="shared" si="67"/>
        <v>188.95121751553501</v>
      </c>
      <c r="I337" s="9">
        <v>17.822890871999999</v>
      </c>
      <c r="J337" s="9">
        <v>40.061305441000002</v>
      </c>
      <c r="K337" s="9">
        <f t="shared" si="68"/>
        <v>40.061305441000002</v>
      </c>
      <c r="L337" s="10">
        <v>8.9512180000000008</v>
      </c>
      <c r="M337" s="3">
        <f t="shared" si="69"/>
        <v>188.95121800000001</v>
      </c>
      <c r="N337" s="15">
        <f t="shared" si="62"/>
        <v>17.822890872275924</v>
      </c>
      <c r="O337" s="23">
        <f t="shared" si="60"/>
        <v>8.7752027866372373E-13</v>
      </c>
      <c r="P337" s="22">
        <f t="shared" si="61"/>
        <v>2.7592506057771971E-10</v>
      </c>
      <c r="Q337" s="16">
        <f t="shared" si="70"/>
        <v>40.061305441326624</v>
      </c>
      <c r="R337" s="23">
        <f t="shared" si="63"/>
        <v>7.815970093361102E-14</v>
      </c>
      <c r="S337" s="22">
        <f t="shared" si="64"/>
        <v>3.2662228477420285E-10</v>
      </c>
      <c r="T337" s="16">
        <f t="shared" si="71"/>
        <v>188.95121751553501</v>
      </c>
      <c r="U337" s="23">
        <f t="shared" si="65"/>
        <v>0</v>
      </c>
      <c r="V337" s="22">
        <f t="shared" si="66"/>
        <v>4.8446500500176626E-7</v>
      </c>
    </row>
    <row r="338" spans="1:22" x14ac:dyDescent="0.45">
      <c r="A338">
        <v>46.808669999999999</v>
      </c>
      <c r="B338">
        <v>64.066220000000001</v>
      </c>
      <c r="C338">
        <v>261.57501000000002</v>
      </c>
      <c r="D338">
        <v>23801.801100000001</v>
      </c>
      <c r="E338" s="13">
        <v>46.7768845771214</v>
      </c>
      <c r="F338" s="13">
        <v>63.757926445187699</v>
      </c>
      <c r="G338" s="13">
        <v>-98.649699987392793</v>
      </c>
      <c r="H338" s="13">
        <f t="shared" si="67"/>
        <v>261.35030001260719</v>
      </c>
      <c r="I338" s="11">
        <v>46.776884576999997</v>
      </c>
      <c r="J338" s="11">
        <v>63.757926445000003</v>
      </c>
      <c r="K338" s="9">
        <f t="shared" si="68"/>
        <v>63.75792644500001</v>
      </c>
      <c r="L338" s="12">
        <v>81.350300000000004</v>
      </c>
      <c r="M338" s="3">
        <f t="shared" si="69"/>
        <v>261.3503</v>
      </c>
      <c r="N338" s="15">
        <f t="shared" si="62"/>
        <v>46.77688457712123</v>
      </c>
      <c r="O338" s="23">
        <f t="shared" si="60"/>
        <v>1.7053025658242404E-13</v>
      </c>
      <c r="P338" s="22">
        <f t="shared" si="61"/>
        <v>1.2123280157538829E-10</v>
      </c>
      <c r="Q338" s="16">
        <f t="shared" si="70"/>
        <v>63.757926445188275</v>
      </c>
      <c r="R338" s="23">
        <f t="shared" si="63"/>
        <v>5.7553961596568115E-13</v>
      </c>
      <c r="S338" s="22">
        <f t="shared" si="64"/>
        <v>1.8826540326699615E-10</v>
      </c>
      <c r="T338" s="16">
        <f t="shared" si="71"/>
        <v>261.35030001260634</v>
      </c>
      <c r="U338" s="23">
        <f t="shared" si="65"/>
        <v>8.5265128291212022E-13</v>
      </c>
      <c r="V338" s="22">
        <f t="shared" si="66"/>
        <v>1.2606335531017976E-8</v>
      </c>
    </row>
    <row r="339" spans="1:22" x14ac:dyDescent="0.45">
      <c r="A339">
        <v>55.995649999999998</v>
      </c>
      <c r="B339">
        <v>68.921090000000007</v>
      </c>
      <c r="C339">
        <v>63.914360000000002</v>
      </c>
      <c r="D339">
        <v>19883.556799999998</v>
      </c>
      <c r="E339" s="13">
        <v>56.073841375791297</v>
      </c>
      <c r="F339" s="13">
        <v>69.207859593555</v>
      </c>
      <c r="G339" s="13">
        <v>64.152200181039504</v>
      </c>
      <c r="H339" s="13">
        <f t="shared" si="67"/>
        <v>64.152200181039504</v>
      </c>
      <c r="I339" s="9">
        <v>56.073841375999997</v>
      </c>
      <c r="J339" s="9">
        <v>69.207859593999999</v>
      </c>
      <c r="K339" s="9">
        <f t="shared" si="68"/>
        <v>69.207859594000013</v>
      </c>
      <c r="L339" s="10">
        <v>244.15219999999999</v>
      </c>
      <c r="M339" s="3">
        <f t="shared" si="69"/>
        <v>64.152199999999993</v>
      </c>
      <c r="N339" s="15">
        <f t="shared" si="62"/>
        <v>56.073841375791318</v>
      </c>
      <c r="O339" s="23">
        <f t="shared" si="60"/>
        <v>2.1316282072803006E-14</v>
      </c>
      <c r="P339" s="22">
        <f t="shared" si="61"/>
        <v>2.0867929606538382E-10</v>
      </c>
      <c r="Q339" s="16">
        <f t="shared" si="70"/>
        <v>69.207859593554701</v>
      </c>
      <c r="R339" s="23">
        <f t="shared" si="63"/>
        <v>2.9842794901924208E-13</v>
      </c>
      <c r="S339" s="22">
        <f t="shared" si="64"/>
        <v>4.4531134335556999E-10</v>
      </c>
      <c r="T339" s="16">
        <f t="shared" si="71"/>
        <v>64.152200181039674</v>
      </c>
      <c r="U339" s="23">
        <f t="shared" si="65"/>
        <v>1.7053025658242404E-13</v>
      </c>
      <c r="V339" s="22">
        <f t="shared" si="66"/>
        <v>1.8103968102423096E-7</v>
      </c>
    </row>
    <row r="340" spans="1:22" x14ac:dyDescent="0.45">
      <c r="A340">
        <v>4.6281999999999996</v>
      </c>
      <c r="B340">
        <v>165.89741000000001</v>
      </c>
      <c r="C340">
        <v>51.106110000000001</v>
      </c>
      <c r="D340">
        <v>28786.854500000001</v>
      </c>
      <c r="E340" s="13">
        <v>4.7916217767411</v>
      </c>
      <c r="F340" s="13">
        <v>166.09937933342101</v>
      </c>
      <c r="G340" s="13">
        <v>51.122693918532299</v>
      </c>
      <c r="H340" s="13">
        <f t="shared" si="67"/>
        <v>51.122693918532299</v>
      </c>
      <c r="I340" s="11">
        <v>4.7916217769999996</v>
      </c>
      <c r="J340" s="11">
        <v>166.099379333</v>
      </c>
      <c r="K340" s="9">
        <f t="shared" si="68"/>
        <v>166.099379333</v>
      </c>
      <c r="L340" s="12">
        <v>231.122694</v>
      </c>
      <c r="M340" s="3">
        <f t="shared" si="69"/>
        <v>51.122694000000024</v>
      </c>
      <c r="N340" s="15">
        <f t="shared" si="62"/>
        <v>4.7916217767422191</v>
      </c>
      <c r="O340" s="23">
        <f t="shared" si="60"/>
        <v>1.1191048088221578E-12</v>
      </c>
      <c r="P340" s="22">
        <f t="shared" si="61"/>
        <v>2.5778046364166585E-10</v>
      </c>
      <c r="Q340" s="16">
        <f t="shared" si="70"/>
        <v>166.09937933342212</v>
      </c>
      <c r="R340" s="23">
        <f t="shared" si="63"/>
        <v>1.1084466677857563E-12</v>
      </c>
      <c r="S340" s="22">
        <f t="shared" si="64"/>
        <v>4.2211922846036032E-10</v>
      </c>
      <c r="T340" s="16">
        <f t="shared" si="71"/>
        <v>51.12269391853232</v>
      </c>
      <c r="U340" s="23">
        <f t="shared" si="65"/>
        <v>2.1316282072803006E-14</v>
      </c>
      <c r="V340" s="22">
        <f t="shared" si="66"/>
        <v>8.1467703694215743E-8</v>
      </c>
    </row>
    <row r="341" spans="1:22" x14ac:dyDescent="0.45">
      <c r="A341">
        <v>-36.8232</v>
      </c>
      <c r="B341">
        <v>132.84128000000001</v>
      </c>
      <c r="C341">
        <v>250.78496000000001</v>
      </c>
      <c r="D341">
        <v>20321.9139</v>
      </c>
      <c r="E341" s="13">
        <v>-36.883273244506903</v>
      </c>
      <c r="F341" s="13">
        <v>132.626021221119</v>
      </c>
      <c r="G341" s="13">
        <v>-109.08593469872</v>
      </c>
      <c r="H341" s="13">
        <f t="shared" si="67"/>
        <v>250.91406530128</v>
      </c>
      <c r="I341" s="9">
        <v>-36.883273244999998</v>
      </c>
      <c r="J341" s="9">
        <v>132.626021221</v>
      </c>
      <c r="K341" s="9">
        <f t="shared" si="68"/>
        <v>132.62602122099997</v>
      </c>
      <c r="L341" s="10">
        <v>70.914064999999994</v>
      </c>
      <c r="M341" s="3">
        <f t="shared" si="69"/>
        <v>250.91406499999999</v>
      </c>
      <c r="N341" s="15">
        <f t="shared" si="62"/>
        <v>-36.88327324451415</v>
      </c>
      <c r="O341" s="23">
        <f t="shared" si="60"/>
        <v>7.2475359047530219E-12</v>
      </c>
      <c r="P341" s="22">
        <f t="shared" si="61"/>
        <v>4.858478064306837E-10</v>
      </c>
      <c r="Q341" s="16">
        <f t="shared" si="70"/>
        <v>132.62602122109456</v>
      </c>
      <c r="R341" s="23">
        <f t="shared" si="63"/>
        <v>2.4442670110147446E-11</v>
      </c>
      <c r="S341" s="22">
        <f t="shared" si="64"/>
        <v>9.4587448984384537E-11</v>
      </c>
      <c r="T341" s="16">
        <f t="shared" si="71"/>
        <v>250.91406530129504</v>
      </c>
      <c r="U341" s="23">
        <f t="shared" si="65"/>
        <v>1.503508428868372E-11</v>
      </c>
      <c r="V341" s="22">
        <f t="shared" si="66"/>
        <v>3.0129504580145294E-7</v>
      </c>
    </row>
    <row r="342" spans="1:22" x14ac:dyDescent="0.45">
      <c r="A342">
        <v>75.537220000000005</v>
      </c>
      <c r="B342">
        <v>139.07900000000001</v>
      </c>
      <c r="C342">
        <v>196.20652999999999</v>
      </c>
      <c r="D342">
        <v>19106.947899999999</v>
      </c>
      <c r="E342" s="13">
        <v>75.372771579076897</v>
      </c>
      <c r="F342" s="13">
        <v>138.88989453732501</v>
      </c>
      <c r="G342" s="13">
        <v>-163.976514959333</v>
      </c>
      <c r="H342" s="13">
        <f t="shared" si="67"/>
        <v>196.023485040667</v>
      </c>
      <c r="I342" s="11">
        <v>75.372771579000002</v>
      </c>
      <c r="J342" s="11">
        <v>138.889894537</v>
      </c>
      <c r="K342" s="9">
        <f t="shared" si="68"/>
        <v>138.88989453700003</v>
      </c>
      <c r="L342" s="12">
        <v>16.023485000000001</v>
      </c>
      <c r="M342" s="3">
        <f t="shared" si="69"/>
        <v>196.02348499999999</v>
      </c>
      <c r="N342" s="15">
        <f t="shared" si="62"/>
        <v>75.372771579077408</v>
      </c>
      <c r="O342" s="23">
        <f t="shared" si="60"/>
        <v>5.1159076974727213E-13</v>
      </c>
      <c r="P342" s="22">
        <f t="shared" si="61"/>
        <v>7.7406525633705314E-11</v>
      </c>
      <c r="Q342" s="16">
        <f t="shared" si="70"/>
        <v>138.88989453732609</v>
      </c>
      <c r="R342" s="23">
        <f t="shared" si="63"/>
        <v>1.0800249583553523E-12</v>
      </c>
      <c r="S342" s="22">
        <f t="shared" si="64"/>
        <v>3.2605385058559477E-10</v>
      </c>
      <c r="T342" s="16">
        <f t="shared" si="71"/>
        <v>196.02348504066788</v>
      </c>
      <c r="U342" s="23">
        <f t="shared" si="65"/>
        <v>8.8107299234252423E-13</v>
      </c>
      <c r="V342" s="22">
        <f t="shared" si="66"/>
        <v>4.0667885059519904E-8</v>
      </c>
    </row>
    <row r="343" spans="1:22" x14ac:dyDescent="0.45">
      <c r="A343">
        <v>-81.00497</v>
      </c>
      <c r="B343">
        <v>-124.15531</v>
      </c>
      <c r="C343">
        <v>29.91328</v>
      </c>
      <c r="D343">
        <v>19978.191999999999</v>
      </c>
      <c r="E343" s="13">
        <v>-80.8494625100099</v>
      </c>
      <c r="F343" s="13">
        <v>-123.594361544492</v>
      </c>
      <c r="G343" s="13">
        <v>29.359349050021201</v>
      </c>
      <c r="H343" s="13">
        <f t="shared" si="67"/>
        <v>29.359349050021201</v>
      </c>
      <c r="I343" s="9">
        <v>-80.849462509999995</v>
      </c>
      <c r="J343" s="9">
        <v>-123.59436154399999</v>
      </c>
      <c r="K343" s="9">
        <f t="shared" si="68"/>
        <v>-123.59436154399999</v>
      </c>
      <c r="L343" s="10">
        <v>209.35934900000001</v>
      </c>
      <c r="M343" s="3">
        <f t="shared" si="69"/>
        <v>29.359349000000009</v>
      </c>
      <c r="N343" s="15">
        <f t="shared" si="62"/>
        <v>-80.849462510010824</v>
      </c>
      <c r="O343" s="23">
        <f t="shared" si="60"/>
        <v>9.2370555648813024E-13</v>
      </c>
      <c r="P343" s="22">
        <f t="shared" si="61"/>
        <v>1.0828671292983927E-11</v>
      </c>
      <c r="Q343" s="16">
        <f t="shared" si="70"/>
        <v>-123.59436154449601</v>
      </c>
      <c r="R343" s="23">
        <f t="shared" si="63"/>
        <v>4.007461029686965E-12</v>
      </c>
      <c r="S343" s="22">
        <f t="shared" si="64"/>
        <v>4.9601567297941074E-10</v>
      </c>
      <c r="T343" s="16">
        <f t="shared" si="71"/>
        <v>29.359349050024811</v>
      </c>
      <c r="U343" s="23">
        <f t="shared" si="65"/>
        <v>3.6095570976613089E-12</v>
      </c>
      <c r="V343" s="22">
        <f t="shared" si="66"/>
        <v>5.0024802078496577E-8</v>
      </c>
    </row>
    <row r="344" spans="1:22" x14ac:dyDescent="0.45">
      <c r="A344">
        <v>59.21228</v>
      </c>
      <c r="B344">
        <v>-73.938140000000004</v>
      </c>
      <c r="C344">
        <v>50.911679999999997</v>
      </c>
      <c r="D344">
        <v>22287.987400000002</v>
      </c>
      <c r="E344" s="13">
        <v>59.338074824953097</v>
      </c>
      <c r="F344" s="13">
        <v>-73.634166085203802</v>
      </c>
      <c r="G344" s="13">
        <v>51.172985719895003</v>
      </c>
      <c r="H344" s="13">
        <f t="shared" si="67"/>
        <v>51.172985719895003</v>
      </c>
      <c r="I344" s="11">
        <v>59.338074825</v>
      </c>
      <c r="J344" s="11">
        <v>-73.634166085000004</v>
      </c>
      <c r="K344" s="9">
        <f t="shared" si="68"/>
        <v>-73.634166085000004</v>
      </c>
      <c r="L344" s="12">
        <v>231.17298600000001</v>
      </c>
      <c r="M344" s="3">
        <f t="shared" si="69"/>
        <v>51.172986000000037</v>
      </c>
      <c r="N344" s="15">
        <f t="shared" si="62"/>
        <v>59.338074824953161</v>
      </c>
      <c r="O344" s="23">
        <f t="shared" si="60"/>
        <v>6.3948846218409017E-14</v>
      </c>
      <c r="P344" s="22">
        <f t="shared" si="61"/>
        <v>4.6838977141305804E-11</v>
      </c>
      <c r="Q344" s="16">
        <f t="shared" si="70"/>
        <v>-73.634166085203901</v>
      </c>
      <c r="R344" s="23">
        <f t="shared" si="63"/>
        <v>9.9475983006414026E-14</v>
      </c>
      <c r="S344" s="22">
        <f t="shared" si="64"/>
        <v>2.0389734345371835E-10</v>
      </c>
      <c r="T344" s="16">
        <f t="shared" si="71"/>
        <v>51.172985719895138</v>
      </c>
      <c r="U344" s="23">
        <f t="shared" si="65"/>
        <v>1.3500311979441904E-13</v>
      </c>
      <c r="V344" s="22">
        <f t="shared" si="66"/>
        <v>2.8010489927510207E-7</v>
      </c>
    </row>
    <row r="345" spans="1:22" x14ac:dyDescent="0.45">
      <c r="A345">
        <v>30.309439999999999</v>
      </c>
      <c r="B345">
        <v>82.808499999999995</v>
      </c>
      <c r="C345">
        <v>322.81364000000002</v>
      </c>
      <c r="D345">
        <v>21229.444200000002</v>
      </c>
      <c r="E345" s="13">
        <v>30.461934481730999</v>
      </c>
      <c r="F345" s="13">
        <v>82.674891492052296</v>
      </c>
      <c r="G345" s="13">
        <v>-37.253941709736999</v>
      </c>
      <c r="H345" s="13">
        <f t="shared" si="67"/>
        <v>322.74605829026302</v>
      </c>
      <c r="I345" s="9">
        <v>30.461934482</v>
      </c>
      <c r="J345" s="9">
        <v>82.674891492</v>
      </c>
      <c r="K345" s="9">
        <f t="shared" si="68"/>
        <v>82.674891492000029</v>
      </c>
      <c r="L345" s="10">
        <v>142.746058</v>
      </c>
      <c r="M345" s="3">
        <f t="shared" si="69"/>
        <v>322.746058</v>
      </c>
      <c r="N345" s="15">
        <f t="shared" si="62"/>
        <v>30.461934481724516</v>
      </c>
      <c r="O345" s="23">
        <f t="shared" si="60"/>
        <v>6.4837024638109142E-12</v>
      </c>
      <c r="P345" s="22">
        <f t="shared" si="61"/>
        <v>2.7548452408154844E-10</v>
      </c>
      <c r="Q345" s="16">
        <f t="shared" si="70"/>
        <v>82.674891492058521</v>
      </c>
      <c r="R345" s="23">
        <f t="shared" si="63"/>
        <v>6.2243543652584776E-12</v>
      </c>
      <c r="S345" s="22">
        <f t="shared" si="64"/>
        <v>5.8491878007771447E-11</v>
      </c>
      <c r="T345" s="16">
        <f t="shared" si="71"/>
        <v>322.74605829026558</v>
      </c>
      <c r="U345" s="23">
        <f t="shared" si="65"/>
        <v>2.5579538487363607E-12</v>
      </c>
      <c r="V345" s="22">
        <f t="shared" si="66"/>
        <v>2.9026557513134321E-7</v>
      </c>
    </row>
    <row r="346" spans="1:22" x14ac:dyDescent="0.45">
      <c r="A346">
        <v>-27.001480000000001</v>
      </c>
      <c r="B346">
        <v>-70.466790000000003</v>
      </c>
      <c r="C346">
        <v>76.186160000000001</v>
      </c>
      <c r="D346">
        <v>5761.8068000000003</v>
      </c>
      <c r="E346" s="13">
        <v>-26.989052727451298</v>
      </c>
      <c r="F346" s="13">
        <v>-70.410423866044695</v>
      </c>
      <c r="G346" s="13">
        <v>76.160574458233498</v>
      </c>
      <c r="H346" s="13">
        <f t="shared" si="67"/>
        <v>76.160574458233498</v>
      </c>
      <c r="I346" s="11">
        <v>-26.989052727000001</v>
      </c>
      <c r="J346" s="11">
        <v>-70.410423866000002</v>
      </c>
      <c r="K346" s="9">
        <f t="shared" si="68"/>
        <v>-70.410423866000002</v>
      </c>
      <c r="L346" s="12">
        <v>256.160574</v>
      </c>
      <c r="M346" s="3">
        <f t="shared" si="69"/>
        <v>76.160573999999997</v>
      </c>
      <c r="N346" s="15">
        <f t="shared" si="62"/>
        <v>-26.989052727451028</v>
      </c>
      <c r="O346" s="23">
        <f t="shared" si="60"/>
        <v>2.7000623958883807E-13</v>
      </c>
      <c r="P346" s="22">
        <f t="shared" si="61"/>
        <v>4.5102765966475999E-10</v>
      </c>
      <c r="Q346" s="16">
        <f t="shared" si="70"/>
        <v>-70.410423866043672</v>
      </c>
      <c r="R346" s="23">
        <f t="shared" si="63"/>
        <v>1.0231815394945443E-12</v>
      </c>
      <c r="S346" s="22">
        <f t="shared" si="64"/>
        <v>4.3669956539815757E-11</v>
      </c>
      <c r="T346" s="16">
        <f t="shared" si="71"/>
        <v>76.160574458232773</v>
      </c>
      <c r="U346" s="23">
        <f t="shared" si="65"/>
        <v>7.2475359047530219E-13</v>
      </c>
      <c r="V346" s="22">
        <f t="shared" si="66"/>
        <v>4.5823277616818814E-7</v>
      </c>
    </row>
    <row r="347" spans="1:22" x14ac:dyDescent="0.45">
      <c r="A347">
        <v>21.06606</v>
      </c>
      <c r="B347">
        <v>179.42932999999999</v>
      </c>
      <c r="C347">
        <v>323.99011000000002</v>
      </c>
      <c r="D347">
        <v>22381.129499999999</v>
      </c>
      <c r="E347" s="13">
        <v>21.229529738168502</v>
      </c>
      <c r="F347" s="13">
        <v>179.30257604438199</v>
      </c>
      <c r="G347" s="13">
        <v>-36.055619712739798</v>
      </c>
      <c r="H347" s="13">
        <f t="shared" si="67"/>
        <v>323.94438028726017</v>
      </c>
      <c r="I347" s="9">
        <v>21.229529738</v>
      </c>
      <c r="J347" s="9">
        <v>179.30257604400001</v>
      </c>
      <c r="K347" s="9">
        <f t="shared" si="68"/>
        <v>179.30257604400003</v>
      </c>
      <c r="L347" s="10">
        <v>143.94438</v>
      </c>
      <c r="M347" s="3">
        <f t="shared" si="69"/>
        <v>323.94438000000002</v>
      </c>
      <c r="N347" s="15">
        <f t="shared" si="62"/>
        <v>21.22952973816944</v>
      </c>
      <c r="O347" s="23">
        <f t="shared" si="60"/>
        <v>9.3791641120333225E-13</v>
      </c>
      <c r="P347" s="22">
        <f t="shared" si="61"/>
        <v>1.6943957348303229E-10</v>
      </c>
      <c r="Q347" s="16">
        <f t="shared" si="70"/>
        <v>179.30257604438179</v>
      </c>
      <c r="R347" s="23">
        <f t="shared" si="63"/>
        <v>1.9895196601282805E-13</v>
      </c>
      <c r="S347" s="22">
        <f t="shared" si="64"/>
        <v>3.8176040106918663E-10</v>
      </c>
      <c r="T347" s="16">
        <f t="shared" si="71"/>
        <v>323.94438028725949</v>
      </c>
      <c r="U347" s="23">
        <f t="shared" si="65"/>
        <v>6.8212102632969618E-13</v>
      </c>
      <c r="V347" s="22">
        <f t="shared" si="66"/>
        <v>2.8725946776830824E-7</v>
      </c>
    </row>
    <row r="348" spans="1:22" x14ac:dyDescent="0.45">
      <c r="A348">
        <v>1.8658999999999999</v>
      </c>
      <c r="B348">
        <v>21.927510000000002</v>
      </c>
      <c r="C348">
        <v>9.7335999999999991</v>
      </c>
      <c r="D348">
        <v>20614.375899999999</v>
      </c>
      <c r="E348" s="13">
        <v>2.0496439224619301</v>
      </c>
      <c r="F348" s="13">
        <v>21.958838109837899</v>
      </c>
      <c r="G348" s="13">
        <v>9.7346702610547098</v>
      </c>
      <c r="H348" s="13">
        <f t="shared" si="67"/>
        <v>9.7346702610547098</v>
      </c>
      <c r="I348" s="11">
        <v>2.049643922</v>
      </c>
      <c r="J348" s="11">
        <v>21.958838109999999</v>
      </c>
      <c r="K348" s="9">
        <f t="shared" si="68"/>
        <v>21.958838109999988</v>
      </c>
      <c r="L348" s="12">
        <v>189.73466999999999</v>
      </c>
      <c r="M348" s="3">
        <f t="shared" si="69"/>
        <v>9.7346699999999942</v>
      </c>
      <c r="N348" s="15">
        <f t="shared" si="62"/>
        <v>2.0496439224617071</v>
      </c>
      <c r="O348" s="23">
        <f t="shared" si="60"/>
        <v>2.2293278334473143E-13</v>
      </c>
      <c r="P348" s="22">
        <f t="shared" si="61"/>
        <v>4.617071169832343E-10</v>
      </c>
      <c r="Q348" s="16">
        <f t="shared" si="70"/>
        <v>21.958838109837927</v>
      </c>
      <c r="R348" s="23">
        <f t="shared" si="63"/>
        <v>2.8421709430404007E-14</v>
      </c>
      <c r="S348" s="22">
        <f t="shared" si="64"/>
        <v>1.6206058717216365E-10</v>
      </c>
      <c r="T348" s="16">
        <f t="shared" si="71"/>
        <v>9.7346702610547133</v>
      </c>
      <c r="U348" s="23">
        <f t="shared" si="65"/>
        <v>3.5527136788005009E-15</v>
      </c>
      <c r="V348" s="22">
        <f t="shared" si="66"/>
        <v>2.6105471917503564E-7</v>
      </c>
    </row>
    <row r="349" spans="1:22" x14ac:dyDescent="0.45">
      <c r="A349">
        <v>87.573009999999996</v>
      </c>
      <c r="B349">
        <v>-122.39171</v>
      </c>
      <c r="C349">
        <v>90.482740000000007</v>
      </c>
      <c r="D349">
        <v>13877.534299999999</v>
      </c>
      <c r="E349" s="13">
        <v>87.568788374598796</v>
      </c>
      <c r="F349" s="13">
        <v>-119.46156610093</v>
      </c>
      <c r="G349" s="13">
        <v>93.410252114611794</v>
      </c>
      <c r="H349" s="13">
        <f t="shared" si="67"/>
        <v>93.410252114611794</v>
      </c>
      <c r="I349" s="9">
        <v>87.568788374999997</v>
      </c>
      <c r="J349" s="9">
        <v>-119.461566101</v>
      </c>
      <c r="K349" s="9">
        <f t="shared" si="68"/>
        <v>-119.461566101</v>
      </c>
      <c r="L349" s="10">
        <v>273.41025200000001</v>
      </c>
      <c r="M349" s="3">
        <f t="shared" si="69"/>
        <v>93.410252000000014</v>
      </c>
      <c r="N349" s="15">
        <f t="shared" si="62"/>
        <v>87.568788374598782</v>
      </c>
      <c r="O349" s="23">
        <f t="shared" si="60"/>
        <v>1.4210854715202004E-14</v>
      </c>
      <c r="P349" s="22">
        <f t="shared" si="61"/>
        <v>4.0121506117429817E-10</v>
      </c>
      <c r="Q349" s="16">
        <f t="shared" si="70"/>
        <v>-119.4615661009549</v>
      </c>
      <c r="R349" s="23">
        <f t="shared" si="63"/>
        <v>2.4897417461033911E-11</v>
      </c>
      <c r="S349" s="22">
        <f t="shared" si="64"/>
        <v>4.510525286605116E-11</v>
      </c>
      <c r="T349" s="16">
        <f t="shared" si="71"/>
        <v>93.410252114586896</v>
      </c>
      <c r="U349" s="23">
        <f t="shared" si="65"/>
        <v>2.4897417461033911E-11</v>
      </c>
      <c r="V349" s="22">
        <f t="shared" si="66"/>
        <v>1.1458688220500335E-7</v>
      </c>
    </row>
    <row r="350" spans="1:22" x14ac:dyDescent="0.45">
      <c r="A350">
        <v>-49.391500000000001</v>
      </c>
      <c r="B350">
        <v>34.455530000000003</v>
      </c>
      <c r="C350">
        <v>235.17873</v>
      </c>
      <c r="D350">
        <v>24868.251799999998</v>
      </c>
      <c r="E350" s="13">
        <v>-49.518835510478397</v>
      </c>
      <c r="F350" s="13">
        <v>34.173584709468301</v>
      </c>
      <c r="G350" s="13">
        <v>-124.60702014619901</v>
      </c>
      <c r="H350" s="13">
        <f t="shared" si="67"/>
        <v>235.39297985380099</v>
      </c>
      <c r="I350" s="11">
        <v>-49.518835510000002</v>
      </c>
      <c r="J350" s="11">
        <v>34.173584708999996</v>
      </c>
      <c r="K350" s="9">
        <f t="shared" si="68"/>
        <v>34.173584709000011</v>
      </c>
      <c r="L350" s="12">
        <v>55.392980000000001</v>
      </c>
      <c r="M350" s="3">
        <f t="shared" si="69"/>
        <v>235.39297999999999</v>
      </c>
      <c r="N350" s="15">
        <f t="shared" si="62"/>
        <v>-49.518835510478688</v>
      </c>
      <c r="O350" s="23">
        <f t="shared" si="60"/>
        <v>2.9132252166164108E-13</v>
      </c>
      <c r="P350" s="22">
        <f t="shared" si="61"/>
        <v>4.7868553565422189E-10</v>
      </c>
      <c r="Q350" s="16">
        <f t="shared" si="70"/>
        <v>34.173584709468201</v>
      </c>
      <c r="R350" s="23">
        <f t="shared" si="63"/>
        <v>9.9475983006414026E-14</v>
      </c>
      <c r="S350" s="22">
        <f t="shared" si="64"/>
        <v>4.6819081944704521E-10</v>
      </c>
      <c r="T350" s="16">
        <f t="shared" si="71"/>
        <v>235.39297985380122</v>
      </c>
      <c r="U350" s="23">
        <f t="shared" si="65"/>
        <v>2.2737367544323206E-13</v>
      </c>
      <c r="V350" s="22">
        <f t="shared" si="66"/>
        <v>1.4619877219956834E-7</v>
      </c>
    </row>
    <row r="351" spans="1:22" x14ac:dyDescent="0.45">
      <c r="A351">
        <v>19.561489999999999</v>
      </c>
      <c r="B351">
        <v>-15.093909999999999</v>
      </c>
      <c r="C351">
        <v>177.76183</v>
      </c>
      <c r="D351">
        <v>7600.4764999999998</v>
      </c>
      <c r="E351" s="13">
        <v>19.492883068193301</v>
      </c>
      <c r="F351" s="13">
        <v>-15.0910825045738</v>
      </c>
      <c r="G351" s="13">
        <v>177.762775102109</v>
      </c>
      <c r="H351" s="13">
        <f t="shared" si="67"/>
        <v>177.762775102109</v>
      </c>
      <c r="I351" s="9">
        <v>19.492883068000001</v>
      </c>
      <c r="J351" s="9">
        <v>-15.091082504999999</v>
      </c>
      <c r="K351" s="9">
        <f t="shared" si="68"/>
        <v>-15.091082505000003</v>
      </c>
      <c r="L351" s="10">
        <v>357.76277499999998</v>
      </c>
      <c r="M351" s="3">
        <f t="shared" si="69"/>
        <v>177.76277499999992</v>
      </c>
      <c r="N351" s="15">
        <f t="shared" si="62"/>
        <v>19.492883068193038</v>
      </c>
      <c r="O351" s="23">
        <f t="shared" si="60"/>
        <v>2.6290081223123707E-13</v>
      </c>
      <c r="P351" s="22">
        <f t="shared" si="61"/>
        <v>1.9303669773762522E-10</v>
      </c>
      <c r="Q351" s="16">
        <f t="shared" si="70"/>
        <v>-15.091082504573848</v>
      </c>
      <c r="R351" s="23">
        <f t="shared" si="63"/>
        <v>4.7961634663806763E-14</v>
      </c>
      <c r="S351" s="22">
        <f t="shared" si="64"/>
        <v>4.2615511119947769E-10</v>
      </c>
      <c r="T351" s="16">
        <f t="shared" si="71"/>
        <v>177.76277510210861</v>
      </c>
      <c r="U351" s="23">
        <f t="shared" si="65"/>
        <v>3.979039320256561E-13</v>
      </c>
      <c r="V351" s="22">
        <f t="shared" si="66"/>
        <v>1.0210868595095235E-7</v>
      </c>
    </row>
    <row r="352" spans="1:22" x14ac:dyDescent="0.45">
      <c r="A352">
        <v>22.08745</v>
      </c>
      <c r="B352">
        <v>-50.177840000000003</v>
      </c>
      <c r="C352">
        <v>4.9460800000000003</v>
      </c>
      <c r="D352">
        <v>16591.260399999999</v>
      </c>
      <c r="E352" s="13">
        <v>22.236723418395801</v>
      </c>
      <c r="F352" s="13">
        <v>-50.163964080154201</v>
      </c>
      <c r="G352" s="13">
        <v>4.9513143905919801</v>
      </c>
      <c r="H352" s="13">
        <f t="shared" si="67"/>
        <v>4.9513143905919801</v>
      </c>
      <c r="I352" s="11">
        <v>22.236723418</v>
      </c>
      <c r="J352" s="11">
        <v>-50.16396408</v>
      </c>
      <c r="K352" s="9">
        <f t="shared" si="68"/>
        <v>-50.16396408</v>
      </c>
      <c r="L352" s="12">
        <v>184.951314</v>
      </c>
      <c r="M352" s="3">
        <f t="shared" si="69"/>
        <v>4.9513140000000249</v>
      </c>
      <c r="N352" s="15">
        <f t="shared" si="62"/>
        <v>22.236723418396451</v>
      </c>
      <c r="O352" s="23">
        <f t="shared" si="60"/>
        <v>6.5014660322049167E-13</v>
      </c>
      <c r="P352" s="22">
        <f t="shared" si="61"/>
        <v>3.964508721310267E-10</v>
      </c>
      <c r="Q352" s="16">
        <f t="shared" si="70"/>
        <v>-50.163964080154187</v>
      </c>
      <c r="R352" s="23">
        <f t="shared" si="63"/>
        <v>1.4210854715202004E-14</v>
      </c>
      <c r="S352" s="22">
        <f t="shared" si="64"/>
        <v>1.5418777365994174E-10</v>
      </c>
      <c r="T352" s="16">
        <f t="shared" si="71"/>
        <v>4.9513143905919987</v>
      </c>
      <c r="U352" s="23">
        <f t="shared" si="65"/>
        <v>1.865174681370263E-14</v>
      </c>
      <c r="V352" s="22">
        <f t="shared" si="66"/>
        <v>3.9059197387558697E-7</v>
      </c>
    </row>
    <row r="353" spans="1:22" x14ac:dyDescent="0.45">
      <c r="A353">
        <v>60.219909999999999</v>
      </c>
      <c r="B353">
        <v>140.29279</v>
      </c>
      <c r="C353">
        <v>41.953949999999999</v>
      </c>
      <c r="D353">
        <v>9391.4030000000002</v>
      </c>
      <c r="E353" s="13">
        <v>60.282547223000797</v>
      </c>
      <c r="F353" s="13">
        <v>140.40627639951501</v>
      </c>
      <c r="G353" s="13">
        <v>42.052479987732703</v>
      </c>
      <c r="H353" s="13">
        <f t="shared" si="67"/>
        <v>42.052479987732703</v>
      </c>
      <c r="I353" s="9">
        <v>60.282547223000002</v>
      </c>
      <c r="J353" s="9">
        <v>140.4062764</v>
      </c>
      <c r="K353" s="9">
        <f t="shared" si="68"/>
        <v>140.40627640000002</v>
      </c>
      <c r="L353" s="10">
        <v>222.05248</v>
      </c>
      <c r="M353" s="3">
        <f t="shared" si="69"/>
        <v>42.052480000000003</v>
      </c>
      <c r="N353" s="15">
        <f t="shared" si="62"/>
        <v>60.282547223000755</v>
      </c>
      <c r="O353" s="23">
        <f t="shared" ref="O353:O416" si="72">ABS(E353-N353)</f>
        <v>4.2632564145606011E-14</v>
      </c>
      <c r="P353" s="22">
        <f t="shared" ref="P353:P416" si="73">ABS(I353-N353)</f>
        <v>7.531752999057062E-13</v>
      </c>
      <c r="Q353" s="16">
        <f t="shared" si="70"/>
        <v>140.40627639951538</v>
      </c>
      <c r="R353" s="23">
        <f t="shared" si="63"/>
        <v>3.694822225952521E-13</v>
      </c>
      <c r="S353" s="22">
        <f t="shared" si="64"/>
        <v>4.8464698920724913E-10</v>
      </c>
      <c r="T353" s="16">
        <f t="shared" si="71"/>
        <v>42.052479987732774</v>
      </c>
      <c r="U353" s="23">
        <f t="shared" si="65"/>
        <v>7.1054273576010019E-14</v>
      </c>
      <c r="V353" s="22">
        <f t="shared" si="66"/>
        <v>1.2267229010376468E-8</v>
      </c>
    </row>
    <row r="354" spans="1:22" x14ac:dyDescent="0.45">
      <c r="A354">
        <v>55.900210000000001</v>
      </c>
      <c r="B354">
        <v>151.31617</v>
      </c>
      <c r="C354">
        <v>313.54763000000003</v>
      </c>
      <c r="D354">
        <v>2792.5965999999999</v>
      </c>
      <c r="E354" s="13">
        <v>55.917485942735802</v>
      </c>
      <c r="F354" s="13">
        <v>151.28379801112499</v>
      </c>
      <c r="G354" s="13">
        <v>-46.479178762831999</v>
      </c>
      <c r="H354" s="13">
        <f t="shared" si="67"/>
        <v>313.52082123716798</v>
      </c>
      <c r="I354" s="11">
        <v>55.917485943000003</v>
      </c>
      <c r="J354" s="11">
        <v>151.28379801099999</v>
      </c>
      <c r="K354" s="9">
        <f t="shared" si="68"/>
        <v>151.28379801099999</v>
      </c>
      <c r="L354" s="12">
        <v>133.52082100000001</v>
      </c>
      <c r="M354" s="3">
        <f t="shared" si="69"/>
        <v>313.52082100000001</v>
      </c>
      <c r="N354" s="15">
        <f t="shared" si="62"/>
        <v>55.917485942748343</v>
      </c>
      <c r="O354" s="23">
        <f t="shared" si="72"/>
        <v>1.2541079286165768E-11</v>
      </c>
      <c r="P354" s="22">
        <f t="shared" si="73"/>
        <v>2.5166002615151228E-10</v>
      </c>
      <c r="Q354" s="16">
        <f t="shared" si="70"/>
        <v>151.28379801110111</v>
      </c>
      <c r="R354" s="23">
        <f t="shared" si="63"/>
        <v>2.3874235921539366E-11</v>
      </c>
      <c r="S354" s="22">
        <f t="shared" si="64"/>
        <v>1.0112444215337746E-10</v>
      </c>
      <c r="T354" s="16">
        <f t="shared" si="71"/>
        <v>313.5208212371482</v>
      </c>
      <c r="U354" s="23">
        <f t="shared" si="65"/>
        <v>1.9781509763561189E-11</v>
      </c>
      <c r="V354" s="22">
        <f t="shared" si="66"/>
        <v>2.371481855334423E-7</v>
      </c>
    </row>
    <row r="355" spans="1:22" x14ac:dyDescent="0.45">
      <c r="A355">
        <v>-2.49248</v>
      </c>
      <c r="B355">
        <v>7.2590399999999997</v>
      </c>
      <c r="C355">
        <v>257.20011</v>
      </c>
      <c r="D355">
        <v>28192.577000000001</v>
      </c>
      <c r="E355" s="13">
        <v>-2.5489420504937801</v>
      </c>
      <c r="F355" s="13">
        <v>7.01183237991666</v>
      </c>
      <c r="G355" s="13">
        <v>-102.789017663026</v>
      </c>
      <c r="H355" s="13">
        <f t="shared" si="67"/>
        <v>257.21098233697398</v>
      </c>
      <c r="I355" s="9">
        <v>-2.54894205</v>
      </c>
      <c r="J355" s="9">
        <v>7.0118323800000004</v>
      </c>
      <c r="K355" s="9">
        <f t="shared" si="68"/>
        <v>7.0118323799999871</v>
      </c>
      <c r="L355" s="10">
        <v>77.210982000000001</v>
      </c>
      <c r="M355" s="3">
        <f t="shared" si="69"/>
        <v>257.210982</v>
      </c>
      <c r="N355" s="15">
        <f t="shared" si="62"/>
        <v>-2.548942050494154</v>
      </c>
      <c r="O355" s="23">
        <f t="shared" si="72"/>
        <v>3.7392311469375272E-13</v>
      </c>
      <c r="P355" s="22">
        <f t="shared" si="73"/>
        <v>4.9415405101171928E-10</v>
      </c>
      <c r="Q355" s="16">
        <f t="shared" si="70"/>
        <v>7.011832379915063</v>
      </c>
      <c r="R355" s="23">
        <f t="shared" si="63"/>
        <v>1.5969447986208252E-12</v>
      </c>
      <c r="S355" s="22">
        <f t="shared" si="64"/>
        <v>8.4924067778047174E-11</v>
      </c>
      <c r="T355" s="16">
        <f t="shared" si="71"/>
        <v>257.21098233697393</v>
      </c>
      <c r="U355" s="23">
        <f t="shared" si="65"/>
        <v>5.6843418860808015E-14</v>
      </c>
      <c r="V355" s="22">
        <f t="shared" si="66"/>
        <v>3.3697392609610688E-7</v>
      </c>
    </row>
    <row r="356" spans="1:22" x14ac:dyDescent="0.45">
      <c r="A356">
        <v>-5.765E-2</v>
      </c>
      <c r="B356">
        <v>-157.81970999999999</v>
      </c>
      <c r="C356">
        <v>166.02350999999999</v>
      </c>
      <c r="D356">
        <v>27140.077000000001</v>
      </c>
      <c r="E356" s="13">
        <v>-0.29583000591012099</v>
      </c>
      <c r="F356" s="13">
        <v>-157.76082506615899</v>
      </c>
      <c r="G356" s="13">
        <v>166.023328357819</v>
      </c>
      <c r="H356" s="13">
        <f t="shared" si="67"/>
        <v>166.023328357819</v>
      </c>
      <c r="I356" s="11">
        <v>-0.29583000599999998</v>
      </c>
      <c r="J356" s="11">
        <v>-157.760825066</v>
      </c>
      <c r="K356" s="9">
        <f t="shared" si="68"/>
        <v>-157.760825066</v>
      </c>
      <c r="L356" s="12">
        <v>346.02332799999999</v>
      </c>
      <c r="M356" s="3">
        <f t="shared" si="69"/>
        <v>166.02332799999999</v>
      </c>
      <c r="N356" s="15">
        <f t="shared" si="62"/>
        <v>-0.29583000591005137</v>
      </c>
      <c r="O356" s="23">
        <f t="shared" si="72"/>
        <v>6.9610983643997315E-14</v>
      </c>
      <c r="P356" s="22">
        <f t="shared" si="73"/>
        <v>8.9948604120593245E-11</v>
      </c>
      <c r="Q356" s="16">
        <f t="shared" si="70"/>
        <v>-157.7608250661585</v>
      </c>
      <c r="R356" s="23">
        <f t="shared" si="63"/>
        <v>4.8316906031686813E-13</v>
      </c>
      <c r="S356" s="22">
        <f t="shared" si="64"/>
        <v>1.5850787349336315E-10</v>
      </c>
      <c r="T356" s="16">
        <f t="shared" si="71"/>
        <v>166.02332835781831</v>
      </c>
      <c r="U356" s="23">
        <f t="shared" si="65"/>
        <v>6.8212102632969618E-13</v>
      </c>
      <c r="V356" s="22">
        <f t="shared" si="66"/>
        <v>3.5781832252723689E-7</v>
      </c>
    </row>
    <row r="357" spans="1:22" x14ac:dyDescent="0.45">
      <c r="A357">
        <v>59.596429999999998</v>
      </c>
      <c r="B357">
        <v>60.226509999999998</v>
      </c>
      <c r="C357">
        <v>180.20901000000001</v>
      </c>
      <c r="D357">
        <v>11706.651400000001</v>
      </c>
      <c r="E357" s="13">
        <v>59.491348305144001</v>
      </c>
      <c r="F357" s="13">
        <v>60.2257562231257</v>
      </c>
      <c r="G357" s="13">
        <v>-179.791639769271</v>
      </c>
      <c r="H357" s="13">
        <f t="shared" si="67"/>
        <v>180.208360230729</v>
      </c>
      <c r="I357" s="9">
        <v>59.491348305000002</v>
      </c>
      <c r="J357" s="9">
        <v>60.225756222999998</v>
      </c>
      <c r="K357" s="9">
        <f t="shared" si="68"/>
        <v>60.225756222999991</v>
      </c>
      <c r="L357" s="10">
        <v>0.20835999999999999</v>
      </c>
      <c r="M357" s="3">
        <f t="shared" si="69"/>
        <v>180.20836</v>
      </c>
      <c r="N357" s="15">
        <f t="shared" si="62"/>
        <v>59.49134830508762</v>
      </c>
      <c r="O357" s="23">
        <f t="shared" si="72"/>
        <v>5.638156608256395E-11</v>
      </c>
      <c r="P357" s="22">
        <f t="shared" si="73"/>
        <v>8.7617024746577954E-11</v>
      </c>
      <c r="Q357" s="16">
        <f t="shared" si="70"/>
        <v>60.225756223125273</v>
      </c>
      <c r="R357" s="23">
        <f t="shared" si="63"/>
        <v>4.2632564145606011E-13</v>
      </c>
      <c r="S357" s="22">
        <f t="shared" si="64"/>
        <v>1.2528289516922086E-10</v>
      </c>
      <c r="T357" s="16">
        <f t="shared" si="71"/>
        <v>180.20836023072812</v>
      </c>
      <c r="U357" s="23">
        <f t="shared" si="65"/>
        <v>8.8107299234252423E-13</v>
      </c>
      <c r="V357" s="22">
        <f t="shared" si="66"/>
        <v>2.3072811927704606E-7</v>
      </c>
    </row>
    <row r="358" spans="1:22" x14ac:dyDescent="0.45">
      <c r="A358">
        <v>-36.75421</v>
      </c>
      <c r="B358">
        <v>-142.1782</v>
      </c>
      <c r="C358">
        <v>211.17688000000001</v>
      </c>
      <c r="D358">
        <v>8158.5919000000004</v>
      </c>
      <c r="E358" s="13">
        <v>-36.817100871481301</v>
      </c>
      <c r="F358" s="13">
        <v>-142.225536302233</v>
      </c>
      <c r="G358" s="13">
        <v>-148.79477392302101</v>
      </c>
      <c r="H358" s="13">
        <f t="shared" si="67"/>
        <v>211.20522607697899</v>
      </c>
      <c r="I358" s="11">
        <v>-36.817100871000001</v>
      </c>
      <c r="J358" s="11">
        <v>-142.22553630199999</v>
      </c>
      <c r="K358" s="9">
        <f t="shared" si="68"/>
        <v>-142.22553630199999</v>
      </c>
      <c r="L358" s="12">
        <v>31.205226</v>
      </c>
      <c r="M358" s="3">
        <f t="shared" si="69"/>
        <v>211.20522600000001</v>
      </c>
      <c r="N358" s="15">
        <f t="shared" si="62"/>
        <v>-36.817100871481138</v>
      </c>
      <c r="O358" s="23">
        <f t="shared" si="72"/>
        <v>1.6342482922482304E-13</v>
      </c>
      <c r="P358" s="22">
        <f t="shared" si="73"/>
        <v>4.8113690809259424E-10</v>
      </c>
      <c r="Q358" s="16">
        <f t="shared" si="70"/>
        <v>-142.22553630223317</v>
      </c>
      <c r="R358" s="23">
        <f t="shared" si="63"/>
        <v>1.7053025658242404E-13</v>
      </c>
      <c r="S358" s="22">
        <f t="shared" si="64"/>
        <v>2.3317170416703448E-10</v>
      </c>
      <c r="T358" s="16">
        <f t="shared" si="71"/>
        <v>211.20522607697924</v>
      </c>
      <c r="U358" s="23">
        <f t="shared" si="65"/>
        <v>2.5579538487363607E-13</v>
      </c>
      <c r="V358" s="22">
        <f t="shared" si="66"/>
        <v>7.697923365412862E-8</v>
      </c>
    </row>
    <row r="359" spans="1:22" x14ac:dyDescent="0.45">
      <c r="A359">
        <v>61.48621</v>
      </c>
      <c r="B359">
        <v>27.960650000000001</v>
      </c>
      <c r="C359">
        <v>134.62588</v>
      </c>
      <c r="D359">
        <v>1874.9798000000001</v>
      </c>
      <c r="E359" s="13">
        <v>61.474388243212303</v>
      </c>
      <c r="F359" s="13">
        <v>27.985687007291201</v>
      </c>
      <c r="G359" s="13">
        <v>134.647878841563</v>
      </c>
      <c r="H359" s="13">
        <f t="shared" si="67"/>
        <v>134.647878841563</v>
      </c>
      <c r="I359" s="9">
        <v>61.474388243</v>
      </c>
      <c r="J359" s="9">
        <v>27.985687006999999</v>
      </c>
      <c r="K359" s="9">
        <f t="shared" si="68"/>
        <v>27.985687006999996</v>
      </c>
      <c r="L359" s="10">
        <v>314.64787899999999</v>
      </c>
      <c r="M359" s="3">
        <f t="shared" si="69"/>
        <v>134.64787899999999</v>
      </c>
      <c r="N359" s="15">
        <f t="shared" si="62"/>
        <v>61.47438824319628</v>
      </c>
      <c r="O359" s="23">
        <f t="shared" si="72"/>
        <v>1.6022738691390259E-11</v>
      </c>
      <c r="P359" s="22">
        <f t="shared" si="73"/>
        <v>1.9628032532637008E-10</v>
      </c>
      <c r="Q359" s="16">
        <f t="shared" si="70"/>
        <v>27.985687007324969</v>
      </c>
      <c r="R359" s="23">
        <f t="shared" si="63"/>
        <v>3.3768543516998761E-11</v>
      </c>
      <c r="S359" s="22">
        <f t="shared" si="64"/>
        <v>3.2497382562723942E-10</v>
      </c>
      <c r="T359" s="16">
        <f t="shared" si="71"/>
        <v>134.64787884159301</v>
      </c>
      <c r="U359" s="23">
        <f t="shared" si="65"/>
        <v>3.0013325158506632E-11</v>
      </c>
      <c r="V359" s="22">
        <f t="shared" si="66"/>
        <v>1.5840697642488522E-7</v>
      </c>
    </row>
    <row r="360" spans="1:22" x14ac:dyDescent="0.45">
      <c r="A360">
        <v>-88.946669999999997</v>
      </c>
      <c r="B360">
        <v>22.380780000000001</v>
      </c>
      <c r="C360">
        <v>13.434760000000001</v>
      </c>
      <c r="D360">
        <v>13484.368700000001</v>
      </c>
      <c r="E360" s="13">
        <v>-88.8289112736026</v>
      </c>
      <c r="F360" s="13">
        <v>23.753323254485402</v>
      </c>
      <c r="G360" s="13">
        <v>12.0624745853753</v>
      </c>
      <c r="H360" s="13">
        <f t="shared" si="67"/>
        <v>12.0624745853753</v>
      </c>
      <c r="I360" s="11">
        <v>-88.828911274000006</v>
      </c>
      <c r="J360" s="11">
        <v>23.753323254000001</v>
      </c>
      <c r="K360" s="9">
        <f t="shared" si="68"/>
        <v>23.753323254000009</v>
      </c>
      <c r="L360" s="12">
        <v>192.06247500000001</v>
      </c>
      <c r="M360" s="3">
        <f t="shared" si="69"/>
        <v>12.062475000000006</v>
      </c>
      <c r="N360" s="15">
        <f t="shared" si="62"/>
        <v>-88.828911273603552</v>
      </c>
      <c r="O360" s="23">
        <f t="shared" si="72"/>
        <v>9.5212726591853425E-13</v>
      </c>
      <c r="P360" s="22">
        <f t="shared" si="73"/>
        <v>3.964544248447055E-10</v>
      </c>
      <c r="Q360" s="16">
        <f t="shared" si="70"/>
        <v>23.75332325447485</v>
      </c>
      <c r="R360" s="23">
        <f t="shared" si="63"/>
        <v>1.0551559626037488E-11</v>
      </c>
      <c r="S360" s="22">
        <f t="shared" si="64"/>
        <v>4.7484149945375975E-10</v>
      </c>
      <c r="T360" s="16">
        <f t="shared" si="71"/>
        <v>12.062474585385903</v>
      </c>
      <c r="U360" s="23">
        <f t="shared" si="65"/>
        <v>1.0603073974380095E-11</v>
      </c>
      <c r="V360" s="22">
        <f t="shared" si="66"/>
        <v>4.1461410305032587E-7</v>
      </c>
    </row>
    <row r="361" spans="1:22" x14ac:dyDescent="0.45">
      <c r="A361">
        <v>-19.17191</v>
      </c>
      <c r="B361">
        <v>-166.02682999999999</v>
      </c>
      <c r="C361">
        <v>178.93833000000001</v>
      </c>
      <c r="D361">
        <v>23242.379099999998</v>
      </c>
      <c r="E361" s="13">
        <v>-19.381840889774001</v>
      </c>
      <c r="F361" s="13">
        <v>-166.022730530714</v>
      </c>
      <c r="G361" s="13">
        <v>178.93697662578899</v>
      </c>
      <c r="H361" s="13">
        <f t="shared" si="67"/>
        <v>178.93697662578899</v>
      </c>
      <c r="I361" s="9">
        <v>-19.381840889999999</v>
      </c>
      <c r="J361" s="9">
        <v>-166.02273053100001</v>
      </c>
      <c r="K361" s="9">
        <f t="shared" si="68"/>
        <v>-166.02273053100001</v>
      </c>
      <c r="L361" s="10">
        <v>358.93697700000001</v>
      </c>
      <c r="M361" s="3">
        <f t="shared" si="69"/>
        <v>178.93697700000007</v>
      </c>
      <c r="N361" s="15">
        <f t="shared" si="62"/>
        <v>-19.381840889774725</v>
      </c>
      <c r="O361" s="23">
        <f t="shared" si="72"/>
        <v>7.2475359047530219E-13</v>
      </c>
      <c r="P361" s="22">
        <f t="shared" si="73"/>
        <v>2.2527402165906096E-10</v>
      </c>
      <c r="Q361" s="16">
        <f t="shared" si="70"/>
        <v>-166.02273053071411</v>
      </c>
      <c r="R361" s="23">
        <f t="shared" si="63"/>
        <v>1.1368683772161603E-13</v>
      </c>
      <c r="S361" s="22">
        <f t="shared" si="64"/>
        <v>2.8589397516043391E-10</v>
      </c>
      <c r="T361" s="16">
        <f t="shared" si="71"/>
        <v>178.93697662578845</v>
      </c>
      <c r="U361" s="23">
        <f t="shared" si="65"/>
        <v>5.4001247917767614E-13</v>
      </c>
      <c r="V361" s="22">
        <f t="shared" si="66"/>
        <v>3.7421162346618075E-7</v>
      </c>
    </row>
    <row r="362" spans="1:22" x14ac:dyDescent="0.45">
      <c r="A362">
        <v>60.863930000000003</v>
      </c>
      <c r="B362">
        <v>93.278059999999996</v>
      </c>
      <c r="C362">
        <v>0.91698999999999997</v>
      </c>
      <c r="D362">
        <v>4824.5838999999996</v>
      </c>
      <c r="E362" s="13">
        <v>60.907222526875898</v>
      </c>
      <c r="F362" s="13">
        <v>93.279482858463197</v>
      </c>
      <c r="G362" s="13">
        <v>0.91823308005006998</v>
      </c>
      <c r="H362" s="13">
        <f t="shared" si="67"/>
        <v>0.91823308005006998</v>
      </c>
      <c r="I362" s="11">
        <v>60.907222527000002</v>
      </c>
      <c r="J362" s="11">
        <v>93.279482857999994</v>
      </c>
      <c r="K362" s="9">
        <f t="shared" si="68"/>
        <v>93.279482857999994</v>
      </c>
      <c r="L362" s="12">
        <v>180.91823299999999</v>
      </c>
      <c r="M362" s="3">
        <f t="shared" si="69"/>
        <v>0.91823299999998653</v>
      </c>
      <c r="N362" s="15">
        <f t="shared" si="62"/>
        <v>60.907222526905578</v>
      </c>
      <c r="O362" s="23">
        <f t="shared" si="72"/>
        <v>2.9679370072699385E-11</v>
      </c>
      <c r="P362" s="22">
        <f t="shared" si="73"/>
        <v>9.4424024155159714E-11</v>
      </c>
      <c r="Q362" s="16">
        <f t="shared" si="70"/>
        <v>93.279482858464178</v>
      </c>
      <c r="R362" s="23">
        <f t="shared" si="63"/>
        <v>9.8054897534893826E-13</v>
      </c>
      <c r="S362" s="22">
        <f t="shared" si="64"/>
        <v>4.6418335841735825E-10</v>
      </c>
      <c r="T362" s="16">
        <f t="shared" si="71"/>
        <v>0.91823308005092508</v>
      </c>
      <c r="U362" s="23">
        <f t="shared" si="65"/>
        <v>8.5509377356629557E-13</v>
      </c>
      <c r="V362" s="22">
        <f t="shared" si="66"/>
        <v>8.0050938544573569E-8</v>
      </c>
    </row>
    <row r="363" spans="1:22" x14ac:dyDescent="0.45">
      <c r="A363">
        <v>88.060959999999994</v>
      </c>
      <c r="B363">
        <v>-16.23498</v>
      </c>
      <c r="C363">
        <v>131.22766999999999</v>
      </c>
      <c r="D363">
        <v>11868.7088</v>
      </c>
      <c r="E363" s="13">
        <v>87.989339262736806</v>
      </c>
      <c r="F363" s="13">
        <v>-13.9565462709587</v>
      </c>
      <c r="G363" s="13">
        <v>133.50475125352099</v>
      </c>
      <c r="H363" s="13">
        <f t="shared" si="67"/>
        <v>133.50475125352099</v>
      </c>
      <c r="I363" s="9">
        <v>87.989339263000005</v>
      </c>
      <c r="J363" s="9">
        <v>-13.956546271000001</v>
      </c>
      <c r="K363" s="9">
        <f t="shared" si="68"/>
        <v>-13.956546271000008</v>
      </c>
      <c r="L363" s="10">
        <v>313.504751</v>
      </c>
      <c r="M363" s="3">
        <f t="shared" si="69"/>
        <v>133.504751</v>
      </c>
      <c r="N363" s="15">
        <f t="shared" si="62"/>
        <v>87.989339262737374</v>
      </c>
      <c r="O363" s="23">
        <f t="shared" si="72"/>
        <v>5.6843418860808015E-13</v>
      </c>
      <c r="P363" s="22">
        <f t="shared" si="73"/>
        <v>2.6263080599164823E-10</v>
      </c>
      <c r="Q363" s="16">
        <f t="shared" si="70"/>
        <v>-13.956546270977327</v>
      </c>
      <c r="R363" s="23">
        <f t="shared" si="63"/>
        <v>1.8626877817951026E-11</v>
      </c>
      <c r="S363" s="22">
        <f t="shared" si="64"/>
        <v>2.2680524125462398E-11</v>
      </c>
      <c r="T363" s="16">
        <f t="shared" si="71"/>
        <v>133.50475125350269</v>
      </c>
      <c r="U363" s="23">
        <f t="shared" si="65"/>
        <v>1.8303580873180181E-11</v>
      </c>
      <c r="V363" s="22">
        <f t="shared" si="66"/>
        <v>2.5350269083901367E-7</v>
      </c>
    </row>
    <row r="364" spans="1:22" x14ac:dyDescent="0.45">
      <c r="A364">
        <v>27.288689999999999</v>
      </c>
      <c r="B364">
        <v>82.386259999999993</v>
      </c>
      <c r="C364">
        <v>88.458340000000007</v>
      </c>
      <c r="D364">
        <v>24911.404200000001</v>
      </c>
      <c r="E364" s="13">
        <v>27.2945121973281</v>
      </c>
      <c r="F364" s="13">
        <v>82.637812110993394</v>
      </c>
      <c r="G364" s="13">
        <v>88.5736816422055</v>
      </c>
      <c r="H364" s="13">
        <f t="shared" si="67"/>
        <v>88.5736816422055</v>
      </c>
      <c r="I364" s="11">
        <v>27.294512197</v>
      </c>
      <c r="J364" s="11">
        <v>82.637812111000002</v>
      </c>
      <c r="K364" s="9">
        <f t="shared" si="68"/>
        <v>82.637812111000017</v>
      </c>
      <c r="L364" s="12">
        <v>268.57368200000002</v>
      </c>
      <c r="M364" s="3">
        <f t="shared" si="69"/>
        <v>88.573682000000019</v>
      </c>
      <c r="N364" s="15">
        <f t="shared" si="62"/>
        <v>27.294512197328398</v>
      </c>
      <c r="O364" s="23">
        <f t="shared" si="72"/>
        <v>2.9842794901924208E-13</v>
      </c>
      <c r="P364" s="22">
        <f t="shared" si="73"/>
        <v>3.283986416136031E-10</v>
      </c>
      <c r="Q364" s="16">
        <f t="shared" si="70"/>
        <v>82.637812111003996</v>
      </c>
      <c r="R364" s="23">
        <f t="shared" si="63"/>
        <v>1.0601297617540695E-11</v>
      </c>
      <c r="S364" s="22">
        <f t="shared" si="64"/>
        <v>3.979039320256561E-12</v>
      </c>
      <c r="T364" s="16">
        <f t="shared" si="71"/>
        <v>88.573681642211014</v>
      </c>
      <c r="U364" s="23">
        <f t="shared" si="65"/>
        <v>5.5138116294983774E-12</v>
      </c>
      <c r="V364" s="22">
        <f t="shared" si="66"/>
        <v>3.5778900553395943E-7</v>
      </c>
    </row>
    <row r="365" spans="1:22" x14ac:dyDescent="0.45">
      <c r="A365">
        <v>-70.597409999999996</v>
      </c>
      <c r="B365">
        <v>155.70582999999999</v>
      </c>
      <c r="C365">
        <v>64.652959999999993</v>
      </c>
      <c r="D365">
        <v>501.83679999999998</v>
      </c>
      <c r="E365" s="13">
        <v>-70.595484007553395</v>
      </c>
      <c r="F365" s="13">
        <v>155.718056089822</v>
      </c>
      <c r="G365" s="13">
        <v>64.641428326908098</v>
      </c>
      <c r="H365" s="13">
        <f t="shared" si="67"/>
        <v>64.641428326908098</v>
      </c>
      <c r="I365" s="9">
        <v>-70.595484008</v>
      </c>
      <c r="J365" s="9">
        <v>155.71805609</v>
      </c>
      <c r="K365" s="9">
        <f t="shared" si="68"/>
        <v>155.71805609</v>
      </c>
      <c r="L365" s="10">
        <v>244.64142799999999</v>
      </c>
      <c r="M365" s="3">
        <f t="shared" si="69"/>
        <v>64.641428000000019</v>
      </c>
      <c r="N365" s="15">
        <f t="shared" si="62"/>
        <v>-70.595484007547284</v>
      </c>
      <c r="O365" s="23">
        <f t="shared" si="72"/>
        <v>6.1106675275368616E-12</v>
      </c>
      <c r="P365" s="22">
        <f t="shared" si="73"/>
        <v>4.5271519866219023E-10</v>
      </c>
      <c r="Q365" s="16">
        <f t="shared" si="70"/>
        <v>155.71805608985989</v>
      </c>
      <c r="R365" s="23">
        <f t="shared" si="63"/>
        <v>3.7886138670728542E-11</v>
      </c>
      <c r="S365" s="22">
        <f t="shared" si="64"/>
        <v>1.4011902749189176E-10</v>
      </c>
      <c r="T365" s="16">
        <f t="shared" si="71"/>
        <v>64.641428326872273</v>
      </c>
      <c r="U365" s="23">
        <f t="shared" si="65"/>
        <v>3.5825564737024251E-11</v>
      </c>
      <c r="V365" s="22">
        <f t="shared" si="66"/>
        <v>3.2687225370864326E-7</v>
      </c>
    </row>
    <row r="366" spans="1:22" x14ac:dyDescent="0.45">
      <c r="A366">
        <v>70.229839999999996</v>
      </c>
      <c r="B366">
        <v>165.31209000000001</v>
      </c>
      <c r="C366">
        <v>235.96164999999999</v>
      </c>
      <c r="D366">
        <v>5521.8651</v>
      </c>
      <c r="E366" s="13">
        <v>70.202094695606505</v>
      </c>
      <c r="F366" s="13">
        <v>165.191090825305</v>
      </c>
      <c r="G366" s="13">
        <v>-124.15220722267399</v>
      </c>
      <c r="H366" s="13">
        <f t="shared" si="67"/>
        <v>235.84779277732599</v>
      </c>
      <c r="I366" s="11">
        <v>70.202094696000003</v>
      </c>
      <c r="J366" s="11">
        <v>165.191090825</v>
      </c>
      <c r="K366" s="9">
        <f t="shared" si="68"/>
        <v>165.191090825</v>
      </c>
      <c r="L366" s="12">
        <v>55.847793000000003</v>
      </c>
      <c r="M366" s="3">
        <f t="shared" si="69"/>
        <v>235.847793</v>
      </c>
      <c r="N366" s="15">
        <f t="shared" si="62"/>
        <v>70.202094695606476</v>
      </c>
      <c r="O366" s="23">
        <f t="shared" si="72"/>
        <v>2.8421709430404007E-14</v>
      </c>
      <c r="P366" s="22">
        <f t="shared" si="73"/>
        <v>3.9352698877337389E-10</v>
      </c>
      <c r="Q366" s="16">
        <f t="shared" si="70"/>
        <v>165.19109082530542</v>
      </c>
      <c r="R366" s="23">
        <f t="shared" si="63"/>
        <v>4.2632564145606011E-13</v>
      </c>
      <c r="S366" s="22">
        <f t="shared" si="64"/>
        <v>3.0541968953912146E-10</v>
      </c>
      <c r="T366" s="16">
        <f t="shared" si="71"/>
        <v>235.84779277732639</v>
      </c>
      <c r="U366" s="23">
        <f t="shared" si="65"/>
        <v>3.979039320256561E-13</v>
      </c>
      <c r="V366" s="22">
        <f t="shared" si="66"/>
        <v>2.2267360577643558E-7</v>
      </c>
    </row>
    <row r="367" spans="1:22" x14ac:dyDescent="0.45">
      <c r="A367">
        <v>-42.106540000000003</v>
      </c>
      <c r="B367">
        <v>-176.0924</v>
      </c>
      <c r="C367">
        <v>162.23258999999999</v>
      </c>
      <c r="D367">
        <v>2561.4078</v>
      </c>
      <c r="E367" s="13">
        <v>-42.128499765606698</v>
      </c>
      <c r="F367" s="13">
        <v>-176.08294684979899</v>
      </c>
      <c r="G367" s="13">
        <v>162.22625021190299</v>
      </c>
      <c r="H367" s="13">
        <f t="shared" si="67"/>
        <v>162.22625021190299</v>
      </c>
      <c r="I367" s="9">
        <v>-42.128499765999997</v>
      </c>
      <c r="J367" s="9">
        <v>-176.08294685000001</v>
      </c>
      <c r="K367" s="9">
        <f t="shared" si="68"/>
        <v>-176.08294685000001</v>
      </c>
      <c r="L367" s="10">
        <v>342.22624999999999</v>
      </c>
      <c r="M367" s="3">
        <f t="shared" si="69"/>
        <v>162.22624999999994</v>
      </c>
      <c r="N367" s="15">
        <f t="shared" si="62"/>
        <v>-42.128499765606726</v>
      </c>
      <c r="O367" s="23">
        <f t="shared" si="72"/>
        <v>2.8421709430404007E-14</v>
      </c>
      <c r="P367" s="22">
        <f t="shared" si="73"/>
        <v>3.9327119338850025E-10</v>
      </c>
      <c r="Q367" s="16">
        <f t="shared" si="70"/>
        <v>-176.0829468497993</v>
      </c>
      <c r="R367" s="23">
        <f t="shared" si="63"/>
        <v>3.1263880373444408E-13</v>
      </c>
      <c r="S367" s="22">
        <f t="shared" si="64"/>
        <v>2.007141119975131E-10</v>
      </c>
      <c r="T367" s="16">
        <f t="shared" si="71"/>
        <v>162.22625021190274</v>
      </c>
      <c r="U367" s="23">
        <f t="shared" si="65"/>
        <v>2.5579538487363607E-13</v>
      </c>
      <c r="V367" s="22">
        <f t="shared" si="66"/>
        <v>2.1190280108385195E-7</v>
      </c>
    </row>
    <row r="368" spans="1:22" x14ac:dyDescent="0.45">
      <c r="A368">
        <v>67.836740000000006</v>
      </c>
      <c r="B368">
        <v>158.67313999999999</v>
      </c>
      <c r="C368">
        <v>323.97041000000002</v>
      </c>
      <c r="D368">
        <v>18639.528399999999</v>
      </c>
      <c r="E368" s="13">
        <v>67.971683355565204</v>
      </c>
      <c r="F368" s="13">
        <v>158.41130194523899</v>
      </c>
      <c r="G368" s="13">
        <v>-36.272197923081599</v>
      </c>
      <c r="H368" s="13">
        <f t="shared" si="67"/>
        <v>323.72780207691841</v>
      </c>
      <c r="I368" s="11">
        <v>67.971683356</v>
      </c>
      <c r="J368" s="11">
        <v>158.41130194499999</v>
      </c>
      <c r="K368" s="9">
        <f t="shared" si="68"/>
        <v>158.41130194499999</v>
      </c>
      <c r="L368" s="12">
        <v>143.727802</v>
      </c>
      <c r="M368" s="3">
        <f t="shared" si="69"/>
        <v>323.727802</v>
      </c>
      <c r="N368" s="15">
        <f t="shared" si="62"/>
        <v>67.971683355564991</v>
      </c>
      <c r="O368" s="23">
        <f t="shared" si="72"/>
        <v>2.1316282072803006E-13</v>
      </c>
      <c r="P368" s="22">
        <f t="shared" si="73"/>
        <v>4.3500847368704854E-10</v>
      </c>
      <c r="Q368" s="16">
        <f t="shared" si="70"/>
        <v>158.41130194523907</v>
      </c>
      <c r="R368" s="23">
        <f t="shared" si="63"/>
        <v>8.5265128291212022E-14</v>
      </c>
      <c r="S368" s="22">
        <f t="shared" si="64"/>
        <v>2.3908341972855851E-10</v>
      </c>
      <c r="T368" s="16">
        <f t="shared" si="71"/>
        <v>323.72780207691829</v>
      </c>
      <c r="U368" s="23">
        <f t="shared" si="65"/>
        <v>1.1368683772161603E-13</v>
      </c>
      <c r="V368" s="22">
        <f t="shared" si="66"/>
        <v>7.6918297509109834E-8</v>
      </c>
    </row>
    <row r="369" spans="1:22" x14ac:dyDescent="0.45">
      <c r="A369">
        <v>87.507450000000006</v>
      </c>
      <c r="B369">
        <v>14.386900000000001</v>
      </c>
      <c r="C369">
        <v>247.52189999999999</v>
      </c>
      <c r="D369">
        <v>4096.0942999999997</v>
      </c>
      <c r="E369" s="13">
        <v>87.493199829088098</v>
      </c>
      <c r="F369" s="13">
        <v>13.6121140483049</v>
      </c>
      <c r="G369" s="13">
        <v>-113.25214874720599</v>
      </c>
      <c r="H369" s="13">
        <f t="shared" si="67"/>
        <v>246.74785125279402</v>
      </c>
      <c r="I369" s="9">
        <v>87.493199829000005</v>
      </c>
      <c r="J369" s="9">
        <v>13.612114048</v>
      </c>
      <c r="K369" s="9">
        <f t="shared" si="68"/>
        <v>13.612114047999995</v>
      </c>
      <c r="L369" s="10">
        <v>66.747850999999997</v>
      </c>
      <c r="M369" s="3">
        <f t="shared" si="69"/>
        <v>246.747851</v>
      </c>
      <c r="N369" s="15">
        <f t="shared" si="62"/>
        <v>87.493199829088098</v>
      </c>
      <c r="O369" s="23">
        <f t="shared" si="72"/>
        <v>0</v>
      </c>
      <c r="P369" s="22">
        <f t="shared" si="73"/>
        <v>8.8093088379537221E-11</v>
      </c>
      <c r="Q369" s="16">
        <f t="shared" si="70"/>
        <v>13.61211404831144</v>
      </c>
      <c r="R369" s="23">
        <f t="shared" si="63"/>
        <v>6.5405458826717222E-12</v>
      </c>
      <c r="S369" s="22">
        <f t="shared" si="64"/>
        <v>3.1144509193836711E-10</v>
      </c>
      <c r="T369" s="16">
        <f t="shared" si="71"/>
        <v>246.74785125280016</v>
      </c>
      <c r="U369" s="23">
        <f t="shared" si="65"/>
        <v>6.1390892369672656E-12</v>
      </c>
      <c r="V369" s="22">
        <f t="shared" si="66"/>
        <v>2.5280016302531294E-7</v>
      </c>
    </row>
    <row r="370" spans="1:22" x14ac:dyDescent="0.45">
      <c r="A370">
        <v>-89.259979999999999</v>
      </c>
      <c r="B370">
        <v>-12.74414</v>
      </c>
      <c r="C370">
        <v>199.65513000000001</v>
      </c>
      <c r="D370">
        <v>11243.4959</v>
      </c>
      <c r="E370" s="13">
        <v>-89.353890573513993</v>
      </c>
      <c r="F370" s="13">
        <v>-15.748125922898</v>
      </c>
      <c r="G370" s="13">
        <v>-157.34110273643901</v>
      </c>
      <c r="H370" s="13">
        <f t="shared" si="67"/>
        <v>202.65889726356099</v>
      </c>
      <c r="I370" s="11">
        <v>-89.353890574000005</v>
      </c>
      <c r="J370" s="11">
        <v>-15.748125923</v>
      </c>
      <c r="K370" s="9">
        <f t="shared" si="68"/>
        <v>-15.748125923000003</v>
      </c>
      <c r="L370" s="12">
        <v>22.658897</v>
      </c>
      <c r="M370" s="3">
        <f t="shared" si="69"/>
        <v>202.658897</v>
      </c>
      <c r="N370" s="15">
        <f t="shared" si="62"/>
        <v>-89.353890573513112</v>
      </c>
      <c r="O370" s="23">
        <f t="shared" si="72"/>
        <v>8.8107299234252423E-13</v>
      </c>
      <c r="P370" s="22">
        <f t="shared" si="73"/>
        <v>4.8689230425225105E-10</v>
      </c>
      <c r="Q370" s="16">
        <f t="shared" si="70"/>
        <v>-15.748125922868326</v>
      </c>
      <c r="R370" s="23">
        <f t="shared" si="63"/>
        <v>2.9674041002181184E-11</v>
      </c>
      <c r="S370" s="22">
        <f t="shared" si="64"/>
        <v>1.3167777979106177E-10</v>
      </c>
      <c r="T370" s="16">
        <f t="shared" si="71"/>
        <v>202.65889726353106</v>
      </c>
      <c r="U370" s="23">
        <f t="shared" si="65"/>
        <v>2.992806003021542E-11</v>
      </c>
      <c r="V370" s="22">
        <f t="shared" si="66"/>
        <v>2.6353106363785628E-7</v>
      </c>
    </row>
    <row r="371" spans="1:22" x14ac:dyDescent="0.45">
      <c r="A371">
        <v>81.874219999999994</v>
      </c>
      <c r="B371">
        <v>57.893509999999999</v>
      </c>
      <c r="C371">
        <v>33.985300000000002</v>
      </c>
      <c r="D371">
        <v>9933.9928</v>
      </c>
      <c r="E371" s="13">
        <v>81.947829116369604</v>
      </c>
      <c r="F371" s="13">
        <v>58.248455761110101</v>
      </c>
      <c r="G371" s="13">
        <v>34.3367144120704</v>
      </c>
      <c r="H371" s="13">
        <f t="shared" si="67"/>
        <v>34.3367144120704</v>
      </c>
      <c r="I371" s="9">
        <v>81.947829115999994</v>
      </c>
      <c r="J371" s="9">
        <v>58.248455761000002</v>
      </c>
      <c r="K371" s="9">
        <f t="shared" si="68"/>
        <v>58.248455761000002</v>
      </c>
      <c r="L371" s="10">
        <v>214.336714</v>
      </c>
      <c r="M371" s="3">
        <f t="shared" si="69"/>
        <v>34.336714000000029</v>
      </c>
      <c r="N371" s="15">
        <f t="shared" si="62"/>
        <v>81.947829116368951</v>
      </c>
      <c r="O371" s="23">
        <f t="shared" si="72"/>
        <v>6.5369931689929217E-13</v>
      </c>
      <c r="P371" s="22">
        <f t="shared" si="73"/>
        <v>3.6895642097078962E-10</v>
      </c>
      <c r="Q371" s="16">
        <f t="shared" si="70"/>
        <v>58.24845576110755</v>
      </c>
      <c r="R371" s="23">
        <f t="shared" si="63"/>
        <v>2.5508484213787597E-12</v>
      </c>
      <c r="S371" s="22">
        <f t="shared" si="64"/>
        <v>1.0754774848464876E-10</v>
      </c>
      <c r="T371" s="16">
        <f t="shared" si="71"/>
        <v>34.336714412067877</v>
      </c>
      <c r="U371" s="23">
        <f t="shared" si="65"/>
        <v>2.5224267119483557E-12</v>
      </c>
      <c r="V371" s="22">
        <f t="shared" si="66"/>
        <v>4.120678482877338E-7</v>
      </c>
    </row>
    <row r="372" spans="1:22" x14ac:dyDescent="0.45">
      <c r="A372">
        <v>-21.817710000000002</v>
      </c>
      <c r="B372">
        <v>17.49494</v>
      </c>
      <c r="C372">
        <v>353.72638000000001</v>
      </c>
      <c r="D372">
        <v>8854.6332000000002</v>
      </c>
      <c r="E372" s="13">
        <v>-21.738220693523999</v>
      </c>
      <c r="F372" s="13">
        <v>17.485586699880098</v>
      </c>
      <c r="G372" s="13">
        <v>-6.2701498244164</v>
      </c>
      <c r="H372" s="13">
        <f t="shared" si="67"/>
        <v>353.72985017558358</v>
      </c>
      <c r="I372" s="11">
        <v>-21.738220693999999</v>
      </c>
      <c r="J372" s="11">
        <v>17.485586699999999</v>
      </c>
      <c r="K372" s="9">
        <f t="shared" si="68"/>
        <v>17.485586699999999</v>
      </c>
      <c r="L372" s="12">
        <v>173.72985</v>
      </c>
      <c r="M372" s="3">
        <f t="shared" si="69"/>
        <v>353.72985</v>
      </c>
      <c r="N372" s="15">
        <f t="shared" si="62"/>
        <v>-21.738220693523619</v>
      </c>
      <c r="O372" s="23">
        <f t="shared" si="72"/>
        <v>3.801403636316536E-13</v>
      </c>
      <c r="P372" s="22">
        <f t="shared" si="73"/>
        <v>4.7637982447668037E-10</v>
      </c>
      <c r="Q372" s="16">
        <f t="shared" si="70"/>
        <v>17.485586699880116</v>
      </c>
      <c r="R372" s="23">
        <f t="shared" si="63"/>
        <v>1.7763568394002505E-14</v>
      </c>
      <c r="S372" s="22">
        <f t="shared" si="64"/>
        <v>1.198827703774441E-10</v>
      </c>
      <c r="T372" s="16">
        <f t="shared" si="71"/>
        <v>353.72985017558324</v>
      </c>
      <c r="U372" s="23">
        <f t="shared" si="65"/>
        <v>3.4106051316484809E-13</v>
      </c>
      <c r="V372" s="22">
        <f t="shared" si="66"/>
        <v>1.7558323861521785E-7</v>
      </c>
    </row>
    <row r="373" spans="1:22" x14ac:dyDescent="0.45">
      <c r="A373">
        <v>-37.559930000000001</v>
      </c>
      <c r="B373">
        <v>-81.024519999999995</v>
      </c>
      <c r="C373">
        <v>5.2679900000000002</v>
      </c>
      <c r="D373">
        <v>13118.181200000001</v>
      </c>
      <c r="E373" s="13">
        <v>-37.442232861221697</v>
      </c>
      <c r="F373" s="13">
        <v>-81.010909562181098</v>
      </c>
      <c r="G373" s="13">
        <v>5.25970428221303</v>
      </c>
      <c r="H373" s="13">
        <f t="shared" si="67"/>
        <v>5.25970428221303</v>
      </c>
      <c r="I373" s="9">
        <v>-37.442232861000001</v>
      </c>
      <c r="J373" s="9">
        <v>-81.010909561999995</v>
      </c>
      <c r="K373" s="9">
        <f t="shared" si="68"/>
        <v>-81.010909561999995</v>
      </c>
      <c r="L373" s="10">
        <v>185.259704</v>
      </c>
      <c r="M373" s="3">
        <f t="shared" si="69"/>
        <v>5.2597039999999993</v>
      </c>
      <c r="N373" s="15">
        <f t="shared" si="62"/>
        <v>-37.442232861230664</v>
      </c>
      <c r="O373" s="23">
        <f t="shared" si="72"/>
        <v>8.9670493252924643E-12</v>
      </c>
      <c r="P373" s="22">
        <f t="shared" si="73"/>
        <v>2.3066348830980132E-10</v>
      </c>
      <c r="Q373" s="16">
        <f t="shared" si="70"/>
        <v>-81.010909562182164</v>
      </c>
      <c r="R373" s="23">
        <f t="shared" si="63"/>
        <v>1.0658141036401503E-12</v>
      </c>
      <c r="S373" s="22">
        <f t="shared" si="64"/>
        <v>1.8216894659417449E-10</v>
      </c>
      <c r="T373" s="16">
        <f t="shared" si="71"/>
        <v>5.2597042822136624</v>
      </c>
      <c r="U373" s="23">
        <f t="shared" si="65"/>
        <v>6.3238303482648917E-13</v>
      </c>
      <c r="V373" s="22">
        <f t="shared" si="66"/>
        <v>2.8221366310532403E-7</v>
      </c>
    </row>
    <row r="374" spans="1:22" x14ac:dyDescent="0.45">
      <c r="A374">
        <v>85.397639999999996</v>
      </c>
      <c r="B374">
        <v>-40.022979999999997</v>
      </c>
      <c r="C374">
        <v>303.10987999999998</v>
      </c>
      <c r="D374">
        <v>19251.567299999999</v>
      </c>
      <c r="E374" s="13">
        <v>85.489490637580502</v>
      </c>
      <c r="F374" s="13">
        <v>-41.859155421018102</v>
      </c>
      <c r="G374" s="13">
        <v>-58.720493894062201</v>
      </c>
      <c r="H374" s="13">
        <f t="shared" si="67"/>
        <v>301.2795061059378</v>
      </c>
      <c r="I374" s="11">
        <v>85.489490638000007</v>
      </c>
      <c r="J374" s="11">
        <v>-41.859155420999997</v>
      </c>
      <c r="K374" s="9">
        <f t="shared" si="68"/>
        <v>-41.859155420999997</v>
      </c>
      <c r="L374" s="12">
        <v>121.279506</v>
      </c>
      <c r="M374" s="3">
        <f t="shared" si="69"/>
        <v>301.27950599999997</v>
      </c>
      <c r="N374" s="15">
        <f t="shared" si="62"/>
        <v>85.489490637579706</v>
      </c>
      <c r="O374" s="23">
        <f t="shared" si="72"/>
        <v>7.9580786405131221E-13</v>
      </c>
      <c r="P374" s="22">
        <f t="shared" si="73"/>
        <v>4.2030023905681446E-10</v>
      </c>
      <c r="Q374" s="16">
        <f t="shared" si="70"/>
        <v>-41.85915542100264</v>
      </c>
      <c r="R374" s="23">
        <f t="shared" si="63"/>
        <v>1.546140993013978E-11</v>
      </c>
      <c r="S374" s="22">
        <f t="shared" si="64"/>
        <v>2.6432189770275727E-12</v>
      </c>
      <c r="T374" s="16">
        <f t="shared" si="71"/>
        <v>301.27950610595286</v>
      </c>
      <c r="U374" s="23">
        <f t="shared" si="65"/>
        <v>1.5063505998114124E-11</v>
      </c>
      <c r="V374" s="22">
        <f t="shared" si="66"/>
        <v>1.0595289268167107E-7</v>
      </c>
    </row>
    <row r="375" spans="1:22" x14ac:dyDescent="0.45">
      <c r="A375">
        <v>-84.312060000000002</v>
      </c>
      <c r="B375">
        <v>177.09359000000001</v>
      </c>
      <c r="C375">
        <v>321.60068000000001</v>
      </c>
      <c r="D375">
        <v>6324.0820000000003</v>
      </c>
      <c r="E375" s="13">
        <v>-84.267575095110104</v>
      </c>
      <c r="F375" s="13">
        <v>176.74147666814599</v>
      </c>
      <c r="G375" s="13">
        <v>-38.048953851191101</v>
      </c>
      <c r="H375" s="13">
        <f t="shared" si="67"/>
        <v>321.95104614880893</v>
      </c>
      <c r="I375" s="9">
        <v>-84.267575094999998</v>
      </c>
      <c r="J375" s="9">
        <v>176.74147666799999</v>
      </c>
      <c r="K375" s="9">
        <f t="shared" si="68"/>
        <v>176.74147666800002</v>
      </c>
      <c r="L375" s="10">
        <v>141.95104599999999</v>
      </c>
      <c r="M375" s="3">
        <f t="shared" si="69"/>
        <v>321.95104600000002</v>
      </c>
      <c r="N375" s="15">
        <f t="shared" si="62"/>
        <v>-84.267575095110345</v>
      </c>
      <c r="O375" s="23">
        <f t="shared" si="72"/>
        <v>2.4158453015843406E-13</v>
      </c>
      <c r="P375" s="22">
        <f t="shared" si="73"/>
        <v>1.1034728686354356E-10</v>
      </c>
      <c r="Q375" s="16">
        <f t="shared" si="70"/>
        <v>176.74147666814838</v>
      </c>
      <c r="R375" s="23">
        <f t="shared" si="63"/>
        <v>2.3874235921539366E-12</v>
      </c>
      <c r="S375" s="22">
        <f t="shared" si="64"/>
        <v>1.4836132322670892E-10</v>
      </c>
      <c r="T375" s="16">
        <f t="shared" si="71"/>
        <v>321.9510461488058</v>
      </c>
      <c r="U375" s="23">
        <f t="shared" si="65"/>
        <v>3.1263880373444408E-12</v>
      </c>
      <c r="V375" s="22">
        <f t="shared" si="66"/>
        <v>1.4880578191878158E-7</v>
      </c>
    </row>
    <row r="376" spans="1:22" x14ac:dyDescent="0.45">
      <c r="A376">
        <v>-10.193519999999999</v>
      </c>
      <c r="B376">
        <v>92.658469999999994</v>
      </c>
      <c r="C376">
        <v>37.950960000000002</v>
      </c>
      <c r="D376">
        <v>17659.712500000001</v>
      </c>
      <c r="E376" s="13">
        <v>-10.067607598539</v>
      </c>
      <c r="F376" s="13">
        <v>92.757546954058398</v>
      </c>
      <c r="G376" s="13">
        <v>37.933533154134899</v>
      </c>
      <c r="H376" s="13">
        <f t="shared" si="67"/>
        <v>37.933533154134899</v>
      </c>
      <c r="I376" s="11">
        <v>-10.067607599</v>
      </c>
      <c r="J376" s="11">
        <v>92.757546954000006</v>
      </c>
      <c r="K376" s="9">
        <f t="shared" si="68"/>
        <v>92.75754695400002</v>
      </c>
      <c r="L376" s="12">
        <v>217.93353300000001</v>
      </c>
      <c r="M376" s="3">
        <f t="shared" si="69"/>
        <v>37.933533000000011</v>
      </c>
      <c r="N376" s="15">
        <f t="shared" si="62"/>
        <v>-10.067607598538206</v>
      </c>
      <c r="O376" s="23">
        <f t="shared" si="72"/>
        <v>7.9403150721191196E-13</v>
      </c>
      <c r="P376" s="22">
        <f t="shared" si="73"/>
        <v>4.6179415846836491E-10</v>
      </c>
      <c r="Q376" s="16">
        <f t="shared" si="70"/>
        <v>92.757546954058967</v>
      </c>
      <c r="R376" s="23">
        <f t="shared" si="63"/>
        <v>5.6843418860808015E-13</v>
      </c>
      <c r="S376" s="22">
        <f t="shared" si="64"/>
        <v>5.8946625358657911E-11</v>
      </c>
      <c r="T376" s="16">
        <f t="shared" si="71"/>
        <v>37.933533154134771</v>
      </c>
      <c r="U376" s="23">
        <f t="shared" si="65"/>
        <v>1.2789769243681803E-13</v>
      </c>
      <c r="V376" s="22">
        <f t="shared" si="66"/>
        <v>1.5413476006642668E-7</v>
      </c>
    </row>
    <row r="377" spans="1:22" x14ac:dyDescent="0.45">
      <c r="A377">
        <v>-68.737470000000002</v>
      </c>
      <c r="B377">
        <v>128.52743000000001</v>
      </c>
      <c r="C377">
        <v>270.75546000000003</v>
      </c>
      <c r="D377">
        <v>24197.2647</v>
      </c>
      <c r="E377" s="13">
        <v>-68.733555819561204</v>
      </c>
      <c r="F377" s="13">
        <v>127.92992179008201</v>
      </c>
      <c r="G377" s="13">
        <v>-88.687711756082805</v>
      </c>
      <c r="H377" s="13">
        <f t="shared" si="67"/>
        <v>271.31228824391718</v>
      </c>
      <c r="I377" s="9">
        <v>-68.733555820000007</v>
      </c>
      <c r="J377" s="9">
        <v>127.92992178999999</v>
      </c>
      <c r="K377" s="9">
        <f t="shared" si="68"/>
        <v>127.92992178999998</v>
      </c>
      <c r="L377" s="10">
        <v>91.312287999999995</v>
      </c>
      <c r="M377" s="3">
        <f t="shared" si="69"/>
        <v>271.31228799999997</v>
      </c>
      <c r="N377" s="15">
        <f t="shared" si="62"/>
        <v>-68.733555819561161</v>
      </c>
      <c r="O377" s="23">
        <f t="shared" si="72"/>
        <v>4.2632564145606011E-14</v>
      </c>
      <c r="P377" s="22">
        <f t="shared" si="73"/>
        <v>4.3884540446015308E-10</v>
      </c>
      <c r="Q377" s="16">
        <f t="shared" si="70"/>
        <v>127.92992179008451</v>
      </c>
      <c r="R377" s="23">
        <f t="shared" si="63"/>
        <v>2.5011104298755527E-12</v>
      </c>
      <c r="S377" s="22">
        <f t="shared" si="64"/>
        <v>8.4526163846021518E-11</v>
      </c>
      <c r="T377" s="16">
        <f t="shared" si="71"/>
        <v>271.31228824391468</v>
      </c>
      <c r="U377" s="23">
        <f t="shared" si="65"/>
        <v>2.5011104298755527E-12</v>
      </c>
      <c r="V377" s="22">
        <f t="shared" si="66"/>
        <v>2.4391471242779517E-7</v>
      </c>
    </row>
    <row r="378" spans="1:22" x14ac:dyDescent="0.45">
      <c r="A378">
        <v>-47.171120000000002</v>
      </c>
      <c r="B378">
        <v>99.953890000000001</v>
      </c>
      <c r="C378">
        <v>112.09734</v>
      </c>
      <c r="D378">
        <v>11984.5826</v>
      </c>
      <c r="E378" s="13">
        <v>-47.211578494232199</v>
      </c>
      <c r="F378" s="13">
        <v>100.100470938971</v>
      </c>
      <c r="G378" s="13">
        <v>111.989804191834</v>
      </c>
      <c r="H378" s="13">
        <f t="shared" si="67"/>
        <v>111.989804191834</v>
      </c>
      <c r="I378" s="11">
        <v>-47.211578494000001</v>
      </c>
      <c r="J378" s="11">
        <v>100.100470939</v>
      </c>
      <c r="K378" s="9">
        <f t="shared" si="68"/>
        <v>100.10047093899999</v>
      </c>
      <c r="L378" s="12">
        <v>291.98980399999999</v>
      </c>
      <c r="M378" s="3">
        <f t="shared" si="69"/>
        <v>111.98980399999999</v>
      </c>
      <c r="N378" s="15">
        <f t="shared" si="62"/>
        <v>-47.2115784942524</v>
      </c>
      <c r="O378" s="23">
        <f t="shared" si="72"/>
        <v>2.0200729977659648E-11</v>
      </c>
      <c r="P378" s="22">
        <f t="shared" si="73"/>
        <v>2.5239899059670279E-10</v>
      </c>
      <c r="Q378" s="16">
        <f t="shared" si="70"/>
        <v>100.10047093904404</v>
      </c>
      <c r="R378" s="23">
        <f t="shared" si="63"/>
        <v>7.3043793236138299E-11</v>
      </c>
      <c r="S378" s="22">
        <f t="shared" si="64"/>
        <v>4.4053649617126212E-11</v>
      </c>
      <c r="T378" s="16">
        <f t="shared" si="71"/>
        <v>111.98980419177965</v>
      </c>
      <c r="U378" s="23">
        <f t="shared" si="65"/>
        <v>5.4342308430932462E-11</v>
      </c>
      <c r="V378" s="22">
        <f t="shared" si="66"/>
        <v>1.9177966237293731E-7</v>
      </c>
    </row>
    <row r="379" spans="1:22" x14ac:dyDescent="0.45">
      <c r="A379">
        <v>61.776020000000003</v>
      </c>
      <c r="B379">
        <v>77.402339999999995</v>
      </c>
      <c r="C379">
        <v>51.526249999999997</v>
      </c>
      <c r="D379">
        <v>22940.981500000002</v>
      </c>
      <c r="E379" s="13">
        <v>61.903669729606001</v>
      </c>
      <c r="F379" s="13">
        <v>77.744029022011205</v>
      </c>
      <c r="G379" s="13">
        <v>51.827494314978999</v>
      </c>
      <c r="H379" s="13">
        <f t="shared" si="67"/>
        <v>51.827494314978999</v>
      </c>
      <c r="I379" s="9">
        <v>61.903669729999997</v>
      </c>
      <c r="J379" s="9">
        <v>77.744029022000007</v>
      </c>
      <c r="K379" s="9">
        <f t="shared" si="68"/>
        <v>77.744029022000007</v>
      </c>
      <c r="L379" s="10">
        <v>231.827494</v>
      </c>
      <c r="M379" s="3">
        <f t="shared" si="69"/>
        <v>51.827494000000002</v>
      </c>
      <c r="N379" s="15">
        <f t="shared" si="62"/>
        <v>61.90366972960588</v>
      </c>
      <c r="O379" s="23">
        <f t="shared" si="72"/>
        <v>1.2079226507921703E-13</v>
      </c>
      <c r="P379" s="22">
        <f t="shared" si="73"/>
        <v>3.9411673924405477E-10</v>
      </c>
      <c r="Q379" s="16">
        <f t="shared" si="70"/>
        <v>77.744029022010977</v>
      </c>
      <c r="R379" s="23">
        <f t="shared" si="63"/>
        <v>2.2737367544323206E-13</v>
      </c>
      <c r="S379" s="22">
        <f t="shared" si="64"/>
        <v>1.0970779840135947E-11</v>
      </c>
      <c r="T379" s="16">
        <f t="shared" si="71"/>
        <v>51.827494314978956</v>
      </c>
      <c r="U379" s="23">
        <f t="shared" si="65"/>
        <v>4.2632564145606011E-14</v>
      </c>
      <c r="V379" s="22">
        <f t="shared" si="66"/>
        <v>3.149789549183879E-7</v>
      </c>
    </row>
    <row r="380" spans="1:22" x14ac:dyDescent="0.45">
      <c r="A380">
        <v>13.718999999999999</v>
      </c>
      <c r="B380">
        <v>3.6030799999999998</v>
      </c>
      <c r="C380">
        <v>203.28585000000001</v>
      </c>
      <c r="D380">
        <v>1283.5830000000001</v>
      </c>
      <c r="E380" s="13">
        <v>13.708343207580601</v>
      </c>
      <c r="F380" s="13">
        <v>3.59838896069523</v>
      </c>
      <c r="G380" s="13">
        <v>-156.71526210452899</v>
      </c>
      <c r="H380" s="13">
        <f t="shared" si="67"/>
        <v>203.28473789547101</v>
      </c>
      <c r="I380" s="11">
        <v>13.708343208000001</v>
      </c>
      <c r="J380" s="11">
        <v>3.5983889609999999</v>
      </c>
      <c r="K380" s="9">
        <f t="shared" si="68"/>
        <v>3.5983889610000119</v>
      </c>
      <c r="L380" s="12">
        <v>23.284738000000001</v>
      </c>
      <c r="M380" s="3">
        <f t="shared" si="69"/>
        <v>203.284738</v>
      </c>
      <c r="N380" s="15">
        <f t="shared" si="62"/>
        <v>13.708343207601088</v>
      </c>
      <c r="O380" s="23">
        <f t="shared" si="72"/>
        <v>2.0486723428803089E-11</v>
      </c>
      <c r="P380" s="22">
        <f t="shared" si="73"/>
        <v>3.9891290271043545E-10</v>
      </c>
      <c r="Q380" s="16">
        <f t="shared" si="70"/>
        <v>3.598388960704284</v>
      </c>
      <c r="R380" s="23">
        <f t="shared" si="63"/>
        <v>9.0540908104230766E-12</v>
      </c>
      <c r="S380" s="22">
        <f t="shared" si="64"/>
        <v>2.957278866233537E-10</v>
      </c>
      <c r="T380" s="16">
        <f t="shared" si="71"/>
        <v>203.2847378954726</v>
      </c>
      <c r="U380" s="23">
        <f t="shared" si="65"/>
        <v>1.5916157281026244E-12</v>
      </c>
      <c r="V380" s="22">
        <f t="shared" si="66"/>
        <v>1.0452740184518916E-7</v>
      </c>
    </row>
    <row r="381" spans="1:22" x14ac:dyDescent="0.45">
      <c r="A381">
        <v>-31.255189999999999</v>
      </c>
      <c r="B381">
        <v>36.001280000000001</v>
      </c>
      <c r="C381">
        <v>285.43349000000001</v>
      </c>
      <c r="D381">
        <v>18201.4208</v>
      </c>
      <c r="E381" s="13">
        <v>-31.211370910034599</v>
      </c>
      <c r="F381" s="13">
        <v>35.817162674411001</v>
      </c>
      <c r="G381" s="13">
        <v>-74.471040724083807</v>
      </c>
      <c r="H381" s="13">
        <f t="shared" si="67"/>
        <v>285.52895927591618</v>
      </c>
      <c r="I381" s="9">
        <v>-31.211370909999999</v>
      </c>
      <c r="J381" s="9">
        <v>35.817162674000002</v>
      </c>
      <c r="K381" s="9">
        <f t="shared" si="68"/>
        <v>35.817162674000002</v>
      </c>
      <c r="L381" s="10">
        <v>105.528959</v>
      </c>
      <c r="M381" s="3">
        <f t="shared" si="69"/>
        <v>285.52895899999999</v>
      </c>
      <c r="N381" s="15">
        <f t="shared" si="62"/>
        <v>-31.211370910032279</v>
      </c>
      <c r="O381" s="23">
        <f t="shared" si="72"/>
        <v>2.3199220322567271E-12</v>
      </c>
      <c r="P381" s="22">
        <f t="shared" si="73"/>
        <v>3.2279956485581351E-11</v>
      </c>
      <c r="Q381" s="16">
        <f t="shared" si="70"/>
        <v>35.817162674402539</v>
      </c>
      <c r="R381" s="23">
        <f t="shared" si="63"/>
        <v>8.4625639829027932E-12</v>
      </c>
      <c r="S381" s="22">
        <f t="shared" si="64"/>
        <v>4.0253667066281196E-10</v>
      </c>
      <c r="T381" s="16">
        <f t="shared" si="71"/>
        <v>285.5289592759209</v>
      </c>
      <c r="U381" s="23">
        <f t="shared" si="65"/>
        <v>4.7180037654470652E-12</v>
      </c>
      <c r="V381" s="22">
        <f t="shared" si="66"/>
        <v>2.7592091100814287E-7</v>
      </c>
    </row>
    <row r="382" spans="1:22" x14ac:dyDescent="0.45">
      <c r="A382">
        <v>70.234660000000005</v>
      </c>
      <c r="B382">
        <v>32.877980000000001</v>
      </c>
      <c r="C382">
        <v>219.08575999999999</v>
      </c>
      <c r="D382">
        <v>22871.2582</v>
      </c>
      <c r="E382" s="13">
        <v>70.075131729098402</v>
      </c>
      <c r="F382" s="13">
        <v>32.498995087176397</v>
      </c>
      <c r="G382" s="13">
        <v>-141.270718941203</v>
      </c>
      <c r="H382" s="13">
        <f t="shared" si="67"/>
        <v>218.729281058797</v>
      </c>
      <c r="I382" s="11">
        <v>70.075131729000006</v>
      </c>
      <c r="J382" s="11">
        <v>32.498995086999997</v>
      </c>
      <c r="K382" s="9">
        <f t="shared" si="68"/>
        <v>32.498995086999997</v>
      </c>
      <c r="L382" s="12">
        <v>38.729281</v>
      </c>
      <c r="M382" s="3">
        <f t="shared" si="69"/>
        <v>218.72928100000001</v>
      </c>
      <c r="N382" s="15">
        <f t="shared" si="62"/>
        <v>70.0751317290987</v>
      </c>
      <c r="O382" s="23">
        <f t="shared" si="72"/>
        <v>2.9842794901924208E-13</v>
      </c>
      <c r="P382" s="22">
        <f t="shared" si="73"/>
        <v>9.8694385997077916E-11</v>
      </c>
      <c r="Q382" s="16">
        <f t="shared" si="70"/>
        <v>32.498995087177406</v>
      </c>
      <c r="R382" s="23">
        <f t="shared" si="63"/>
        <v>1.0089706847793423E-12</v>
      </c>
      <c r="S382" s="22">
        <f t="shared" si="64"/>
        <v>1.7740831026458181E-10</v>
      </c>
      <c r="T382" s="16">
        <f t="shared" si="71"/>
        <v>218.72928105879799</v>
      </c>
      <c r="U382" s="23">
        <f t="shared" si="65"/>
        <v>9.9475983006414026E-13</v>
      </c>
      <c r="V382" s="22">
        <f t="shared" si="66"/>
        <v>5.8797979818336898E-8</v>
      </c>
    </row>
    <row r="383" spans="1:22" x14ac:dyDescent="0.45">
      <c r="A383">
        <v>-65.090829999999997</v>
      </c>
      <c r="B383">
        <v>-6.8039399999999999</v>
      </c>
      <c r="C383">
        <v>259.05286000000001</v>
      </c>
      <c r="D383">
        <v>23273.973000000002</v>
      </c>
      <c r="E383" s="13">
        <v>-65.129681897135598</v>
      </c>
      <c r="F383" s="13">
        <v>-7.29067656139636</v>
      </c>
      <c r="G383" s="13">
        <v>-100.505611343097</v>
      </c>
      <c r="H383" s="13">
        <f t="shared" si="67"/>
        <v>259.49438865690297</v>
      </c>
      <c r="I383" s="9">
        <v>-65.129681896999998</v>
      </c>
      <c r="J383" s="9">
        <v>-7.2906765609999997</v>
      </c>
      <c r="K383" s="9">
        <f t="shared" si="68"/>
        <v>-7.2906765609999979</v>
      </c>
      <c r="L383" s="10">
        <v>79.494388999999998</v>
      </c>
      <c r="M383" s="3">
        <f t="shared" si="69"/>
        <v>259.49438900000001</v>
      </c>
      <c r="N383" s="15">
        <f t="shared" si="62"/>
        <v>-65.12968189713537</v>
      </c>
      <c r="O383" s="23">
        <f t="shared" si="72"/>
        <v>2.2737367544323206E-13</v>
      </c>
      <c r="P383" s="22">
        <f t="shared" si="73"/>
        <v>1.3537260201701429E-10</v>
      </c>
      <c r="Q383" s="16">
        <f t="shared" si="70"/>
        <v>-7.2906765613945765</v>
      </c>
      <c r="R383" s="23">
        <f t="shared" si="63"/>
        <v>1.7834622667578515E-12</v>
      </c>
      <c r="S383" s="22">
        <f t="shared" si="64"/>
        <v>3.9457859202229884E-10</v>
      </c>
      <c r="T383" s="16">
        <f t="shared" si="71"/>
        <v>259.49438865690212</v>
      </c>
      <c r="U383" s="23">
        <f t="shared" si="65"/>
        <v>8.5265128291212022E-13</v>
      </c>
      <c r="V383" s="22">
        <f t="shared" si="66"/>
        <v>3.4309789498365717E-7</v>
      </c>
    </row>
    <row r="384" spans="1:22" x14ac:dyDescent="0.45">
      <c r="A384">
        <v>-7.7777599999999998</v>
      </c>
      <c r="B384">
        <v>133.24248</v>
      </c>
      <c r="C384">
        <v>34.366959999999999</v>
      </c>
      <c r="D384">
        <v>8216.3669000000009</v>
      </c>
      <c r="E384" s="13">
        <v>-7.7164337733979496</v>
      </c>
      <c r="F384" s="13">
        <v>133.284522641211</v>
      </c>
      <c r="G384" s="13">
        <v>34.361292620458201</v>
      </c>
      <c r="H384" s="13">
        <f t="shared" si="67"/>
        <v>34.361292620458201</v>
      </c>
      <c r="I384" s="11">
        <v>-7.7164337730000003</v>
      </c>
      <c r="J384" s="11">
        <v>133.284522641</v>
      </c>
      <c r="K384" s="9">
        <f t="shared" si="68"/>
        <v>133.28452264099997</v>
      </c>
      <c r="L384" s="12">
        <v>214.36129299999999</v>
      </c>
      <c r="M384" s="3">
        <f t="shared" si="69"/>
        <v>34.361292999999989</v>
      </c>
      <c r="N384" s="15">
        <f t="shared" si="62"/>
        <v>-7.7164337733976218</v>
      </c>
      <c r="O384" s="23">
        <f t="shared" si="72"/>
        <v>3.2773783686934621E-13</v>
      </c>
      <c r="P384" s="22">
        <f t="shared" si="73"/>
        <v>3.9762149128819146E-10</v>
      </c>
      <c r="Q384" s="16">
        <f t="shared" si="70"/>
        <v>133.28452264121125</v>
      </c>
      <c r="R384" s="23">
        <f t="shared" si="63"/>
        <v>2.5579538487363607E-13</v>
      </c>
      <c r="S384" s="22">
        <f t="shared" si="64"/>
        <v>2.1128698790562339E-10</v>
      </c>
      <c r="T384" s="16">
        <f t="shared" si="71"/>
        <v>34.361292620458123</v>
      </c>
      <c r="U384" s="23">
        <f t="shared" si="65"/>
        <v>7.815970093361102E-14</v>
      </c>
      <c r="V384" s="22">
        <f t="shared" si="66"/>
        <v>3.7954186637989551E-7</v>
      </c>
    </row>
    <row r="385" spans="1:22" x14ac:dyDescent="0.45">
      <c r="A385">
        <v>-70.271079999999998</v>
      </c>
      <c r="B385">
        <v>41.891539999999999</v>
      </c>
      <c r="C385">
        <v>162.38686000000001</v>
      </c>
      <c r="D385">
        <v>13182.615400000001</v>
      </c>
      <c r="E385" s="13">
        <v>-70.383669216330901</v>
      </c>
      <c r="F385" s="13">
        <v>41.997957177253497</v>
      </c>
      <c r="G385" s="13">
        <v>162.286654182766</v>
      </c>
      <c r="H385" s="13">
        <f t="shared" si="67"/>
        <v>162.286654182766</v>
      </c>
      <c r="I385" s="9">
        <v>-70.383669216000001</v>
      </c>
      <c r="J385" s="9">
        <v>41.997957177000004</v>
      </c>
      <c r="K385" s="9">
        <f t="shared" si="68"/>
        <v>41.997957176999989</v>
      </c>
      <c r="L385" s="10">
        <v>342.286654</v>
      </c>
      <c r="M385" s="3">
        <f t="shared" si="69"/>
        <v>162.286654</v>
      </c>
      <c r="N385" s="15">
        <f t="shared" si="62"/>
        <v>-70.383669216330674</v>
      </c>
      <c r="O385" s="23">
        <f t="shared" si="72"/>
        <v>2.2737367544323206E-13</v>
      </c>
      <c r="P385" s="22">
        <f t="shared" si="73"/>
        <v>3.3067237836803542E-10</v>
      </c>
      <c r="Q385" s="16">
        <f t="shared" si="70"/>
        <v>41.997957177253312</v>
      </c>
      <c r="R385" s="23">
        <f t="shared" si="63"/>
        <v>1.8474111129762605E-13</v>
      </c>
      <c r="S385" s="22">
        <f t="shared" si="64"/>
        <v>2.5332269615319092E-10</v>
      </c>
      <c r="T385" s="16">
        <f t="shared" si="71"/>
        <v>162.2866541827656</v>
      </c>
      <c r="U385" s="23">
        <f t="shared" si="65"/>
        <v>3.979039320256561E-13</v>
      </c>
      <c r="V385" s="22">
        <f t="shared" si="66"/>
        <v>1.8276560354024696E-7</v>
      </c>
    </row>
    <row r="386" spans="1:22" x14ac:dyDescent="0.45">
      <c r="A386">
        <v>-51.177599999999998</v>
      </c>
      <c r="B386">
        <v>123.76352</v>
      </c>
      <c r="C386">
        <v>73.117620000000002</v>
      </c>
      <c r="D386">
        <v>8746.3081999999995</v>
      </c>
      <c r="E386" s="13">
        <v>-51.154707684549301</v>
      </c>
      <c r="F386" s="13">
        <v>123.883144014481</v>
      </c>
      <c r="G386" s="13">
        <v>73.024436744088106</v>
      </c>
      <c r="H386" s="13">
        <f t="shared" si="67"/>
        <v>73.024436744088106</v>
      </c>
      <c r="I386" s="11">
        <v>-51.154707684999998</v>
      </c>
      <c r="J386" s="11">
        <v>123.883144014</v>
      </c>
      <c r="K386" s="9">
        <f t="shared" si="68"/>
        <v>123.88314401399998</v>
      </c>
      <c r="L386" s="12">
        <v>253.02443700000001</v>
      </c>
      <c r="M386" s="3">
        <f t="shared" si="69"/>
        <v>73.024437000000034</v>
      </c>
      <c r="N386" s="15">
        <f t="shared" si="62"/>
        <v>-51.154707684549166</v>
      </c>
      <c r="O386" s="23">
        <f t="shared" si="72"/>
        <v>1.3500311979441904E-13</v>
      </c>
      <c r="P386" s="22">
        <f t="shared" si="73"/>
        <v>4.5083226041242597E-10</v>
      </c>
      <c r="Q386" s="16">
        <f t="shared" si="70"/>
        <v>123.88314401448099</v>
      </c>
      <c r="R386" s="23">
        <f t="shared" si="63"/>
        <v>1.4210854715202004E-14</v>
      </c>
      <c r="S386" s="22">
        <f t="shared" si="64"/>
        <v>4.8100901040015742E-10</v>
      </c>
      <c r="T386" s="16">
        <f t="shared" si="71"/>
        <v>73.024436744087879</v>
      </c>
      <c r="U386" s="23">
        <f t="shared" si="65"/>
        <v>2.2737367544323206E-13</v>
      </c>
      <c r="V386" s="22">
        <f t="shared" si="66"/>
        <v>2.5591215546683088E-7</v>
      </c>
    </row>
    <row r="387" spans="1:22" x14ac:dyDescent="0.45">
      <c r="A387">
        <v>54.591160000000002</v>
      </c>
      <c r="B387">
        <v>49.19435</v>
      </c>
      <c r="C387">
        <v>1.57955</v>
      </c>
      <c r="D387">
        <v>14926.705900000001</v>
      </c>
      <c r="E387" s="13">
        <v>54.725200493337603</v>
      </c>
      <c r="F387" s="13">
        <v>49.200735959108897</v>
      </c>
      <c r="G387" s="13">
        <v>1.58475913002955</v>
      </c>
      <c r="H387" s="13">
        <f t="shared" si="67"/>
        <v>1.58475913002955</v>
      </c>
      <c r="I387" s="9">
        <v>54.725200493000003</v>
      </c>
      <c r="J387" s="9">
        <v>49.200735958999999</v>
      </c>
      <c r="K387" s="9">
        <f t="shared" si="68"/>
        <v>49.200735958999985</v>
      </c>
      <c r="L387" s="10">
        <v>181.58475899999999</v>
      </c>
      <c r="M387" s="3">
        <f t="shared" si="69"/>
        <v>1.5847589999999627</v>
      </c>
      <c r="N387" s="15">
        <f t="shared" ref="N387:N450" si="74">vincentyDirLat(A387, $B387, $C387, $D387)</f>
        <v>54.725200493360674</v>
      </c>
      <c r="O387" s="23">
        <f t="shared" si="72"/>
        <v>2.3071322630130453E-11</v>
      </c>
      <c r="P387" s="22">
        <f t="shared" si="73"/>
        <v>3.6067149267182685E-10</v>
      </c>
      <c r="Q387" s="16">
        <f t="shared" si="70"/>
        <v>49.200735959110006</v>
      </c>
      <c r="R387" s="23">
        <f t="shared" ref="R387:R450" si="75">ABS(F387-Q387)</f>
        <v>1.1084466677857563E-12</v>
      </c>
      <c r="S387" s="22">
        <f t="shared" ref="S387:S450" si="76">ABS(K387-Q387)</f>
        <v>1.1002043720509391E-10</v>
      </c>
      <c r="T387" s="16">
        <f t="shared" si="71"/>
        <v>1.5847591300304562</v>
      </c>
      <c r="U387" s="23">
        <f t="shared" ref="U387:U450" si="77">ABS(H387-T387)</f>
        <v>9.0616403269905277E-13</v>
      </c>
      <c r="V387" s="22">
        <f t="shared" ref="V387:V450" si="78">ABS(M387-T387)</f>
        <v>1.3003049348370155E-7</v>
      </c>
    </row>
    <row r="388" spans="1:22" x14ac:dyDescent="0.45">
      <c r="A388">
        <v>19.514759999999999</v>
      </c>
      <c r="B388">
        <v>1.95926</v>
      </c>
      <c r="C388">
        <v>327.70679999999999</v>
      </c>
      <c r="D388">
        <v>22339.502799999998</v>
      </c>
      <c r="E388" s="13">
        <v>19.6853136334101</v>
      </c>
      <c r="F388" s="13">
        <v>1.84543536265519</v>
      </c>
      <c r="G388" s="13">
        <v>-32.331382775846798</v>
      </c>
      <c r="H388" s="13">
        <f t="shared" ref="H388:H451" si="79">NormalizeAzimuth(G388, TRUE)</f>
        <v>327.66861722415319</v>
      </c>
      <c r="I388" s="11">
        <v>19.685313633</v>
      </c>
      <c r="J388" s="11">
        <v>1.845435363</v>
      </c>
      <c r="K388" s="9">
        <f t="shared" ref="K388:K451" si="80">normalizelon(J388)</f>
        <v>1.8454353630000071</v>
      </c>
      <c r="L388" s="12">
        <v>147.66861700000001</v>
      </c>
      <c r="M388" s="3">
        <f t="shared" ref="M388:M451" si="81">NormalizeAzimuth(L388+180, TRUE)</f>
        <v>327.66861700000004</v>
      </c>
      <c r="N388" s="15">
        <f t="shared" si="74"/>
        <v>19.685313633411059</v>
      </c>
      <c r="O388" s="23">
        <f t="shared" si="72"/>
        <v>9.5923269327613525E-13</v>
      </c>
      <c r="P388" s="22">
        <f t="shared" si="73"/>
        <v>4.1105963077825436E-10</v>
      </c>
      <c r="Q388" s="16">
        <f t="shared" ref="Q388:Q451" si="82">VincentyDirLon($A388, $B388, $C388, $D388)</f>
        <v>1.845435362654797</v>
      </c>
      <c r="R388" s="23">
        <f t="shared" si="75"/>
        <v>3.9301895071730542E-13</v>
      </c>
      <c r="S388" s="22">
        <f t="shared" si="76"/>
        <v>3.4521008274168707E-10</v>
      </c>
      <c r="T388" s="16">
        <f t="shared" ref="T388:T451" si="83">VincentyDirRevAzimuth($A388, $B388, $C388, $D388)</f>
        <v>327.66861722415263</v>
      </c>
      <c r="U388" s="23">
        <f t="shared" si="77"/>
        <v>5.6843418860808015E-13</v>
      </c>
      <c r="V388" s="22">
        <f t="shared" si="78"/>
        <v>2.2415258627006551E-7</v>
      </c>
    </row>
    <row r="389" spans="1:22" x14ac:dyDescent="0.45">
      <c r="A389">
        <v>65.420969999999997</v>
      </c>
      <c r="B389">
        <v>-170.35336000000001</v>
      </c>
      <c r="C389">
        <v>213.65719000000001</v>
      </c>
      <c r="D389">
        <v>12379.651</v>
      </c>
      <c r="E389" s="13">
        <v>65.328480213822502</v>
      </c>
      <c r="F389" s="13">
        <v>-170.50060801928001</v>
      </c>
      <c r="G389" s="13">
        <v>-146.476666219789</v>
      </c>
      <c r="H389" s="13">
        <f t="shared" si="79"/>
        <v>213.523333780211</v>
      </c>
      <c r="I389" s="9">
        <v>65.328480213999995</v>
      </c>
      <c r="J389" s="9">
        <v>-170.500608019</v>
      </c>
      <c r="K389" s="9">
        <f t="shared" si="80"/>
        <v>-170.500608019</v>
      </c>
      <c r="L389" s="10">
        <v>33.523333999999998</v>
      </c>
      <c r="M389" s="3">
        <f t="shared" si="81"/>
        <v>213.52333400000001</v>
      </c>
      <c r="N389" s="15">
        <f t="shared" si="74"/>
        <v>65.328480213822417</v>
      </c>
      <c r="O389" s="23">
        <f t="shared" si="72"/>
        <v>8.5265128291212022E-14</v>
      </c>
      <c r="P389" s="22">
        <f t="shared" si="73"/>
        <v>1.7757884052116424E-10</v>
      </c>
      <c r="Q389" s="16">
        <f t="shared" si="82"/>
        <v>-170.50060801928012</v>
      </c>
      <c r="R389" s="23">
        <f t="shared" si="75"/>
        <v>1.1368683772161603E-13</v>
      </c>
      <c r="S389" s="22">
        <f t="shared" si="76"/>
        <v>2.801243681460619E-10</v>
      </c>
      <c r="T389" s="16">
        <f t="shared" si="83"/>
        <v>213.52333378021058</v>
      </c>
      <c r="U389" s="23">
        <f t="shared" si="77"/>
        <v>4.2632564145606011E-13</v>
      </c>
      <c r="V389" s="22">
        <f t="shared" si="78"/>
        <v>2.1978942754685704E-7</v>
      </c>
    </row>
    <row r="390" spans="1:22" x14ac:dyDescent="0.45">
      <c r="A390">
        <v>27.229510000000001</v>
      </c>
      <c r="B390">
        <v>65.716399999999993</v>
      </c>
      <c r="C390">
        <v>38.016590000000001</v>
      </c>
      <c r="D390">
        <v>9394.1258999999991</v>
      </c>
      <c r="E390" s="13">
        <v>27.296289186195601</v>
      </c>
      <c r="F390" s="13">
        <v>65.774845730066104</v>
      </c>
      <c r="G390" s="13">
        <v>38.043362479101397</v>
      </c>
      <c r="H390" s="13">
        <f t="shared" si="79"/>
        <v>38.043362479101397</v>
      </c>
      <c r="I390" s="11">
        <v>27.296289185999999</v>
      </c>
      <c r="J390" s="11">
        <v>65.774845729999996</v>
      </c>
      <c r="K390" s="9">
        <f t="shared" si="80"/>
        <v>65.774845729999981</v>
      </c>
      <c r="L390" s="12">
        <v>218.043362</v>
      </c>
      <c r="M390" s="3">
        <f t="shared" si="81"/>
        <v>38.043362000000002</v>
      </c>
      <c r="N390" s="15">
        <f t="shared" si="74"/>
        <v>27.296289186188936</v>
      </c>
      <c r="O390" s="23">
        <f t="shared" si="72"/>
        <v>6.6648908614297397E-12</v>
      </c>
      <c r="P390" s="22">
        <f t="shared" si="73"/>
        <v>1.8893686615228944E-10</v>
      </c>
      <c r="Q390" s="16">
        <f t="shared" si="82"/>
        <v>65.774845730060008</v>
      </c>
      <c r="R390" s="23">
        <f t="shared" si="75"/>
        <v>6.0964566728216596E-12</v>
      </c>
      <c r="S390" s="22">
        <f t="shared" si="76"/>
        <v>6.0026650317013264E-11</v>
      </c>
      <c r="T390" s="16">
        <f t="shared" si="83"/>
        <v>38.043362479098668</v>
      </c>
      <c r="U390" s="23">
        <f t="shared" si="77"/>
        <v>2.7284841053187847E-12</v>
      </c>
      <c r="V390" s="22">
        <f t="shared" si="78"/>
        <v>4.7909866651707489E-7</v>
      </c>
    </row>
    <row r="391" spans="1:22" x14ac:dyDescent="0.45">
      <c r="A391">
        <v>-33.65849</v>
      </c>
      <c r="B391">
        <v>65.295010000000005</v>
      </c>
      <c r="C391">
        <v>105.4221</v>
      </c>
      <c r="D391">
        <v>15742.0088</v>
      </c>
      <c r="E391" s="13">
        <v>-33.696123896339103</v>
      </c>
      <c r="F391" s="13">
        <v>65.458690171258894</v>
      </c>
      <c r="G391" s="13">
        <v>105.331336862743</v>
      </c>
      <c r="H391" s="13">
        <f t="shared" si="79"/>
        <v>105.331336862743</v>
      </c>
      <c r="I391" s="9">
        <v>-33.696123896000003</v>
      </c>
      <c r="J391" s="9">
        <v>65.458690171000001</v>
      </c>
      <c r="K391" s="9">
        <f t="shared" si="80"/>
        <v>65.458690171000001</v>
      </c>
      <c r="L391" s="10">
        <v>285.33133700000002</v>
      </c>
      <c r="M391" s="3">
        <f t="shared" si="81"/>
        <v>105.33133700000002</v>
      </c>
      <c r="N391" s="15">
        <f t="shared" si="74"/>
        <v>-33.696123896342343</v>
      </c>
      <c r="O391" s="23">
        <f t="shared" si="72"/>
        <v>3.2400748750660568E-12</v>
      </c>
      <c r="P391" s="22">
        <f t="shared" si="73"/>
        <v>3.4233949008921627E-10</v>
      </c>
      <c r="Q391" s="16">
        <f t="shared" si="82"/>
        <v>65.458690171271996</v>
      </c>
      <c r="R391" s="23">
        <f t="shared" si="75"/>
        <v>1.3102408047416247E-11</v>
      </c>
      <c r="S391" s="22">
        <f t="shared" si="76"/>
        <v>2.7199575924896635E-10</v>
      </c>
      <c r="T391" s="16">
        <f t="shared" si="83"/>
        <v>105.33133686273477</v>
      </c>
      <c r="U391" s="23">
        <f t="shared" si="77"/>
        <v>8.2280848801019602E-12</v>
      </c>
      <c r="V391" s="22">
        <f t="shared" si="78"/>
        <v>1.3726524628054904E-7</v>
      </c>
    </row>
    <row r="392" spans="1:22" x14ac:dyDescent="0.45">
      <c r="A392">
        <v>-6.7320099999999998</v>
      </c>
      <c r="B392">
        <v>35.167299999999997</v>
      </c>
      <c r="C392">
        <v>291.31416999999999</v>
      </c>
      <c r="D392">
        <v>2455.7743</v>
      </c>
      <c r="E392" s="13">
        <v>-6.7239380118202696</v>
      </c>
      <c r="F392" s="13">
        <v>35.146606931269602</v>
      </c>
      <c r="G392" s="13">
        <v>-68.683405690519294</v>
      </c>
      <c r="H392" s="13">
        <f t="shared" si="79"/>
        <v>291.31659430948071</v>
      </c>
      <c r="I392" s="11">
        <v>-6.7239380119999996</v>
      </c>
      <c r="J392" s="11">
        <v>35.146606931000001</v>
      </c>
      <c r="K392" s="9">
        <f t="shared" si="80"/>
        <v>35.146606931000008</v>
      </c>
      <c r="L392" s="12">
        <v>111.31659399999999</v>
      </c>
      <c r="M392" s="3">
        <f t="shared" si="81"/>
        <v>291.31659400000001</v>
      </c>
      <c r="N392" s="15">
        <f t="shared" si="74"/>
        <v>-6.723938011820275</v>
      </c>
      <c r="O392" s="23">
        <f t="shared" si="72"/>
        <v>5.3290705182007514E-15</v>
      </c>
      <c r="P392" s="22">
        <f t="shared" si="73"/>
        <v>1.7972467958315974E-10</v>
      </c>
      <c r="Q392" s="16">
        <f t="shared" si="82"/>
        <v>35.146606931269588</v>
      </c>
      <c r="R392" s="23">
        <f t="shared" si="75"/>
        <v>1.4210854715202004E-14</v>
      </c>
      <c r="S392" s="22">
        <f t="shared" si="76"/>
        <v>2.6957991394738201E-10</v>
      </c>
      <c r="T392" s="16">
        <f t="shared" si="83"/>
        <v>291.31659430948042</v>
      </c>
      <c r="U392" s="23">
        <f t="shared" si="77"/>
        <v>2.8421709430404007E-13</v>
      </c>
      <c r="V392" s="22">
        <f t="shared" si="78"/>
        <v>3.0948041285228101E-7</v>
      </c>
    </row>
    <row r="393" spans="1:22" x14ac:dyDescent="0.45">
      <c r="A393">
        <v>-45.224739999999997</v>
      </c>
      <c r="B393">
        <v>-26.575240000000001</v>
      </c>
      <c r="C393">
        <v>132.31314</v>
      </c>
      <c r="D393">
        <v>8116.2794999999996</v>
      </c>
      <c r="E393" s="13">
        <v>-45.273876713538499</v>
      </c>
      <c r="F393" s="13">
        <v>-26.498755015128399</v>
      </c>
      <c r="G393" s="13">
        <v>132.25882212328301</v>
      </c>
      <c r="H393" s="13">
        <f t="shared" si="79"/>
        <v>132.25882212328301</v>
      </c>
      <c r="I393" s="9">
        <v>-45.273876713999996</v>
      </c>
      <c r="J393" s="9">
        <v>-26.498755015</v>
      </c>
      <c r="K393" s="9">
        <f t="shared" si="80"/>
        <v>-26.498755015</v>
      </c>
      <c r="L393" s="10">
        <v>312.25882200000001</v>
      </c>
      <c r="M393" s="3">
        <f t="shared" si="81"/>
        <v>132.25882200000001</v>
      </c>
      <c r="N393" s="15">
        <f t="shared" si="74"/>
        <v>-45.273876713543601</v>
      </c>
      <c r="O393" s="23">
        <f t="shared" si="72"/>
        <v>5.1016968427575193E-12</v>
      </c>
      <c r="P393" s="22">
        <f t="shared" si="73"/>
        <v>4.5639581003342755E-10</v>
      </c>
      <c r="Q393" s="16">
        <f t="shared" si="82"/>
        <v>-26.49875501512048</v>
      </c>
      <c r="R393" s="23">
        <f t="shared" si="75"/>
        <v>7.9189987900463166E-12</v>
      </c>
      <c r="S393" s="22">
        <f t="shared" si="76"/>
        <v>1.2047962627548259E-10</v>
      </c>
      <c r="T393" s="16">
        <f t="shared" si="83"/>
        <v>132.2588221232775</v>
      </c>
      <c r="U393" s="23">
        <f t="shared" si="77"/>
        <v>5.5138116294983774E-12</v>
      </c>
      <c r="V393" s="22">
        <f t="shared" si="78"/>
        <v>1.2327748777352099E-7</v>
      </c>
    </row>
    <row r="394" spans="1:22" x14ac:dyDescent="0.45">
      <c r="A394">
        <v>-23.66947</v>
      </c>
      <c r="B394">
        <v>-102.49858999999999</v>
      </c>
      <c r="C394">
        <v>8.3412699999999997</v>
      </c>
      <c r="D394">
        <v>21432.472000000002</v>
      </c>
      <c r="E394" s="13">
        <v>-23.477996616418402</v>
      </c>
      <c r="F394" s="13">
        <v>-102.468154986109</v>
      </c>
      <c r="G394" s="13">
        <v>8.3290981412907694</v>
      </c>
      <c r="H394" s="13">
        <f t="shared" si="79"/>
        <v>8.3290981412907694</v>
      </c>
      <c r="I394" s="11">
        <v>-23.477996615999999</v>
      </c>
      <c r="J394" s="11">
        <v>-102.468154986</v>
      </c>
      <c r="K394" s="9">
        <f t="shared" si="80"/>
        <v>-102.468154986</v>
      </c>
      <c r="L394" s="12">
        <v>188.32909799999999</v>
      </c>
      <c r="M394" s="3">
        <f t="shared" si="81"/>
        <v>8.3290979999999877</v>
      </c>
      <c r="N394" s="15">
        <f t="shared" si="74"/>
        <v>-23.477996616417496</v>
      </c>
      <c r="O394" s="23">
        <f t="shared" si="72"/>
        <v>9.0594198809412774E-13</v>
      </c>
      <c r="P394" s="22">
        <f t="shared" si="73"/>
        <v>4.1749714796424087E-10</v>
      </c>
      <c r="Q394" s="16">
        <f t="shared" si="82"/>
        <v>-102.4681549861091</v>
      </c>
      <c r="R394" s="23">
        <f t="shared" si="75"/>
        <v>9.9475983006414026E-14</v>
      </c>
      <c r="S394" s="22">
        <f t="shared" si="76"/>
        <v>1.0909673164860578E-10</v>
      </c>
      <c r="T394" s="16">
        <f t="shared" si="83"/>
        <v>8.3290981412907072</v>
      </c>
      <c r="U394" s="23">
        <f t="shared" si="77"/>
        <v>6.2172489379008766E-14</v>
      </c>
      <c r="V394" s="22">
        <f t="shared" si="78"/>
        <v>1.4129071956858752E-7</v>
      </c>
    </row>
    <row r="395" spans="1:22" x14ac:dyDescent="0.45">
      <c r="A395">
        <v>-44.371169999999999</v>
      </c>
      <c r="B395">
        <v>-88.262230000000002</v>
      </c>
      <c r="C395">
        <v>132.73383999999999</v>
      </c>
      <c r="D395">
        <v>13205.754800000001</v>
      </c>
      <c r="E395" s="13">
        <v>-44.451750465300201</v>
      </c>
      <c r="F395" s="13">
        <v>-88.140365607301007</v>
      </c>
      <c r="G395" s="13">
        <v>132.64855850063299</v>
      </c>
      <c r="H395" s="13">
        <f t="shared" si="79"/>
        <v>132.64855850063299</v>
      </c>
      <c r="I395" s="9">
        <v>-44.451750465000003</v>
      </c>
      <c r="J395" s="9">
        <v>-88.140365607000007</v>
      </c>
      <c r="K395" s="9">
        <f t="shared" si="80"/>
        <v>-88.140365607000007</v>
      </c>
      <c r="L395" s="10">
        <v>312.64855899999998</v>
      </c>
      <c r="M395" s="3">
        <f t="shared" si="81"/>
        <v>132.64855899999998</v>
      </c>
      <c r="N395" s="15">
        <f t="shared" si="74"/>
        <v>-44.451750465306709</v>
      </c>
      <c r="O395" s="23">
        <f t="shared" si="72"/>
        <v>6.5085714595625177E-12</v>
      </c>
      <c r="P395" s="22">
        <f t="shared" si="73"/>
        <v>3.0670577189084725E-10</v>
      </c>
      <c r="Q395" s="16">
        <f t="shared" si="82"/>
        <v>-88.1403656072914</v>
      </c>
      <c r="R395" s="23">
        <f t="shared" si="75"/>
        <v>9.6065377874765545E-12</v>
      </c>
      <c r="S395" s="22">
        <f t="shared" si="76"/>
        <v>2.9139357593521709E-10</v>
      </c>
      <c r="T395" s="16">
        <f t="shared" si="83"/>
        <v>132.64855850062605</v>
      </c>
      <c r="U395" s="23">
        <f t="shared" si="77"/>
        <v>6.9348971010185778E-12</v>
      </c>
      <c r="V395" s="22">
        <f t="shared" si="78"/>
        <v>4.9937392532228841E-7</v>
      </c>
    </row>
    <row r="396" spans="1:22" x14ac:dyDescent="0.45">
      <c r="A396">
        <v>83.380719999999997</v>
      </c>
      <c r="B396">
        <v>95.78349</v>
      </c>
      <c r="C396">
        <v>206.85676000000001</v>
      </c>
      <c r="D396">
        <v>29222.171399999999</v>
      </c>
      <c r="E396" s="13">
        <v>83.146265017034594</v>
      </c>
      <c r="F396" s="13">
        <v>94.792967157405997</v>
      </c>
      <c r="G396" s="13">
        <v>-154.12692677610499</v>
      </c>
      <c r="H396" s="13">
        <f t="shared" si="79"/>
        <v>205.87307322389501</v>
      </c>
      <c r="I396" s="11">
        <v>83.146265017000005</v>
      </c>
      <c r="J396" s="11">
        <v>94.792967157000007</v>
      </c>
      <c r="K396" s="9">
        <f t="shared" si="80"/>
        <v>94.792967157000021</v>
      </c>
      <c r="L396" s="12">
        <v>25.873073000000002</v>
      </c>
      <c r="M396" s="3">
        <f t="shared" si="81"/>
        <v>205.87307300000001</v>
      </c>
      <c r="N396" s="15">
        <f t="shared" si="74"/>
        <v>83.146265017036242</v>
      </c>
      <c r="O396" s="23">
        <f t="shared" si="72"/>
        <v>1.6484591469634324E-12</v>
      </c>
      <c r="P396" s="22">
        <f t="shared" si="73"/>
        <v>3.6237679523765109E-11</v>
      </c>
      <c r="Q396" s="16">
        <f t="shared" si="82"/>
        <v>94.792967157413159</v>
      </c>
      <c r="R396" s="23">
        <f t="shared" si="75"/>
        <v>7.1622707764618099E-12</v>
      </c>
      <c r="S396" s="22">
        <f t="shared" si="76"/>
        <v>4.1313796828035265E-10</v>
      </c>
      <c r="T396" s="16">
        <f t="shared" si="83"/>
        <v>205.87307322390137</v>
      </c>
      <c r="U396" s="23">
        <f t="shared" si="77"/>
        <v>6.3664629124104977E-12</v>
      </c>
      <c r="V396" s="22">
        <f t="shared" si="78"/>
        <v>2.2390136678041017E-7</v>
      </c>
    </row>
    <row r="397" spans="1:22" x14ac:dyDescent="0.45">
      <c r="A397">
        <v>-12.13261</v>
      </c>
      <c r="B397">
        <v>-95.774749999999997</v>
      </c>
      <c r="C397">
        <v>213.42152999999999</v>
      </c>
      <c r="D397">
        <v>25749.614000000001</v>
      </c>
      <c r="E397" s="13">
        <v>-12.326855818045701</v>
      </c>
      <c r="F397" s="13">
        <v>-95.905142188698406</v>
      </c>
      <c r="G397" s="13">
        <v>-146.55084871247399</v>
      </c>
      <c r="H397" s="13">
        <f t="shared" si="79"/>
        <v>213.44915128752601</v>
      </c>
      <c r="I397" s="9">
        <v>-12.326855818</v>
      </c>
      <c r="J397" s="9">
        <v>-95.905142189000003</v>
      </c>
      <c r="K397" s="9">
        <f t="shared" si="80"/>
        <v>-95.905142189000003</v>
      </c>
      <c r="L397" s="10">
        <v>33.449151000000001</v>
      </c>
      <c r="M397" s="3">
        <f t="shared" si="81"/>
        <v>213.449151</v>
      </c>
      <c r="N397" s="15">
        <f t="shared" si="74"/>
        <v>-12.326855818046816</v>
      </c>
      <c r="O397" s="23">
        <f t="shared" si="72"/>
        <v>1.1155520951433573E-12</v>
      </c>
      <c r="P397" s="22">
        <f t="shared" si="73"/>
        <v>4.6815884502393601E-11</v>
      </c>
      <c r="Q397" s="16">
        <f t="shared" si="82"/>
        <v>-95.905142188699031</v>
      </c>
      <c r="R397" s="23">
        <f t="shared" si="75"/>
        <v>6.2527760746888816E-13</v>
      </c>
      <c r="S397" s="22">
        <f t="shared" si="76"/>
        <v>3.0097169201326324E-10</v>
      </c>
      <c r="T397" s="16">
        <f t="shared" si="83"/>
        <v>213.44915128752569</v>
      </c>
      <c r="U397" s="23">
        <f t="shared" si="77"/>
        <v>3.1263880373444408E-13</v>
      </c>
      <c r="V397" s="22">
        <f t="shared" si="78"/>
        <v>2.8752569392054284E-7</v>
      </c>
    </row>
    <row r="398" spans="1:22" x14ac:dyDescent="0.45">
      <c r="A398">
        <v>49.43486</v>
      </c>
      <c r="B398">
        <v>166.94150999999999</v>
      </c>
      <c r="C398">
        <v>267.01952</v>
      </c>
      <c r="D398">
        <v>13669.7415</v>
      </c>
      <c r="E398" s="13">
        <v>49.428316117993397</v>
      </c>
      <c r="F398" s="13">
        <v>166.75332651096099</v>
      </c>
      <c r="G398" s="13">
        <v>-93.123429873613404</v>
      </c>
      <c r="H398" s="13">
        <f t="shared" si="79"/>
        <v>266.87657012638658</v>
      </c>
      <c r="I398" s="11">
        <v>49.428316117999998</v>
      </c>
      <c r="J398" s="11">
        <v>166.75332651100001</v>
      </c>
      <c r="K398" s="9">
        <f t="shared" si="80"/>
        <v>166.75332651100001</v>
      </c>
      <c r="L398" s="12">
        <v>86.876570000000001</v>
      </c>
      <c r="M398" s="3">
        <f t="shared" si="81"/>
        <v>266.87657000000002</v>
      </c>
      <c r="N398" s="15">
        <f t="shared" si="74"/>
        <v>49.428316117993269</v>
      </c>
      <c r="O398" s="23">
        <f t="shared" si="72"/>
        <v>1.2789769243681803E-13</v>
      </c>
      <c r="P398" s="22">
        <f t="shared" si="73"/>
        <v>6.7288397076481488E-12</v>
      </c>
      <c r="Q398" s="16">
        <f t="shared" si="82"/>
        <v>166.75332651096153</v>
      </c>
      <c r="R398" s="23">
        <f t="shared" si="75"/>
        <v>5.4001247917767614E-13</v>
      </c>
      <c r="S398" s="22">
        <f t="shared" si="76"/>
        <v>3.8482994568767026E-11</v>
      </c>
      <c r="T398" s="16">
        <f t="shared" si="83"/>
        <v>266.87657012638601</v>
      </c>
      <c r="U398" s="23">
        <f t="shared" si="77"/>
        <v>5.6843418860808015E-13</v>
      </c>
      <c r="V398" s="22">
        <f t="shared" si="78"/>
        <v>1.2638599855563371E-7</v>
      </c>
    </row>
    <row r="399" spans="1:22" x14ac:dyDescent="0.45">
      <c r="A399">
        <v>-23.851330000000001</v>
      </c>
      <c r="B399">
        <v>-71.16771</v>
      </c>
      <c r="C399">
        <v>238.72827000000001</v>
      </c>
      <c r="D399">
        <v>29773.488300000001</v>
      </c>
      <c r="E399" s="13">
        <v>-23.990669570016799</v>
      </c>
      <c r="F399" s="13">
        <v>-71.417789203923107</v>
      </c>
      <c r="G399" s="13">
        <v>-121.170328512217</v>
      </c>
      <c r="H399" s="13">
        <f t="shared" si="79"/>
        <v>238.829671487783</v>
      </c>
      <c r="I399" s="9">
        <v>-23.990669570000001</v>
      </c>
      <c r="J399" s="9">
        <v>-71.417789204000002</v>
      </c>
      <c r="K399" s="9">
        <f t="shared" si="80"/>
        <v>-71.417789204000002</v>
      </c>
      <c r="L399" s="10">
        <v>58.829670999999998</v>
      </c>
      <c r="M399" s="3">
        <f t="shared" si="81"/>
        <v>238.82967099999999</v>
      </c>
      <c r="N399" s="15">
        <f t="shared" si="74"/>
        <v>-23.990669570017516</v>
      </c>
      <c r="O399" s="23">
        <f t="shared" si="72"/>
        <v>7.1764816311770119E-13</v>
      </c>
      <c r="P399" s="22">
        <f t="shared" si="73"/>
        <v>1.751487843648647E-11</v>
      </c>
      <c r="Q399" s="16">
        <f t="shared" si="82"/>
        <v>-71.417789203923206</v>
      </c>
      <c r="R399" s="23">
        <f t="shared" si="75"/>
        <v>9.9475983006414026E-14</v>
      </c>
      <c r="S399" s="22">
        <f t="shared" si="76"/>
        <v>7.6795458880951628E-11</v>
      </c>
      <c r="T399" s="16">
        <f t="shared" si="83"/>
        <v>238.82967148778346</v>
      </c>
      <c r="U399" s="23">
        <f t="shared" si="77"/>
        <v>4.5474735088646412E-13</v>
      </c>
      <c r="V399" s="22">
        <f t="shared" si="78"/>
        <v>4.8778346695144137E-7</v>
      </c>
    </row>
    <row r="400" spans="1:22" x14ac:dyDescent="0.45">
      <c r="A400">
        <v>66.933080000000004</v>
      </c>
      <c r="B400">
        <v>1.2861100000000001</v>
      </c>
      <c r="C400">
        <v>90.079899999999995</v>
      </c>
      <c r="D400">
        <v>29052.516299999999</v>
      </c>
      <c r="E400" s="13">
        <v>66.931327487959095</v>
      </c>
      <c r="F400" s="13">
        <v>1.9502874310227101</v>
      </c>
      <c r="G400" s="13">
        <v>90.690972097033693</v>
      </c>
      <c r="H400" s="13">
        <f t="shared" si="79"/>
        <v>90.690972097033693</v>
      </c>
      <c r="I400" s="11">
        <v>66.931327487999994</v>
      </c>
      <c r="J400" s="11">
        <v>1.950287431</v>
      </c>
      <c r="K400" s="9">
        <f t="shared" si="80"/>
        <v>1.9502874309999925</v>
      </c>
      <c r="L400" s="12">
        <v>270.69097199999999</v>
      </c>
      <c r="M400" s="3">
        <f t="shared" si="81"/>
        <v>90.690971999999988</v>
      </c>
      <c r="N400" s="15">
        <f t="shared" si="74"/>
        <v>66.931327487959067</v>
      </c>
      <c r="O400" s="23">
        <f t="shared" si="72"/>
        <v>2.8421709430404007E-14</v>
      </c>
      <c r="P400" s="22">
        <f t="shared" si="73"/>
        <v>4.0927261579781771E-11</v>
      </c>
      <c r="Q400" s="16">
        <f t="shared" si="82"/>
        <v>1.9502874310198308</v>
      </c>
      <c r="R400" s="23">
        <f t="shared" si="75"/>
        <v>2.879252392062881E-12</v>
      </c>
      <c r="S400" s="22">
        <f t="shared" si="76"/>
        <v>1.9838353182421997E-11</v>
      </c>
      <c r="T400" s="16">
        <f t="shared" si="83"/>
        <v>90.690972097031576</v>
      </c>
      <c r="U400" s="23">
        <f t="shared" si="77"/>
        <v>2.1174173525650986E-12</v>
      </c>
      <c r="V400" s="22">
        <f t="shared" si="78"/>
        <v>9.7031588097706845E-8</v>
      </c>
    </row>
    <row r="401" spans="1:22" x14ac:dyDescent="0.45">
      <c r="A401">
        <v>3.09491</v>
      </c>
      <c r="B401">
        <v>122.9888</v>
      </c>
      <c r="C401">
        <v>295.12929000000003</v>
      </c>
      <c r="D401">
        <v>3862.9740000000002</v>
      </c>
      <c r="E401" s="13">
        <v>3.1097449083889099</v>
      </c>
      <c r="F401" s="13">
        <v>122.95733674416201</v>
      </c>
      <c r="G401" s="13">
        <v>-64.872412771806097</v>
      </c>
      <c r="H401" s="13">
        <f t="shared" si="79"/>
        <v>295.12758722819387</v>
      </c>
      <c r="I401" s="9">
        <v>3.1097449080000001</v>
      </c>
      <c r="J401" s="9">
        <v>122.957336744</v>
      </c>
      <c r="K401" s="9">
        <f t="shared" si="80"/>
        <v>122.95733674400003</v>
      </c>
      <c r="L401" s="10">
        <v>115.12758700000001</v>
      </c>
      <c r="M401" s="3">
        <f t="shared" si="81"/>
        <v>295.12758700000001</v>
      </c>
      <c r="N401" s="15">
        <f t="shared" si="74"/>
        <v>3.1097449083886235</v>
      </c>
      <c r="O401" s="23">
        <f t="shared" si="72"/>
        <v>2.8643754035329039E-13</v>
      </c>
      <c r="P401" s="22">
        <f t="shared" si="73"/>
        <v>3.886233557182095E-10</v>
      </c>
      <c r="Q401" s="16">
        <f t="shared" si="82"/>
        <v>122.95733674416289</v>
      </c>
      <c r="R401" s="23">
        <f t="shared" si="75"/>
        <v>8.8107299234252423E-13</v>
      </c>
      <c r="S401" s="22">
        <f t="shared" si="76"/>
        <v>1.6285639503621496E-10</v>
      </c>
      <c r="T401" s="16">
        <f t="shared" si="83"/>
        <v>295.1275872281937</v>
      </c>
      <c r="U401" s="23">
        <f t="shared" si="77"/>
        <v>1.7053025658242404E-13</v>
      </c>
      <c r="V401" s="22">
        <f t="shared" si="78"/>
        <v>2.2819369860371808E-7</v>
      </c>
    </row>
    <row r="402" spans="1:22" x14ac:dyDescent="0.45">
      <c r="A402">
        <v>49.475580000000001</v>
      </c>
      <c r="B402">
        <v>-101.38177</v>
      </c>
      <c r="C402">
        <v>38.834029999999998</v>
      </c>
      <c r="D402">
        <v>26818.222600000001</v>
      </c>
      <c r="E402" s="13">
        <v>49.663175077147002</v>
      </c>
      <c r="F402" s="13">
        <v>-101.148835394551</v>
      </c>
      <c r="G402" s="13">
        <v>39.011338253307798</v>
      </c>
      <c r="H402" s="13">
        <f t="shared" si="79"/>
        <v>39.011338253307798</v>
      </c>
      <c r="I402" s="11">
        <v>49.663175076999998</v>
      </c>
      <c r="J402" s="11">
        <v>-101.14883539500001</v>
      </c>
      <c r="K402" s="9">
        <f t="shared" si="80"/>
        <v>-101.14883539500001</v>
      </c>
      <c r="L402" s="12">
        <v>219.01133799999999</v>
      </c>
      <c r="M402" s="3">
        <f t="shared" si="81"/>
        <v>39.011338000000023</v>
      </c>
      <c r="N402" s="15">
        <f t="shared" si="74"/>
        <v>49.663175077177939</v>
      </c>
      <c r="O402" s="23">
        <f t="shared" si="72"/>
        <v>3.0937030714994762E-11</v>
      </c>
      <c r="P402" s="22">
        <f t="shared" si="73"/>
        <v>1.7794121731640189E-10</v>
      </c>
      <c r="Q402" s="16">
        <f t="shared" si="82"/>
        <v>-101.14883539451277</v>
      </c>
      <c r="R402" s="23">
        <f t="shared" si="75"/>
        <v>3.822719918389339E-11</v>
      </c>
      <c r="S402" s="22">
        <f t="shared" si="76"/>
        <v>4.872333647654159E-10</v>
      </c>
      <c r="T402" s="16">
        <f t="shared" si="83"/>
        <v>39.011338253337328</v>
      </c>
      <c r="U402" s="23">
        <f t="shared" si="77"/>
        <v>2.9530156098189764E-11</v>
      </c>
      <c r="V402" s="22">
        <f t="shared" si="78"/>
        <v>2.5333730491183815E-7</v>
      </c>
    </row>
    <row r="403" spans="1:22" x14ac:dyDescent="0.45">
      <c r="A403">
        <v>66.461460000000002</v>
      </c>
      <c r="B403">
        <v>93.656599999999997</v>
      </c>
      <c r="C403">
        <v>337.96960999999999</v>
      </c>
      <c r="D403">
        <v>127.5797</v>
      </c>
      <c r="E403" s="13">
        <v>66.462520529746897</v>
      </c>
      <c r="F403" s="13">
        <v>93.655526560076694</v>
      </c>
      <c r="G403" s="13">
        <v>-22.031374124724302</v>
      </c>
      <c r="H403" s="13">
        <f t="shared" si="79"/>
        <v>337.96862587527568</v>
      </c>
      <c r="I403" s="9">
        <v>66.462520530000006</v>
      </c>
      <c r="J403" s="9">
        <v>93.655526559999998</v>
      </c>
      <c r="K403" s="9">
        <f t="shared" si="80"/>
        <v>93.655526559999998</v>
      </c>
      <c r="L403" s="10">
        <v>157.968626</v>
      </c>
      <c r="M403" s="3">
        <f t="shared" si="81"/>
        <v>337.96862599999997</v>
      </c>
      <c r="N403" s="15">
        <f t="shared" si="74"/>
        <v>66.462520529748517</v>
      </c>
      <c r="O403" s="23">
        <f t="shared" si="72"/>
        <v>1.6200374375330284E-12</v>
      </c>
      <c r="P403" s="22">
        <f t="shared" si="73"/>
        <v>2.5148949589492986E-10</v>
      </c>
      <c r="Q403" s="16">
        <f t="shared" si="82"/>
        <v>93.655526560074918</v>
      </c>
      <c r="R403" s="23">
        <f t="shared" si="75"/>
        <v>1.7763568394002505E-12</v>
      </c>
      <c r="S403" s="22">
        <f t="shared" si="76"/>
        <v>7.4919626058544964E-11</v>
      </c>
      <c r="T403" s="16">
        <f t="shared" si="83"/>
        <v>337.96862587527369</v>
      </c>
      <c r="U403" s="23">
        <f t="shared" si="77"/>
        <v>1.9895196601282805E-12</v>
      </c>
      <c r="V403" s="22">
        <f t="shared" si="78"/>
        <v>1.2472628441173583E-7</v>
      </c>
    </row>
    <row r="404" spans="1:22" x14ac:dyDescent="0.45">
      <c r="A404">
        <v>70.826660000000004</v>
      </c>
      <c r="B404">
        <v>-104.88619</v>
      </c>
      <c r="C404">
        <v>3.5659100000000001</v>
      </c>
      <c r="D404">
        <v>926.50239999999997</v>
      </c>
      <c r="E404" s="13">
        <v>70.834947966430306</v>
      </c>
      <c r="F404" s="13">
        <v>-104.884617888298</v>
      </c>
      <c r="G404" s="13">
        <v>3.5673949428954601</v>
      </c>
      <c r="H404" s="13">
        <f t="shared" si="79"/>
        <v>3.5673949428954601</v>
      </c>
      <c r="I404" s="11">
        <v>70.834947966000001</v>
      </c>
      <c r="J404" s="11">
        <v>-104.88461788799999</v>
      </c>
      <c r="K404" s="9">
        <f t="shared" si="80"/>
        <v>-104.88461788799999</v>
      </c>
      <c r="L404" s="12">
        <v>183.567395</v>
      </c>
      <c r="M404" s="3">
        <f t="shared" si="81"/>
        <v>3.5673950000000332</v>
      </c>
      <c r="N404" s="15">
        <f t="shared" si="74"/>
        <v>70.834947966449135</v>
      </c>
      <c r="O404" s="23">
        <f t="shared" si="72"/>
        <v>1.8829382497642655E-11</v>
      </c>
      <c r="P404" s="22">
        <f t="shared" si="73"/>
        <v>4.4913406327395933E-10</v>
      </c>
      <c r="Q404" s="16">
        <f t="shared" si="82"/>
        <v>-104.88461788829433</v>
      </c>
      <c r="R404" s="23">
        <f t="shared" si="75"/>
        <v>3.666400516522117E-12</v>
      </c>
      <c r="S404" s="22">
        <f t="shared" si="76"/>
        <v>2.943352228612639E-10</v>
      </c>
      <c r="T404" s="16">
        <f t="shared" si="83"/>
        <v>3.5673949428988427</v>
      </c>
      <c r="U404" s="23">
        <f t="shared" si="77"/>
        <v>3.3826275114279269E-12</v>
      </c>
      <c r="V404" s="22">
        <f t="shared" si="78"/>
        <v>5.7101190442665484E-8</v>
      </c>
    </row>
    <row r="405" spans="1:22" x14ac:dyDescent="0.45">
      <c r="A405">
        <v>4.0334099999999999</v>
      </c>
      <c r="B405">
        <v>3.1151</v>
      </c>
      <c r="C405">
        <v>77.926869999999994</v>
      </c>
      <c r="D405">
        <v>2066.0987</v>
      </c>
      <c r="E405" s="13">
        <v>4.0373177906524802</v>
      </c>
      <c r="F405" s="13">
        <v>3.1332944080416798</v>
      </c>
      <c r="G405" s="13">
        <v>77.928150380047697</v>
      </c>
      <c r="H405" s="13">
        <f t="shared" si="79"/>
        <v>77.928150380047697</v>
      </c>
      <c r="I405" s="9">
        <v>4.0373177910000004</v>
      </c>
      <c r="J405" s="9">
        <v>3.1332944079999998</v>
      </c>
      <c r="K405" s="9">
        <f t="shared" si="80"/>
        <v>3.1332944080000118</v>
      </c>
      <c r="L405" s="10">
        <v>257.92815000000002</v>
      </c>
      <c r="M405" s="3">
        <f t="shared" si="81"/>
        <v>77.928150000000016</v>
      </c>
      <c r="N405" s="15">
        <f t="shared" si="74"/>
        <v>4.0373177906525095</v>
      </c>
      <c r="O405" s="23">
        <f t="shared" si="72"/>
        <v>2.9309887850104133E-14</v>
      </c>
      <c r="P405" s="22">
        <f t="shared" si="73"/>
        <v>3.47490924923477E-10</v>
      </c>
      <c r="Q405" s="16">
        <f t="shared" si="82"/>
        <v>3.1332944080417917</v>
      </c>
      <c r="R405" s="23">
        <f t="shared" si="75"/>
        <v>1.1191048088221578E-13</v>
      </c>
      <c r="S405" s="22">
        <f t="shared" si="76"/>
        <v>4.1779912862693891E-11</v>
      </c>
      <c r="T405" s="16">
        <f t="shared" si="83"/>
        <v>77.928150380047583</v>
      </c>
      <c r="U405" s="23">
        <f t="shared" si="77"/>
        <v>1.1368683772161603E-13</v>
      </c>
      <c r="V405" s="22">
        <f t="shared" si="78"/>
        <v>3.8004756675036333E-7</v>
      </c>
    </row>
    <row r="406" spans="1:22" x14ac:dyDescent="0.45">
      <c r="A406">
        <v>-87.02346</v>
      </c>
      <c r="B406">
        <v>40.207279999999997</v>
      </c>
      <c r="C406">
        <v>162.63477</v>
      </c>
      <c r="D406">
        <v>2378.8726000000001</v>
      </c>
      <c r="E406" s="13">
        <v>-87.043781115266</v>
      </c>
      <c r="F406" s="13">
        <v>40.330537380496899</v>
      </c>
      <c r="G406" s="13">
        <v>162.511677773331</v>
      </c>
      <c r="H406" s="13">
        <f t="shared" si="79"/>
        <v>162.511677773331</v>
      </c>
      <c r="I406" s="11">
        <v>-87.043781115000002</v>
      </c>
      <c r="J406" s="11">
        <v>40.330537380000003</v>
      </c>
      <c r="K406" s="9">
        <f t="shared" si="80"/>
        <v>40.33053738000001</v>
      </c>
      <c r="L406" s="12">
        <v>342.51167800000002</v>
      </c>
      <c r="M406" s="3">
        <f t="shared" si="81"/>
        <v>162.51167800000007</v>
      </c>
      <c r="N406" s="15">
        <f t="shared" si="74"/>
        <v>-87.043781115265773</v>
      </c>
      <c r="O406" s="23">
        <f t="shared" si="72"/>
        <v>2.2737367544323206E-13</v>
      </c>
      <c r="P406" s="22">
        <f t="shared" si="73"/>
        <v>2.6577140488370787E-10</v>
      </c>
      <c r="Q406" s="16">
        <f t="shared" si="82"/>
        <v>40.330537380495883</v>
      </c>
      <c r="R406" s="23">
        <f t="shared" si="75"/>
        <v>1.0160761121369433E-12</v>
      </c>
      <c r="S406" s="22">
        <f t="shared" si="76"/>
        <v>4.9587356443225872E-10</v>
      </c>
      <c r="T406" s="16">
        <f t="shared" si="83"/>
        <v>162.51167777333168</v>
      </c>
      <c r="U406" s="23">
        <f t="shared" si="77"/>
        <v>6.8212102632969618E-13</v>
      </c>
      <c r="V406" s="22">
        <f t="shared" si="78"/>
        <v>2.2666839072371658E-7</v>
      </c>
    </row>
    <row r="407" spans="1:22" x14ac:dyDescent="0.45">
      <c r="A407">
        <v>15.754440000000001</v>
      </c>
      <c r="B407">
        <v>28.95121</v>
      </c>
      <c r="C407">
        <v>113.33511</v>
      </c>
      <c r="D407">
        <v>598.16459999999995</v>
      </c>
      <c r="E407" s="13">
        <v>15.7522987312834</v>
      </c>
      <c r="F407" s="13">
        <v>28.956335140853302</v>
      </c>
      <c r="G407" s="13">
        <v>113.336501460614</v>
      </c>
      <c r="H407" s="13">
        <f t="shared" si="79"/>
        <v>113.336501460614</v>
      </c>
      <c r="I407" s="9">
        <v>15.752298731</v>
      </c>
      <c r="J407" s="9">
        <v>28.956335141</v>
      </c>
      <c r="K407" s="9">
        <f t="shared" si="80"/>
        <v>28.956335141000011</v>
      </c>
      <c r="L407" s="10">
        <v>293.336501</v>
      </c>
      <c r="M407" s="3">
        <f t="shared" si="81"/>
        <v>113.336501</v>
      </c>
      <c r="N407" s="15">
        <f t="shared" si="74"/>
        <v>15.752298731283426</v>
      </c>
      <c r="O407" s="23">
        <f t="shared" si="72"/>
        <v>2.6645352591003757E-14</v>
      </c>
      <c r="P407" s="22">
        <f t="shared" si="73"/>
        <v>2.8342661551050696E-10</v>
      </c>
      <c r="Q407" s="16">
        <f t="shared" si="82"/>
        <v>28.95633514085327</v>
      </c>
      <c r="R407" s="23">
        <f t="shared" si="75"/>
        <v>3.1974423109204508E-14</v>
      </c>
      <c r="S407" s="22">
        <f t="shared" si="76"/>
        <v>1.4674128578917589E-10</v>
      </c>
      <c r="T407" s="16">
        <f t="shared" si="83"/>
        <v>113.33650146061349</v>
      </c>
      <c r="U407" s="23">
        <f t="shared" si="77"/>
        <v>5.1159076974727213E-13</v>
      </c>
      <c r="V407" s="22">
        <f t="shared" si="78"/>
        <v>4.606134922369165E-7</v>
      </c>
    </row>
    <row r="408" spans="1:22" x14ac:dyDescent="0.45">
      <c r="A408">
        <v>-80.318340000000006</v>
      </c>
      <c r="B408">
        <v>171.35975999999999</v>
      </c>
      <c r="C408">
        <v>128.19161</v>
      </c>
      <c r="D408">
        <v>2658.8733999999999</v>
      </c>
      <c r="E408" s="13">
        <v>-80.333044725155304</v>
      </c>
      <c r="F408" s="13">
        <v>171.471189011468</v>
      </c>
      <c r="G408" s="13">
        <v>128.08176562716099</v>
      </c>
      <c r="H408" s="13">
        <f t="shared" si="79"/>
        <v>128.08176562716099</v>
      </c>
      <c r="I408" s="11">
        <v>-80.333044724999993</v>
      </c>
      <c r="J408" s="11">
        <v>171.47118901100001</v>
      </c>
      <c r="K408" s="9">
        <f t="shared" si="80"/>
        <v>171.47118901099998</v>
      </c>
      <c r="L408" s="12">
        <v>308.08176600000002</v>
      </c>
      <c r="M408" s="3">
        <f t="shared" si="81"/>
        <v>128.08176600000002</v>
      </c>
      <c r="N408" s="15">
        <f t="shared" si="74"/>
        <v>-80.333044725155105</v>
      </c>
      <c r="O408" s="23">
        <f t="shared" si="72"/>
        <v>1.9895196601282805E-13</v>
      </c>
      <c r="P408" s="22">
        <f t="shared" si="73"/>
        <v>1.5511147921642987E-10</v>
      </c>
      <c r="Q408" s="16">
        <f t="shared" si="82"/>
        <v>171.47118901146678</v>
      </c>
      <c r="R408" s="23">
        <f t="shared" si="75"/>
        <v>1.2221335055073723E-12</v>
      </c>
      <c r="S408" s="22">
        <f t="shared" si="76"/>
        <v>4.6679815568495542E-10</v>
      </c>
      <c r="T408" s="16">
        <f t="shared" si="83"/>
        <v>128.0817656271613</v>
      </c>
      <c r="U408" s="23">
        <f t="shared" si="77"/>
        <v>3.1263880373444408E-13</v>
      </c>
      <c r="V408" s="22">
        <f t="shared" si="78"/>
        <v>3.7283871279214509E-7</v>
      </c>
    </row>
    <row r="409" spans="1:22" x14ac:dyDescent="0.45">
      <c r="A409">
        <v>-42.492170000000002</v>
      </c>
      <c r="B409">
        <v>170.47765999999999</v>
      </c>
      <c r="C409">
        <v>310.09372000000002</v>
      </c>
      <c r="D409">
        <v>1865.2722000000001</v>
      </c>
      <c r="E409" s="13">
        <v>-42.481354139469403</v>
      </c>
      <c r="F409" s="13">
        <v>170.46030584308201</v>
      </c>
      <c r="G409" s="13">
        <v>-49.894558657923</v>
      </c>
      <c r="H409" s="13">
        <f t="shared" si="79"/>
        <v>310.10544134207703</v>
      </c>
      <c r="I409" s="9">
        <v>-42.481354138999997</v>
      </c>
      <c r="J409" s="9">
        <v>170.46030584299999</v>
      </c>
      <c r="K409" s="9">
        <f t="shared" si="80"/>
        <v>170.46030584300001</v>
      </c>
      <c r="L409" s="10">
        <v>130.10544100000001</v>
      </c>
      <c r="M409" s="3">
        <f t="shared" si="81"/>
        <v>310.10544100000004</v>
      </c>
      <c r="N409" s="15">
        <f t="shared" si="74"/>
        <v>-42.481354139468756</v>
      </c>
      <c r="O409" s="23">
        <f t="shared" si="72"/>
        <v>6.4659388954169117E-13</v>
      </c>
      <c r="P409" s="22">
        <f t="shared" si="73"/>
        <v>4.6875925363565329E-10</v>
      </c>
      <c r="Q409" s="16">
        <f t="shared" si="82"/>
        <v>170.46030584308079</v>
      </c>
      <c r="R409" s="23">
        <f t="shared" si="75"/>
        <v>1.2221335055073723E-12</v>
      </c>
      <c r="S409" s="22">
        <f t="shared" si="76"/>
        <v>8.0774498201208189E-11</v>
      </c>
      <c r="T409" s="16">
        <f t="shared" si="83"/>
        <v>310.10544134207743</v>
      </c>
      <c r="U409" s="23">
        <f t="shared" si="77"/>
        <v>3.979039320256561E-13</v>
      </c>
      <c r="V409" s="22">
        <f t="shared" si="78"/>
        <v>3.4207738508484908E-7</v>
      </c>
    </row>
    <row r="410" spans="1:22" x14ac:dyDescent="0.45">
      <c r="A410">
        <v>34.714449999999999</v>
      </c>
      <c r="B410">
        <v>-142.19544999999999</v>
      </c>
      <c r="C410">
        <v>255.7319</v>
      </c>
      <c r="D410">
        <v>2963.6988000000001</v>
      </c>
      <c r="E410" s="13">
        <v>34.707861662753103</v>
      </c>
      <c r="F410" s="13">
        <v>-142.226802833921</v>
      </c>
      <c r="G410" s="13">
        <v>-104.285953545194</v>
      </c>
      <c r="H410" s="13">
        <f t="shared" si="79"/>
        <v>255.71404645480601</v>
      </c>
      <c r="I410" s="11">
        <v>34.707861663000003</v>
      </c>
      <c r="J410" s="11">
        <v>-142.22680283400001</v>
      </c>
      <c r="K410" s="9">
        <f t="shared" si="80"/>
        <v>-142.22680283400001</v>
      </c>
      <c r="L410" s="12">
        <v>75.714045999999996</v>
      </c>
      <c r="M410" s="3">
        <f t="shared" si="81"/>
        <v>255.714046</v>
      </c>
      <c r="N410" s="15">
        <f t="shared" si="74"/>
        <v>34.707861662752393</v>
      </c>
      <c r="O410" s="23">
        <f t="shared" si="72"/>
        <v>7.1054273576010019E-13</v>
      </c>
      <c r="P410" s="22">
        <f t="shared" si="73"/>
        <v>2.4760993255767971E-10</v>
      </c>
      <c r="Q410" s="16">
        <f t="shared" si="82"/>
        <v>-142.22680283392381</v>
      </c>
      <c r="R410" s="23">
        <f t="shared" si="75"/>
        <v>2.8137492336099967E-12</v>
      </c>
      <c r="S410" s="22">
        <f t="shared" si="76"/>
        <v>7.6198602982913144E-11</v>
      </c>
      <c r="T410" s="16">
        <f t="shared" si="83"/>
        <v>255.71404645480382</v>
      </c>
      <c r="U410" s="23">
        <f t="shared" si="77"/>
        <v>2.1884716261411086E-12</v>
      </c>
      <c r="V410" s="22">
        <f t="shared" si="78"/>
        <v>4.5480382482310233E-7</v>
      </c>
    </row>
    <row r="411" spans="1:22" x14ac:dyDescent="0.45">
      <c r="A411">
        <v>-10.031370000000001</v>
      </c>
      <c r="B411">
        <v>58.65645</v>
      </c>
      <c r="C411">
        <v>74.390590000000003</v>
      </c>
      <c r="D411">
        <v>1864.1994</v>
      </c>
      <c r="E411" s="13">
        <v>-10.0268345239963</v>
      </c>
      <c r="F411" s="13">
        <v>58.672827258774703</v>
      </c>
      <c r="G411" s="13">
        <v>74.387737927075605</v>
      </c>
      <c r="H411" s="13">
        <f t="shared" si="79"/>
        <v>74.387737927075605</v>
      </c>
      <c r="I411" s="9">
        <v>-10.026834524</v>
      </c>
      <c r="J411" s="9">
        <v>58.672827259000002</v>
      </c>
      <c r="K411" s="9">
        <f t="shared" si="80"/>
        <v>58.672827259000002</v>
      </c>
      <c r="L411" s="10">
        <v>254.38773800000001</v>
      </c>
      <c r="M411" s="3">
        <f t="shared" si="81"/>
        <v>74.387738000000013</v>
      </c>
      <c r="N411" s="15">
        <f t="shared" si="74"/>
        <v>-10.026834523996284</v>
      </c>
      <c r="O411" s="23">
        <f t="shared" si="72"/>
        <v>1.5987211554602254E-14</v>
      </c>
      <c r="P411" s="22">
        <f t="shared" si="73"/>
        <v>3.716138508025324E-12</v>
      </c>
      <c r="Q411" s="16">
        <f t="shared" si="82"/>
        <v>58.672827258774817</v>
      </c>
      <c r="R411" s="23">
        <f t="shared" si="75"/>
        <v>1.1368683772161603E-13</v>
      </c>
      <c r="S411" s="22">
        <f t="shared" si="76"/>
        <v>2.2518520381709095E-10</v>
      </c>
      <c r="T411" s="16">
        <f t="shared" si="83"/>
        <v>74.387737927075449</v>
      </c>
      <c r="U411" s="23">
        <f t="shared" si="77"/>
        <v>1.5631940186722204E-13</v>
      </c>
      <c r="V411" s="22">
        <f t="shared" si="78"/>
        <v>7.2924564165077754E-8</v>
      </c>
    </row>
    <row r="412" spans="1:22" x14ac:dyDescent="0.45">
      <c r="A412">
        <v>-60.351030000000002</v>
      </c>
      <c r="B412">
        <v>58.51435</v>
      </c>
      <c r="C412">
        <v>192.98403999999999</v>
      </c>
      <c r="D412">
        <v>434.13080000000002</v>
      </c>
      <c r="E412" s="13">
        <v>-60.354826773695102</v>
      </c>
      <c r="F412" s="13">
        <v>58.512583009342599</v>
      </c>
      <c r="G412" s="13">
        <v>-167.01442432814599</v>
      </c>
      <c r="H412" s="13">
        <f t="shared" si="79"/>
        <v>192.98557567185401</v>
      </c>
      <c r="I412" s="11">
        <v>-60.354826774000003</v>
      </c>
      <c r="J412" s="11">
        <v>58.512583008999997</v>
      </c>
      <c r="K412" s="9">
        <f t="shared" si="80"/>
        <v>58.512583008999997</v>
      </c>
      <c r="L412" s="12">
        <v>12.985576</v>
      </c>
      <c r="M412" s="3">
        <f t="shared" si="81"/>
        <v>192.98557600000001</v>
      </c>
      <c r="N412" s="15">
        <f t="shared" si="74"/>
        <v>-60.354826773697503</v>
      </c>
      <c r="O412" s="23">
        <f t="shared" si="72"/>
        <v>2.4016344468691386E-12</v>
      </c>
      <c r="P412" s="22">
        <f t="shared" si="73"/>
        <v>3.0249935889514745E-10</v>
      </c>
      <c r="Q412" s="16">
        <f t="shared" si="82"/>
        <v>58.51258300934137</v>
      </c>
      <c r="R412" s="23">
        <f t="shared" si="75"/>
        <v>1.2292389328649733E-12</v>
      </c>
      <c r="S412" s="22">
        <f t="shared" si="76"/>
        <v>3.4137315196858253E-10</v>
      </c>
      <c r="T412" s="16">
        <f t="shared" si="83"/>
        <v>192.9855756718552</v>
      </c>
      <c r="U412" s="23">
        <f t="shared" si="77"/>
        <v>1.1937117960769683E-12</v>
      </c>
      <c r="V412" s="22">
        <f t="shared" si="78"/>
        <v>3.2814480732668017E-7</v>
      </c>
    </row>
    <row r="413" spans="1:22" x14ac:dyDescent="0.45">
      <c r="A413">
        <v>79.351789999999994</v>
      </c>
      <c r="B413">
        <v>-56.456060000000001</v>
      </c>
      <c r="C413">
        <v>51.214190000000002</v>
      </c>
      <c r="D413">
        <v>2755.375</v>
      </c>
      <c r="E413" s="13">
        <v>79.367231037424801</v>
      </c>
      <c r="F413" s="13">
        <v>-56.351831816950202</v>
      </c>
      <c r="G413" s="13">
        <v>51.316625992795601</v>
      </c>
      <c r="H413" s="13">
        <f t="shared" si="79"/>
        <v>51.316625992795601</v>
      </c>
      <c r="I413" s="9">
        <v>79.367231036999996</v>
      </c>
      <c r="J413" s="9">
        <v>-56.351831816999997</v>
      </c>
      <c r="K413" s="9">
        <f t="shared" si="80"/>
        <v>-56.351831817000004</v>
      </c>
      <c r="L413" s="10">
        <v>231.31662600000001</v>
      </c>
      <c r="M413" s="3">
        <f t="shared" si="81"/>
        <v>51.316626000000042</v>
      </c>
      <c r="N413" s="15">
        <f t="shared" si="74"/>
        <v>79.367231037424617</v>
      </c>
      <c r="O413" s="23">
        <f t="shared" si="72"/>
        <v>1.8474111129762605E-13</v>
      </c>
      <c r="P413" s="22">
        <f t="shared" si="73"/>
        <v>4.2462033889023587E-10</v>
      </c>
      <c r="Q413" s="16">
        <f t="shared" si="82"/>
        <v>-56.351831816950892</v>
      </c>
      <c r="R413" s="23">
        <f t="shared" si="75"/>
        <v>6.8922645368729718E-13</v>
      </c>
      <c r="S413" s="22">
        <f t="shared" si="76"/>
        <v>4.9112713895738125E-11</v>
      </c>
      <c r="T413" s="16">
        <f t="shared" si="83"/>
        <v>51.316625992794847</v>
      </c>
      <c r="U413" s="23">
        <f t="shared" si="77"/>
        <v>7.531752999057062E-13</v>
      </c>
      <c r="V413" s="22">
        <f t="shared" si="78"/>
        <v>7.2051946631290775E-9</v>
      </c>
    </row>
    <row r="414" spans="1:22" x14ac:dyDescent="0.45">
      <c r="A414">
        <v>32.115189999999998</v>
      </c>
      <c r="B414">
        <v>-85.646919999999994</v>
      </c>
      <c r="C414">
        <v>24.316459999999999</v>
      </c>
      <c r="D414">
        <v>551.63620000000003</v>
      </c>
      <c r="E414" s="13">
        <v>32.119723324957299</v>
      </c>
      <c r="F414" s="13">
        <v>-85.644512982092294</v>
      </c>
      <c r="G414" s="13">
        <v>24.317739707085099</v>
      </c>
      <c r="H414" s="13">
        <f t="shared" si="79"/>
        <v>24.317739707085099</v>
      </c>
      <c r="I414" s="11">
        <v>32.119723325000002</v>
      </c>
      <c r="J414" s="11">
        <v>-85.644512981999995</v>
      </c>
      <c r="K414" s="9">
        <f t="shared" si="80"/>
        <v>-85.644512981999995</v>
      </c>
      <c r="L414" s="12">
        <v>204.31773999999999</v>
      </c>
      <c r="M414" s="3">
        <f t="shared" si="81"/>
        <v>24.317739999999958</v>
      </c>
      <c r="N414" s="15">
        <f t="shared" si="74"/>
        <v>32.119723324956645</v>
      </c>
      <c r="O414" s="23">
        <f t="shared" si="72"/>
        <v>6.5369931689929217E-13</v>
      </c>
      <c r="P414" s="22">
        <f t="shared" si="73"/>
        <v>4.3357317736081313E-11</v>
      </c>
      <c r="Q414" s="16">
        <f t="shared" si="82"/>
        <v>-85.644512982092692</v>
      </c>
      <c r="R414" s="23">
        <f t="shared" si="75"/>
        <v>3.979039320256561E-13</v>
      </c>
      <c r="S414" s="22">
        <f t="shared" si="76"/>
        <v>9.269740530726267E-11</v>
      </c>
      <c r="T414" s="16">
        <f t="shared" si="83"/>
        <v>24.317739707084893</v>
      </c>
      <c r="U414" s="23">
        <f t="shared" si="77"/>
        <v>2.0605739337042905E-13</v>
      </c>
      <c r="V414" s="22">
        <f t="shared" si="78"/>
        <v>2.9291506464801387E-7</v>
      </c>
    </row>
    <row r="415" spans="1:22" x14ac:dyDescent="0.45">
      <c r="A415">
        <v>-66.744129999999998</v>
      </c>
      <c r="B415">
        <v>112.51819</v>
      </c>
      <c r="C415">
        <v>64.061499999999995</v>
      </c>
      <c r="D415">
        <v>1356.1890000000001</v>
      </c>
      <c r="E415" s="13">
        <v>-66.738808212201306</v>
      </c>
      <c r="F415" s="13">
        <v>112.545852603733</v>
      </c>
      <c r="G415" s="13">
        <v>64.0360854688671</v>
      </c>
      <c r="H415" s="13">
        <f t="shared" si="79"/>
        <v>64.0360854688671</v>
      </c>
      <c r="I415" s="9">
        <v>-66.738808211999995</v>
      </c>
      <c r="J415" s="9">
        <v>112.545852604</v>
      </c>
      <c r="K415" s="9">
        <f t="shared" si="80"/>
        <v>112.545852604</v>
      </c>
      <c r="L415" s="10">
        <v>244.03608500000001</v>
      </c>
      <c r="M415" s="3">
        <f t="shared" si="81"/>
        <v>64.036085000000014</v>
      </c>
      <c r="N415" s="15">
        <f t="shared" si="74"/>
        <v>-66.738808212187607</v>
      </c>
      <c r="O415" s="23">
        <f t="shared" si="72"/>
        <v>1.3699263945454732E-11</v>
      </c>
      <c r="P415" s="22">
        <f t="shared" si="73"/>
        <v>1.8761170395009685E-10</v>
      </c>
      <c r="Q415" s="16">
        <f t="shared" si="82"/>
        <v>112.54585260380344</v>
      </c>
      <c r="R415" s="23">
        <f t="shared" si="75"/>
        <v>7.0443206823256332E-11</v>
      </c>
      <c r="S415" s="22">
        <f t="shared" si="76"/>
        <v>1.9656454242067412E-10</v>
      </c>
      <c r="T415" s="16">
        <f t="shared" si="83"/>
        <v>64.036085468802241</v>
      </c>
      <c r="U415" s="23">
        <f t="shared" si="77"/>
        <v>6.4858340920181945E-11</v>
      </c>
      <c r="V415" s="22">
        <f t="shared" si="78"/>
        <v>4.6880222726031207E-7</v>
      </c>
    </row>
    <row r="416" spans="1:22" x14ac:dyDescent="0.45">
      <c r="A416">
        <v>0.26845000000000002</v>
      </c>
      <c r="B416">
        <v>-15.071</v>
      </c>
      <c r="C416">
        <v>247.40186</v>
      </c>
      <c r="D416">
        <v>914.31590000000006</v>
      </c>
      <c r="E416" s="13">
        <v>0.26527258732564002</v>
      </c>
      <c r="F416" s="13">
        <v>-15.0785829144278</v>
      </c>
      <c r="G416" s="13">
        <v>-112.598175318117</v>
      </c>
      <c r="H416" s="13">
        <f t="shared" si="79"/>
        <v>247.401824681883</v>
      </c>
      <c r="I416" s="11">
        <v>0.265272587</v>
      </c>
      <c r="J416" s="11">
        <v>-15.078582914</v>
      </c>
      <c r="K416" s="9">
        <f t="shared" si="80"/>
        <v>-15.078582914000009</v>
      </c>
      <c r="L416" s="12">
        <v>67.401825000000002</v>
      </c>
      <c r="M416" s="3">
        <f t="shared" si="81"/>
        <v>247.401825</v>
      </c>
      <c r="N416" s="15">
        <f t="shared" si="74"/>
        <v>0.26527258732566655</v>
      </c>
      <c r="O416" s="23">
        <f t="shared" si="72"/>
        <v>2.6534330288541241E-14</v>
      </c>
      <c r="P416" s="22">
        <f t="shared" si="73"/>
        <v>3.2566654928345429E-10</v>
      </c>
      <c r="Q416" s="16">
        <f t="shared" si="82"/>
        <v>-15.078582914427727</v>
      </c>
      <c r="R416" s="23">
        <f t="shared" si="75"/>
        <v>7.2830630415410269E-14</v>
      </c>
      <c r="S416" s="22">
        <f t="shared" si="76"/>
        <v>4.2771830521814991E-10</v>
      </c>
      <c r="T416" s="16">
        <f t="shared" si="83"/>
        <v>247.40182468188277</v>
      </c>
      <c r="U416" s="23">
        <f t="shared" si="77"/>
        <v>2.2737367544323206E-13</v>
      </c>
      <c r="V416" s="22">
        <f t="shared" si="78"/>
        <v>3.1811723033570161E-7</v>
      </c>
    </row>
    <row r="417" spans="1:22" x14ac:dyDescent="0.45">
      <c r="A417">
        <v>-78.616709999999998</v>
      </c>
      <c r="B417">
        <v>-159.26516000000001</v>
      </c>
      <c r="C417">
        <v>299.11264999999997</v>
      </c>
      <c r="D417">
        <v>543.87559999999996</v>
      </c>
      <c r="E417" s="13">
        <v>-78.614339212031695</v>
      </c>
      <c r="F417" s="13">
        <v>-159.28671252402799</v>
      </c>
      <c r="G417" s="13">
        <v>-60.866221528441599</v>
      </c>
      <c r="H417" s="13">
        <f t="shared" si="79"/>
        <v>299.1337784715584</v>
      </c>
      <c r="I417" s="9">
        <v>-78.614339212000004</v>
      </c>
      <c r="J417" s="9">
        <v>-159.286712524</v>
      </c>
      <c r="K417" s="9">
        <f t="shared" si="80"/>
        <v>-159.286712524</v>
      </c>
      <c r="L417" s="10">
        <v>119.13377800000001</v>
      </c>
      <c r="M417" s="3">
        <f t="shared" si="81"/>
        <v>299.13377800000001</v>
      </c>
      <c r="N417" s="15">
        <f t="shared" si="74"/>
        <v>-78.614339212021946</v>
      </c>
      <c r="O417" s="23">
        <f t="shared" ref="O417:O480" si="84">ABS(E417-N417)</f>
        <v>9.7486463346285746E-12</v>
      </c>
      <c r="P417" s="22">
        <f t="shared" ref="P417:P480" si="85">ABS(I417-N417)</f>
        <v>2.1941559680271894E-11</v>
      </c>
      <c r="Q417" s="16">
        <f t="shared" si="82"/>
        <v>-159.28671252411621</v>
      </c>
      <c r="R417" s="23">
        <f t="shared" si="75"/>
        <v>8.8220986071974039E-11</v>
      </c>
      <c r="S417" s="22">
        <f t="shared" si="76"/>
        <v>1.1621636986092199E-10</v>
      </c>
      <c r="T417" s="16">
        <f t="shared" si="83"/>
        <v>299.13377847164418</v>
      </c>
      <c r="U417" s="23">
        <f t="shared" si="77"/>
        <v>8.5776719060959294E-11</v>
      </c>
      <c r="V417" s="22">
        <f t="shared" si="78"/>
        <v>4.7164417082967702E-7</v>
      </c>
    </row>
    <row r="418" spans="1:22" x14ac:dyDescent="0.45">
      <c r="A418">
        <v>50.509030000000003</v>
      </c>
      <c r="B418">
        <v>89.373239999999996</v>
      </c>
      <c r="C418">
        <v>29.855509999999999</v>
      </c>
      <c r="D418">
        <v>2619.2867999999999</v>
      </c>
      <c r="E418" s="13">
        <v>50.529450012286901</v>
      </c>
      <c r="F418" s="13">
        <v>89.391629577947398</v>
      </c>
      <c r="G418" s="13">
        <v>29.869703777837501</v>
      </c>
      <c r="H418" s="13">
        <f t="shared" si="79"/>
        <v>29.869703777837501</v>
      </c>
      <c r="I418" s="11">
        <v>50.529450011999998</v>
      </c>
      <c r="J418" s="11">
        <v>89.391629578000007</v>
      </c>
      <c r="K418" s="9">
        <f t="shared" si="80"/>
        <v>89.391629577999993</v>
      </c>
      <c r="L418" s="12">
        <v>209.86970400000001</v>
      </c>
      <c r="M418" s="3">
        <f t="shared" si="81"/>
        <v>29.869704000000013</v>
      </c>
      <c r="N418" s="15">
        <f t="shared" si="74"/>
        <v>50.529450012289189</v>
      </c>
      <c r="O418" s="23">
        <f t="shared" si="84"/>
        <v>2.2879476091475226E-12</v>
      </c>
      <c r="P418" s="22">
        <f t="shared" si="85"/>
        <v>2.8919089345436078E-10</v>
      </c>
      <c r="Q418" s="16">
        <f t="shared" si="82"/>
        <v>89.391629577949573</v>
      </c>
      <c r="R418" s="23">
        <f t="shared" si="75"/>
        <v>2.1742607714259066E-12</v>
      </c>
      <c r="S418" s="22">
        <f t="shared" si="76"/>
        <v>5.0420112529536709E-11</v>
      </c>
      <c r="T418" s="16">
        <f t="shared" si="83"/>
        <v>29.869703777839202</v>
      </c>
      <c r="U418" s="23">
        <f t="shared" si="77"/>
        <v>1.7017498521454399E-12</v>
      </c>
      <c r="V418" s="22">
        <f t="shared" si="78"/>
        <v>2.2216081063675119E-7</v>
      </c>
    </row>
    <row r="419" spans="1:22" x14ac:dyDescent="0.45">
      <c r="A419">
        <v>-27.730129999999999</v>
      </c>
      <c r="B419">
        <v>154.33895000000001</v>
      </c>
      <c r="C419">
        <v>6.3365299999999998</v>
      </c>
      <c r="D419">
        <v>500.95839999999998</v>
      </c>
      <c r="E419" s="13">
        <v>-27.725636946531001</v>
      </c>
      <c r="F419" s="13">
        <v>154.33951069214399</v>
      </c>
      <c r="G419" s="13">
        <v>6.3362691251542502</v>
      </c>
      <c r="H419" s="13">
        <f t="shared" si="79"/>
        <v>6.3362691251542502</v>
      </c>
      <c r="I419" s="9">
        <v>-27.725636947000002</v>
      </c>
      <c r="J419" s="9">
        <v>154.339510692</v>
      </c>
      <c r="K419" s="9">
        <f t="shared" si="80"/>
        <v>154.33951069199998</v>
      </c>
      <c r="L419" s="10">
        <v>186.33626899999999</v>
      </c>
      <c r="M419" s="3">
        <f t="shared" si="81"/>
        <v>6.3362690000000157</v>
      </c>
      <c r="N419" s="15">
        <f t="shared" si="74"/>
        <v>-27.725636946534681</v>
      </c>
      <c r="O419" s="23">
        <f t="shared" si="84"/>
        <v>3.680611371237319E-12</v>
      </c>
      <c r="P419" s="22">
        <f t="shared" si="85"/>
        <v>4.6532022679457441E-10</v>
      </c>
      <c r="Q419" s="16">
        <f t="shared" si="82"/>
        <v>154.33951069214305</v>
      </c>
      <c r="R419" s="23">
        <f t="shared" si="75"/>
        <v>9.3791641120333225E-13</v>
      </c>
      <c r="S419" s="22">
        <f t="shared" si="76"/>
        <v>1.4307488527265377E-10</v>
      </c>
      <c r="T419" s="16">
        <f t="shared" si="83"/>
        <v>6.3362691251544678</v>
      </c>
      <c r="U419" s="23">
        <f t="shared" si="77"/>
        <v>2.1760371282653068E-13</v>
      </c>
      <c r="V419" s="22">
        <f t="shared" si="78"/>
        <v>1.2515445213523435E-7</v>
      </c>
    </row>
    <row r="420" spans="1:22" x14ac:dyDescent="0.45">
      <c r="A420">
        <v>46.087499999999999</v>
      </c>
      <c r="B420">
        <v>-169.65037000000001</v>
      </c>
      <c r="C420">
        <v>47.855159999999998</v>
      </c>
      <c r="D420">
        <v>612.99509999999998</v>
      </c>
      <c r="E420" s="13">
        <v>46.091200368207303</v>
      </c>
      <c r="F420" s="13">
        <v>-169.64449296739801</v>
      </c>
      <c r="G420" s="13">
        <v>47.859393944840797</v>
      </c>
      <c r="H420" s="13">
        <f t="shared" si="79"/>
        <v>47.859393944840797</v>
      </c>
      <c r="I420" s="11">
        <v>46.091200368000003</v>
      </c>
      <c r="J420" s="11">
        <v>-169.64449296699999</v>
      </c>
      <c r="K420" s="9">
        <f t="shared" si="80"/>
        <v>-169.64449296699999</v>
      </c>
      <c r="L420" s="12">
        <v>227.85939400000001</v>
      </c>
      <c r="M420" s="3">
        <f t="shared" si="81"/>
        <v>47.859394000000009</v>
      </c>
      <c r="N420" s="15">
        <f t="shared" si="74"/>
        <v>46.091200368207701</v>
      </c>
      <c r="O420" s="23">
        <f t="shared" si="84"/>
        <v>3.979039320256561E-13</v>
      </c>
      <c r="P420" s="22">
        <f t="shared" si="85"/>
        <v>2.0769874709003489E-10</v>
      </c>
      <c r="Q420" s="16">
        <f t="shared" si="82"/>
        <v>-169.64449296739701</v>
      </c>
      <c r="R420" s="23">
        <f t="shared" si="75"/>
        <v>9.9475983006414026E-13</v>
      </c>
      <c r="S420" s="22">
        <f t="shared" si="76"/>
        <v>3.9702285903331358E-10</v>
      </c>
      <c r="T420" s="16">
        <f t="shared" si="83"/>
        <v>47.859393944841266</v>
      </c>
      <c r="U420" s="23">
        <f t="shared" si="77"/>
        <v>4.6895820560166612E-13</v>
      </c>
      <c r="V420" s="22">
        <f t="shared" si="78"/>
        <v>5.515874335060289E-8</v>
      </c>
    </row>
    <row r="421" spans="1:22" x14ac:dyDescent="0.45">
      <c r="A421">
        <v>-89.666889999999995</v>
      </c>
      <c r="B421">
        <v>179.43251000000001</v>
      </c>
      <c r="C421">
        <v>260.77467000000001</v>
      </c>
      <c r="D421">
        <v>2206.3631999999998</v>
      </c>
      <c r="E421" s="13">
        <v>-89.669481240104005</v>
      </c>
      <c r="F421" s="13">
        <v>176.05050380969601</v>
      </c>
      <c r="G421" s="13">
        <v>-95.843380489650301</v>
      </c>
      <c r="H421" s="13">
        <f t="shared" si="79"/>
        <v>264.15661951034969</v>
      </c>
      <c r="I421" s="9">
        <v>-89.669481239999996</v>
      </c>
      <c r="J421" s="9">
        <v>176.05050381000001</v>
      </c>
      <c r="K421" s="9">
        <f t="shared" si="80"/>
        <v>176.05050381000001</v>
      </c>
      <c r="L421" s="10">
        <v>84.156620000000004</v>
      </c>
      <c r="M421" s="3">
        <f t="shared" si="81"/>
        <v>264.15661999999998</v>
      </c>
      <c r="N421" s="15">
        <f t="shared" si="74"/>
        <v>-89.669481240103948</v>
      </c>
      <c r="O421" s="23">
        <f t="shared" si="84"/>
        <v>5.6843418860808015E-14</v>
      </c>
      <c r="P421" s="22">
        <f t="shared" si="85"/>
        <v>1.0395240224170266E-10</v>
      </c>
      <c r="Q421" s="16">
        <f t="shared" si="82"/>
        <v>176.05050380972602</v>
      </c>
      <c r="R421" s="23">
        <f t="shared" si="75"/>
        <v>3.0013325158506632E-11</v>
      </c>
      <c r="S421" s="22">
        <f t="shared" si="76"/>
        <v>2.7398527890909463E-10</v>
      </c>
      <c r="T421" s="16">
        <f t="shared" si="83"/>
        <v>264.1566195103195</v>
      </c>
      <c r="U421" s="23">
        <f t="shared" si="77"/>
        <v>3.0183855415089056E-11</v>
      </c>
      <c r="V421" s="22">
        <f t="shared" si="78"/>
        <v>4.8968047394737368E-7</v>
      </c>
    </row>
    <row r="422" spans="1:22" x14ac:dyDescent="0.45">
      <c r="A422">
        <v>5.4884199999999996</v>
      </c>
      <c r="B422">
        <v>-54.188720000000004</v>
      </c>
      <c r="C422">
        <v>183.5258</v>
      </c>
      <c r="D422">
        <v>373.10430000000002</v>
      </c>
      <c r="E422" s="13">
        <v>5.4850524544708499</v>
      </c>
      <c r="F422" s="13">
        <v>-54.188927061711098</v>
      </c>
      <c r="G422" s="13">
        <v>-176.474219798272</v>
      </c>
      <c r="H422" s="13">
        <f t="shared" si="79"/>
        <v>183.525780201728</v>
      </c>
      <c r="I422" s="11">
        <v>5.4850524539999999</v>
      </c>
      <c r="J422" s="11">
        <v>-54.188927061999998</v>
      </c>
      <c r="K422" s="9">
        <f t="shared" si="80"/>
        <v>-54.188927062000005</v>
      </c>
      <c r="L422" s="12">
        <v>3.5257800000000001</v>
      </c>
      <c r="M422" s="3">
        <f t="shared" si="81"/>
        <v>183.52578</v>
      </c>
      <c r="N422" s="15">
        <f t="shared" si="74"/>
        <v>5.4850524544857668</v>
      </c>
      <c r="O422" s="23">
        <f t="shared" si="84"/>
        <v>1.4916956558863603E-11</v>
      </c>
      <c r="P422" s="22">
        <f t="shared" si="85"/>
        <v>4.8576698219449099E-10</v>
      </c>
      <c r="Q422" s="16">
        <f t="shared" si="82"/>
        <v>-54.188927061710174</v>
      </c>
      <c r="R422" s="23">
        <f t="shared" si="75"/>
        <v>9.2370555648813024E-13</v>
      </c>
      <c r="S422" s="22">
        <f t="shared" si="76"/>
        <v>2.8983038191654487E-10</v>
      </c>
      <c r="T422" s="16">
        <f t="shared" si="83"/>
        <v>183.52578020172828</v>
      </c>
      <c r="U422" s="23">
        <f t="shared" si="77"/>
        <v>2.8421709430404007E-13</v>
      </c>
      <c r="V422" s="22">
        <f t="shared" si="78"/>
        <v>2.0172828385511821E-7</v>
      </c>
    </row>
    <row r="423" spans="1:22" x14ac:dyDescent="0.45">
      <c r="A423">
        <v>-3.02867</v>
      </c>
      <c r="B423">
        <v>-128.25211999999999</v>
      </c>
      <c r="C423">
        <v>205.12929</v>
      </c>
      <c r="D423">
        <v>968.30229999999995</v>
      </c>
      <c r="E423" s="13">
        <v>-3.0365979643415901</v>
      </c>
      <c r="F423" s="13">
        <v>-128.25581904487899</v>
      </c>
      <c r="G423" s="13">
        <v>-154.87051430300099</v>
      </c>
      <c r="H423" s="13">
        <f t="shared" si="79"/>
        <v>205.12948569699901</v>
      </c>
      <c r="I423" s="9">
        <v>-3.0365979639999998</v>
      </c>
      <c r="J423" s="9">
        <v>-128.25581904500001</v>
      </c>
      <c r="K423" s="9">
        <f t="shared" si="80"/>
        <v>-128.25581904500001</v>
      </c>
      <c r="L423" s="10">
        <v>25.129486</v>
      </c>
      <c r="M423" s="3">
        <f t="shared" si="81"/>
        <v>205.12948599999999</v>
      </c>
      <c r="N423" s="15">
        <f t="shared" si="74"/>
        <v>-3.0365979643212886</v>
      </c>
      <c r="O423" s="23">
        <f t="shared" si="84"/>
        <v>2.0301538228295612E-11</v>
      </c>
      <c r="P423" s="22">
        <f t="shared" si="85"/>
        <v>3.212887733639036E-10</v>
      </c>
      <c r="Q423" s="16">
        <f t="shared" si="82"/>
        <v>-128.25581904486933</v>
      </c>
      <c r="R423" s="23">
        <f t="shared" si="75"/>
        <v>9.6633812063373625E-12</v>
      </c>
      <c r="S423" s="22">
        <f t="shared" si="76"/>
        <v>1.3068301996099763E-10</v>
      </c>
      <c r="T423" s="16">
        <f t="shared" si="83"/>
        <v>205.1294856969985</v>
      </c>
      <c r="U423" s="23">
        <f t="shared" si="77"/>
        <v>5.1159076974727213E-13</v>
      </c>
      <c r="V423" s="22">
        <f t="shared" si="78"/>
        <v>3.030014852356544E-7</v>
      </c>
    </row>
    <row r="424" spans="1:22" x14ac:dyDescent="0.45">
      <c r="A424">
        <v>61.862470000000002</v>
      </c>
      <c r="B424">
        <v>165.48783</v>
      </c>
      <c r="C424">
        <v>105.66137000000001</v>
      </c>
      <c r="D424">
        <v>526.63610000000006</v>
      </c>
      <c r="E424" s="13">
        <v>61.861193981843599</v>
      </c>
      <c r="F424" s="13">
        <v>165.49746370327</v>
      </c>
      <c r="G424" s="13">
        <v>105.669865123845</v>
      </c>
      <c r="H424" s="13">
        <f t="shared" si="79"/>
        <v>105.669865123845</v>
      </c>
      <c r="I424" s="11">
        <v>61.861193982000003</v>
      </c>
      <c r="J424" s="11">
        <v>165.49746370299999</v>
      </c>
      <c r="K424" s="9">
        <f t="shared" si="80"/>
        <v>165.49746370299999</v>
      </c>
      <c r="L424" s="12">
        <v>285.66986500000002</v>
      </c>
      <c r="M424" s="3">
        <f t="shared" si="81"/>
        <v>105.66986500000002</v>
      </c>
      <c r="N424" s="15">
        <f t="shared" si="74"/>
        <v>61.861193981840856</v>
      </c>
      <c r="O424" s="23">
        <f t="shared" si="84"/>
        <v>2.7426949600339867E-12</v>
      </c>
      <c r="P424" s="22">
        <f t="shared" si="85"/>
        <v>1.5914736195554724E-10</v>
      </c>
      <c r="Q424" s="16">
        <f t="shared" si="82"/>
        <v>165.49746370329001</v>
      </c>
      <c r="R424" s="23">
        <f t="shared" si="75"/>
        <v>2.0008883439004421E-11</v>
      </c>
      <c r="S424" s="22">
        <f t="shared" si="76"/>
        <v>2.9001512302784249E-10</v>
      </c>
      <c r="T424" s="16">
        <f t="shared" si="83"/>
        <v>105.66986512386244</v>
      </c>
      <c r="U424" s="23">
        <f t="shared" si="77"/>
        <v>1.7436718735552859E-11</v>
      </c>
      <c r="V424" s="22">
        <f t="shared" si="78"/>
        <v>1.2386242076445342E-7</v>
      </c>
    </row>
    <row r="425" spans="1:22" x14ac:dyDescent="0.45">
      <c r="A425">
        <v>-53.516199999999998</v>
      </c>
      <c r="B425">
        <v>140.94195999999999</v>
      </c>
      <c r="C425">
        <v>237.90854999999999</v>
      </c>
      <c r="D425">
        <v>2120.3481999999999</v>
      </c>
      <c r="E425" s="13">
        <v>-53.5263184225131</v>
      </c>
      <c r="F425" s="13">
        <v>140.91487289065299</v>
      </c>
      <c r="G425" s="13">
        <v>-122.06966986432801</v>
      </c>
      <c r="H425" s="13">
        <f t="shared" si="79"/>
        <v>237.93033013567199</v>
      </c>
      <c r="I425" s="9">
        <v>-53.526318422999999</v>
      </c>
      <c r="J425" s="9">
        <v>140.91487289099999</v>
      </c>
      <c r="K425" s="9">
        <f t="shared" si="80"/>
        <v>140.91487289099996</v>
      </c>
      <c r="L425" s="10">
        <v>57.930329999999998</v>
      </c>
      <c r="M425" s="3">
        <f t="shared" si="81"/>
        <v>237.93033</v>
      </c>
      <c r="N425" s="15">
        <f t="shared" si="74"/>
        <v>-53.526318422520788</v>
      </c>
      <c r="O425" s="23">
        <f t="shared" si="84"/>
        <v>7.688072400924284E-12</v>
      </c>
      <c r="P425" s="22">
        <f t="shared" si="85"/>
        <v>4.7921133727868437E-10</v>
      </c>
      <c r="Q425" s="16">
        <f t="shared" si="82"/>
        <v>140.91487289063195</v>
      </c>
      <c r="R425" s="23">
        <f t="shared" si="75"/>
        <v>2.1032064978498966E-11</v>
      </c>
      <c r="S425" s="22">
        <f t="shared" si="76"/>
        <v>3.6800429370487109E-10</v>
      </c>
      <c r="T425" s="16">
        <f t="shared" si="83"/>
        <v>237.93033013568896</v>
      </c>
      <c r="U425" s="23">
        <f t="shared" si="77"/>
        <v>1.6967760529951192E-11</v>
      </c>
      <c r="V425" s="22">
        <f t="shared" si="78"/>
        <v>1.3568896406468411E-7</v>
      </c>
    </row>
    <row r="426" spans="1:22" x14ac:dyDescent="0.45">
      <c r="A426">
        <v>32.604289999999999</v>
      </c>
      <c r="B426">
        <v>159.29326</v>
      </c>
      <c r="C426">
        <v>120.34804</v>
      </c>
      <c r="D426">
        <v>2285.7537000000002</v>
      </c>
      <c r="E426" s="13">
        <v>32.593874285994701</v>
      </c>
      <c r="F426" s="13">
        <v>159.31427153329801</v>
      </c>
      <c r="G426" s="13">
        <v>120.359360116858</v>
      </c>
      <c r="H426" s="13">
        <f t="shared" si="79"/>
        <v>120.359360116858</v>
      </c>
      <c r="I426" s="11">
        <v>32.593874286000002</v>
      </c>
      <c r="J426" s="11">
        <v>159.31427153300001</v>
      </c>
      <c r="K426" s="9">
        <f t="shared" si="80"/>
        <v>159.31427153300001</v>
      </c>
      <c r="L426" s="12">
        <v>300.35935999999998</v>
      </c>
      <c r="M426" s="3">
        <f t="shared" si="81"/>
        <v>120.35935999999998</v>
      </c>
      <c r="N426" s="15">
        <f t="shared" si="74"/>
        <v>32.593874285994588</v>
      </c>
      <c r="O426" s="23">
        <f t="shared" si="84"/>
        <v>1.1368683772161603E-13</v>
      </c>
      <c r="P426" s="22">
        <f t="shared" si="85"/>
        <v>5.4143356464919634E-12</v>
      </c>
      <c r="Q426" s="16">
        <f t="shared" si="82"/>
        <v>159.31427153329793</v>
      </c>
      <c r="R426" s="23">
        <f t="shared" si="75"/>
        <v>8.5265128291212022E-14</v>
      </c>
      <c r="S426" s="22">
        <f t="shared" si="76"/>
        <v>2.9791635824949481E-10</v>
      </c>
      <c r="T426" s="16">
        <f t="shared" si="83"/>
        <v>120.35936011685813</v>
      </c>
      <c r="U426" s="23">
        <f t="shared" si="77"/>
        <v>1.2789769243681803E-13</v>
      </c>
      <c r="V426" s="22">
        <f t="shared" si="78"/>
        <v>1.1685814627071522E-7</v>
      </c>
    </row>
    <row r="427" spans="1:22" x14ac:dyDescent="0.45">
      <c r="A427">
        <v>16.600010000000001</v>
      </c>
      <c r="B427">
        <v>3.6727500000000002</v>
      </c>
      <c r="C427">
        <v>266.90591999999998</v>
      </c>
      <c r="D427">
        <v>1122.5577000000001</v>
      </c>
      <c r="E427" s="13">
        <v>16.599462219323499</v>
      </c>
      <c r="F427" s="13">
        <v>3.6622455745087299</v>
      </c>
      <c r="G427" s="13">
        <v>-93.097080945812493</v>
      </c>
      <c r="H427" s="13">
        <f t="shared" si="79"/>
        <v>266.90291905418752</v>
      </c>
      <c r="I427" s="9">
        <v>16.599462218999999</v>
      </c>
      <c r="J427" s="9">
        <v>3.662245575</v>
      </c>
      <c r="K427" s="9">
        <f t="shared" si="80"/>
        <v>3.6622455749999858</v>
      </c>
      <c r="L427" s="10">
        <v>86.902918999999997</v>
      </c>
      <c r="M427" s="3">
        <f t="shared" si="81"/>
        <v>266.902919</v>
      </c>
      <c r="N427" s="15">
        <f t="shared" si="74"/>
        <v>16.59946221932351</v>
      </c>
      <c r="O427" s="23">
        <f t="shared" si="84"/>
        <v>1.0658141036401503E-14</v>
      </c>
      <c r="P427" s="22">
        <f t="shared" si="85"/>
        <v>3.2351010759157361E-10</v>
      </c>
      <c r="Q427" s="16">
        <f t="shared" si="82"/>
        <v>3.6622455745086882</v>
      </c>
      <c r="R427" s="23">
        <f t="shared" si="75"/>
        <v>4.1744385725905886E-14</v>
      </c>
      <c r="S427" s="22">
        <f t="shared" si="76"/>
        <v>4.9129766921396367E-10</v>
      </c>
      <c r="T427" s="16">
        <f t="shared" si="83"/>
        <v>266.90291905418724</v>
      </c>
      <c r="U427" s="23">
        <f t="shared" si="77"/>
        <v>2.8421709430404007E-13</v>
      </c>
      <c r="V427" s="22">
        <f t="shared" si="78"/>
        <v>5.4187239584280178E-8</v>
      </c>
    </row>
    <row r="428" spans="1:22" x14ac:dyDescent="0.45">
      <c r="A428">
        <v>-51.484250000000003</v>
      </c>
      <c r="B428">
        <v>88.669690000000003</v>
      </c>
      <c r="C428">
        <v>301.63119999999998</v>
      </c>
      <c r="D428">
        <v>2974.0944</v>
      </c>
      <c r="E428" s="13">
        <v>-51.470224930287102</v>
      </c>
      <c r="F428" s="13">
        <v>88.633247028710102</v>
      </c>
      <c r="G428" s="13">
        <v>-58.340288447904697</v>
      </c>
      <c r="H428" s="13">
        <f t="shared" si="79"/>
        <v>301.6597115520953</v>
      </c>
      <c r="I428" s="11">
        <v>-51.470224930000001</v>
      </c>
      <c r="J428" s="11">
        <v>88.633247029000003</v>
      </c>
      <c r="K428" s="9">
        <f t="shared" si="80"/>
        <v>88.633247029000017</v>
      </c>
      <c r="L428" s="12">
        <v>121.659712</v>
      </c>
      <c r="M428" s="3">
        <f t="shared" si="81"/>
        <v>301.65971200000001</v>
      </c>
      <c r="N428" s="15">
        <f t="shared" si="74"/>
        <v>-51.470224930278505</v>
      </c>
      <c r="O428" s="23">
        <f t="shared" si="84"/>
        <v>8.5975671026972122E-12</v>
      </c>
      <c r="P428" s="22">
        <f t="shared" si="85"/>
        <v>2.7850433070852887E-10</v>
      </c>
      <c r="Q428" s="16">
        <f t="shared" si="82"/>
        <v>88.633247028688061</v>
      </c>
      <c r="R428" s="23">
        <f t="shared" si="75"/>
        <v>2.2041035663278308E-11</v>
      </c>
      <c r="S428" s="22">
        <f t="shared" si="76"/>
        <v>3.1195668270811439E-10</v>
      </c>
      <c r="T428" s="16">
        <f t="shared" si="83"/>
        <v>301.65971155211241</v>
      </c>
      <c r="U428" s="23">
        <f t="shared" si="77"/>
        <v>1.7109869077103212E-11</v>
      </c>
      <c r="V428" s="22">
        <f t="shared" si="78"/>
        <v>4.4788760078517953E-7</v>
      </c>
    </row>
    <row r="429" spans="1:22" x14ac:dyDescent="0.45">
      <c r="A429">
        <v>-40.90269</v>
      </c>
      <c r="B429">
        <v>73.915390000000002</v>
      </c>
      <c r="C429">
        <v>163.66669999999999</v>
      </c>
      <c r="D429">
        <v>581.15200000000004</v>
      </c>
      <c r="E429" s="13">
        <v>-40.907711932782298</v>
      </c>
      <c r="F429" s="13">
        <v>73.917329815597697</v>
      </c>
      <c r="G429" s="13">
        <v>163.66542979046699</v>
      </c>
      <c r="H429" s="13">
        <f t="shared" si="79"/>
        <v>163.66542979046699</v>
      </c>
      <c r="I429" s="9">
        <v>-40.907711933000002</v>
      </c>
      <c r="J429" s="9">
        <v>73.917329816000006</v>
      </c>
      <c r="K429" s="9">
        <f t="shared" si="80"/>
        <v>73.917329816000006</v>
      </c>
      <c r="L429" s="10">
        <v>343.66543000000001</v>
      </c>
      <c r="M429" s="3">
        <f t="shared" si="81"/>
        <v>163.66543000000001</v>
      </c>
      <c r="N429" s="15">
        <f t="shared" si="74"/>
        <v>-40.907711932782263</v>
      </c>
      <c r="O429" s="23">
        <f t="shared" si="84"/>
        <v>3.5527136788005009E-14</v>
      </c>
      <c r="P429" s="22">
        <f t="shared" si="85"/>
        <v>2.177387159463251E-10</v>
      </c>
      <c r="Q429" s="16">
        <f t="shared" si="82"/>
        <v>73.917329815597725</v>
      </c>
      <c r="R429" s="23">
        <f t="shared" si="75"/>
        <v>2.8421709430404007E-14</v>
      </c>
      <c r="S429" s="22">
        <f t="shared" si="76"/>
        <v>4.0228087527793832E-10</v>
      </c>
      <c r="T429" s="16">
        <f t="shared" si="83"/>
        <v>163.6654297904665</v>
      </c>
      <c r="U429" s="23">
        <f t="shared" si="77"/>
        <v>4.8316906031686813E-13</v>
      </c>
      <c r="V429" s="22">
        <f t="shared" si="78"/>
        <v>2.0953351054231462E-7</v>
      </c>
    </row>
    <row r="430" spans="1:22" x14ac:dyDescent="0.45">
      <c r="A430">
        <v>-25.64594</v>
      </c>
      <c r="B430">
        <v>139.58041</v>
      </c>
      <c r="C430">
        <v>100.22121</v>
      </c>
      <c r="D430">
        <v>1778.7229</v>
      </c>
      <c r="E430" s="13">
        <v>-25.648788077233199</v>
      </c>
      <c r="F430" s="13">
        <v>139.597842854243</v>
      </c>
      <c r="G430" s="13">
        <v>100.213664518323</v>
      </c>
      <c r="H430" s="13">
        <f t="shared" si="79"/>
        <v>100.213664518323</v>
      </c>
      <c r="I430" s="11">
        <v>-25.648788076999999</v>
      </c>
      <c r="J430" s="11">
        <v>139.59784285399999</v>
      </c>
      <c r="K430" s="9">
        <f t="shared" si="80"/>
        <v>139.59784285399996</v>
      </c>
      <c r="L430" s="12">
        <v>280.21366499999999</v>
      </c>
      <c r="M430" s="3">
        <f t="shared" si="81"/>
        <v>100.21366499999999</v>
      </c>
      <c r="N430" s="15">
        <f t="shared" si="74"/>
        <v>-25.648788077233313</v>
      </c>
      <c r="O430" s="23">
        <f t="shared" si="84"/>
        <v>1.1368683772161603E-13</v>
      </c>
      <c r="P430" s="22">
        <f t="shared" si="85"/>
        <v>2.333138127141865E-10</v>
      </c>
      <c r="Q430" s="16">
        <f t="shared" si="82"/>
        <v>139.59784285424331</v>
      </c>
      <c r="R430" s="23">
        <f t="shared" si="75"/>
        <v>3.1263880373444408E-13</v>
      </c>
      <c r="S430" s="22">
        <f t="shared" si="76"/>
        <v>2.4334667614311911E-10</v>
      </c>
      <c r="T430" s="16">
        <f t="shared" si="83"/>
        <v>100.21366451832291</v>
      </c>
      <c r="U430" s="23">
        <f t="shared" si="77"/>
        <v>8.5265128291212022E-14</v>
      </c>
      <c r="V430" s="22">
        <f t="shared" si="78"/>
        <v>4.8167707689117378E-7</v>
      </c>
    </row>
    <row r="431" spans="1:22" x14ac:dyDescent="0.45">
      <c r="A431">
        <v>-85.719920000000002</v>
      </c>
      <c r="B431">
        <v>8.6200200000000002</v>
      </c>
      <c r="C431">
        <v>232.77705</v>
      </c>
      <c r="D431">
        <v>2334.7959999999998</v>
      </c>
      <c r="E431" s="13">
        <v>-85.732533216324796</v>
      </c>
      <c r="F431" s="13">
        <v>8.3963269629021706</v>
      </c>
      <c r="G431" s="13">
        <v>-126.99987897205</v>
      </c>
      <c r="H431" s="13">
        <f t="shared" si="79"/>
        <v>233.00012102795</v>
      </c>
      <c r="I431" s="9">
        <v>-85.732533215999993</v>
      </c>
      <c r="J431" s="9">
        <v>8.3963269629999999</v>
      </c>
      <c r="K431" s="9">
        <f t="shared" si="80"/>
        <v>8.396326963000007</v>
      </c>
      <c r="L431" s="10">
        <v>53.000121</v>
      </c>
      <c r="M431" s="3">
        <f t="shared" si="81"/>
        <v>233.00012100000001</v>
      </c>
      <c r="N431" s="15">
        <f t="shared" si="74"/>
        <v>-85.732533216324569</v>
      </c>
      <c r="O431" s="23">
        <f t="shared" si="84"/>
        <v>2.2737367544323206E-13</v>
      </c>
      <c r="P431" s="22">
        <f t="shared" si="85"/>
        <v>3.2457592169521376E-10</v>
      </c>
      <c r="Q431" s="16">
        <f t="shared" si="82"/>
        <v>8.3963269629040269</v>
      </c>
      <c r="R431" s="23">
        <f t="shared" si="75"/>
        <v>1.8562928971732617E-12</v>
      </c>
      <c r="S431" s="22">
        <f t="shared" si="76"/>
        <v>9.5980112746474333E-11</v>
      </c>
      <c r="T431" s="16">
        <f t="shared" si="83"/>
        <v>233.0001210279475</v>
      </c>
      <c r="U431" s="23">
        <f t="shared" si="77"/>
        <v>2.5011104298755527E-12</v>
      </c>
      <c r="V431" s="22">
        <f t="shared" si="78"/>
        <v>2.7947493208557717E-8</v>
      </c>
    </row>
    <row r="432" spans="1:22" x14ac:dyDescent="0.45">
      <c r="A432">
        <v>-21.546500000000002</v>
      </c>
      <c r="B432">
        <v>124.54858</v>
      </c>
      <c r="C432">
        <v>39.628720000000001</v>
      </c>
      <c r="D432">
        <v>2644.8265000000001</v>
      </c>
      <c r="E432" s="13">
        <v>-21.5281018657328</v>
      </c>
      <c r="F432" s="13">
        <v>124.56486274477101</v>
      </c>
      <c r="G432" s="13">
        <v>39.622742492366598</v>
      </c>
      <c r="H432" s="13">
        <f t="shared" si="79"/>
        <v>39.622742492366598</v>
      </c>
      <c r="I432" s="11">
        <v>-21.528101866</v>
      </c>
      <c r="J432" s="11">
        <v>124.564862745</v>
      </c>
      <c r="K432" s="9">
        <f t="shared" si="80"/>
        <v>124.56486274500003</v>
      </c>
      <c r="L432" s="12">
        <v>219.62274199999999</v>
      </c>
      <c r="M432" s="3">
        <f t="shared" si="81"/>
        <v>39.622742000000017</v>
      </c>
      <c r="N432" s="15">
        <f t="shared" si="74"/>
        <v>-21.528101865737472</v>
      </c>
      <c r="O432" s="23">
        <f t="shared" si="84"/>
        <v>4.6718184876226587E-12</v>
      </c>
      <c r="P432" s="22">
        <f t="shared" si="85"/>
        <v>2.6252777729496302E-10</v>
      </c>
      <c r="Q432" s="16">
        <f t="shared" si="82"/>
        <v>124.56486274476657</v>
      </c>
      <c r="R432" s="23">
        <f t="shared" si="75"/>
        <v>4.4337866711430252E-12</v>
      </c>
      <c r="S432" s="22">
        <f t="shared" si="76"/>
        <v>2.3345592126133852E-10</v>
      </c>
      <c r="T432" s="16">
        <f t="shared" si="83"/>
        <v>39.622742492368182</v>
      </c>
      <c r="U432" s="23">
        <f t="shared" si="77"/>
        <v>1.5845103007450234E-12</v>
      </c>
      <c r="V432" s="22">
        <f t="shared" si="78"/>
        <v>4.9236816579423248E-7</v>
      </c>
    </row>
    <row r="433" spans="1:22" x14ac:dyDescent="0.45">
      <c r="A433">
        <v>27.212689999999998</v>
      </c>
      <c r="B433">
        <v>35.605499999999999</v>
      </c>
      <c r="C433">
        <v>64.784980000000004</v>
      </c>
      <c r="D433">
        <v>2982.7921000000001</v>
      </c>
      <c r="E433" s="13">
        <v>27.2241552102447</v>
      </c>
      <c r="F433" s="13">
        <v>35.632742586950002</v>
      </c>
      <c r="G433" s="13">
        <v>64.797440320424798</v>
      </c>
      <c r="H433" s="13">
        <f t="shared" si="79"/>
        <v>64.797440320424798</v>
      </c>
      <c r="I433" s="9">
        <v>27.224155209999999</v>
      </c>
      <c r="J433" s="9">
        <v>35.632742587000003</v>
      </c>
      <c r="K433" s="9">
        <f t="shared" si="80"/>
        <v>35.632742586999996</v>
      </c>
      <c r="L433" s="10">
        <v>244.79743999999999</v>
      </c>
      <c r="M433" s="3">
        <f t="shared" si="81"/>
        <v>64.797439999999995</v>
      </c>
      <c r="N433" s="15">
        <f t="shared" si="74"/>
        <v>27.22415521024476</v>
      </c>
      <c r="O433" s="23">
        <f t="shared" si="84"/>
        <v>6.0396132539608516E-14</v>
      </c>
      <c r="P433" s="22">
        <f t="shared" si="85"/>
        <v>2.4476065618728171E-10</v>
      </c>
      <c r="Q433" s="16">
        <f t="shared" si="82"/>
        <v>35.632742586950087</v>
      </c>
      <c r="R433" s="23">
        <f t="shared" si="75"/>
        <v>8.5265128291212022E-14</v>
      </c>
      <c r="S433" s="22">
        <f t="shared" si="76"/>
        <v>4.9908521759789437E-11</v>
      </c>
      <c r="T433" s="16">
        <f t="shared" si="83"/>
        <v>64.797440320424741</v>
      </c>
      <c r="U433" s="23">
        <f t="shared" si="77"/>
        <v>5.6843418860808015E-14</v>
      </c>
      <c r="V433" s="22">
        <f t="shared" si="78"/>
        <v>3.2042474629179196E-7</v>
      </c>
    </row>
    <row r="434" spans="1:22" x14ac:dyDescent="0.45">
      <c r="A434">
        <v>61.464239999999997</v>
      </c>
      <c r="B434">
        <v>52.84836</v>
      </c>
      <c r="C434">
        <v>166.41623000000001</v>
      </c>
      <c r="D434">
        <v>1329.8941</v>
      </c>
      <c r="E434" s="13">
        <v>61.452639623188198</v>
      </c>
      <c r="F434" s="13">
        <v>52.854216247531099</v>
      </c>
      <c r="G434" s="13">
        <v>166.421374542297</v>
      </c>
      <c r="H434" s="13">
        <f t="shared" si="79"/>
        <v>166.421374542297</v>
      </c>
      <c r="I434" s="11">
        <v>61.452639623000003</v>
      </c>
      <c r="J434" s="11">
        <v>52.854216248</v>
      </c>
      <c r="K434" s="9">
        <f t="shared" si="80"/>
        <v>52.854216248</v>
      </c>
      <c r="L434" s="12">
        <v>346.42137500000001</v>
      </c>
      <c r="M434" s="3">
        <f t="shared" si="81"/>
        <v>166.42137500000001</v>
      </c>
      <c r="N434" s="15">
        <f t="shared" si="74"/>
        <v>61.452639623178754</v>
      </c>
      <c r="O434" s="23">
        <f t="shared" si="84"/>
        <v>9.4431129582517315E-12</v>
      </c>
      <c r="P434" s="22">
        <f t="shared" si="85"/>
        <v>1.787512360351684E-10</v>
      </c>
      <c r="Q434" s="16">
        <f t="shared" si="82"/>
        <v>52.854216247535874</v>
      </c>
      <c r="R434" s="23">
        <f t="shared" si="75"/>
        <v>4.7748471843078732E-12</v>
      </c>
      <c r="S434" s="22">
        <f t="shared" si="76"/>
        <v>4.6412651499849744E-10</v>
      </c>
      <c r="T434" s="16">
        <f t="shared" si="83"/>
        <v>166.42137454230121</v>
      </c>
      <c r="U434" s="23">
        <f t="shared" si="77"/>
        <v>4.2064129956997931E-12</v>
      </c>
      <c r="V434" s="22">
        <f t="shared" si="78"/>
        <v>4.5769880330226442E-7</v>
      </c>
    </row>
    <row r="435" spans="1:22" x14ac:dyDescent="0.45">
      <c r="A435">
        <v>26.652750000000001</v>
      </c>
      <c r="B435">
        <v>49.841790000000003</v>
      </c>
      <c r="C435">
        <v>142.38714999999999</v>
      </c>
      <c r="D435">
        <v>270.02050000000003</v>
      </c>
      <c r="E435" s="13">
        <v>26.650819473908999</v>
      </c>
      <c r="F435" s="13">
        <v>49.843445286397703</v>
      </c>
      <c r="G435" s="13">
        <v>142.38789250694299</v>
      </c>
      <c r="H435" s="13">
        <f t="shared" si="79"/>
        <v>142.38789250694299</v>
      </c>
      <c r="I435" s="9">
        <v>26.650819473999999</v>
      </c>
      <c r="J435" s="9">
        <v>49.843445285999998</v>
      </c>
      <c r="K435" s="9">
        <f t="shared" si="80"/>
        <v>49.843445285999991</v>
      </c>
      <c r="L435" s="10">
        <v>322.38789300000002</v>
      </c>
      <c r="M435" s="3">
        <f t="shared" si="81"/>
        <v>142.38789300000002</v>
      </c>
      <c r="N435" s="15">
        <f t="shared" si="74"/>
        <v>26.650819473909277</v>
      </c>
      <c r="O435" s="23">
        <f t="shared" si="84"/>
        <v>2.7711166694643907E-13</v>
      </c>
      <c r="P435" s="22">
        <f t="shared" si="85"/>
        <v>9.0722096501849592E-11</v>
      </c>
      <c r="Q435" s="16">
        <f t="shared" si="82"/>
        <v>49.84344528639744</v>
      </c>
      <c r="R435" s="23">
        <f t="shared" si="75"/>
        <v>2.6290081223123707E-13</v>
      </c>
      <c r="S435" s="22">
        <f t="shared" si="76"/>
        <v>3.9744918467476964E-10</v>
      </c>
      <c r="T435" s="16">
        <f t="shared" si="83"/>
        <v>142.38789250694296</v>
      </c>
      <c r="U435" s="23">
        <f t="shared" si="77"/>
        <v>2.8421709430404007E-14</v>
      </c>
      <c r="V435" s="22">
        <f t="shared" si="78"/>
        <v>4.9305705829283397E-7</v>
      </c>
    </row>
    <row r="436" spans="1:22" x14ac:dyDescent="0.45">
      <c r="A436">
        <v>-88.782409999999999</v>
      </c>
      <c r="B436">
        <v>-73.764449999999997</v>
      </c>
      <c r="C436">
        <v>291.10323</v>
      </c>
      <c r="D436">
        <v>1791.4936</v>
      </c>
      <c r="E436" s="13">
        <v>-88.776543534941496</v>
      </c>
      <c r="F436" s="13">
        <v>-74.465283205676599</v>
      </c>
      <c r="G436" s="13">
        <v>-68.196095796018597</v>
      </c>
      <c r="H436" s="13">
        <f t="shared" si="79"/>
        <v>291.8039042039814</v>
      </c>
      <c r="I436" s="11">
        <v>-88.776543535000002</v>
      </c>
      <c r="J436" s="11">
        <v>-74.465283205999995</v>
      </c>
      <c r="K436" s="9">
        <f t="shared" si="80"/>
        <v>-74.465283205999995</v>
      </c>
      <c r="L436" s="12">
        <v>111.803904</v>
      </c>
      <c r="M436" s="3">
        <f t="shared" si="81"/>
        <v>291.80390399999999</v>
      </c>
      <c r="N436" s="15">
        <f t="shared" si="74"/>
        <v>-88.776543534941467</v>
      </c>
      <c r="O436" s="23">
        <f t="shared" si="84"/>
        <v>2.8421709430404007E-14</v>
      </c>
      <c r="P436" s="22">
        <f t="shared" si="85"/>
        <v>5.8534510571917053E-11</v>
      </c>
      <c r="Q436" s="16">
        <f t="shared" si="82"/>
        <v>-74.465283205670588</v>
      </c>
      <c r="R436" s="23">
        <f t="shared" si="75"/>
        <v>6.0111915445304476E-12</v>
      </c>
      <c r="S436" s="22">
        <f t="shared" si="76"/>
        <v>3.2940761229838245E-10</v>
      </c>
      <c r="T436" s="16">
        <f t="shared" si="83"/>
        <v>291.80390420397521</v>
      </c>
      <c r="U436" s="23">
        <f t="shared" si="77"/>
        <v>6.1959326558280736E-12</v>
      </c>
      <c r="V436" s="22">
        <f t="shared" si="78"/>
        <v>2.0397521893755766E-7</v>
      </c>
    </row>
    <row r="437" spans="1:22" x14ac:dyDescent="0.45">
      <c r="A437">
        <v>29.366720000000001</v>
      </c>
      <c r="B437">
        <v>117.47463999999999</v>
      </c>
      <c r="C437">
        <v>177.71938</v>
      </c>
      <c r="D437">
        <v>1454.0617</v>
      </c>
      <c r="E437" s="13">
        <v>29.353612029777601</v>
      </c>
      <c r="F437" s="13">
        <v>117.475235874707</v>
      </c>
      <c r="G437" s="13">
        <v>177.719672156142</v>
      </c>
      <c r="H437" s="13">
        <f t="shared" si="79"/>
        <v>177.719672156142</v>
      </c>
      <c r="I437" s="9">
        <v>29.353612030000001</v>
      </c>
      <c r="J437" s="9">
        <v>117.475235875</v>
      </c>
      <c r="K437" s="9">
        <f t="shared" si="80"/>
        <v>117.47523587500001</v>
      </c>
      <c r="L437" s="10">
        <v>357.719672</v>
      </c>
      <c r="M437" s="3">
        <f t="shared" si="81"/>
        <v>177.71967199999995</v>
      </c>
      <c r="N437" s="15">
        <f t="shared" si="74"/>
        <v>29.353612029786216</v>
      </c>
      <c r="O437" s="23">
        <f t="shared" si="84"/>
        <v>8.6153306710912148E-12</v>
      </c>
      <c r="P437" s="22">
        <f t="shared" si="85"/>
        <v>2.1378454562182014E-10</v>
      </c>
      <c r="Q437" s="16">
        <f t="shared" si="82"/>
        <v>117.4752358747063</v>
      </c>
      <c r="R437" s="23">
        <f t="shared" si="75"/>
        <v>6.9633188104489818E-13</v>
      </c>
      <c r="S437" s="22">
        <f t="shared" si="76"/>
        <v>2.9370994525379501E-10</v>
      </c>
      <c r="T437" s="16">
        <f t="shared" si="83"/>
        <v>177.7196721561412</v>
      </c>
      <c r="U437" s="23">
        <f t="shared" si="77"/>
        <v>7.9580786405131221E-13</v>
      </c>
      <c r="V437" s="22">
        <f t="shared" si="78"/>
        <v>1.5614125459251227E-7</v>
      </c>
    </row>
    <row r="438" spans="1:22" x14ac:dyDescent="0.45">
      <c r="A438">
        <v>26.948540000000001</v>
      </c>
      <c r="B438">
        <v>19.346270000000001</v>
      </c>
      <c r="C438">
        <v>114.25369999999999</v>
      </c>
      <c r="D438">
        <v>1584.9976999999999</v>
      </c>
      <c r="E438" s="13">
        <v>26.942663201644301</v>
      </c>
      <c r="F438" s="13">
        <v>19.3608220978448</v>
      </c>
      <c r="G438" s="13">
        <v>114.260294200896</v>
      </c>
      <c r="H438" s="13">
        <f t="shared" si="79"/>
        <v>114.260294200896</v>
      </c>
      <c r="I438" s="11">
        <v>26.942663201999999</v>
      </c>
      <c r="J438" s="11">
        <v>19.360822098</v>
      </c>
      <c r="K438" s="9">
        <f t="shared" si="80"/>
        <v>19.360822098</v>
      </c>
      <c r="L438" s="12">
        <v>294.26029399999999</v>
      </c>
      <c r="M438" s="3">
        <f t="shared" si="81"/>
        <v>114.26029399999999</v>
      </c>
      <c r="N438" s="15">
        <f t="shared" si="74"/>
        <v>26.942663201644262</v>
      </c>
      <c r="O438" s="23">
        <f t="shared" si="84"/>
        <v>3.907985046680551E-14</v>
      </c>
      <c r="P438" s="22">
        <f t="shared" si="85"/>
        <v>3.5573677337197296E-10</v>
      </c>
      <c r="Q438" s="16">
        <f t="shared" si="82"/>
        <v>19.360822097844874</v>
      </c>
      <c r="R438" s="23">
        <f t="shared" si="75"/>
        <v>7.460698725481052E-14</v>
      </c>
      <c r="S438" s="22">
        <f t="shared" si="76"/>
        <v>1.5512569007114507E-10</v>
      </c>
      <c r="T438" s="16">
        <f t="shared" si="83"/>
        <v>114.26029420089604</v>
      </c>
      <c r="U438" s="23">
        <f t="shared" si="77"/>
        <v>4.2632564145606011E-14</v>
      </c>
      <c r="V438" s="22">
        <f t="shared" si="78"/>
        <v>2.0089605357043183E-7</v>
      </c>
    </row>
    <row r="439" spans="1:22" x14ac:dyDescent="0.45">
      <c r="A439">
        <v>89.631810000000002</v>
      </c>
      <c r="B439">
        <v>11.580299999999999</v>
      </c>
      <c r="C439">
        <v>49.81174</v>
      </c>
      <c r="D439">
        <v>1250.5150000000001</v>
      </c>
      <c r="E439" s="13">
        <v>89.638933420395006</v>
      </c>
      <c r="F439" s="13">
        <v>12.937646149544101</v>
      </c>
      <c r="G439" s="13">
        <v>51.169058668543002</v>
      </c>
      <c r="H439" s="13">
        <f t="shared" si="79"/>
        <v>51.169058668543002</v>
      </c>
      <c r="I439" s="9">
        <v>89.638933420000001</v>
      </c>
      <c r="J439" s="9">
        <v>12.937646150000001</v>
      </c>
      <c r="K439" s="9">
        <f t="shared" si="80"/>
        <v>12.937646150000006</v>
      </c>
      <c r="L439" s="10">
        <v>231.169059</v>
      </c>
      <c r="M439" s="3">
        <f t="shared" si="81"/>
        <v>51.169059000000004</v>
      </c>
      <c r="N439" s="15">
        <f t="shared" si="74"/>
        <v>89.638933420428074</v>
      </c>
      <c r="O439" s="23">
        <f t="shared" si="84"/>
        <v>3.3068658922275063E-11</v>
      </c>
      <c r="P439" s="22">
        <f t="shared" si="85"/>
        <v>4.2807357658602996E-10</v>
      </c>
      <c r="Q439" s="16">
        <f t="shared" si="82"/>
        <v>12.937646156086799</v>
      </c>
      <c r="R439" s="23">
        <f t="shared" si="75"/>
        <v>6.5426988271610753E-9</v>
      </c>
      <c r="S439" s="22">
        <f t="shared" si="76"/>
        <v>6.0867932916153222E-9</v>
      </c>
      <c r="T439" s="16">
        <f t="shared" si="83"/>
        <v>51.169058675085559</v>
      </c>
      <c r="U439" s="23">
        <f t="shared" si="77"/>
        <v>6.5425567186139233E-9</v>
      </c>
      <c r="V439" s="22">
        <f t="shared" si="78"/>
        <v>3.2491444557081195E-7</v>
      </c>
    </row>
    <row r="440" spans="1:22" x14ac:dyDescent="0.45">
      <c r="A440">
        <v>-26.93751</v>
      </c>
      <c r="B440">
        <v>122.75523</v>
      </c>
      <c r="C440">
        <v>107.32465000000001</v>
      </c>
      <c r="D440">
        <v>2712.2029000000002</v>
      </c>
      <c r="E440" s="13">
        <v>-26.944796725401499</v>
      </c>
      <c r="F440" s="13">
        <v>122.78130322723899</v>
      </c>
      <c r="G440" s="13">
        <v>107.312836868822</v>
      </c>
      <c r="H440" s="13">
        <f t="shared" si="79"/>
        <v>107.312836868822</v>
      </c>
      <c r="I440" s="11">
        <v>-26.944796725</v>
      </c>
      <c r="J440" s="11">
        <v>122.781303227</v>
      </c>
      <c r="K440" s="9">
        <f t="shared" si="80"/>
        <v>122.78130322699997</v>
      </c>
      <c r="L440" s="12">
        <v>287.312837</v>
      </c>
      <c r="M440" s="3">
        <f t="shared" si="81"/>
        <v>107.312837</v>
      </c>
      <c r="N440" s="15">
        <f t="shared" si="74"/>
        <v>-26.944796725401599</v>
      </c>
      <c r="O440" s="23">
        <f t="shared" si="84"/>
        <v>9.9475983006414026E-14</v>
      </c>
      <c r="P440" s="22">
        <f t="shared" si="85"/>
        <v>4.0159875425160863E-10</v>
      </c>
      <c r="Q440" s="16">
        <f t="shared" si="82"/>
        <v>122.78130322723922</v>
      </c>
      <c r="R440" s="23">
        <f t="shared" si="75"/>
        <v>2.2737367544323206E-13</v>
      </c>
      <c r="S440" s="22">
        <f t="shared" si="76"/>
        <v>2.3925394998514093E-10</v>
      </c>
      <c r="T440" s="16">
        <f t="shared" si="83"/>
        <v>107.31283686882152</v>
      </c>
      <c r="U440" s="23">
        <f t="shared" si="77"/>
        <v>4.8316906031686813E-13</v>
      </c>
      <c r="V440" s="22">
        <f t="shared" si="78"/>
        <v>1.3117848141064314E-7</v>
      </c>
    </row>
    <row r="441" spans="1:22" x14ac:dyDescent="0.45">
      <c r="A441">
        <v>45.122979999999998</v>
      </c>
      <c r="B441">
        <v>172.37832</v>
      </c>
      <c r="C441">
        <v>347.08416999999997</v>
      </c>
      <c r="D441">
        <v>2240.8114</v>
      </c>
      <c r="E441" s="13">
        <v>45.142632767336202</v>
      </c>
      <c r="F441" s="13">
        <v>172.37195180290701</v>
      </c>
      <c r="G441" s="13">
        <v>-12.9203434208431</v>
      </c>
      <c r="H441" s="13">
        <f t="shared" si="79"/>
        <v>347.0796565791569</v>
      </c>
      <c r="I441" s="9">
        <v>45.142632767000002</v>
      </c>
      <c r="J441" s="9">
        <v>172.371951803</v>
      </c>
      <c r="K441" s="9">
        <f t="shared" si="80"/>
        <v>172.371951803</v>
      </c>
      <c r="L441" s="10">
        <v>167.079657</v>
      </c>
      <c r="M441" s="3">
        <f t="shared" si="81"/>
        <v>347.079657</v>
      </c>
      <c r="N441" s="15">
        <f t="shared" si="74"/>
        <v>45.14263276729632</v>
      </c>
      <c r="O441" s="23">
        <f t="shared" si="84"/>
        <v>3.9882763758214423E-11</v>
      </c>
      <c r="P441" s="22">
        <f t="shared" si="85"/>
        <v>2.9631763709403458E-10</v>
      </c>
      <c r="Q441" s="16">
        <f t="shared" si="82"/>
        <v>172.37195180292014</v>
      </c>
      <c r="R441" s="23">
        <f t="shared" si="75"/>
        <v>1.3130829756846651E-11</v>
      </c>
      <c r="S441" s="22">
        <f t="shared" si="76"/>
        <v>7.9865003499435261E-11</v>
      </c>
      <c r="T441" s="16">
        <f t="shared" si="83"/>
        <v>347.07965657916566</v>
      </c>
      <c r="U441" s="23">
        <f t="shared" si="77"/>
        <v>8.7538865045644343E-12</v>
      </c>
      <c r="V441" s="22">
        <f t="shared" si="78"/>
        <v>4.2083433982043061E-7</v>
      </c>
    </row>
    <row r="442" spans="1:22" x14ac:dyDescent="0.45">
      <c r="A442">
        <v>42.462569999999999</v>
      </c>
      <c r="B442">
        <v>21.18187</v>
      </c>
      <c r="C442">
        <v>78.801850000000002</v>
      </c>
      <c r="D442">
        <v>606.53039999999999</v>
      </c>
      <c r="E442" s="13">
        <v>42.463630155278203</v>
      </c>
      <c r="F442" s="13">
        <v>21.189104131139601</v>
      </c>
      <c r="G442" s="13">
        <v>78.806733872201605</v>
      </c>
      <c r="H442" s="13">
        <f t="shared" si="79"/>
        <v>78.806733872201605</v>
      </c>
      <c r="I442" s="11">
        <v>42.463630154999997</v>
      </c>
      <c r="J442" s="11">
        <v>21.189104131000001</v>
      </c>
      <c r="K442" s="9">
        <f t="shared" si="80"/>
        <v>21.189104130999993</v>
      </c>
      <c r="L442" s="12">
        <v>258.80673400000001</v>
      </c>
      <c r="M442" s="3">
        <f t="shared" si="81"/>
        <v>78.806734000000006</v>
      </c>
      <c r="N442" s="15">
        <f t="shared" si="74"/>
        <v>42.463630155278572</v>
      </c>
      <c r="O442" s="23">
        <f t="shared" si="84"/>
        <v>3.694822225952521E-13</v>
      </c>
      <c r="P442" s="22">
        <f t="shared" si="85"/>
        <v>2.7857538498210488E-10</v>
      </c>
      <c r="Q442" s="16">
        <f t="shared" si="82"/>
        <v>21.189104131142386</v>
      </c>
      <c r="R442" s="23">
        <f t="shared" si="75"/>
        <v>2.7853275241795927E-12</v>
      </c>
      <c r="S442" s="22">
        <f t="shared" si="76"/>
        <v>1.4239276424632408E-10</v>
      </c>
      <c r="T442" s="16">
        <f t="shared" si="83"/>
        <v>78.806733872203452</v>
      </c>
      <c r="U442" s="23">
        <f t="shared" si="77"/>
        <v>1.8474111129762605E-12</v>
      </c>
      <c r="V442" s="22">
        <f t="shared" si="78"/>
        <v>1.2779655378380994E-7</v>
      </c>
    </row>
    <row r="443" spans="1:22" x14ac:dyDescent="0.45">
      <c r="A443">
        <v>30.746449999999999</v>
      </c>
      <c r="B443">
        <v>66.220020000000005</v>
      </c>
      <c r="C443">
        <v>177.19843</v>
      </c>
      <c r="D443">
        <v>2875.1604000000002</v>
      </c>
      <c r="E443" s="13">
        <v>30.720547076347799</v>
      </c>
      <c r="F443" s="13">
        <v>66.221487187445604</v>
      </c>
      <c r="G443" s="13">
        <v>177.19917979963699</v>
      </c>
      <c r="H443" s="13">
        <f t="shared" si="79"/>
        <v>177.19917979963699</v>
      </c>
      <c r="I443" s="9">
        <v>30.720547075999999</v>
      </c>
      <c r="J443" s="9">
        <v>66.221487186999994</v>
      </c>
      <c r="K443" s="9">
        <f t="shared" si="80"/>
        <v>66.22148718699998</v>
      </c>
      <c r="L443" s="10">
        <v>357.19918000000001</v>
      </c>
      <c r="M443" s="3">
        <f t="shared" si="81"/>
        <v>177.19918000000007</v>
      </c>
      <c r="N443" s="15">
        <f t="shared" si="74"/>
        <v>30.720547076361044</v>
      </c>
      <c r="O443" s="23">
        <f t="shared" si="84"/>
        <v>1.3244516594568267E-11</v>
      </c>
      <c r="P443" s="22">
        <f t="shared" si="85"/>
        <v>3.6104452760810091E-10</v>
      </c>
      <c r="Q443" s="16">
        <f t="shared" si="82"/>
        <v>66.221487187444893</v>
      </c>
      <c r="R443" s="23">
        <f t="shared" si="75"/>
        <v>7.1054273576010019E-13</v>
      </c>
      <c r="S443" s="22">
        <f t="shared" si="76"/>
        <v>4.4491343942354433E-10</v>
      </c>
      <c r="T443" s="16">
        <f t="shared" si="83"/>
        <v>177.19917979963623</v>
      </c>
      <c r="U443" s="23">
        <f t="shared" si="77"/>
        <v>7.673861546209082E-13</v>
      </c>
      <c r="V443" s="22">
        <f t="shared" si="78"/>
        <v>2.003638428504928E-7</v>
      </c>
    </row>
    <row r="444" spans="1:22" x14ac:dyDescent="0.45">
      <c r="A444">
        <v>30.223690000000001</v>
      </c>
      <c r="B444">
        <v>76.529499999999999</v>
      </c>
      <c r="C444">
        <v>250.32104000000001</v>
      </c>
      <c r="D444">
        <v>1967.2678000000001</v>
      </c>
      <c r="E444" s="13">
        <v>30.217712587831301</v>
      </c>
      <c r="F444" s="13">
        <v>76.510259609858593</v>
      </c>
      <c r="G444" s="13">
        <v>-109.688644307619</v>
      </c>
      <c r="H444" s="13">
        <f t="shared" si="79"/>
        <v>250.311355692381</v>
      </c>
      <c r="I444" s="11">
        <v>30.217712588000001</v>
      </c>
      <c r="J444" s="11">
        <v>76.510259610000006</v>
      </c>
      <c r="K444" s="9">
        <f t="shared" si="80"/>
        <v>76.510259609999991</v>
      </c>
      <c r="L444" s="12">
        <v>70.311356000000004</v>
      </c>
      <c r="M444" s="3">
        <f t="shared" si="81"/>
        <v>250.31135599999999</v>
      </c>
      <c r="N444" s="15">
        <f t="shared" si="74"/>
        <v>30.217712587831109</v>
      </c>
      <c r="O444" s="23">
        <f t="shared" si="84"/>
        <v>1.9184653865522705E-13</v>
      </c>
      <c r="P444" s="22">
        <f t="shared" si="85"/>
        <v>1.6889245557649701E-10</v>
      </c>
      <c r="Q444" s="16">
        <f t="shared" si="82"/>
        <v>76.510259609858167</v>
      </c>
      <c r="R444" s="23">
        <f t="shared" si="75"/>
        <v>4.2632564145606011E-13</v>
      </c>
      <c r="S444" s="22">
        <f t="shared" si="76"/>
        <v>1.41824330057716E-10</v>
      </c>
      <c r="T444" s="16">
        <f t="shared" si="83"/>
        <v>250.31135569238023</v>
      </c>
      <c r="U444" s="23">
        <f t="shared" si="77"/>
        <v>7.673861546209082E-13</v>
      </c>
      <c r="V444" s="22">
        <f t="shared" si="78"/>
        <v>3.0761975722271018E-7</v>
      </c>
    </row>
    <row r="445" spans="1:22" x14ac:dyDescent="0.45">
      <c r="A445">
        <v>-2.31047</v>
      </c>
      <c r="B445">
        <v>40.459800000000001</v>
      </c>
      <c r="C445">
        <v>46.148719999999997</v>
      </c>
      <c r="D445">
        <v>1943.4681</v>
      </c>
      <c r="E445" s="13">
        <v>-2.29829359266459</v>
      </c>
      <c r="F445" s="13">
        <v>40.4724000776948</v>
      </c>
      <c r="G445" s="13">
        <v>46.148213373455597</v>
      </c>
      <c r="H445" s="13">
        <f t="shared" si="79"/>
        <v>46.148213373455597</v>
      </c>
      <c r="I445" s="9">
        <v>-2.2982935929999999</v>
      </c>
      <c r="J445" s="9">
        <v>40.472400078</v>
      </c>
      <c r="K445" s="9">
        <f t="shared" si="80"/>
        <v>40.472400077999993</v>
      </c>
      <c r="L445" s="10">
        <v>226.148213</v>
      </c>
      <c r="M445" s="3">
        <f t="shared" si="81"/>
        <v>46.148212999999998</v>
      </c>
      <c r="N445" s="15">
        <f t="shared" si="74"/>
        <v>-2.2982935926708201</v>
      </c>
      <c r="O445" s="23">
        <f t="shared" si="84"/>
        <v>6.2301275249865284E-12</v>
      </c>
      <c r="P445" s="22">
        <f t="shared" si="85"/>
        <v>3.2917979453372936E-10</v>
      </c>
      <c r="Q445" s="16">
        <f t="shared" si="82"/>
        <v>40.472400077688349</v>
      </c>
      <c r="R445" s="23">
        <f t="shared" si="75"/>
        <v>6.4517280407017097E-12</v>
      </c>
      <c r="S445" s="22">
        <f t="shared" si="76"/>
        <v>3.1164404390437994E-10</v>
      </c>
      <c r="T445" s="16">
        <f t="shared" si="83"/>
        <v>46.148213373455782</v>
      </c>
      <c r="U445" s="23">
        <f t="shared" si="77"/>
        <v>1.8474111129762605E-13</v>
      </c>
      <c r="V445" s="22">
        <f t="shared" si="78"/>
        <v>3.7345578363101595E-7</v>
      </c>
    </row>
    <row r="446" spans="1:22" x14ac:dyDescent="0.45">
      <c r="A446">
        <v>82.367189999999994</v>
      </c>
      <c r="B446">
        <v>122.33834</v>
      </c>
      <c r="C446">
        <v>76.671930000000003</v>
      </c>
      <c r="D446">
        <v>2836.5140000000001</v>
      </c>
      <c r="E446" s="13">
        <v>82.373005552225607</v>
      </c>
      <c r="F446" s="13">
        <v>122.524538675241</v>
      </c>
      <c r="G446" s="13">
        <v>76.856480146340303</v>
      </c>
      <c r="H446" s="13">
        <f t="shared" si="79"/>
        <v>76.856480146340303</v>
      </c>
      <c r="I446" s="11">
        <v>82.373005551999995</v>
      </c>
      <c r="J446" s="11">
        <v>122.524538675</v>
      </c>
      <c r="K446" s="9">
        <f t="shared" si="80"/>
        <v>122.52453867500003</v>
      </c>
      <c r="L446" s="12">
        <v>256.85647999999998</v>
      </c>
      <c r="M446" s="3">
        <f t="shared" si="81"/>
        <v>76.856479999999976</v>
      </c>
      <c r="N446" s="15">
        <f t="shared" si="74"/>
        <v>82.373005552225521</v>
      </c>
      <c r="O446" s="23">
        <f t="shared" si="84"/>
        <v>8.5265128291212022E-14</v>
      </c>
      <c r="P446" s="22">
        <f t="shared" si="85"/>
        <v>2.255262643302558E-10</v>
      </c>
      <c r="Q446" s="16">
        <f t="shared" si="82"/>
        <v>122.52453867524002</v>
      </c>
      <c r="R446" s="23">
        <f t="shared" si="75"/>
        <v>9.8054897534893826E-13</v>
      </c>
      <c r="S446" s="22">
        <f t="shared" si="76"/>
        <v>2.3999291443033144E-10</v>
      </c>
      <c r="T446" s="16">
        <f t="shared" si="83"/>
        <v>76.85648014633874</v>
      </c>
      <c r="U446" s="23">
        <f t="shared" si="77"/>
        <v>1.5631940186722204E-12</v>
      </c>
      <c r="V446" s="22">
        <f t="shared" si="78"/>
        <v>1.4633876332936779E-7</v>
      </c>
    </row>
    <row r="447" spans="1:22" x14ac:dyDescent="0.45">
      <c r="A447">
        <v>47.432690000000001</v>
      </c>
      <c r="B447">
        <v>-97.156400000000005</v>
      </c>
      <c r="C447">
        <v>20.601299999999998</v>
      </c>
      <c r="D447">
        <v>1327.5139999999999</v>
      </c>
      <c r="E447" s="13">
        <v>47.443866558801801</v>
      </c>
      <c r="F447" s="13">
        <v>-97.150206959274101</v>
      </c>
      <c r="G447" s="13">
        <v>20.605861478791599</v>
      </c>
      <c r="H447" s="13">
        <f t="shared" si="79"/>
        <v>20.605861478791599</v>
      </c>
      <c r="I447" s="9">
        <v>47.443866559</v>
      </c>
      <c r="J447" s="9">
        <v>-97.150206959000002</v>
      </c>
      <c r="K447" s="9">
        <f t="shared" si="80"/>
        <v>-97.150206959000002</v>
      </c>
      <c r="L447" s="10">
        <v>200.605861</v>
      </c>
      <c r="M447" s="3">
        <f t="shared" si="81"/>
        <v>20.605861000000004</v>
      </c>
      <c r="N447" s="15">
        <f t="shared" si="74"/>
        <v>47.443866558801886</v>
      </c>
      <c r="O447" s="23">
        <f t="shared" si="84"/>
        <v>8.5265128291212022E-14</v>
      </c>
      <c r="P447" s="22">
        <f t="shared" si="85"/>
        <v>1.9811352558463113E-10</v>
      </c>
      <c r="Q447" s="16">
        <f t="shared" si="82"/>
        <v>-97.150206959274016</v>
      </c>
      <c r="R447" s="23">
        <f t="shared" si="75"/>
        <v>8.5265128291212022E-14</v>
      </c>
      <c r="S447" s="22">
        <f t="shared" si="76"/>
        <v>2.7401370061852504E-10</v>
      </c>
      <c r="T447" s="16">
        <f t="shared" si="83"/>
        <v>20.605861478791674</v>
      </c>
      <c r="U447" s="23">
        <f t="shared" si="77"/>
        <v>7.460698725481052E-14</v>
      </c>
      <c r="V447" s="22">
        <f t="shared" si="78"/>
        <v>4.7879166942266238E-7</v>
      </c>
    </row>
    <row r="448" spans="1:22" x14ac:dyDescent="0.45">
      <c r="A448">
        <v>-36.95899</v>
      </c>
      <c r="B448">
        <v>93.75658</v>
      </c>
      <c r="C448">
        <v>158.23999000000001</v>
      </c>
      <c r="D448">
        <v>509.322</v>
      </c>
      <c r="E448" s="13">
        <v>-36.963252400551497</v>
      </c>
      <c r="F448" s="13">
        <v>93.758700226638794</v>
      </c>
      <c r="G448" s="13">
        <v>158.23871516505201</v>
      </c>
      <c r="H448" s="13">
        <f t="shared" si="79"/>
        <v>158.23871516505201</v>
      </c>
      <c r="I448" s="11">
        <v>-36.963252400999998</v>
      </c>
      <c r="J448" s="11">
        <v>93.758700227000006</v>
      </c>
      <c r="K448" s="9">
        <f t="shared" si="80"/>
        <v>93.75870022700002</v>
      </c>
      <c r="L448" s="12">
        <v>338.23871500000001</v>
      </c>
      <c r="M448" s="3">
        <f t="shared" si="81"/>
        <v>158.23871499999996</v>
      </c>
      <c r="N448" s="15">
        <f t="shared" si="74"/>
        <v>-36.963252400551362</v>
      </c>
      <c r="O448" s="23">
        <f t="shared" si="84"/>
        <v>1.3500311979441904E-13</v>
      </c>
      <c r="P448" s="22">
        <f t="shared" si="85"/>
        <v>4.4863668335892726E-10</v>
      </c>
      <c r="Q448" s="16">
        <f t="shared" si="82"/>
        <v>93.75870022663878</v>
      </c>
      <c r="R448" s="23">
        <f t="shared" si="75"/>
        <v>1.4210854715202004E-14</v>
      </c>
      <c r="S448" s="22">
        <f t="shared" si="76"/>
        <v>3.6123992686043493E-10</v>
      </c>
      <c r="T448" s="16">
        <f t="shared" si="83"/>
        <v>158.2387151650517</v>
      </c>
      <c r="U448" s="23">
        <f t="shared" si="77"/>
        <v>3.1263880373444408E-13</v>
      </c>
      <c r="V448" s="22">
        <f t="shared" si="78"/>
        <v>1.6505174471603823E-7</v>
      </c>
    </row>
    <row r="449" spans="1:22" x14ac:dyDescent="0.45">
      <c r="A449">
        <v>-4.4054399999999996</v>
      </c>
      <c r="B449">
        <v>120.34432</v>
      </c>
      <c r="C449">
        <v>96.75797</v>
      </c>
      <c r="D449">
        <v>1593.0436999999999</v>
      </c>
      <c r="E449" s="13">
        <v>-4.4071351143613402</v>
      </c>
      <c r="F449" s="13">
        <v>120.358572989189</v>
      </c>
      <c r="G449" s="13">
        <v>96.756874965029397</v>
      </c>
      <c r="H449" s="13">
        <f t="shared" si="79"/>
        <v>96.756874965029397</v>
      </c>
      <c r="I449" s="9">
        <v>-4.4071351139999999</v>
      </c>
      <c r="J449" s="9">
        <v>120.358572989</v>
      </c>
      <c r="K449" s="9">
        <f t="shared" si="80"/>
        <v>120.35857298899998</v>
      </c>
      <c r="L449" s="10">
        <v>276.75687499999998</v>
      </c>
      <c r="M449" s="3">
        <f t="shared" si="81"/>
        <v>96.75687499999998</v>
      </c>
      <c r="N449" s="15">
        <f t="shared" si="74"/>
        <v>-4.4071351143610551</v>
      </c>
      <c r="O449" s="23">
        <f t="shared" si="84"/>
        <v>2.851052727237402E-13</v>
      </c>
      <c r="P449" s="22">
        <f t="shared" si="85"/>
        <v>3.6105518574913731E-10</v>
      </c>
      <c r="Q449" s="16">
        <f t="shared" si="82"/>
        <v>120.35857298918677</v>
      </c>
      <c r="R449" s="23">
        <f t="shared" si="75"/>
        <v>2.2311041902867146E-12</v>
      </c>
      <c r="S449" s="22">
        <f t="shared" si="76"/>
        <v>1.8678747437661514E-10</v>
      </c>
      <c r="T449" s="16">
        <f t="shared" si="83"/>
        <v>96.756874965029482</v>
      </c>
      <c r="U449" s="23">
        <f t="shared" si="77"/>
        <v>8.5265128291212022E-14</v>
      </c>
      <c r="V449" s="22">
        <f t="shared" si="78"/>
        <v>3.4970497608810547E-8</v>
      </c>
    </row>
    <row r="450" spans="1:22" x14ac:dyDescent="0.45">
      <c r="A450">
        <v>43.101329999999997</v>
      </c>
      <c r="B450">
        <v>-153.50833</v>
      </c>
      <c r="C450">
        <v>207.45282</v>
      </c>
      <c r="D450">
        <v>2276.5025999999998</v>
      </c>
      <c r="E450" s="13">
        <v>43.083145234738303</v>
      </c>
      <c r="F450" s="13">
        <v>-153.521218330294</v>
      </c>
      <c r="G450" s="13">
        <v>-152.555984983191</v>
      </c>
      <c r="H450" s="13">
        <f t="shared" si="79"/>
        <v>207.444015016809</v>
      </c>
      <c r="I450" s="11">
        <v>43.083145235000003</v>
      </c>
      <c r="J450" s="11">
        <v>-153.52121833000001</v>
      </c>
      <c r="K450" s="9">
        <f t="shared" si="80"/>
        <v>-153.52121833000001</v>
      </c>
      <c r="L450" s="12">
        <v>27.444015</v>
      </c>
      <c r="M450" s="3">
        <f t="shared" si="81"/>
        <v>207.44401500000001</v>
      </c>
      <c r="N450" s="15">
        <f t="shared" si="74"/>
        <v>43.083145234738247</v>
      </c>
      <c r="O450" s="23">
        <f t="shared" si="84"/>
        <v>5.6843418860808015E-14</v>
      </c>
      <c r="P450" s="22">
        <f t="shared" si="85"/>
        <v>2.6175683842666331E-10</v>
      </c>
      <c r="Q450" s="16">
        <f t="shared" si="82"/>
        <v>-153.52121833029452</v>
      </c>
      <c r="R450" s="23">
        <f t="shared" si="75"/>
        <v>5.1159076974727213E-13</v>
      </c>
      <c r="S450" s="22">
        <f t="shared" si="76"/>
        <v>2.9450575311784633E-10</v>
      </c>
      <c r="T450" s="16">
        <f t="shared" si="83"/>
        <v>207.44401501680906</v>
      </c>
      <c r="U450" s="23">
        <f t="shared" si="77"/>
        <v>5.6843418860808015E-14</v>
      </c>
      <c r="V450" s="22">
        <f t="shared" si="78"/>
        <v>1.6809053704491816E-8</v>
      </c>
    </row>
    <row r="451" spans="1:22" x14ac:dyDescent="0.45">
      <c r="A451">
        <v>-46.994439999999997</v>
      </c>
      <c r="B451">
        <v>-134.40164999999999</v>
      </c>
      <c r="C451">
        <v>246.76301000000001</v>
      </c>
      <c r="D451">
        <v>1491.5641000000001</v>
      </c>
      <c r="E451" s="13">
        <v>-46.999732010387902</v>
      </c>
      <c r="F451" s="13">
        <v>-134.419670443238</v>
      </c>
      <c r="G451" s="13">
        <v>-113.22381130713499</v>
      </c>
      <c r="H451" s="13">
        <f t="shared" si="79"/>
        <v>246.77618869286499</v>
      </c>
      <c r="I451" s="9">
        <v>-46.999732010000002</v>
      </c>
      <c r="J451" s="9">
        <v>-134.419670443</v>
      </c>
      <c r="K451" s="9">
        <f t="shared" si="80"/>
        <v>-134.419670443</v>
      </c>
      <c r="L451" s="10">
        <v>66.776189000000002</v>
      </c>
      <c r="M451" s="3">
        <f t="shared" si="81"/>
        <v>246.77618899999999</v>
      </c>
      <c r="N451" s="15">
        <f t="shared" ref="N451:N514" si="86">vincentyDirLat(A451, $B451, $C451, $D451)</f>
        <v>-46.999732010390325</v>
      </c>
      <c r="O451" s="23">
        <f t="shared" si="84"/>
        <v>2.4229507289419416E-12</v>
      </c>
      <c r="P451" s="22">
        <f t="shared" si="85"/>
        <v>3.9032244103509584E-10</v>
      </c>
      <c r="Q451" s="16">
        <f t="shared" si="82"/>
        <v>-134.41967044324679</v>
      </c>
      <c r="R451" s="23">
        <f t="shared" ref="R451:R514" si="87">ABS(F451-Q451)</f>
        <v>8.7823082139948383E-12</v>
      </c>
      <c r="S451" s="22">
        <f t="shared" ref="S451:S514" si="88">ABS(K451-Q451)</f>
        <v>2.46785702984198E-10</v>
      </c>
      <c r="T451" s="16">
        <f t="shared" si="83"/>
        <v>246.77618869287062</v>
      </c>
      <c r="U451" s="23">
        <f t="shared" ref="U451:U514" si="89">ABS(H451-T451)</f>
        <v>5.6274984672199935E-12</v>
      </c>
      <c r="V451" s="22">
        <f t="shared" ref="V451:V514" si="90">ABS(M451-T451)</f>
        <v>3.0712936904819799E-7</v>
      </c>
    </row>
    <row r="452" spans="1:22" x14ac:dyDescent="0.45">
      <c r="A452">
        <v>47.026739999999997</v>
      </c>
      <c r="B452">
        <v>-136.01058</v>
      </c>
      <c r="C452">
        <v>101.47855</v>
      </c>
      <c r="D452">
        <v>2384.1579000000002</v>
      </c>
      <c r="E452" s="13">
        <v>47.022468138929398</v>
      </c>
      <c r="F452" s="13">
        <v>-135.97984668269899</v>
      </c>
      <c r="G452" s="13">
        <v>101.50103592428199</v>
      </c>
      <c r="H452" s="13">
        <f t="shared" ref="H452:H515" si="91">NormalizeAzimuth(G452, TRUE)</f>
        <v>101.50103592428199</v>
      </c>
      <c r="I452" s="11">
        <v>47.022468138999997</v>
      </c>
      <c r="J452" s="11">
        <v>-135.97984668300001</v>
      </c>
      <c r="K452" s="9">
        <f t="shared" ref="K452:K515" si="92">normalizelon(J452)</f>
        <v>-135.97984668300001</v>
      </c>
      <c r="L452" s="12">
        <v>281.501036</v>
      </c>
      <c r="M452" s="3">
        <f t="shared" ref="M452:M515" si="93">NormalizeAzimuth(L452+180, TRUE)</f>
        <v>101.501036</v>
      </c>
      <c r="N452" s="15">
        <f t="shared" si="86"/>
        <v>47.022468138926492</v>
      </c>
      <c r="O452" s="23">
        <f t="shared" si="84"/>
        <v>2.9061197892588098E-12</v>
      </c>
      <c r="P452" s="22">
        <f t="shared" si="85"/>
        <v>7.3505646014382364E-11</v>
      </c>
      <c r="Q452" s="16">
        <f t="shared" ref="Q452:Q515" si="94">VincentyDirLon($A452, $B452, $C452, $D452)</f>
        <v>-135.97984668267878</v>
      </c>
      <c r="R452" s="23">
        <f t="shared" si="87"/>
        <v>2.0207835405017249E-11</v>
      </c>
      <c r="S452" s="22">
        <f t="shared" si="88"/>
        <v>3.2122215998242609E-10</v>
      </c>
      <c r="T452" s="16">
        <f t="shared" ref="T452:T515" si="95">VincentyDirRevAzimuth($A452, $B452, $C452, $D452)</f>
        <v>101.50103592429669</v>
      </c>
      <c r="U452" s="23">
        <f t="shared" si="89"/>
        <v>1.4694023775518872E-11</v>
      </c>
      <c r="V452" s="22">
        <f t="shared" si="90"/>
        <v>7.5703312063524208E-8</v>
      </c>
    </row>
    <row r="453" spans="1:22" x14ac:dyDescent="0.45">
      <c r="A453">
        <v>37.676609999999997</v>
      </c>
      <c r="B453">
        <v>127.77905</v>
      </c>
      <c r="C453">
        <v>121.64788</v>
      </c>
      <c r="D453">
        <v>900.21310000000005</v>
      </c>
      <c r="E453" s="13">
        <v>37.672353997991301</v>
      </c>
      <c r="F453" s="13">
        <v>127.787736529909</v>
      </c>
      <c r="G453" s="13">
        <v>121.653188986364</v>
      </c>
      <c r="H453" s="13">
        <f t="shared" si="91"/>
        <v>121.653188986364</v>
      </c>
      <c r="I453" s="9">
        <v>37.672353997999998</v>
      </c>
      <c r="J453" s="9">
        <v>127.78773653</v>
      </c>
      <c r="K453" s="9">
        <f t="shared" si="92"/>
        <v>127.78773653000002</v>
      </c>
      <c r="L453" s="10">
        <v>301.653189</v>
      </c>
      <c r="M453" s="3">
        <f t="shared" si="93"/>
        <v>121.653189</v>
      </c>
      <c r="N453" s="15">
        <f t="shared" si="86"/>
        <v>37.672353997991081</v>
      </c>
      <c r="O453" s="23">
        <f t="shared" si="84"/>
        <v>2.2026824808563106E-13</v>
      </c>
      <c r="P453" s="22">
        <f t="shared" si="85"/>
        <v>8.9173113337892573E-12</v>
      </c>
      <c r="Q453" s="16">
        <f t="shared" si="94"/>
        <v>127.78773652990907</v>
      </c>
      <c r="R453" s="23">
        <f t="shared" si="87"/>
        <v>7.1054273576010019E-14</v>
      </c>
      <c r="S453" s="22">
        <f t="shared" si="88"/>
        <v>9.0949470177292824E-11</v>
      </c>
      <c r="T453" s="16">
        <f t="shared" si="95"/>
        <v>121.65318898636433</v>
      </c>
      <c r="U453" s="23">
        <f t="shared" si="89"/>
        <v>3.2684965844964609E-13</v>
      </c>
      <c r="V453" s="22">
        <f t="shared" si="90"/>
        <v>1.3635670370604203E-8</v>
      </c>
    </row>
    <row r="454" spans="1:22" x14ac:dyDescent="0.45">
      <c r="A454">
        <v>-12.139749999999999</v>
      </c>
      <c r="B454">
        <v>-137.83193</v>
      </c>
      <c r="C454">
        <v>339.84532999999999</v>
      </c>
      <c r="D454">
        <v>1913.3998999999999</v>
      </c>
      <c r="E454" s="13">
        <v>-12.1235125402376</v>
      </c>
      <c r="F454" s="13">
        <v>-137.83798655083399</v>
      </c>
      <c r="G454" s="13">
        <v>-20.153397165343701</v>
      </c>
      <c r="H454" s="13">
        <f t="shared" si="91"/>
        <v>339.84660283465632</v>
      </c>
      <c r="I454" s="11">
        <v>-12.12351254</v>
      </c>
      <c r="J454" s="11">
        <v>-137.837986551</v>
      </c>
      <c r="K454" s="9">
        <f t="shared" si="92"/>
        <v>-137.837986551</v>
      </c>
      <c r="L454" s="12">
        <v>159.84660299999999</v>
      </c>
      <c r="M454" s="3">
        <f t="shared" si="93"/>
        <v>339.84660299999996</v>
      </c>
      <c r="N454" s="15">
        <f t="shared" si="86"/>
        <v>-12.123512540276767</v>
      </c>
      <c r="O454" s="23">
        <f t="shared" si="84"/>
        <v>3.9166891951936122E-11</v>
      </c>
      <c r="P454" s="22">
        <f t="shared" si="85"/>
        <v>2.7676705371959542E-10</v>
      </c>
      <c r="Q454" s="16">
        <f t="shared" si="94"/>
        <v>-137.83798655081935</v>
      </c>
      <c r="R454" s="23">
        <f t="shared" si="87"/>
        <v>1.4637180356658064E-11</v>
      </c>
      <c r="S454" s="22">
        <f t="shared" si="88"/>
        <v>1.8064838513964787E-10</v>
      </c>
      <c r="T454" s="16">
        <f t="shared" si="95"/>
        <v>339.84660283465291</v>
      </c>
      <c r="U454" s="23">
        <f t="shared" si="89"/>
        <v>3.4106051316484809E-12</v>
      </c>
      <c r="V454" s="22">
        <f t="shared" si="90"/>
        <v>1.6534704627702013E-7</v>
      </c>
    </row>
    <row r="455" spans="1:22" x14ac:dyDescent="0.45">
      <c r="A455">
        <v>-88.131879999999995</v>
      </c>
      <c r="B455">
        <v>-81.528090000000006</v>
      </c>
      <c r="C455">
        <v>97.079589999999996</v>
      </c>
      <c r="D455">
        <v>1380.5322000000001</v>
      </c>
      <c r="E455" s="13">
        <v>-88.133363069523</v>
      </c>
      <c r="F455" s="13">
        <v>-81.151527325553104</v>
      </c>
      <c r="G455" s="13">
        <v>96.703227304863006</v>
      </c>
      <c r="H455" s="13">
        <f t="shared" si="91"/>
        <v>96.703227304863006</v>
      </c>
      <c r="I455" s="9">
        <v>-88.133363070000001</v>
      </c>
      <c r="J455" s="9">
        <v>-81.151527325999993</v>
      </c>
      <c r="K455" s="9">
        <f t="shared" si="92"/>
        <v>-81.151527325999993</v>
      </c>
      <c r="L455" s="10">
        <v>276.70322700000003</v>
      </c>
      <c r="M455" s="3">
        <f t="shared" si="93"/>
        <v>96.703227000000027</v>
      </c>
      <c r="N455" s="15">
        <f t="shared" si="86"/>
        <v>-88.133363069522915</v>
      </c>
      <c r="O455" s="23">
        <f t="shared" si="84"/>
        <v>8.5265128291212022E-14</v>
      </c>
      <c r="P455" s="22">
        <f t="shared" si="85"/>
        <v>4.7708681449876167E-10</v>
      </c>
      <c r="Q455" s="16">
        <f t="shared" si="94"/>
        <v>-81.15152732555633</v>
      </c>
      <c r="R455" s="23">
        <f t="shared" si="87"/>
        <v>3.2258640203508548E-12</v>
      </c>
      <c r="S455" s="22">
        <f t="shared" si="88"/>
        <v>4.4366288420860656E-10</v>
      </c>
      <c r="T455" s="16">
        <f t="shared" si="95"/>
        <v>96.703227304866118</v>
      </c>
      <c r="U455" s="23">
        <f t="shared" si="89"/>
        <v>3.1121771826292388E-12</v>
      </c>
      <c r="V455" s="22">
        <f t="shared" si="90"/>
        <v>3.0486609148283605E-7</v>
      </c>
    </row>
    <row r="456" spans="1:22" x14ac:dyDescent="0.45">
      <c r="A456">
        <v>-8.3412500000000005</v>
      </c>
      <c r="B456">
        <v>21.823329999999999</v>
      </c>
      <c r="C456">
        <v>301.81740000000002</v>
      </c>
      <c r="D456">
        <v>1735.1509000000001</v>
      </c>
      <c r="E456" s="13">
        <v>-8.3329783882803401</v>
      </c>
      <c r="F456" s="13">
        <v>21.809944727444702</v>
      </c>
      <c r="G456" s="13">
        <v>-58.1806591736039</v>
      </c>
      <c r="H456" s="13">
        <f t="shared" si="91"/>
        <v>301.81934082639611</v>
      </c>
      <c r="I456" s="11">
        <v>-8.3329783880000008</v>
      </c>
      <c r="J456" s="11">
        <v>21.809944727000001</v>
      </c>
      <c r="K456" s="9">
        <f t="shared" si="92"/>
        <v>21.809944727000016</v>
      </c>
      <c r="L456" s="12">
        <v>121.81934099999999</v>
      </c>
      <c r="M456" s="3">
        <f t="shared" si="93"/>
        <v>301.81934100000001</v>
      </c>
      <c r="N456" s="15">
        <f t="shared" si="86"/>
        <v>-8.3329783882809103</v>
      </c>
      <c r="O456" s="23">
        <f t="shared" si="84"/>
        <v>5.702105454474804E-13</v>
      </c>
      <c r="P456" s="22">
        <f t="shared" si="85"/>
        <v>2.8090951786907681E-10</v>
      </c>
      <c r="Q456" s="16">
        <f t="shared" si="94"/>
        <v>21.809944727445611</v>
      </c>
      <c r="R456" s="23">
        <f t="shared" si="87"/>
        <v>9.0949470177292824E-13</v>
      </c>
      <c r="S456" s="22">
        <f t="shared" si="88"/>
        <v>4.4559556044987403E-10</v>
      </c>
      <c r="T456" s="16">
        <f t="shared" si="95"/>
        <v>301.81934082639566</v>
      </c>
      <c r="U456" s="23">
        <f t="shared" si="89"/>
        <v>4.5474735088646412E-13</v>
      </c>
      <c r="V456" s="22">
        <f t="shared" si="90"/>
        <v>1.7360434867441654E-7</v>
      </c>
    </row>
    <row r="457" spans="1:22" x14ac:dyDescent="0.45">
      <c r="A457">
        <v>62.624600000000001</v>
      </c>
      <c r="B457">
        <v>-127.76622999999999</v>
      </c>
      <c r="C457">
        <v>122.26999000000001</v>
      </c>
      <c r="D457">
        <v>2539.4928</v>
      </c>
      <c r="E457" s="13">
        <v>62.612428734355703</v>
      </c>
      <c r="F457" s="13">
        <v>-127.72440874446001</v>
      </c>
      <c r="G457" s="13">
        <v>122.307125771846</v>
      </c>
      <c r="H457" s="13">
        <f t="shared" si="91"/>
        <v>122.307125771846</v>
      </c>
      <c r="I457" s="9">
        <v>62.612428733999998</v>
      </c>
      <c r="J457" s="9">
        <v>-127.724408744</v>
      </c>
      <c r="K457" s="9">
        <f t="shared" si="92"/>
        <v>-127.724408744</v>
      </c>
      <c r="L457" s="10">
        <v>302.30712599999998</v>
      </c>
      <c r="M457" s="3">
        <f t="shared" si="93"/>
        <v>122.30712599999998</v>
      </c>
      <c r="N457" s="15">
        <f t="shared" si="86"/>
        <v>62.612428734333506</v>
      </c>
      <c r="O457" s="23">
        <f t="shared" si="84"/>
        <v>2.219735506514553E-11</v>
      </c>
      <c r="P457" s="22">
        <f t="shared" si="85"/>
        <v>3.3350744388371822E-10</v>
      </c>
      <c r="Q457" s="16">
        <f t="shared" si="94"/>
        <v>-127.72440874438372</v>
      </c>
      <c r="R457" s="23">
        <f t="shared" si="87"/>
        <v>7.6283868111204356E-11</v>
      </c>
      <c r="S457" s="22">
        <f t="shared" si="88"/>
        <v>3.837214990198845E-10</v>
      </c>
      <c r="T457" s="16">
        <f t="shared" si="95"/>
        <v>122.30712577191326</v>
      </c>
      <c r="U457" s="23">
        <f t="shared" si="89"/>
        <v>6.7259975367051084E-11</v>
      </c>
      <c r="V457" s="22">
        <f t="shared" si="90"/>
        <v>2.2808671928942204E-7</v>
      </c>
    </row>
    <row r="458" spans="1:22" x14ac:dyDescent="0.45">
      <c r="A458">
        <v>37.274369999999998</v>
      </c>
      <c r="B458">
        <v>37.531089999999999</v>
      </c>
      <c r="C458">
        <v>109.78476000000001</v>
      </c>
      <c r="D458">
        <v>880.4864</v>
      </c>
      <c r="E458" s="13">
        <v>37.271684225618102</v>
      </c>
      <c r="F458" s="13">
        <v>37.540431243598697</v>
      </c>
      <c r="G458" s="13">
        <v>109.790417186523</v>
      </c>
      <c r="H458" s="13">
        <f t="shared" si="91"/>
        <v>109.790417186523</v>
      </c>
      <c r="I458" s="11">
        <v>37.271684225999998</v>
      </c>
      <c r="J458" s="11">
        <v>37.540431243999997</v>
      </c>
      <c r="K458" s="9">
        <f t="shared" si="92"/>
        <v>37.54043124399999</v>
      </c>
      <c r="L458" s="12">
        <v>289.79041699999999</v>
      </c>
      <c r="M458" s="3">
        <f t="shared" si="93"/>
        <v>109.79041699999999</v>
      </c>
      <c r="N458" s="15">
        <f t="shared" si="86"/>
        <v>37.271684225617769</v>
      </c>
      <c r="O458" s="23">
        <f t="shared" si="84"/>
        <v>3.3395508580724709E-13</v>
      </c>
      <c r="P458" s="22">
        <f t="shared" si="85"/>
        <v>3.8222935927478829E-10</v>
      </c>
      <c r="Q458" s="16">
        <f t="shared" si="94"/>
        <v>37.540431243599812</v>
      </c>
      <c r="R458" s="23">
        <f t="shared" si="87"/>
        <v>1.1155520951433573E-12</v>
      </c>
      <c r="S458" s="22">
        <f t="shared" si="88"/>
        <v>4.0017766878008842E-10</v>
      </c>
      <c r="T458" s="16">
        <f t="shared" si="95"/>
        <v>109.79041718652383</v>
      </c>
      <c r="U458" s="23">
        <f t="shared" si="89"/>
        <v>8.2422957348171622E-13</v>
      </c>
      <c r="V458" s="22">
        <f t="shared" si="90"/>
        <v>1.8652383459993871E-7</v>
      </c>
    </row>
    <row r="459" spans="1:22" x14ac:dyDescent="0.45">
      <c r="A459">
        <v>-73.901790000000005</v>
      </c>
      <c r="B459">
        <v>74.680090000000007</v>
      </c>
      <c r="C459">
        <v>60.125520000000002</v>
      </c>
      <c r="D459">
        <v>1238.2325000000001</v>
      </c>
      <c r="E459" s="13">
        <v>-73.8962609869521</v>
      </c>
      <c r="F459" s="13">
        <v>74.714755109545706</v>
      </c>
      <c r="G459" s="13">
        <v>60.092214648763402</v>
      </c>
      <c r="H459" s="13">
        <f t="shared" si="91"/>
        <v>60.092214648763402</v>
      </c>
      <c r="I459" s="9">
        <v>-73.896260987000005</v>
      </c>
      <c r="J459" s="9">
        <v>74.714755109999999</v>
      </c>
      <c r="K459" s="9">
        <f t="shared" si="92"/>
        <v>74.714755109999999</v>
      </c>
      <c r="L459" s="10">
        <v>240.09221500000001</v>
      </c>
      <c r="M459" s="3">
        <f t="shared" si="93"/>
        <v>60.09221500000001</v>
      </c>
      <c r="N459" s="15">
        <f t="shared" si="86"/>
        <v>-73.896260986932745</v>
      </c>
      <c r="O459" s="23">
        <f t="shared" si="84"/>
        <v>1.9355184122105129E-11</v>
      </c>
      <c r="P459" s="22">
        <f t="shared" si="85"/>
        <v>6.7259975367051084E-11</v>
      </c>
      <c r="Q459" s="16">
        <f t="shared" si="94"/>
        <v>74.714755109666669</v>
      </c>
      <c r="R459" s="23">
        <f t="shared" si="87"/>
        <v>1.2096279533579946E-10</v>
      </c>
      <c r="S459" s="22">
        <f t="shared" si="88"/>
        <v>3.333298081997782E-10</v>
      </c>
      <c r="T459" s="16">
        <f t="shared" si="95"/>
        <v>60.092214648647143</v>
      </c>
      <c r="U459" s="23">
        <f t="shared" si="89"/>
        <v>1.1625900242506759E-10</v>
      </c>
      <c r="V459" s="22">
        <f t="shared" si="90"/>
        <v>3.5135286680088029E-7</v>
      </c>
    </row>
    <row r="460" spans="1:22" x14ac:dyDescent="0.45">
      <c r="A460">
        <v>-89.379109999999997</v>
      </c>
      <c r="B460">
        <v>-96.268940000000001</v>
      </c>
      <c r="C460">
        <v>176.62004999999999</v>
      </c>
      <c r="D460">
        <v>1481.5454</v>
      </c>
      <c r="E460" s="13">
        <v>-89.392350765542005</v>
      </c>
      <c r="F460" s="13">
        <v>-96.195200697632004</v>
      </c>
      <c r="G460" s="13">
        <v>176.54631493491101</v>
      </c>
      <c r="H460" s="13">
        <f t="shared" si="91"/>
        <v>176.54631493491101</v>
      </c>
      <c r="I460" s="11">
        <v>-89.392350766000007</v>
      </c>
      <c r="J460" s="11">
        <v>-96.195200697999994</v>
      </c>
      <c r="K460" s="9">
        <f t="shared" si="92"/>
        <v>-96.195200697999994</v>
      </c>
      <c r="L460" s="12">
        <v>356.54631499999999</v>
      </c>
      <c r="M460" s="3">
        <f t="shared" si="93"/>
        <v>176.54631500000005</v>
      </c>
      <c r="N460" s="15">
        <f t="shared" si="86"/>
        <v>-89.392350765541835</v>
      </c>
      <c r="O460" s="23">
        <f t="shared" si="84"/>
        <v>1.7053025658242404E-13</v>
      </c>
      <c r="P460" s="22">
        <f t="shared" si="85"/>
        <v>4.581721668728278E-10</v>
      </c>
      <c r="Q460" s="16">
        <f t="shared" si="94"/>
        <v>-96.195200697632643</v>
      </c>
      <c r="R460" s="23">
        <f t="shared" si="87"/>
        <v>6.3948846218409017E-13</v>
      </c>
      <c r="S460" s="22">
        <f t="shared" si="88"/>
        <v>3.673505943879718E-10</v>
      </c>
      <c r="T460" s="16">
        <f t="shared" si="95"/>
        <v>176.54631493491189</v>
      </c>
      <c r="U460" s="23">
        <f t="shared" si="89"/>
        <v>8.8107299234252423E-13</v>
      </c>
      <c r="V460" s="22">
        <f t="shared" si="90"/>
        <v>6.5088158862636192E-8</v>
      </c>
    </row>
    <row r="461" spans="1:22" x14ac:dyDescent="0.45">
      <c r="A461">
        <v>-3.9828800000000002</v>
      </c>
      <c r="B461">
        <v>-58.210630000000002</v>
      </c>
      <c r="C461">
        <v>118.69334000000001</v>
      </c>
      <c r="D461">
        <v>170.26910000000001</v>
      </c>
      <c r="E461" s="13">
        <v>-3.98361928387324</v>
      </c>
      <c r="F461" s="13">
        <v>-58.2092850449758</v>
      </c>
      <c r="G461" s="13">
        <v>118.69324657292201</v>
      </c>
      <c r="H461" s="13">
        <f t="shared" si="91"/>
        <v>118.69324657292201</v>
      </c>
      <c r="I461" s="9">
        <v>-3.983619284</v>
      </c>
      <c r="J461" s="9">
        <v>-58.209285045000001</v>
      </c>
      <c r="K461" s="9">
        <f t="shared" si="92"/>
        <v>-58.209285045000001</v>
      </c>
      <c r="L461" s="10">
        <v>298.69324699999999</v>
      </c>
      <c r="M461" s="3">
        <f t="shared" si="93"/>
        <v>118.69324699999999</v>
      </c>
      <c r="N461" s="15">
        <f t="shared" si="86"/>
        <v>-3.9836192838732072</v>
      </c>
      <c r="O461" s="23">
        <f t="shared" si="84"/>
        <v>3.2862601528904634E-14</v>
      </c>
      <c r="P461" s="22">
        <f t="shared" si="85"/>
        <v>1.2679279848271108E-10</v>
      </c>
      <c r="Q461" s="16">
        <f t="shared" si="94"/>
        <v>-58.209285044975843</v>
      </c>
      <c r="R461" s="23">
        <f t="shared" si="87"/>
        <v>4.2632564145606011E-14</v>
      </c>
      <c r="S461" s="22">
        <f t="shared" si="88"/>
        <v>2.4158453015843406E-11</v>
      </c>
      <c r="T461" s="16">
        <f t="shared" si="95"/>
        <v>118.69324657292239</v>
      </c>
      <c r="U461" s="23">
        <f t="shared" si="89"/>
        <v>3.836930773104541E-13</v>
      </c>
      <c r="V461" s="22">
        <f t="shared" si="90"/>
        <v>4.2707759462246031E-7</v>
      </c>
    </row>
    <row r="462" spans="1:22" x14ac:dyDescent="0.45">
      <c r="A462">
        <v>60.613079999999997</v>
      </c>
      <c r="B462">
        <v>-24.641100000000002</v>
      </c>
      <c r="C462">
        <v>103.25893000000001</v>
      </c>
      <c r="D462">
        <v>1191.329</v>
      </c>
      <c r="E462" s="13">
        <v>60.610626095435499</v>
      </c>
      <c r="F462" s="13">
        <v>-24.619927756579902</v>
      </c>
      <c r="G462" s="13">
        <v>103.27737770069901</v>
      </c>
      <c r="H462" s="13">
        <f t="shared" si="91"/>
        <v>103.27737770069901</v>
      </c>
      <c r="I462" s="11">
        <v>60.610626095000001</v>
      </c>
      <c r="J462" s="11">
        <v>-24.619927756999999</v>
      </c>
      <c r="K462" s="9">
        <f t="shared" si="92"/>
        <v>-24.619927756999999</v>
      </c>
      <c r="L462" s="12">
        <v>283.277378</v>
      </c>
      <c r="M462" s="3">
        <f t="shared" si="93"/>
        <v>103.277378</v>
      </c>
      <c r="N462" s="15">
        <f t="shared" si="86"/>
        <v>60.610626095430547</v>
      </c>
      <c r="O462" s="23">
        <f t="shared" si="84"/>
        <v>4.9524828682478983E-12</v>
      </c>
      <c r="P462" s="22">
        <f t="shared" si="85"/>
        <v>4.3054626530647511E-10</v>
      </c>
      <c r="Q462" s="16">
        <f t="shared" si="94"/>
        <v>-24.619927756538289</v>
      </c>
      <c r="R462" s="23">
        <f t="shared" si="87"/>
        <v>4.1612935319790267E-11</v>
      </c>
      <c r="S462" s="22">
        <f t="shared" si="88"/>
        <v>4.617106696969131E-10</v>
      </c>
      <c r="T462" s="16">
        <f t="shared" si="95"/>
        <v>103.27737770073558</v>
      </c>
      <c r="U462" s="23">
        <f t="shared" si="89"/>
        <v>3.6578740036929958E-11</v>
      </c>
      <c r="V462" s="22">
        <f t="shared" si="90"/>
        <v>2.9926441413863358E-7</v>
      </c>
    </row>
    <row r="463" spans="1:22" x14ac:dyDescent="0.45">
      <c r="A463">
        <v>-53.123269999999998</v>
      </c>
      <c r="B463">
        <v>148.29747</v>
      </c>
      <c r="C463">
        <v>230.70348000000001</v>
      </c>
      <c r="D463">
        <v>952.34939999999995</v>
      </c>
      <c r="E463" s="13">
        <v>-53.1286892277191</v>
      </c>
      <c r="F463" s="13">
        <v>148.28645967492599</v>
      </c>
      <c r="G463" s="13">
        <v>-129.28771221529499</v>
      </c>
      <c r="H463" s="13">
        <f t="shared" si="91"/>
        <v>230.71228778470501</v>
      </c>
      <c r="I463" s="9">
        <v>-53.128689227999999</v>
      </c>
      <c r="J463" s="9">
        <v>148.286459675</v>
      </c>
      <c r="K463" s="9">
        <f t="shared" si="92"/>
        <v>148.286459675</v>
      </c>
      <c r="L463" s="10">
        <v>50.712288000000001</v>
      </c>
      <c r="M463" s="3">
        <f t="shared" si="93"/>
        <v>230.712288</v>
      </c>
      <c r="N463" s="15">
        <f t="shared" si="86"/>
        <v>-53.12868922772212</v>
      </c>
      <c r="O463" s="23">
        <f t="shared" si="84"/>
        <v>3.0198066269804258E-12</v>
      </c>
      <c r="P463" s="22">
        <f t="shared" si="85"/>
        <v>2.7787905310105998E-10</v>
      </c>
      <c r="Q463" s="16">
        <f t="shared" si="94"/>
        <v>148.28645967491923</v>
      </c>
      <c r="R463" s="23">
        <f t="shared" si="87"/>
        <v>6.7643668444361538E-12</v>
      </c>
      <c r="S463" s="22">
        <f t="shared" si="88"/>
        <v>8.0774498201208189E-11</v>
      </c>
      <c r="T463" s="16">
        <f t="shared" si="95"/>
        <v>230.71228778470979</v>
      </c>
      <c r="U463" s="23">
        <f t="shared" si="89"/>
        <v>4.7748471843078732E-12</v>
      </c>
      <c r="V463" s="22">
        <f t="shared" si="90"/>
        <v>2.1529021410060523E-7</v>
      </c>
    </row>
    <row r="464" spans="1:22" x14ac:dyDescent="0.45">
      <c r="A464">
        <v>-38.636450000000004</v>
      </c>
      <c r="B464">
        <v>-159.59639000000001</v>
      </c>
      <c r="C464">
        <v>117.90428</v>
      </c>
      <c r="D464">
        <v>2320.2631999999999</v>
      </c>
      <c r="E464" s="13">
        <v>-38.646229511430903</v>
      </c>
      <c r="F464" s="13">
        <v>-159.572836367912</v>
      </c>
      <c r="G464" s="13">
        <v>117.88957209176699</v>
      </c>
      <c r="H464" s="13">
        <f t="shared" si="91"/>
        <v>117.88957209176699</v>
      </c>
      <c r="I464" s="11">
        <v>-38.646229511000001</v>
      </c>
      <c r="J464" s="11">
        <v>-159.572836368</v>
      </c>
      <c r="K464" s="9">
        <f t="shared" si="92"/>
        <v>-159.572836368</v>
      </c>
      <c r="L464" s="12">
        <v>297.88957199999999</v>
      </c>
      <c r="M464" s="3">
        <f t="shared" si="93"/>
        <v>117.88957199999999</v>
      </c>
      <c r="N464" s="15">
        <f t="shared" si="86"/>
        <v>-38.646229511431706</v>
      </c>
      <c r="O464" s="23">
        <f t="shared" si="84"/>
        <v>8.0291329140891321E-13</v>
      </c>
      <c r="P464" s="22">
        <f t="shared" si="85"/>
        <v>4.3170444996576407E-10</v>
      </c>
      <c r="Q464" s="16">
        <f t="shared" si="94"/>
        <v>-159.57283636790979</v>
      </c>
      <c r="R464" s="23">
        <f t="shared" si="87"/>
        <v>2.2168933355715126E-12</v>
      </c>
      <c r="S464" s="22">
        <f t="shared" si="88"/>
        <v>9.021050573210232E-11</v>
      </c>
      <c r="T464" s="16">
        <f t="shared" si="95"/>
        <v>117.88957209176613</v>
      </c>
      <c r="U464" s="23">
        <f t="shared" si="89"/>
        <v>8.6686213762732223E-13</v>
      </c>
      <c r="V464" s="22">
        <f t="shared" si="90"/>
        <v>9.1766139576066053E-8</v>
      </c>
    </row>
    <row r="465" spans="1:22" x14ac:dyDescent="0.45">
      <c r="A465">
        <v>4.07592</v>
      </c>
      <c r="B465">
        <v>10.46036</v>
      </c>
      <c r="C465">
        <v>283.61604</v>
      </c>
      <c r="D465">
        <v>1113.6715999999999</v>
      </c>
      <c r="E465" s="13">
        <v>4.0782908431221996</v>
      </c>
      <c r="F465" s="13">
        <v>10.4506123684884</v>
      </c>
      <c r="G465" s="13">
        <v>-76.384653045641002</v>
      </c>
      <c r="H465" s="13">
        <f t="shared" si="91"/>
        <v>283.61534695435898</v>
      </c>
      <c r="I465" s="9">
        <v>4.0782908430000004</v>
      </c>
      <c r="J465" s="9">
        <v>10.450612368</v>
      </c>
      <c r="K465" s="9">
        <f t="shared" si="92"/>
        <v>10.450612368000009</v>
      </c>
      <c r="L465" s="10">
        <v>103.615347</v>
      </c>
      <c r="M465" s="3">
        <f t="shared" si="93"/>
        <v>283.61534699999999</v>
      </c>
      <c r="N465" s="15">
        <f t="shared" si="86"/>
        <v>4.0782908431222165</v>
      </c>
      <c r="O465" s="23">
        <f t="shared" si="84"/>
        <v>1.6875389974302379E-14</v>
      </c>
      <c r="P465" s="22">
        <f t="shared" si="85"/>
        <v>1.2221601508599633E-10</v>
      </c>
      <c r="Q465" s="16">
        <f t="shared" si="94"/>
        <v>10.450612368488351</v>
      </c>
      <c r="R465" s="23">
        <f t="shared" si="87"/>
        <v>4.9737991503207013E-14</v>
      </c>
      <c r="S465" s="22">
        <f t="shared" si="88"/>
        <v>4.8834181143320166E-10</v>
      </c>
      <c r="T465" s="16">
        <f t="shared" si="95"/>
        <v>283.61534695435876</v>
      </c>
      <c r="U465" s="23">
        <f t="shared" si="89"/>
        <v>2.2737367544323206E-13</v>
      </c>
      <c r="V465" s="22">
        <f t="shared" si="90"/>
        <v>4.5641229462489719E-8</v>
      </c>
    </row>
    <row r="466" spans="1:22" x14ac:dyDescent="0.45">
      <c r="A466">
        <v>3.9200599999999999</v>
      </c>
      <c r="B466">
        <v>-81.034180000000006</v>
      </c>
      <c r="C466">
        <v>352.59393999999998</v>
      </c>
      <c r="D466">
        <v>2897.2872000000002</v>
      </c>
      <c r="E466" s="13">
        <v>3.94604235599164</v>
      </c>
      <c r="F466" s="13">
        <v>-81.037542782530807</v>
      </c>
      <c r="G466" s="13">
        <v>-7.4062906559344803</v>
      </c>
      <c r="H466" s="13">
        <f t="shared" si="91"/>
        <v>352.59370934406553</v>
      </c>
      <c r="I466" s="11">
        <v>3.946042356</v>
      </c>
      <c r="J466" s="11">
        <v>-81.037542783000006</v>
      </c>
      <c r="K466" s="9">
        <f t="shared" si="92"/>
        <v>-81.037542783000006</v>
      </c>
      <c r="L466" s="12">
        <v>172.59370899999999</v>
      </c>
      <c r="M466" s="3">
        <f t="shared" si="93"/>
        <v>352.59370899999999</v>
      </c>
      <c r="N466" s="15">
        <f t="shared" si="86"/>
        <v>3.9460423559915982</v>
      </c>
      <c r="O466" s="23">
        <f t="shared" si="84"/>
        <v>4.1744385725905886E-14</v>
      </c>
      <c r="P466" s="22">
        <f t="shared" si="85"/>
        <v>8.4017237611533346E-12</v>
      </c>
      <c r="Q466" s="16">
        <f t="shared" si="94"/>
        <v>-81.037542782530821</v>
      </c>
      <c r="R466" s="23">
        <f t="shared" si="87"/>
        <v>1.4210854715202004E-14</v>
      </c>
      <c r="S466" s="22">
        <f t="shared" si="88"/>
        <v>4.6918557927710935E-10</v>
      </c>
      <c r="T466" s="16">
        <f t="shared" si="95"/>
        <v>352.59370934406513</v>
      </c>
      <c r="U466" s="23">
        <f t="shared" si="89"/>
        <v>3.979039320256561E-13</v>
      </c>
      <c r="V466" s="22">
        <f t="shared" si="90"/>
        <v>3.4406514259899268E-7</v>
      </c>
    </row>
    <row r="467" spans="1:22" x14ac:dyDescent="0.45">
      <c r="A467">
        <v>-47.079470000000001</v>
      </c>
      <c r="B467">
        <v>-53.435029999999998</v>
      </c>
      <c r="C467">
        <v>72.137389999999996</v>
      </c>
      <c r="D467">
        <v>2001.7566999999999</v>
      </c>
      <c r="E467" s="13">
        <v>-47.073944206437602</v>
      </c>
      <c r="F467" s="13">
        <v>-53.409944596425099</v>
      </c>
      <c r="G467" s="13">
        <v>72.119020809210994</v>
      </c>
      <c r="H467" s="13">
        <f t="shared" si="91"/>
        <v>72.119020809210994</v>
      </c>
      <c r="I467" s="9">
        <v>-47.073944206</v>
      </c>
      <c r="J467" s="9">
        <v>-53.409944596000003</v>
      </c>
      <c r="K467" s="9">
        <f t="shared" si="92"/>
        <v>-53.409944596000003</v>
      </c>
      <c r="L467" s="10">
        <v>252.119021</v>
      </c>
      <c r="M467" s="3">
        <f t="shared" si="93"/>
        <v>72.119020999999975</v>
      </c>
      <c r="N467" s="15">
        <f t="shared" si="86"/>
        <v>-47.073944206434405</v>
      </c>
      <c r="O467" s="23">
        <f t="shared" si="84"/>
        <v>3.1974423109204508E-12</v>
      </c>
      <c r="P467" s="22">
        <f t="shared" si="85"/>
        <v>4.3440451236165245E-10</v>
      </c>
      <c r="Q467" s="16">
        <f t="shared" si="94"/>
        <v>-53.409944596411009</v>
      </c>
      <c r="R467" s="23">
        <f t="shared" si="87"/>
        <v>1.4090062450122787E-11</v>
      </c>
      <c r="S467" s="22">
        <f t="shared" si="88"/>
        <v>4.1100634007307235E-10</v>
      </c>
      <c r="T467" s="16">
        <f t="shared" si="95"/>
        <v>72.119020809200549</v>
      </c>
      <c r="U467" s="23">
        <f t="shared" si="89"/>
        <v>1.0444978215673473E-11</v>
      </c>
      <c r="V467" s="22">
        <f t="shared" si="90"/>
        <v>1.9079942603639211E-7</v>
      </c>
    </row>
    <row r="468" spans="1:22" x14ac:dyDescent="0.45">
      <c r="A468">
        <v>14.09404</v>
      </c>
      <c r="B468">
        <v>-37.694540000000003</v>
      </c>
      <c r="C468">
        <v>346.49799999999999</v>
      </c>
      <c r="D468">
        <v>167.43340000000001</v>
      </c>
      <c r="E468" s="13">
        <v>14.0955114892956</v>
      </c>
      <c r="F468" s="13">
        <v>-37.694902001249901</v>
      </c>
      <c r="G468" s="13">
        <v>-13.502088156925399</v>
      </c>
      <c r="H468" s="13">
        <f t="shared" si="91"/>
        <v>346.49791184307458</v>
      </c>
      <c r="I468" s="11">
        <v>14.095511489</v>
      </c>
      <c r="J468" s="11">
        <v>-37.694902001000003</v>
      </c>
      <c r="K468" s="9">
        <f t="shared" si="92"/>
        <v>-37.694902001000003</v>
      </c>
      <c r="L468" s="12">
        <v>166.49791200000001</v>
      </c>
      <c r="M468" s="3">
        <f t="shared" si="93"/>
        <v>346.49791200000004</v>
      </c>
      <c r="N468" s="15">
        <f t="shared" si="86"/>
        <v>14.095511489291559</v>
      </c>
      <c r="O468" s="23">
        <f t="shared" si="84"/>
        <v>4.0412118096355698E-12</v>
      </c>
      <c r="P468" s="22">
        <f t="shared" si="85"/>
        <v>2.9155877712128131E-10</v>
      </c>
      <c r="Q468" s="16">
        <f t="shared" si="94"/>
        <v>-37.694902001248863</v>
      </c>
      <c r="R468" s="23">
        <f t="shared" si="87"/>
        <v>1.0373923942097463E-12</v>
      </c>
      <c r="S468" s="22">
        <f t="shared" si="88"/>
        <v>2.4886048777261749E-10</v>
      </c>
      <c r="T468" s="16">
        <f t="shared" si="95"/>
        <v>346.49791184307446</v>
      </c>
      <c r="U468" s="23">
        <f t="shared" si="89"/>
        <v>1.1368683772161603E-13</v>
      </c>
      <c r="V468" s="22">
        <f t="shared" si="90"/>
        <v>1.569255800859537E-7</v>
      </c>
    </row>
    <row r="469" spans="1:22" x14ac:dyDescent="0.45">
      <c r="A469">
        <v>-52.998240000000003</v>
      </c>
      <c r="B469">
        <v>-148.73666</v>
      </c>
      <c r="C469">
        <v>244.64949999999999</v>
      </c>
      <c r="D469">
        <v>1155.6850999999999</v>
      </c>
      <c r="E469" s="13">
        <v>-53.002685279334202</v>
      </c>
      <c r="F469" s="13">
        <v>-148.75221714882201</v>
      </c>
      <c r="G469" s="13">
        <v>-115.33807543288</v>
      </c>
      <c r="H469" s="13">
        <f t="shared" si="91"/>
        <v>244.66192456712</v>
      </c>
      <c r="I469" s="9">
        <v>-53.002685278999998</v>
      </c>
      <c r="J469" s="9">
        <v>-148.75221714899999</v>
      </c>
      <c r="K469" s="9">
        <f t="shared" si="92"/>
        <v>-148.75221714899999</v>
      </c>
      <c r="L469" s="10">
        <v>64.661924999999997</v>
      </c>
      <c r="M469" s="3">
        <f t="shared" si="93"/>
        <v>244.661925</v>
      </c>
      <c r="N469" s="15">
        <f t="shared" si="86"/>
        <v>-53.00268527933801</v>
      </c>
      <c r="O469" s="23">
        <f t="shared" si="84"/>
        <v>3.808509063674137E-12</v>
      </c>
      <c r="P469" s="22">
        <f t="shared" si="85"/>
        <v>3.3801228482843726E-10</v>
      </c>
      <c r="Q469" s="16">
        <f t="shared" si="94"/>
        <v>-148.752217148836</v>
      </c>
      <c r="R469" s="23">
        <f t="shared" si="87"/>
        <v>1.3983481039758772E-11</v>
      </c>
      <c r="S469" s="22">
        <f t="shared" si="88"/>
        <v>1.6399326341343112E-10</v>
      </c>
      <c r="T469" s="16">
        <f t="shared" si="95"/>
        <v>244.66192456713043</v>
      </c>
      <c r="U469" s="23">
        <f t="shared" si="89"/>
        <v>1.0430767360958271E-11</v>
      </c>
      <c r="V469" s="22">
        <f t="shared" si="90"/>
        <v>4.3286956952215405E-7</v>
      </c>
    </row>
    <row r="470" spans="1:22" x14ac:dyDescent="0.45">
      <c r="A470">
        <v>54.64817</v>
      </c>
      <c r="B470">
        <v>8.3456200000000003</v>
      </c>
      <c r="C470">
        <v>90.053619999999995</v>
      </c>
      <c r="D470">
        <v>2369.3285999999998</v>
      </c>
      <c r="E470" s="13">
        <v>54.648144520601399</v>
      </c>
      <c r="F470" s="13">
        <v>8.3823236527408405</v>
      </c>
      <c r="G470" s="13">
        <v>90.083556027874195</v>
      </c>
      <c r="H470" s="13">
        <f t="shared" si="91"/>
        <v>90.083556027874195</v>
      </c>
      <c r="I470" s="11">
        <v>54.648144520999999</v>
      </c>
      <c r="J470" s="11">
        <v>8.3823236530000003</v>
      </c>
      <c r="K470" s="9">
        <f t="shared" si="92"/>
        <v>8.3823236530000145</v>
      </c>
      <c r="L470" s="12">
        <v>270.08355599999999</v>
      </c>
      <c r="M470" s="3">
        <f t="shared" si="93"/>
        <v>90.083555999999987</v>
      </c>
      <c r="N470" s="15">
        <f t="shared" si="86"/>
        <v>54.648144520601313</v>
      </c>
      <c r="O470" s="23">
        <f t="shared" si="84"/>
        <v>8.5265128291212022E-14</v>
      </c>
      <c r="P470" s="22">
        <f t="shared" si="85"/>
        <v>3.9868552903499221E-10</v>
      </c>
      <c r="Q470" s="16">
        <f t="shared" si="94"/>
        <v>8.3823236527918255</v>
      </c>
      <c r="R470" s="23">
        <f t="shared" si="87"/>
        <v>5.0984994004465989E-11</v>
      </c>
      <c r="S470" s="22">
        <f t="shared" si="88"/>
        <v>2.0818902157770935E-10</v>
      </c>
      <c r="T470" s="16">
        <f t="shared" si="95"/>
        <v>90.083556027915719</v>
      </c>
      <c r="U470" s="23">
        <f t="shared" si="89"/>
        <v>4.1524117477820255E-11</v>
      </c>
      <c r="V470" s="22">
        <f t="shared" si="90"/>
        <v>2.791573194826924E-8</v>
      </c>
    </row>
    <row r="471" spans="1:22" x14ac:dyDescent="0.45">
      <c r="A471">
        <v>89.877889999999994</v>
      </c>
      <c r="B471">
        <v>152.97896</v>
      </c>
      <c r="C471">
        <v>31.659759999999999</v>
      </c>
      <c r="D471">
        <v>2099.6320000000001</v>
      </c>
      <c r="E471" s="13">
        <v>89.893432809158099</v>
      </c>
      <c r="F471" s="13">
        <v>158.291353751835</v>
      </c>
      <c r="G471" s="13">
        <v>36.972143237853999</v>
      </c>
      <c r="H471" s="13">
        <f t="shared" si="91"/>
        <v>36.972143237853999</v>
      </c>
      <c r="I471" s="9">
        <v>89.893432809000004</v>
      </c>
      <c r="J471" s="9">
        <v>158.29135375199999</v>
      </c>
      <c r="K471" s="9">
        <f t="shared" si="92"/>
        <v>158.29135375199996</v>
      </c>
      <c r="L471" s="10">
        <v>216.97214299999999</v>
      </c>
      <c r="M471" s="3">
        <f t="shared" si="93"/>
        <v>36.97214299999996</v>
      </c>
      <c r="N471" s="15">
        <f t="shared" si="86"/>
        <v>89.8934328091579</v>
      </c>
      <c r="O471" s="23">
        <f t="shared" si="84"/>
        <v>1.9895196601282805E-13</v>
      </c>
      <c r="P471" s="22">
        <f t="shared" si="85"/>
        <v>1.5789680674060946E-10</v>
      </c>
      <c r="Q471" s="16">
        <f t="shared" si="94"/>
        <v>158.29135375177839</v>
      </c>
      <c r="R471" s="23">
        <f t="shared" si="87"/>
        <v>5.6616045185364783E-11</v>
      </c>
      <c r="S471" s="22">
        <f t="shared" si="88"/>
        <v>2.2157564671942964E-10</v>
      </c>
      <c r="T471" s="16">
        <f t="shared" si="95"/>
        <v>36.972143237797738</v>
      </c>
      <c r="U471" s="23">
        <f t="shared" si="89"/>
        <v>5.6260773817484733E-11</v>
      </c>
      <c r="V471" s="22">
        <f t="shared" si="90"/>
        <v>2.377977779133289E-7</v>
      </c>
    </row>
    <row r="472" spans="1:22" x14ac:dyDescent="0.45">
      <c r="A472">
        <v>-85.22278</v>
      </c>
      <c r="B472">
        <v>23.71979</v>
      </c>
      <c r="C472">
        <v>142.60686000000001</v>
      </c>
      <c r="D472">
        <v>1566.3607999999999</v>
      </c>
      <c r="E472" s="13">
        <v>-85.233914825001705</v>
      </c>
      <c r="F472" s="13">
        <v>23.822289953390499</v>
      </c>
      <c r="G472" s="13">
        <v>142.50471529669599</v>
      </c>
      <c r="H472" s="13">
        <f t="shared" si="91"/>
        <v>142.50471529669599</v>
      </c>
      <c r="I472" s="11">
        <v>-85.233914824999999</v>
      </c>
      <c r="J472" s="11">
        <v>23.822289952999999</v>
      </c>
      <c r="K472" s="9">
        <f t="shared" si="92"/>
        <v>23.822289952999995</v>
      </c>
      <c r="L472" s="12">
        <v>322.50471499999998</v>
      </c>
      <c r="M472" s="3">
        <f t="shared" si="93"/>
        <v>142.50471499999998</v>
      </c>
      <c r="N472" s="15">
        <f t="shared" si="86"/>
        <v>-85.233914825001548</v>
      </c>
      <c r="O472" s="23">
        <f t="shared" si="84"/>
        <v>1.5631940186722204E-13</v>
      </c>
      <c r="P472" s="22">
        <f t="shared" si="85"/>
        <v>1.5489831639570184E-12</v>
      </c>
      <c r="Q472" s="16">
        <f t="shared" si="94"/>
        <v>23.822289953389713</v>
      </c>
      <c r="R472" s="23">
        <f t="shared" si="87"/>
        <v>7.8514972301491071E-13</v>
      </c>
      <c r="S472" s="22">
        <f t="shared" si="88"/>
        <v>3.8971847970969975E-10</v>
      </c>
      <c r="T472" s="16">
        <f t="shared" si="95"/>
        <v>142.50471529669699</v>
      </c>
      <c r="U472" s="23">
        <f t="shared" si="89"/>
        <v>9.9475983006414026E-13</v>
      </c>
      <c r="V472" s="22">
        <f t="shared" si="90"/>
        <v>2.9669701007151161E-7</v>
      </c>
    </row>
    <row r="473" spans="1:22" x14ac:dyDescent="0.45">
      <c r="A473">
        <v>-1.8529599999999999</v>
      </c>
      <c r="B473">
        <v>-162.90022999999999</v>
      </c>
      <c r="C473">
        <v>1.0216400000000001</v>
      </c>
      <c r="D473">
        <v>1913.6427000000001</v>
      </c>
      <c r="E473" s="13">
        <v>-1.8356565306297601</v>
      </c>
      <c r="F473" s="13">
        <v>-162.89992333563401</v>
      </c>
      <c r="G473" s="13">
        <v>1.02163013040803</v>
      </c>
      <c r="H473" s="13">
        <f t="shared" si="91"/>
        <v>1.02163013040803</v>
      </c>
      <c r="I473" s="9">
        <v>-1.8356565309999999</v>
      </c>
      <c r="J473" s="9">
        <v>-162.899923336</v>
      </c>
      <c r="K473" s="9">
        <f t="shared" si="92"/>
        <v>-162.899923336</v>
      </c>
      <c r="L473" s="10">
        <v>181.02162999999999</v>
      </c>
      <c r="M473" s="3">
        <f t="shared" si="93"/>
        <v>1.0216299999999592</v>
      </c>
      <c r="N473" s="15">
        <f t="shared" si="86"/>
        <v>-1.8356565306297994</v>
      </c>
      <c r="O473" s="23">
        <f t="shared" si="84"/>
        <v>3.9301895071730542E-14</v>
      </c>
      <c r="P473" s="22">
        <f t="shared" si="85"/>
        <v>3.7020053689218457E-10</v>
      </c>
      <c r="Q473" s="16">
        <f t="shared" si="94"/>
        <v>-162.89992333563376</v>
      </c>
      <c r="R473" s="23">
        <f t="shared" si="87"/>
        <v>2.5579538487363607E-13</v>
      </c>
      <c r="S473" s="22">
        <f t="shared" si="88"/>
        <v>3.6624214772018604E-10</v>
      </c>
      <c r="T473" s="16">
        <f t="shared" si="95"/>
        <v>1.0216301304080286</v>
      </c>
      <c r="U473" s="23">
        <f t="shared" si="89"/>
        <v>1.3322676295501878E-15</v>
      </c>
      <c r="V473" s="22">
        <f t="shared" si="90"/>
        <v>1.3040806945419092E-7</v>
      </c>
    </row>
    <row r="474" spans="1:22" x14ac:dyDescent="0.45">
      <c r="A474">
        <v>-50.760620000000003</v>
      </c>
      <c r="B474">
        <v>-103.93796</v>
      </c>
      <c r="C474">
        <v>43.065800000000003</v>
      </c>
      <c r="D474">
        <v>2141.8692999999998</v>
      </c>
      <c r="E474" s="13">
        <v>-50.746551856645297</v>
      </c>
      <c r="F474" s="13">
        <v>-103.917237963574</v>
      </c>
      <c r="G474" s="13">
        <v>43.049752186696701</v>
      </c>
      <c r="H474" s="13">
        <f t="shared" si="91"/>
        <v>43.049752186696701</v>
      </c>
      <c r="I474" s="11">
        <v>-50.746551857</v>
      </c>
      <c r="J474" s="11">
        <v>-103.91723796399999</v>
      </c>
      <c r="K474" s="9">
        <f t="shared" si="92"/>
        <v>-103.91723796399999</v>
      </c>
      <c r="L474" s="12">
        <v>223.04975200000001</v>
      </c>
      <c r="M474" s="3">
        <f t="shared" si="93"/>
        <v>43.049752000000012</v>
      </c>
      <c r="N474" s="15">
        <f t="shared" si="86"/>
        <v>-50.746551856641354</v>
      </c>
      <c r="O474" s="23">
        <f t="shared" si="84"/>
        <v>3.943512183468556E-12</v>
      </c>
      <c r="P474" s="22">
        <f t="shared" si="85"/>
        <v>3.5864644587491057E-10</v>
      </c>
      <c r="Q474" s="16">
        <f t="shared" si="94"/>
        <v>-103.91723796356857</v>
      </c>
      <c r="R474" s="23">
        <f t="shared" si="87"/>
        <v>5.4285465012071654E-12</v>
      </c>
      <c r="S474" s="22">
        <f t="shared" si="88"/>
        <v>4.3142733829881763E-10</v>
      </c>
      <c r="T474" s="16">
        <f t="shared" si="95"/>
        <v>43.049752186692317</v>
      </c>
      <c r="U474" s="23">
        <f t="shared" si="89"/>
        <v>4.3840486796398181E-12</v>
      </c>
      <c r="V474" s="22">
        <f t="shared" si="90"/>
        <v>1.8669230428258743E-7</v>
      </c>
    </row>
    <row r="475" spans="1:22" x14ac:dyDescent="0.45">
      <c r="A475">
        <v>49.041820000000001</v>
      </c>
      <c r="B475">
        <v>-163.32679999999999</v>
      </c>
      <c r="C475">
        <v>219.15434999999999</v>
      </c>
      <c r="D475">
        <v>283.83530000000002</v>
      </c>
      <c r="E475" s="13">
        <v>49.039840849661303</v>
      </c>
      <c r="F475" s="13">
        <v>-163.32925121807099</v>
      </c>
      <c r="G475" s="13">
        <v>-140.847501103296</v>
      </c>
      <c r="H475" s="13">
        <f t="shared" si="91"/>
        <v>219.152498896704</v>
      </c>
      <c r="I475" s="9">
        <v>49.039840849999997</v>
      </c>
      <c r="J475" s="9">
        <v>-163.329251218</v>
      </c>
      <c r="K475" s="9">
        <f t="shared" si="92"/>
        <v>-163.329251218</v>
      </c>
      <c r="L475" s="10">
        <v>39.152498999999999</v>
      </c>
      <c r="M475" s="3">
        <f t="shared" si="93"/>
        <v>219.15249900000001</v>
      </c>
      <c r="N475" s="15">
        <f t="shared" si="86"/>
        <v>49.039840849660891</v>
      </c>
      <c r="O475" s="23">
        <f t="shared" si="84"/>
        <v>4.1211478674085811E-13</v>
      </c>
      <c r="P475" s="22">
        <f t="shared" si="85"/>
        <v>3.3910652064150781E-10</v>
      </c>
      <c r="Q475" s="16">
        <f t="shared" si="94"/>
        <v>-163.32925121807165</v>
      </c>
      <c r="R475" s="23">
        <f t="shared" si="87"/>
        <v>6.5369931689929217E-13</v>
      </c>
      <c r="S475" s="22">
        <f t="shared" si="88"/>
        <v>7.1651129474048503E-11</v>
      </c>
      <c r="T475" s="16">
        <f t="shared" si="95"/>
        <v>219.15249889670335</v>
      </c>
      <c r="U475" s="23">
        <f t="shared" si="89"/>
        <v>6.5369931689929217E-13</v>
      </c>
      <c r="V475" s="22">
        <f t="shared" si="90"/>
        <v>1.0329665656172438E-7</v>
      </c>
    </row>
    <row r="476" spans="1:22" x14ac:dyDescent="0.45">
      <c r="A476">
        <v>82.745810000000006</v>
      </c>
      <c r="B476">
        <v>156.34327999999999</v>
      </c>
      <c r="C476">
        <v>55.118319999999997</v>
      </c>
      <c r="D476">
        <v>706.19870000000003</v>
      </c>
      <c r="E476" s="13">
        <v>82.749424540233093</v>
      </c>
      <c r="F476" s="13">
        <v>156.38437807909699</v>
      </c>
      <c r="G476" s="13">
        <v>55.159089282209798</v>
      </c>
      <c r="H476" s="13">
        <f t="shared" si="91"/>
        <v>55.159089282209798</v>
      </c>
      <c r="I476" s="11">
        <v>82.749424540000007</v>
      </c>
      <c r="J476" s="11">
        <v>156.38437807899999</v>
      </c>
      <c r="K476" s="9">
        <f t="shared" si="92"/>
        <v>156.38437807899999</v>
      </c>
      <c r="L476" s="12">
        <v>235.15908899999999</v>
      </c>
      <c r="M476" s="3">
        <f t="shared" si="93"/>
        <v>55.159088999999994</v>
      </c>
      <c r="N476" s="15">
        <f t="shared" si="86"/>
        <v>82.749424540248995</v>
      </c>
      <c r="O476" s="23">
        <f t="shared" si="84"/>
        <v>1.5901946426311042E-11</v>
      </c>
      <c r="P476" s="22">
        <f t="shared" si="85"/>
        <v>2.4898838546505431E-10</v>
      </c>
      <c r="Q476" s="16">
        <f t="shared" si="94"/>
        <v>156.38437807927949</v>
      </c>
      <c r="R476" s="23">
        <f t="shared" si="87"/>
        <v>1.8249579625262413E-10</v>
      </c>
      <c r="S476" s="22">
        <f t="shared" si="88"/>
        <v>2.7949909053859301E-10</v>
      </c>
      <c r="T476" s="16">
        <f t="shared" si="95"/>
        <v>55.159089282390617</v>
      </c>
      <c r="U476" s="23">
        <f t="shared" si="89"/>
        <v>1.808189153962303E-10</v>
      </c>
      <c r="V476" s="22">
        <f t="shared" si="90"/>
        <v>2.8239062288548666E-7</v>
      </c>
    </row>
    <row r="477" spans="1:22" x14ac:dyDescent="0.45">
      <c r="A477">
        <v>-73.563220000000001</v>
      </c>
      <c r="B477">
        <v>108.30370000000001</v>
      </c>
      <c r="C477">
        <v>25.50957</v>
      </c>
      <c r="D477">
        <v>1764.5993000000001</v>
      </c>
      <c r="E477" s="13">
        <v>-73.548948705161393</v>
      </c>
      <c r="F477" s="13">
        <v>108.327731606556</v>
      </c>
      <c r="G477" s="13">
        <v>25.486521351173199</v>
      </c>
      <c r="H477" s="13">
        <f t="shared" si="91"/>
        <v>25.486521351173199</v>
      </c>
      <c r="I477" s="9">
        <v>-73.548948705000001</v>
      </c>
      <c r="J477" s="9">
        <v>108.327731607</v>
      </c>
      <c r="K477" s="9">
        <f t="shared" si="92"/>
        <v>108.32773160700003</v>
      </c>
      <c r="L477" s="10">
        <v>205.48652100000001</v>
      </c>
      <c r="M477" s="3">
        <f t="shared" si="93"/>
        <v>25.486521000000039</v>
      </c>
      <c r="N477" s="15">
        <f t="shared" si="86"/>
        <v>-73.54894870511923</v>
      </c>
      <c r="O477" s="23">
        <f t="shared" si="84"/>
        <v>4.2163605940004345E-11</v>
      </c>
      <c r="P477" s="22">
        <f t="shared" si="85"/>
        <v>1.1922907106054481E-10</v>
      </c>
      <c r="Q477" s="16">
        <f t="shared" si="94"/>
        <v>108.32773160662703</v>
      </c>
      <c r="R477" s="23">
        <f t="shared" si="87"/>
        <v>7.1025851866579615E-11</v>
      </c>
      <c r="S477" s="22">
        <f t="shared" si="88"/>
        <v>3.7300651456462219E-10</v>
      </c>
      <c r="T477" s="16">
        <f t="shared" si="95"/>
        <v>25.486521351105434</v>
      </c>
      <c r="U477" s="23">
        <f t="shared" si="89"/>
        <v>6.7764460709440755E-11</v>
      </c>
      <c r="V477" s="22">
        <f t="shared" si="90"/>
        <v>3.5110539542415609E-7</v>
      </c>
    </row>
    <row r="478" spans="1:22" x14ac:dyDescent="0.45">
      <c r="A478">
        <v>83.163110000000003</v>
      </c>
      <c r="B478">
        <v>-121.99243</v>
      </c>
      <c r="C478">
        <v>70.844089999999994</v>
      </c>
      <c r="D478">
        <v>1206.1131</v>
      </c>
      <c r="E478" s="13">
        <v>83.166646304661796</v>
      </c>
      <c r="F478" s="13">
        <v>-121.906694776733</v>
      </c>
      <c r="G478" s="13">
        <v>70.929215881085099</v>
      </c>
      <c r="H478" s="13">
        <f t="shared" si="91"/>
        <v>70.929215881085099</v>
      </c>
      <c r="I478" s="11">
        <v>83.166646305</v>
      </c>
      <c r="J478" s="11">
        <v>-121.906694777</v>
      </c>
      <c r="K478" s="9">
        <f t="shared" si="92"/>
        <v>-121.906694777</v>
      </c>
      <c r="L478" s="12">
        <v>250.929216</v>
      </c>
      <c r="M478" s="3">
        <f t="shared" si="93"/>
        <v>70.929215999999997</v>
      </c>
      <c r="N478" s="15">
        <f t="shared" si="86"/>
        <v>83.16664630467767</v>
      </c>
      <c r="O478" s="23">
        <f t="shared" si="84"/>
        <v>1.5873524716880638E-11</v>
      </c>
      <c r="P478" s="22">
        <f t="shared" si="85"/>
        <v>3.2233060665021185E-10</v>
      </c>
      <c r="Q478" s="16">
        <f t="shared" si="94"/>
        <v>-121.90669477634633</v>
      </c>
      <c r="R478" s="23">
        <f t="shared" si="87"/>
        <v>3.8667735680064652E-10</v>
      </c>
      <c r="S478" s="22">
        <f t="shared" si="88"/>
        <v>6.5367089518986177E-10</v>
      </c>
      <c r="T478" s="16">
        <f t="shared" si="95"/>
        <v>70.929215881469048</v>
      </c>
      <c r="U478" s="23">
        <f t="shared" si="89"/>
        <v>3.8394887269532774E-10</v>
      </c>
      <c r="V478" s="22">
        <f t="shared" si="90"/>
        <v>1.185309486118058E-7</v>
      </c>
    </row>
    <row r="479" spans="1:22" x14ac:dyDescent="0.45">
      <c r="A479">
        <v>-43.220440000000004</v>
      </c>
      <c r="B479">
        <v>-158.75604000000001</v>
      </c>
      <c r="C479">
        <v>354.94718</v>
      </c>
      <c r="D479">
        <v>667.92190000000005</v>
      </c>
      <c r="E479" s="13">
        <v>-43.214451298977302</v>
      </c>
      <c r="F479" s="13">
        <v>-158.756763959062</v>
      </c>
      <c r="G479" s="13">
        <v>-5.0523242552524001</v>
      </c>
      <c r="H479" s="13">
        <f t="shared" si="91"/>
        <v>354.94767574474758</v>
      </c>
      <c r="I479" s="9">
        <v>-43.214451298999997</v>
      </c>
      <c r="J479" s="9">
        <v>-158.75676395900001</v>
      </c>
      <c r="K479" s="9">
        <f t="shared" si="92"/>
        <v>-158.75676395900001</v>
      </c>
      <c r="L479" s="10">
        <v>174.947676</v>
      </c>
      <c r="M479" s="3">
        <f t="shared" si="93"/>
        <v>354.947676</v>
      </c>
      <c r="N479" s="15">
        <f t="shared" si="86"/>
        <v>-43.214451298977288</v>
      </c>
      <c r="O479" s="23">
        <f t="shared" si="84"/>
        <v>1.4210854715202004E-14</v>
      </c>
      <c r="P479" s="22">
        <f t="shared" si="85"/>
        <v>2.2708945834892802E-11</v>
      </c>
      <c r="Q479" s="16">
        <f t="shared" si="94"/>
        <v>-158.75676395906163</v>
      </c>
      <c r="R479" s="23">
        <f t="shared" si="87"/>
        <v>3.694822225952521E-13</v>
      </c>
      <c r="S479" s="22">
        <f t="shared" si="88"/>
        <v>6.1618266045115888E-11</v>
      </c>
      <c r="T479" s="16">
        <f t="shared" si="95"/>
        <v>354.94767574474724</v>
      </c>
      <c r="U479" s="23">
        <f t="shared" si="89"/>
        <v>3.4106051316484809E-13</v>
      </c>
      <c r="V479" s="22">
        <f t="shared" si="90"/>
        <v>2.5525275759719079E-7</v>
      </c>
    </row>
    <row r="480" spans="1:22" x14ac:dyDescent="0.45">
      <c r="A480">
        <v>19.110880000000002</v>
      </c>
      <c r="B480">
        <v>-152.16387</v>
      </c>
      <c r="C480">
        <v>79.474339999999998</v>
      </c>
      <c r="D480">
        <v>785.29570000000001</v>
      </c>
      <c r="E480" s="13">
        <v>19.112175816839201</v>
      </c>
      <c r="F480" s="13">
        <v>-152.156532302823</v>
      </c>
      <c r="G480" s="13">
        <v>79.476742420878097</v>
      </c>
      <c r="H480" s="13">
        <f t="shared" si="91"/>
        <v>79.476742420878097</v>
      </c>
      <c r="I480" s="11">
        <v>19.112175817000001</v>
      </c>
      <c r="J480" s="11">
        <v>-152.15653230300001</v>
      </c>
      <c r="K480" s="9">
        <f t="shared" si="92"/>
        <v>-152.15653230300001</v>
      </c>
      <c r="L480" s="12">
        <v>259.476742</v>
      </c>
      <c r="M480" s="3">
        <f t="shared" si="93"/>
        <v>79.476742000000002</v>
      </c>
      <c r="N480" s="15">
        <f t="shared" si="86"/>
        <v>19.112175816839162</v>
      </c>
      <c r="O480" s="23">
        <f t="shared" si="84"/>
        <v>3.907985046680551E-14</v>
      </c>
      <c r="P480" s="22">
        <f t="shared" si="85"/>
        <v>1.6083845366665628E-10</v>
      </c>
      <c r="Q480" s="16">
        <f t="shared" si="94"/>
        <v>-152.15653230282314</v>
      </c>
      <c r="R480" s="23">
        <f t="shared" si="87"/>
        <v>1.4210854715202004E-13</v>
      </c>
      <c r="S480" s="22">
        <f t="shared" si="88"/>
        <v>1.7686829778540414E-10</v>
      </c>
      <c r="T480" s="16">
        <f t="shared" si="95"/>
        <v>79.476742420877983</v>
      </c>
      <c r="U480" s="23">
        <f t="shared" si="89"/>
        <v>1.1368683772161603E-13</v>
      </c>
      <c r="V480" s="22">
        <f t="shared" si="90"/>
        <v>4.20877981355261E-7</v>
      </c>
    </row>
    <row r="481" spans="1:22" x14ac:dyDescent="0.45">
      <c r="A481">
        <v>71.325559999999996</v>
      </c>
      <c r="B481">
        <v>-137.79587000000001</v>
      </c>
      <c r="C481">
        <v>337.93723999999997</v>
      </c>
      <c r="D481">
        <v>1268.9889000000001</v>
      </c>
      <c r="E481" s="13">
        <v>71.336099784060806</v>
      </c>
      <c r="F481" s="13">
        <v>-137.809210036249</v>
      </c>
      <c r="G481" s="13">
        <v>-22.075398119045801</v>
      </c>
      <c r="H481" s="13">
        <f t="shared" si="91"/>
        <v>337.92460188095419</v>
      </c>
      <c r="I481" s="9">
        <v>71.336099783999998</v>
      </c>
      <c r="J481" s="9">
        <v>-137.809210036</v>
      </c>
      <c r="K481" s="9">
        <f t="shared" si="92"/>
        <v>-137.809210036</v>
      </c>
      <c r="L481" s="10">
        <v>157.92460199999999</v>
      </c>
      <c r="M481" s="3">
        <f t="shared" si="93"/>
        <v>337.92460199999999</v>
      </c>
      <c r="N481" s="15">
        <f t="shared" si="86"/>
        <v>71.336099784087125</v>
      </c>
      <c r="O481" s="23">
        <f t="shared" ref="O481:O544" si="96">ABS(E481-N481)</f>
        <v>2.6318502932554111E-11</v>
      </c>
      <c r="P481" s="22">
        <f t="shared" ref="P481:P544" si="97">ABS(I481-N481)</f>
        <v>8.7126750258903485E-11</v>
      </c>
      <c r="Q481" s="16">
        <f t="shared" si="94"/>
        <v>-137.80921003628211</v>
      </c>
      <c r="R481" s="23">
        <f t="shared" si="87"/>
        <v>3.3111291486420669E-11</v>
      </c>
      <c r="S481" s="22">
        <f t="shared" si="88"/>
        <v>2.8211388780619018E-10</v>
      </c>
      <c r="T481" s="16">
        <f t="shared" si="95"/>
        <v>337.92460188092213</v>
      </c>
      <c r="U481" s="23">
        <f t="shared" si="89"/>
        <v>3.205968823749572E-11</v>
      </c>
      <c r="V481" s="22">
        <f t="shared" si="90"/>
        <v>1.1907786756637506E-7</v>
      </c>
    </row>
    <row r="482" spans="1:22" x14ac:dyDescent="0.45">
      <c r="A482">
        <v>58.819180000000003</v>
      </c>
      <c r="B482">
        <v>22.398800000000001</v>
      </c>
      <c r="C482">
        <v>144.72909000000001</v>
      </c>
      <c r="D482">
        <v>1835.7257</v>
      </c>
      <c r="E482" s="13">
        <v>58.805724006806997</v>
      </c>
      <c r="F482" s="13">
        <v>22.417139976208102</v>
      </c>
      <c r="G482" s="13">
        <v>144.744779424706</v>
      </c>
      <c r="H482" s="13">
        <f t="shared" si="91"/>
        <v>144.744779424706</v>
      </c>
      <c r="I482" s="11">
        <v>58.805724007000002</v>
      </c>
      <c r="J482" s="11">
        <v>22.417139976000001</v>
      </c>
      <c r="K482" s="9">
        <f t="shared" si="92"/>
        <v>22.417139975999987</v>
      </c>
      <c r="L482" s="12">
        <v>324.74477899999999</v>
      </c>
      <c r="M482" s="3">
        <f t="shared" si="93"/>
        <v>144.74477899999999</v>
      </c>
      <c r="N482" s="15">
        <f t="shared" si="86"/>
        <v>58.805724006796211</v>
      </c>
      <c r="O482" s="23">
        <f t="shared" si="96"/>
        <v>1.0786038728838321E-11</v>
      </c>
      <c r="P482" s="22">
        <f t="shared" si="97"/>
        <v>2.0379076204335433E-10</v>
      </c>
      <c r="Q482" s="16">
        <f t="shared" si="94"/>
        <v>22.4171399762227</v>
      </c>
      <c r="R482" s="23">
        <f t="shared" si="87"/>
        <v>1.4598100506191258E-11</v>
      </c>
      <c r="S482" s="22">
        <f t="shared" si="88"/>
        <v>2.227125150966458E-10</v>
      </c>
      <c r="T482" s="16">
        <f t="shared" si="95"/>
        <v>144.74477942471813</v>
      </c>
      <c r="U482" s="23">
        <f t="shared" si="89"/>
        <v>1.2136069926782511E-11</v>
      </c>
      <c r="V482" s="22">
        <f t="shared" si="90"/>
        <v>4.2471813799238589E-7</v>
      </c>
    </row>
    <row r="483" spans="1:22" x14ac:dyDescent="0.45">
      <c r="A483">
        <v>-3.2574299999999998</v>
      </c>
      <c r="B483">
        <v>172.19671</v>
      </c>
      <c r="C483">
        <v>28.176300000000001</v>
      </c>
      <c r="D483">
        <v>1166.6110000000001</v>
      </c>
      <c r="E483" s="13">
        <v>-3.2481300579805801</v>
      </c>
      <c r="F483" s="13">
        <v>172.201666347008</v>
      </c>
      <c r="G483" s="13">
        <v>28.176018770772799</v>
      </c>
      <c r="H483" s="13">
        <f t="shared" si="91"/>
        <v>28.176018770772799</v>
      </c>
      <c r="I483" s="9">
        <v>-3.2481300580000001</v>
      </c>
      <c r="J483" s="9">
        <v>172.20166634700001</v>
      </c>
      <c r="K483" s="9">
        <f t="shared" si="92"/>
        <v>172.20166634700001</v>
      </c>
      <c r="L483" s="10">
        <v>208.176019</v>
      </c>
      <c r="M483" s="3">
        <f t="shared" si="93"/>
        <v>28.176018999999997</v>
      </c>
      <c r="N483" s="15">
        <f t="shared" si="86"/>
        <v>-3.2481300580007932</v>
      </c>
      <c r="O483" s="23">
        <f t="shared" si="96"/>
        <v>2.021316447553545E-11</v>
      </c>
      <c r="P483" s="22">
        <f t="shared" si="97"/>
        <v>7.9314332879221183E-13</v>
      </c>
      <c r="Q483" s="16">
        <f t="shared" si="94"/>
        <v>172.20166634699694</v>
      </c>
      <c r="R483" s="23">
        <f t="shared" si="87"/>
        <v>1.1056044968427159E-11</v>
      </c>
      <c r="S483" s="22">
        <f t="shared" si="88"/>
        <v>3.0695446184836328E-12</v>
      </c>
      <c r="T483" s="16">
        <f t="shared" si="95"/>
        <v>28.176018770773393</v>
      </c>
      <c r="U483" s="23">
        <f t="shared" si="89"/>
        <v>5.9330318435968366E-13</v>
      </c>
      <c r="V483" s="22">
        <f t="shared" si="90"/>
        <v>2.292266039205515E-7</v>
      </c>
    </row>
    <row r="484" spans="1:22" x14ac:dyDescent="0.45">
      <c r="A484">
        <v>-3.2598600000000002</v>
      </c>
      <c r="B484">
        <v>113.29009000000001</v>
      </c>
      <c r="C484">
        <v>210.50439</v>
      </c>
      <c r="D484">
        <v>662.86389999999994</v>
      </c>
      <c r="E484" s="13">
        <v>-3.2650248360636902</v>
      </c>
      <c r="F484" s="13">
        <v>113.287062533587</v>
      </c>
      <c r="G484" s="13">
        <v>-149.495437708103</v>
      </c>
      <c r="H484" s="13">
        <f t="shared" si="91"/>
        <v>210.504562291897</v>
      </c>
      <c r="I484" s="11">
        <v>-3.2650248359999998</v>
      </c>
      <c r="J484" s="11">
        <v>113.287062534</v>
      </c>
      <c r="K484" s="9">
        <f t="shared" si="92"/>
        <v>113.28706253400003</v>
      </c>
      <c r="L484" s="12">
        <v>30.504562</v>
      </c>
      <c r="M484" s="3">
        <f t="shared" si="93"/>
        <v>210.50456199999999</v>
      </c>
      <c r="N484" s="15">
        <f t="shared" si="86"/>
        <v>-3.2650248360539136</v>
      </c>
      <c r="O484" s="23">
        <f t="shared" si="96"/>
        <v>9.7766239548491285E-12</v>
      </c>
      <c r="P484" s="22">
        <f t="shared" si="97"/>
        <v>5.3913762343427152E-11</v>
      </c>
      <c r="Q484" s="16">
        <f t="shared" si="94"/>
        <v>113.28706253359258</v>
      </c>
      <c r="R484" s="23">
        <f t="shared" si="87"/>
        <v>5.5706550483591855E-12</v>
      </c>
      <c r="S484" s="22">
        <f t="shared" si="88"/>
        <v>4.0745362639427185E-10</v>
      </c>
      <c r="T484" s="16">
        <f t="shared" si="95"/>
        <v>210.5045622918966</v>
      </c>
      <c r="U484" s="23">
        <f t="shared" si="89"/>
        <v>3.979039320256561E-13</v>
      </c>
      <c r="V484" s="22">
        <f t="shared" si="90"/>
        <v>2.9189661177042581E-7</v>
      </c>
    </row>
    <row r="485" spans="1:22" x14ac:dyDescent="0.45">
      <c r="A485">
        <v>19.137039999999999</v>
      </c>
      <c r="B485">
        <v>177.69049999999999</v>
      </c>
      <c r="C485">
        <v>106.10713</v>
      </c>
      <c r="D485">
        <v>470.29559999999998</v>
      </c>
      <c r="E485" s="13">
        <v>19.135861237039499</v>
      </c>
      <c r="F485" s="13">
        <v>177.694794744192</v>
      </c>
      <c r="G485" s="13">
        <v>106.10853789871901</v>
      </c>
      <c r="H485" s="13">
        <f t="shared" si="91"/>
        <v>106.10853789871901</v>
      </c>
      <c r="I485" s="9">
        <v>19.135861237</v>
      </c>
      <c r="J485" s="9">
        <v>177.69479474400001</v>
      </c>
      <c r="K485" s="9">
        <f t="shared" si="92"/>
        <v>177.69479474399998</v>
      </c>
      <c r="L485" s="10">
        <v>286.10853800000001</v>
      </c>
      <c r="M485" s="3">
        <f t="shared" si="93"/>
        <v>106.10853800000001</v>
      </c>
      <c r="N485" s="15">
        <f t="shared" si="86"/>
        <v>19.135861237044313</v>
      </c>
      <c r="O485" s="23">
        <f t="shared" si="96"/>
        <v>4.8139270347746788E-12</v>
      </c>
      <c r="P485" s="22">
        <f t="shared" si="97"/>
        <v>4.4312997715678648E-11</v>
      </c>
      <c r="Q485" s="16">
        <f t="shared" si="94"/>
        <v>177.69479474417415</v>
      </c>
      <c r="R485" s="23">
        <f t="shared" si="87"/>
        <v>1.7848833522293717E-11</v>
      </c>
      <c r="S485" s="22">
        <f t="shared" si="88"/>
        <v>1.7416823538951576E-10</v>
      </c>
      <c r="T485" s="16">
        <f t="shared" si="95"/>
        <v>106.10853789871288</v>
      </c>
      <c r="U485" s="23">
        <f t="shared" si="89"/>
        <v>6.1248783822520636E-12</v>
      </c>
      <c r="V485" s="22">
        <f t="shared" si="90"/>
        <v>1.0128712801815709E-7</v>
      </c>
    </row>
    <row r="486" spans="1:22" x14ac:dyDescent="0.45">
      <c r="A486">
        <v>35.104019999999998</v>
      </c>
      <c r="B486">
        <v>-30.630109999999998</v>
      </c>
      <c r="C486">
        <v>258.13099999999997</v>
      </c>
      <c r="D486">
        <v>566.70489999999995</v>
      </c>
      <c r="E486" s="13">
        <v>35.102969240935998</v>
      </c>
      <c r="F486" s="13">
        <v>-30.636192776069802</v>
      </c>
      <c r="G486" s="13">
        <v>-101.87249793172001</v>
      </c>
      <c r="H486" s="13">
        <f t="shared" si="91"/>
        <v>258.12750206828002</v>
      </c>
      <c r="I486" s="11">
        <v>35.102969240999997</v>
      </c>
      <c r="J486" s="11">
        <v>-30.636192776000001</v>
      </c>
      <c r="K486" s="9">
        <f t="shared" si="92"/>
        <v>-30.636192776000001</v>
      </c>
      <c r="L486" s="12">
        <v>78.127502000000007</v>
      </c>
      <c r="M486" s="3">
        <f t="shared" si="93"/>
        <v>258.12750199999999</v>
      </c>
      <c r="N486" s="15">
        <f t="shared" si="86"/>
        <v>35.102969240935877</v>
      </c>
      <c r="O486" s="23">
        <f t="shared" si="96"/>
        <v>1.2079226507921703E-13</v>
      </c>
      <c r="P486" s="22">
        <f t="shared" si="97"/>
        <v>6.4119376474991441E-11</v>
      </c>
      <c r="Q486" s="16">
        <f t="shared" si="94"/>
        <v>-30.636192776070516</v>
      </c>
      <c r="R486" s="23">
        <f t="shared" si="87"/>
        <v>7.1409544943890069E-13</v>
      </c>
      <c r="S486" s="22">
        <f t="shared" si="88"/>
        <v>7.0514261096832342E-11</v>
      </c>
      <c r="T486" s="16">
        <f t="shared" si="95"/>
        <v>258.127502068279</v>
      </c>
      <c r="U486" s="23">
        <f t="shared" si="89"/>
        <v>1.0231815394945443E-12</v>
      </c>
      <c r="V486" s="22">
        <f t="shared" si="90"/>
        <v>6.8279007336968789E-8</v>
      </c>
    </row>
    <row r="487" spans="1:22" x14ac:dyDescent="0.45">
      <c r="A487">
        <v>74.040040000000005</v>
      </c>
      <c r="B487">
        <v>-142.56762000000001</v>
      </c>
      <c r="C487">
        <v>234.23329000000001</v>
      </c>
      <c r="D487">
        <v>2049.8571999999999</v>
      </c>
      <c r="E487" s="13">
        <v>74.029298275059702</v>
      </c>
      <c r="F487" s="13">
        <v>-142.621755071824</v>
      </c>
      <c r="G487" s="13">
        <v>-125.818756990895</v>
      </c>
      <c r="H487" s="13">
        <f t="shared" si="91"/>
        <v>234.181243009105</v>
      </c>
      <c r="I487" s="9">
        <v>74.029298275000002</v>
      </c>
      <c r="J487" s="9">
        <v>-142.62175507200001</v>
      </c>
      <c r="K487" s="9">
        <f t="shared" si="92"/>
        <v>-142.62175507200001</v>
      </c>
      <c r="L487" s="10">
        <v>54.181243000000002</v>
      </c>
      <c r="M487" s="3">
        <f t="shared" si="93"/>
        <v>234.18124299999999</v>
      </c>
      <c r="N487" s="15">
        <f t="shared" si="86"/>
        <v>74.029298275059702</v>
      </c>
      <c r="O487" s="23">
        <f t="shared" si="96"/>
        <v>0</v>
      </c>
      <c r="P487" s="22">
        <f t="shared" si="97"/>
        <v>5.9699800658563618E-11</v>
      </c>
      <c r="Q487" s="16">
        <f t="shared" si="94"/>
        <v>-142.62175507182377</v>
      </c>
      <c r="R487" s="23">
        <f t="shared" si="87"/>
        <v>2.2737367544323206E-13</v>
      </c>
      <c r="S487" s="22">
        <f t="shared" si="88"/>
        <v>1.7624302017793525E-10</v>
      </c>
      <c r="T487" s="16">
        <f t="shared" si="95"/>
        <v>234.18124300910486</v>
      </c>
      <c r="U487" s="23">
        <f t="shared" si="89"/>
        <v>1.4210854715202004E-13</v>
      </c>
      <c r="V487" s="22">
        <f t="shared" si="90"/>
        <v>9.1048661943204934E-9</v>
      </c>
    </row>
    <row r="488" spans="1:22" x14ac:dyDescent="0.45">
      <c r="A488">
        <v>24.983989999999999</v>
      </c>
      <c r="B488">
        <v>-177.4408</v>
      </c>
      <c r="C488">
        <v>134.02439000000001</v>
      </c>
      <c r="D488">
        <v>2794.4827</v>
      </c>
      <c r="E488" s="13">
        <v>24.9664566467941</v>
      </c>
      <c r="F488" s="13">
        <v>-177.420900948547</v>
      </c>
      <c r="G488" s="13">
        <v>134.03279190310499</v>
      </c>
      <c r="H488" s="13">
        <f t="shared" si="91"/>
        <v>134.03279190310499</v>
      </c>
      <c r="I488" s="11">
        <v>24.966456647000001</v>
      </c>
      <c r="J488" s="11">
        <v>-177.42090094900001</v>
      </c>
      <c r="K488" s="9">
        <f t="shared" si="92"/>
        <v>-177.42090094900001</v>
      </c>
      <c r="L488" s="12">
        <v>314.03279199999997</v>
      </c>
      <c r="M488" s="3">
        <f t="shared" si="93"/>
        <v>134.03279199999997</v>
      </c>
      <c r="N488" s="15">
        <f t="shared" si="86"/>
        <v>24.966456646794843</v>
      </c>
      <c r="O488" s="23">
        <f t="shared" si="96"/>
        <v>7.4251715886930469E-13</v>
      </c>
      <c r="P488" s="22">
        <f t="shared" si="97"/>
        <v>2.0515855680969253E-10</v>
      </c>
      <c r="Q488" s="16">
        <f t="shared" si="94"/>
        <v>-177.42090094854845</v>
      </c>
      <c r="R488" s="23">
        <f t="shared" si="87"/>
        <v>1.4495071809506044E-12</v>
      </c>
      <c r="S488" s="22">
        <f t="shared" si="88"/>
        <v>4.5156411943025887E-10</v>
      </c>
      <c r="T488" s="16">
        <f t="shared" si="95"/>
        <v>134.03279190310414</v>
      </c>
      <c r="U488" s="23">
        <f t="shared" si="89"/>
        <v>8.5265128291212022E-13</v>
      </c>
      <c r="V488" s="22">
        <f t="shared" si="90"/>
        <v>9.689583180261252E-8</v>
      </c>
    </row>
    <row r="489" spans="1:22" x14ac:dyDescent="0.45">
      <c r="A489">
        <v>-23.939299999999999</v>
      </c>
      <c r="B489">
        <v>-165.25326999999999</v>
      </c>
      <c r="C489">
        <v>35.894150000000003</v>
      </c>
      <c r="D489">
        <v>2940.1424000000002</v>
      </c>
      <c r="E489" s="13">
        <v>-23.917794243745501</v>
      </c>
      <c r="F489" s="13">
        <v>-165.236339754852</v>
      </c>
      <c r="G489" s="13">
        <v>35.8872831422552</v>
      </c>
      <c r="H489" s="13">
        <f t="shared" si="91"/>
        <v>35.8872831422552</v>
      </c>
      <c r="I489" s="9">
        <v>-23.917794244</v>
      </c>
      <c r="J489" s="9">
        <v>-165.23633975499999</v>
      </c>
      <c r="K489" s="9">
        <f t="shared" si="92"/>
        <v>-165.23633975499999</v>
      </c>
      <c r="L489" s="10">
        <v>215.887283</v>
      </c>
      <c r="M489" s="3">
        <f t="shared" si="93"/>
        <v>35.887283000000025</v>
      </c>
      <c r="N489" s="15">
        <f t="shared" si="86"/>
        <v>-23.917794243751253</v>
      </c>
      <c r="O489" s="23">
        <f t="shared" si="96"/>
        <v>5.751843445978011E-12</v>
      </c>
      <c r="P489" s="22">
        <f t="shared" si="97"/>
        <v>2.4874680093489587E-10</v>
      </c>
      <c r="Q489" s="16">
        <f t="shared" si="94"/>
        <v>-165.23633975485643</v>
      </c>
      <c r="R489" s="23">
        <f t="shared" si="87"/>
        <v>4.4337866711430252E-12</v>
      </c>
      <c r="S489" s="22">
        <f t="shared" si="88"/>
        <v>1.4355805433297064E-10</v>
      </c>
      <c r="T489" s="16">
        <f t="shared" si="95"/>
        <v>35.887283142257075</v>
      </c>
      <c r="U489" s="23">
        <f t="shared" si="89"/>
        <v>1.8758328224066645E-12</v>
      </c>
      <c r="V489" s="22">
        <f t="shared" si="90"/>
        <v>1.422570505837939E-7</v>
      </c>
    </row>
    <row r="490" spans="1:22" x14ac:dyDescent="0.45">
      <c r="A490">
        <v>-56.913820000000001</v>
      </c>
      <c r="B490">
        <v>53.500300000000003</v>
      </c>
      <c r="C490">
        <v>296.83118000000002</v>
      </c>
      <c r="D490">
        <v>1283.4010000000001</v>
      </c>
      <c r="E490" s="13">
        <v>-56.908616638506203</v>
      </c>
      <c r="F490" s="13">
        <v>53.481501404320198</v>
      </c>
      <c r="G490" s="13">
        <v>-63.153070054758103</v>
      </c>
      <c r="H490" s="13">
        <f t="shared" si="91"/>
        <v>296.84692994524187</v>
      </c>
      <c r="I490" s="11">
        <v>-56.908616639000002</v>
      </c>
      <c r="J490" s="11">
        <v>53.481501403999999</v>
      </c>
      <c r="K490" s="9">
        <f t="shared" si="92"/>
        <v>53.481501403999999</v>
      </c>
      <c r="L490" s="12">
        <v>116.84693</v>
      </c>
      <c r="M490" s="3">
        <f t="shared" si="93"/>
        <v>296.84692999999999</v>
      </c>
      <c r="N490" s="15">
        <f t="shared" si="86"/>
        <v>-56.908616638499673</v>
      </c>
      <c r="O490" s="23">
        <f t="shared" si="96"/>
        <v>6.5298877416353207E-12</v>
      </c>
      <c r="P490" s="22">
        <f t="shared" si="97"/>
        <v>5.0032866738547455E-10</v>
      </c>
      <c r="Q490" s="16">
        <f t="shared" si="94"/>
        <v>53.481501404296864</v>
      </c>
      <c r="R490" s="23">
        <f t="shared" si="87"/>
        <v>2.333422344236169E-11</v>
      </c>
      <c r="S490" s="22">
        <f t="shared" si="88"/>
        <v>2.9686475500056986E-10</v>
      </c>
      <c r="T490" s="16">
        <f t="shared" si="95"/>
        <v>296.84692994526125</v>
      </c>
      <c r="U490" s="23">
        <f t="shared" si="89"/>
        <v>1.9383605831535533E-11</v>
      </c>
      <c r="V490" s="22">
        <f t="shared" si="90"/>
        <v>5.4738734434067737E-8</v>
      </c>
    </row>
    <row r="491" spans="1:22" x14ac:dyDescent="0.45">
      <c r="A491">
        <v>-39.224420000000002</v>
      </c>
      <c r="B491">
        <v>39.377049999999997</v>
      </c>
      <c r="C491">
        <v>100.64051000000001</v>
      </c>
      <c r="D491">
        <v>2161.7483000000002</v>
      </c>
      <c r="E491" s="13">
        <v>-39.228012785062504</v>
      </c>
      <c r="F491" s="13">
        <v>39.4016549113731</v>
      </c>
      <c r="G491" s="13">
        <v>100.62495025195599</v>
      </c>
      <c r="H491" s="13">
        <f t="shared" si="91"/>
        <v>100.62495025195599</v>
      </c>
      <c r="I491" s="9">
        <v>-39.228012784999997</v>
      </c>
      <c r="J491" s="9">
        <v>39.401654911000001</v>
      </c>
      <c r="K491" s="9">
        <f t="shared" si="92"/>
        <v>39.401654911000008</v>
      </c>
      <c r="L491" s="10">
        <v>280.62495000000001</v>
      </c>
      <c r="M491" s="3">
        <f t="shared" si="93"/>
        <v>100.62495000000001</v>
      </c>
      <c r="N491" s="15">
        <f t="shared" si="86"/>
        <v>-39.228012785063463</v>
      </c>
      <c r="O491" s="23">
        <f t="shared" si="96"/>
        <v>9.5923269327613525E-13</v>
      </c>
      <c r="P491" s="22">
        <f t="shared" si="97"/>
        <v>6.3465677158092149E-11</v>
      </c>
      <c r="Q491" s="16">
        <f t="shared" si="94"/>
        <v>39.401654911379353</v>
      </c>
      <c r="R491" s="23">
        <f t="shared" si="87"/>
        <v>6.2527760746888816E-12</v>
      </c>
      <c r="S491" s="22">
        <f t="shared" si="88"/>
        <v>3.7934455576760229E-10</v>
      </c>
      <c r="T491" s="16">
        <f t="shared" si="95"/>
        <v>100.62495025195187</v>
      </c>
      <c r="U491" s="23">
        <f t="shared" si="89"/>
        <v>4.1211478674085811E-12</v>
      </c>
      <c r="V491" s="22">
        <f t="shared" si="90"/>
        <v>2.5195186026394367E-7</v>
      </c>
    </row>
    <row r="492" spans="1:22" x14ac:dyDescent="0.45">
      <c r="A492">
        <v>39.756720000000001</v>
      </c>
      <c r="B492">
        <v>60.739130000000003</v>
      </c>
      <c r="C492">
        <v>59.963830000000002</v>
      </c>
      <c r="D492">
        <v>574.19349999999997</v>
      </c>
      <c r="E492" s="13">
        <v>39.759308440541297</v>
      </c>
      <c r="F492" s="13">
        <v>60.744930768700698</v>
      </c>
      <c r="G492" s="13">
        <v>59.967539861538</v>
      </c>
      <c r="H492" s="13">
        <f t="shared" si="91"/>
        <v>59.967539861538</v>
      </c>
      <c r="I492" s="11">
        <v>39.759308441000002</v>
      </c>
      <c r="J492" s="11">
        <v>60.744930769</v>
      </c>
      <c r="K492" s="9">
        <f t="shared" si="92"/>
        <v>60.744930769000007</v>
      </c>
      <c r="L492" s="12">
        <v>239.96754000000001</v>
      </c>
      <c r="M492" s="3">
        <f t="shared" si="93"/>
        <v>59.967539999999985</v>
      </c>
      <c r="N492" s="15">
        <f t="shared" si="86"/>
        <v>39.75930844054151</v>
      </c>
      <c r="O492" s="23">
        <f t="shared" si="96"/>
        <v>2.1316282072803006E-13</v>
      </c>
      <c r="P492" s="22">
        <f t="shared" si="97"/>
        <v>4.5849191110391985E-10</v>
      </c>
      <c r="Q492" s="16">
        <f t="shared" si="94"/>
        <v>60.744930768701181</v>
      </c>
      <c r="R492" s="23">
        <f t="shared" si="87"/>
        <v>4.8316906031686813E-13</v>
      </c>
      <c r="S492" s="22">
        <f t="shared" si="88"/>
        <v>2.9882585295126773E-10</v>
      </c>
      <c r="T492" s="16">
        <f t="shared" si="95"/>
        <v>59.967539861538192</v>
      </c>
      <c r="U492" s="23">
        <f t="shared" si="89"/>
        <v>1.9184653865522705E-13</v>
      </c>
      <c r="V492" s="22">
        <f t="shared" si="90"/>
        <v>1.3846179314214169E-7</v>
      </c>
    </row>
    <row r="493" spans="1:22" x14ac:dyDescent="0.45">
      <c r="A493">
        <v>53.71452</v>
      </c>
      <c r="B493">
        <v>106.21198</v>
      </c>
      <c r="C493">
        <v>81.984049999999996</v>
      </c>
      <c r="D493">
        <v>2322.3270000000002</v>
      </c>
      <c r="E493" s="13">
        <v>53.717424609342601</v>
      </c>
      <c r="F493" s="13">
        <v>106.246812910115</v>
      </c>
      <c r="G493" s="13">
        <v>82.012128575289495</v>
      </c>
      <c r="H493" s="13">
        <f t="shared" si="91"/>
        <v>82.012128575289495</v>
      </c>
      <c r="I493" s="9">
        <v>53.717424608999998</v>
      </c>
      <c r="J493" s="9">
        <v>106.24681291</v>
      </c>
      <c r="K493" s="9">
        <f t="shared" si="92"/>
        <v>106.24681291000002</v>
      </c>
      <c r="L493" s="10">
        <v>262.01212900000002</v>
      </c>
      <c r="M493" s="3">
        <f t="shared" si="93"/>
        <v>82.012129000000016</v>
      </c>
      <c r="N493" s="15">
        <f t="shared" si="86"/>
        <v>53.717424609346146</v>
      </c>
      <c r="O493" s="23">
        <f t="shared" si="96"/>
        <v>3.5456082514428999E-12</v>
      </c>
      <c r="P493" s="22">
        <f t="shared" si="97"/>
        <v>3.4614799915289041E-10</v>
      </c>
      <c r="Q493" s="16">
        <f t="shared" si="94"/>
        <v>106.24681291015889</v>
      </c>
      <c r="R493" s="23">
        <f t="shared" si="87"/>
        <v>4.3897330215258989E-11</v>
      </c>
      <c r="S493" s="22">
        <f t="shared" si="88"/>
        <v>1.588773557159584E-10</v>
      </c>
      <c r="T493" s="16">
        <f t="shared" si="95"/>
        <v>82.012128575324667</v>
      </c>
      <c r="U493" s="23">
        <f t="shared" si="89"/>
        <v>3.5171865420124959E-11</v>
      </c>
      <c r="V493" s="22">
        <f t="shared" si="90"/>
        <v>4.2467534910883842E-7</v>
      </c>
    </row>
    <row r="494" spans="1:22" x14ac:dyDescent="0.45">
      <c r="A494">
        <v>21.165520000000001</v>
      </c>
      <c r="B494">
        <v>-24.952359999999999</v>
      </c>
      <c r="C494">
        <v>136.77870999999999</v>
      </c>
      <c r="D494">
        <v>214.89680000000001</v>
      </c>
      <c r="E494" s="13">
        <v>21.164105619807899</v>
      </c>
      <c r="F494" s="13">
        <v>-24.950942992702299</v>
      </c>
      <c r="G494" s="13">
        <v>136.77922161322201</v>
      </c>
      <c r="H494" s="13">
        <f t="shared" si="91"/>
        <v>136.77922161322201</v>
      </c>
      <c r="I494" s="11">
        <v>21.164105620000001</v>
      </c>
      <c r="J494" s="11">
        <v>-24.950942993000002</v>
      </c>
      <c r="K494" s="9">
        <f t="shared" si="92"/>
        <v>-24.950942993000012</v>
      </c>
      <c r="L494" s="12">
        <v>316.779222</v>
      </c>
      <c r="M494" s="3">
        <f t="shared" si="93"/>
        <v>136.779222</v>
      </c>
      <c r="N494" s="15">
        <f t="shared" si="86"/>
        <v>21.164105619808193</v>
      </c>
      <c r="O494" s="23">
        <f t="shared" si="96"/>
        <v>2.9487523534044158E-13</v>
      </c>
      <c r="P494" s="22">
        <f t="shared" si="97"/>
        <v>1.9180745880476024E-10</v>
      </c>
      <c r="Q494" s="16">
        <f t="shared" si="94"/>
        <v>-24.950942992702494</v>
      </c>
      <c r="R494" s="23">
        <f t="shared" si="87"/>
        <v>1.9539925233402755E-13</v>
      </c>
      <c r="S494" s="22">
        <f t="shared" si="88"/>
        <v>2.9751845431746915E-10</v>
      </c>
      <c r="T494" s="16">
        <f t="shared" si="95"/>
        <v>136.77922161322192</v>
      </c>
      <c r="U494" s="23">
        <f t="shared" si="89"/>
        <v>8.5265128291212022E-14</v>
      </c>
      <c r="V494" s="22">
        <f t="shared" si="90"/>
        <v>3.8677808333886787E-7</v>
      </c>
    </row>
    <row r="495" spans="1:22" x14ac:dyDescent="0.45">
      <c r="A495">
        <v>21.482230000000001</v>
      </c>
      <c r="B495">
        <v>-104.71257</v>
      </c>
      <c r="C495">
        <v>254.71663000000001</v>
      </c>
      <c r="D495">
        <v>1289.5731000000001</v>
      </c>
      <c r="E495" s="13">
        <v>21.4791595517734</v>
      </c>
      <c r="F495" s="13">
        <v>-104.724573343168</v>
      </c>
      <c r="G495" s="13">
        <v>-105.28776547677801</v>
      </c>
      <c r="H495" s="13">
        <f t="shared" si="91"/>
        <v>254.71223452322198</v>
      </c>
      <c r="I495" s="9">
        <v>21.479159551999999</v>
      </c>
      <c r="J495" s="9">
        <v>-104.724573343</v>
      </c>
      <c r="K495" s="9">
        <f t="shared" si="92"/>
        <v>-104.724573343</v>
      </c>
      <c r="L495" s="10">
        <v>74.712235000000007</v>
      </c>
      <c r="M495" s="3">
        <f t="shared" si="93"/>
        <v>254.71223500000002</v>
      </c>
      <c r="N495" s="15">
        <f t="shared" si="86"/>
        <v>21.479159551773378</v>
      </c>
      <c r="O495" s="23">
        <f t="shared" si="96"/>
        <v>2.1316282072803006E-14</v>
      </c>
      <c r="P495" s="22">
        <f t="shared" si="97"/>
        <v>2.2662050014332635E-10</v>
      </c>
      <c r="Q495" s="16">
        <f t="shared" si="94"/>
        <v>-104.72457334316807</v>
      </c>
      <c r="R495" s="23">
        <f t="shared" si="87"/>
        <v>7.1054273576010019E-14</v>
      </c>
      <c r="S495" s="22">
        <f t="shared" si="88"/>
        <v>1.680717787166941E-10</v>
      </c>
      <c r="T495" s="16">
        <f t="shared" si="95"/>
        <v>254.71223452322158</v>
      </c>
      <c r="U495" s="23">
        <f t="shared" si="89"/>
        <v>3.979039320256561E-13</v>
      </c>
      <c r="V495" s="22">
        <f t="shared" si="90"/>
        <v>4.7677843895144179E-7</v>
      </c>
    </row>
    <row r="496" spans="1:22" x14ac:dyDescent="0.45">
      <c r="A496">
        <v>-80.251000000000005</v>
      </c>
      <c r="B496">
        <v>-11.22095</v>
      </c>
      <c r="C496">
        <v>294.80853000000002</v>
      </c>
      <c r="D496">
        <v>1929.104</v>
      </c>
      <c r="E496" s="13">
        <v>-80.2437385875606</v>
      </c>
      <c r="F496" s="13">
        <v>-11.313474673002201</v>
      </c>
      <c r="G496" s="13">
        <v>-65.100282466688995</v>
      </c>
      <c r="H496" s="13">
        <f t="shared" si="91"/>
        <v>294.89971753331099</v>
      </c>
      <c r="I496" s="11">
        <v>-80.243738587999999</v>
      </c>
      <c r="J496" s="11">
        <v>-11.313474673</v>
      </c>
      <c r="K496" s="9">
        <f t="shared" si="92"/>
        <v>-11.313474673000002</v>
      </c>
      <c r="L496" s="12">
        <v>114.89971799999999</v>
      </c>
      <c r="M496" s="3">
        <f t="shared" si="93"/>
        <v>294.89971800000001</v>
      </c>
      <c r="N496" s="15">
        <f t="shared" si="86"/>
        <v>-80.243738587560514</v>
      </c>
      <c r="O496" s="23">
        <f t="shared" si="96"/>
        <v>8.5265128291212022E-14</v>
      </c>
      <c r="P496" s="22">
        <f t="shared" si="97"/>
        <v>4.3948489292233717E-10</v>
      </c>
      <c r="Q496" s="16">
        <f t="shared" si="94"/>
        <v>-11.313474673001537</v>
      </c>
      <c r="R496" s="23">
        <f t="shared" si="87"/>
        <v>6.6435745793569367E-13</v>
      </c>
      <c r="S496" s="22">
        <f t="shared" si="88"/>
        <v>1.5347723092418164E-12</v>
      </c>
      <c r="T496" s="16">
        <f t="shared" si="95"/>
        <v>294.89971753331008</v>
      </c>
      <c r="U496" s="23">
        <f t="shared" si="89"/>
        <v>9.0949470177292824E-13</v>
      </c>
      <c r="V496" s="22">
        <f t="shared" si="90"/>
        <v>4.6668992581544444E-7</v>
      </c>
    </row>
    <row r="497" spans="1:22" x14ac:dyDescent="0.45">
      <c r="A497">
        <v>-41.807189999999999</v>
      </c>
      <c r="B497">
        <v>-95.592320000000001</v>
      </c>
      <c r="C497">
        <v>298.19812999999999</v>
      </c>
      <c r="D497">
        <v>2028.0549000000001</v>
      </c>
      <c r="E497" s="13">
        <v>-41.798560047344701</v>
      </c>
      <c r="F497" s="13">
        <v>-95.613825592189798</v>
      </c>
      <c r="G497" s="13">
        <v>-61.787535019937998</v>
      </c>
      <c r="H497" s="13">
        <f t="shared" si="91"/>
        <v>298.21246498006201</v>
      </c>
      <c r="I497" s="9">
        <v>-41.798560047000002</v>
      </c>
      <c r="J497" s="9">
        <v>-95.613825591999998</v>
      </c>
      <c r="K497" s="9">
        <f t="shared" si="92"/>
        <v>-95.613825591999998</v>
      </c>
      <c r="L497" s="10">
        <v>118.21246499999999</v>
      </c>
      <c r="M497" s="3">
        <f t="shared" si="93"/>
        <v>298.21246500000001</v>
      </c>
      <c r="N497" s="15">
        <f t="shared" si="86"/>
        <v>-41.798560047343372</v>
      </c>
      <c r="O497" s="23">
        <f t="shared" si="96"/>
        <v>1.3287149158713873E-12</v>
      </c>
      <c r="P497" s="22">
        <f t="shared" si="97"/>
        <v>3.4336977705606841E-10</v>
      </c>
      <c r="Q497" s="16">
        <f t="shared" si="94"/>
        <v>-95.613825592193137</v>
      </c>
      <c r="R497" s="23">
        <f t="shared" si="87"/>
        <v>3.3395508580724709E-12</v>
      </c>
      <c r="S497" s="22">
        <f t="shared" si="88"/>
        <v>1.9313972643431043E-10</v>
      </c>
      <c r="T497" s="16">
        <f t="shared" si="95"/>
        <v>298.21246498006394</v>
      </c>
      <c r="U497" s="23">
        <f t="shared" si="89"/>
        <v>1.9326762412674725E-12</v>
      </c>
      <c r="V497" s="22">
        <f t="shared" si="90"/>
        <v>1.9936067019443726E-8</v>
      </c>
    </row>
    <row r="498" spans="1:22" x14ac:dyDescent="0.45">
      <c r="A498">
        <v>-53.464919999999999</v>
      </c>
      <c r="B498">
        <v>10.17784</v>
      </c>
      <c r="C498">
        <v>309.47633000000002</v>
      </c>
      <c r="D498">
        <v>954.67409999999995</v>
      </c>
      <c r="E498" s="13">
        <v>-53.459466020856802</v>
      </c>
      <c r="F498" s="13">
        <v>10.166745827101501</v>
      </c>
      <c r="G498" s="13">
        <v>-50.5147562293606</v>
      </c>
      <c r="H498" s="13">
        <f t="shared" si="91"/>
        <v>309.48524377063939</v>
      </c>
      <c r="I498" s="11">
        <v>-53.459466020999997</v>
      </c>
      <c r="J498" s="11">
        <v>10.166745827</v>
      </c>
      <c r="K498" s="9">
        <f t="shared" si="92"/>
        <v>10.166745827</v>
      </c>
      <c r="L498" s="12">
        <v>129.48524399999999</v>
      </c>
      <c r="M498" s="3">
        <f t="shared" si="93"/>
        <v>309.48524399999997</v>
      </c>
      <c r="N498" s="15">
        <f t="shared" si="86"/>
        <v>-53.459466020853469</v>
      </c>
      <c r="O498" s="23">
        <f t="shared" si="96"/>
        <v>3.3324454307148699E-12</v>
      </c>
      <c r="P498" s="22">
        <f t="shared" si="97"/>
        <v>1.4652812296844786E-10</v>
      </c>
      <c r="Q498" s="16">
        <f t="shared" si="94"/>
        <v>10.166745827094871</v>
      </c>
      <c r="R498" s="23">
        <f t="shared" si="87"/>
        <v>6.6293637246417347E-12</v>
      </c>
      <c r="S498" s="22">
        <f t="shared" si="88"/>
        <v>9.4871666078688577E-11</v>
      </c>
      <c r="T498" s="16">
        <f t="shared" si="95"/>
        <v>309.48524377064439</v>
      </c>
      <c r="U498" s="23">
        <f t="shared" si="89"/>
        <v>5.0022208597511053E-12</v>
      </c>
      <c r="V498" s="22">
        <f t="shared" si="90"/>
        <v>2.2935557808523299E-7</v>
      </c>
    </row>
    <row r="499" spans="1:22" x14ac:dyDescent="0.45">
      <c r="A499">
        <v>35.098280000000003</v>
      </c>
      <c r="B499">
        <v>10.69909</v>
      </c>
      <c r="C499">
        <v>111.38601</v>
      </c>
      <c r="D499">
        <v>2645.9000999999998</v>
      </c>
      <c r="E499" s="13">
        <v>35.089580342693701</v>
      </c>
      <c r="F499" s="13">
        <v>10.726107819927</v>
      </c>
      <c r="G499" s="13">
        <v>111.401543046778</v>
      </c>
      <c r="H499" s="13">
        <f t="shared" si="91"/>
        <v>111.401543046778</v>
      </c>
      <c r="I499" s="9">
        <v>35.089580343000002</v>
      </c>
      <c r="J499" s="9">
        <v>10.726107819999999</v>
      </c>
      <c r="K499" s="9">
        <f t="shared" si="92"/>
        <v>10.72610782000001</v>
      </c>
      <c r="L499" s="10">
        <v>291.401543</v>
      </c>
      <c r="M499" s="3">
        <f t="shared" si="93"/>
        <v>111.401543</v>
      </c>
      <c r="N499" s="15">
        <f t="shared" si="86"/>
        <v>35.089580342693111</v>
      </c>
      <c r="O499" s="23">
        <f t="shared" si="96"/>
        <v>5.8975047068088315E-13</v>
      </c>
      <c r="P499" s="22">
        <f t="shared" si="97"/>
        <v>3.0689051300214487E-10</v>
      </c>
      <c r="Q499" s="16">
        <f t="shared" si="94"/>
        <v>10.726107819928757</v>
      </c>
      <c r="R499" s="23">
        <f t="shared" si="87"/>
        <v>1.7568169141668477E-12</v>
      </c>
      <c r="S499" s="22">
        <f t="shared" si="88"/>
        <v>7.1253225542022847E-11</v>
      </c>
      <c r="T499" s="16">
        <f t="shared" si="95"/>
        <v>111.40154304677871</v>
      </c>
      <c r="U499" s="23">
        <f t="shared" si="89"/>
        <v>7.1054273576010019E-13</v>
      </c>
      <c r="V499" s="22">
        <f t="shared" si="90"/>
        <v>4.6778708906458633E-8</v>
      </c>
    </row>
    <row r="500" spans="1:22" x14ac:dyDescent="0.45">
      <c r="A500">
        <v>-26.025849999999998</v>
      </c>
      <c r="B500">
        <v>-112.98105</v>
      </c>
      <c r="C500">
        <v>262.43319000000002</v>
      </c>
      <c r="D500">
        <v>1037.9902</v>
      </c>
      <c r="E500" s="13">
        <v>-26.027083381064301</v>
      </c>
      <c r="F500" s="13">
        <v>-112.99132977395401</v>
      </c>
      <c r="G500" s="13">
        <v>-97.562299376209793</v>
      </c>
      <c r="H500" s="13">
        <f t="shared" si="91"/>
        <v>262.43770062379019</v>
      </c>
      <c r="I500" s="11">
        <v>-26.027083381000001</v>
      </c>
      <c r="J500" s="11">
        <v>-112.99132977399999</v>
      </c>
      <c r="K500" s="9">
        <f t="shared" si="92"/>
        <v>-112.99132977399999</v>
      </c>
      <c r="L500" s="12">
        <v>82.437701000000004</v>
      </c>
      <c r="M500" s="3">
        <f t="shared" si="93"/>
        <v>262.437701</v>
      </c>
      <c r="N500" s="15">
        <f t="shared" si="86"/>
        <v>-26.027083381064333</v>
      </c>
      <c r="O500" s="23">
        <f t="shared" si="96"/>
        <v>3.1974423109204508E-14</v>
      </c>
      <c r="P500" s="22">
        <f t="shared" si="97"/>
        <v>6.4332539295719471E-11</v>
      </c>
      <c r="Q500" s="16">
        <f t="shared" si="94"/>
        <v>-112.99132977395431</v>
      </c>
      <c r="R500" s="23">
        <f t="shared" si="87"/>
        <v>2.9842794901924208E-13</v>
      </c>
      <c r="S500" s="22">
        <f t="shared" si="88"/>
        <v>4.5687897909374442E-11</v>
      </c>
      <c r="T500" s="16">
        <f t="shared" si="95"/>
        <v>262.43770062379008</v>
      </c>
      <c r="U500" s="23">
        <f t="shared" si="89"/>
        <v>1.1368683772161603E-13</v>
      </c>
      <c r="V500" s="22">
        <f t="shared" si="90"/>
        <v>3.7620992543452303E-7</v>
      </c>
    </row>
    <row r="501" spans="1:22" x14ac:dyDescent="0.45">
      <c r="A501">
        <v>-12.496169999999999</v>
      </c>
      <c r="B501">
        <v>177.97058999999999</v>
      </c>
      <c r="C501">
        <v>315.38481999999999</v>
      </c>
      <c r="D501">
        <v>2665.431</v>
      </c>
      <c r="E501" s="13">
        <v>-12.4790183572442</v>
      </c>
      <c r="F501" s="13">
        <v>177.953368933641</v>
      </c>
      <c r="G501" s="13">
        <v>-44.611456319425201</v>
      </c>
      <c r="H501" s="13">
        <f t="shared" si="91"/>
        <v>315.3885436805748</v>
      </c>
      <c r="I501" s="9">
        <v>-12.479018356999999</v>
      </c>
      <c r="J501" s="9">
        <v>177.953368934</v>
      </c>
      <c r="K501" s="9">
        <f t="shared" si="92"/>
        <v>177.95336893399997</v>
      </c>
      <c r="L501" s="10">
        <v>135.388544</v>
      </c>
      <c r="M501" s="3">
        <f t="shared" si="93"/>
        <v>315.38854400000002</v>
      </c>
      <c r="N501" s="15">
        <f t="shared" si="86"/>
        <v>-12.479018357250899</v>
      </c>
      <c r="O501" s="23">
        <f t="shared" si="96"/>
        <v>6.6986416413783445E-12</v>
      </c>
      <c r="P501" s="22">
        <f t="shared" si="97"/>
        <v>2.5089974542424898E-10</v>
      </c>
      <c r="Q501" s="16">
        <f t="shared" si="94"/>
        <v>177.95336893364788</v>
      </c>
      <c r="R501" s="23">
        <f t="shared" si="87"/>
        <v>6.8780536821577698E-12</v>
      </c>
      <c r="S501" s="22">
        <f t="shared" si="88"/>
        <v>3.5208813642384484E-10</v>
      </c>
      <c r="T501" s="16">
        <f t="shared" si="95"/>
        <v>315.38854368057298</v>
      </c>
      <c r="U501" s="23">
        <f t="shared" si="89"/>
        <v>1.8189894035458565E-12</v>
      </c>
      <c r="V501" s="22">
        <f t="shared" si="90"/>
        <v>3.1942704481480177E-7</v>
      </c>
    </row>
    <row r="502" spans="1:22" x14ac:dyDescent="0.45">
      <c r="A502">
        <v>-11.61533</v>
      </c>
      <c r="B502">
        <v>173.26237</v>
      </c>
      <c r="C502">
        <v>173.36855</v>
      </c>
      <c r="D502">
        <v>2753.4184</v>
      </c>
      <c r="E502" s="13">
        <v>-11.6400543718963</v>
      </c>
      <c r="F502" s="13">
        <v>173.26528596452999</v>
      </c>
      <c r="G502" s="13">
        <v>173.367962283411</v>
      </c>
      <c r="H502" s="13">
        <f t="shared" si="91"/>
        <v>173.367962283411</v>
      </c>
      <c r="I502" s="11">
        <v>-11.640054372</v>
      </c>
      <c r="J502" s="11">
        <v>173.265285965</v>
      </c>
      <c r="K502" s="9">
        <f t="shared" si="92"/>
        <v>173.26528596499998</v>
      </c>
      <c r="L502" s="12">
        <v>353.36796199999998</v>
      </c>
      <c r="M502" s="3">
        <f t="shared" si="93"/>
        <v>173.36796200000003</v>
      </c>
      <c r="N502" s="15">
        <f t="shared" si="86"/>
        <v>-11.640054371896367</v>
      </c>
      <c r="O502" s="23">
        <f t="shared" si="96"/>
        <v>6.7501559897209518E-14</v>
      </c>
      <c r="P502" s="22">
        <f t="shared" si="97"/>
        <v>1.0363265801061061E-10</v>
      </c>
      <c r="Q502" s="16">
        <f t="shared" si="94"/>
        <v>173.2652859645296</v>
      </c>
      <c r="R502" s="23">
        <f t="shared" si="87"/>
        <v>3.979039320256561E-13</v>
      </c>
      <c r="S502" s="22">
        <f t="shared" si="88"/>
        <v>4.7037929107318632E-10</v>
      </c>
      <c r="T502" s="16">
        <f t="shared" si="95"/>
        <v>173.36796228341075</v>
      </c>
      <c r="U502" s="23">
        <f t="shared" si="89"/>
        <v>2.5579538487363607E-13</v>
      </c>
      <c r="V502" s="22">
        <f t="shared" si="90"/>
        <v>2.8341071356408065E-7</v>
      </c>
    </row>
    <row r="503" spans="1:22" x14ac:dyDescent="0.45">
      <c r="A503">
        <v>21.873650000000001</v>
      </c>
      <c r="B503">
        <v>-20.562519999999999</v>
      </c>
      <c r="C503">
        <v>166.18342000000001</v>
      </c>
      <c r="D503">
        <v>264.5086</v>
      </c>
      <c r="E503" s="13">
        <v>21.871330316317099</v>
      </c>
      <c r="F503" s="13">
        <v>-20.5619088205192</v>
      </c>
      <c r="G503" s="13">
        <v>166.18364769018001</v>
      </c>
      <c r="H503" s="13">
        <f t="shared" si="91"/>
        <v>166.18364769018001</v>
      </c>
      <c r="I503" s="9">
        <v>21.871330316000002</v>
      </c>
      <c r="J503" s="9">
        <v>-20.561908820999999</v>
      </c>
      <c r="K503" s="9">
        <f t="shared" si="92"/>
        <v>-20.561908821000003</v>
      </c>
      <c r="L503" s="10">
        <v>346.18364800000001</v>
      </c>
      <c r="M503" s="3">
        <f t="shared" si="93"/>
        <v>166.18364799999995</v>
      </c>
      <c r="N503" s="15">
        <f t="shared" si="86"/>
        <v>21.871330316320496</v>
      </c>
      <c r="O503" s="23">
        <f t="shared" si="96"/>
        <v>3.3963942769332789E-12</v>
      </c>
      <c r="P503" s="22">
        <f t="shared" si="97"/>
        <v>3.2049385367827199E-10</v>
      </c>
      <c r="Q503" s="16">
        <f t="shared" si="94"/>
        <v>-20.561908820520046</v>
      </c>
      <c r="R503" s="23">
        <f t="shared" si="87"/>
        <v>8.4554585555451922E-13</v>
      </c>
      <c r="S503" s="22">
        <f t="shared" si="88"/>
        <v>4.7995740715123247E-10</v>
      </c>
      <c r="T503" s="16">
        <f t="shared" si="95"/>
        <v>166.18364769017899</v>
      </c>
      <c r="U503" s="23">
        <f t="shared" si="89"/>
        <v>1.0231815394945443E-12</v>
      </c>
      <c r="V503" s="22">
        <f t="shared" si="90"/>
        <v>3.0982096177467611E-7</v>
      </c>
    </row>
    <row r="504" spans="1:22" x14ac:dyDescent="0.45">
      <c r="A504">
        <v>1.35799</v>
      </c>
      <c r="B504">
        <v>-13.302680000000001</v>
      </c>
      <c r="C504">
        <v>288.05</v>
      </c>
      <c r="D504">
        <v>6.3822000000000001</v>
      </c>
      <c r="E504" s="13">
        <v>1.35800788384506</v>
      </c>
      <c r="F504" s="13">
        <v>-13.302734525967599</v>
      </c>
      <c r="G504" s="13">
        <v>-71.950001292229103</v>
      </c>
      <c r="H504" s="13">
        <f t="shared" si="91"/>
        <v>288.0499987077709</v>
      </c>
      <c r="I504" s="11">
        <v>1.3580078840000001</v>
      </c>
      <c r="J504" s="11">
        <v>-13.302734526</v>
      </c>
      <c r="K504" s="9">
        <f t="shared" si="92"/>
        <v>-13.302734525999995</v>
      </c>
      <c r="L504" s="12">
        <v>108.049999</v>
      </c>
      <c r="M504" s="3">
        <f t="shared" si="93"/>
        <v>288.04999900000001</v>
      </c>
      <c r="N504" s="15">
        <f t="shared" si="86"/>
        <v>1.3580078838446032</v>
      </c>
      <c r="O504" s="23">
        <f t="shared" si="96"/>
        <v>4.567457523307894E-13</v>
      </c>
      <c r="P504" s="22">
        <f t="shared" si="97"/>
        <v>1.5539680653375854E-10</v>
      </c>
      <c r="Q504" s="16">
        <f t="shared" si="94"/>
        <v>-13.302734525966144</v>
      </c>
      <c r="R504" s="23">
        <f t="shared" si="87"/>
        <v>1.4548362514688051E-12</v>
      </c>
      <c r="S504" s="22">
        <f t="shared" si="88"/>
        <v>3.3850255931611173E-11</v>
      </c>
      <c r="T504" s="16">
        <f t="shared" si="95"/>
        <v>288.04999870777067</v>
      </c>
      <c r="U504" s="23">
        <f t="shared" si="89"/>
        <v>2.2737367544323206E-13</v>
      </c>
      <c r="V504" s="22">
        <f t="shared" si="90"/>
        <v>2.9222934472272755E-7</v>
      </c>
    </row>
    <row r="505" spans="1:22" x14ac:dyDescent="0.45">
      <c r="A505">
        <v>-33.337649999999996</v>
      </c>
      <c r="B505">
        <v>-174.36304999999999</v>
      </c>
      <c r="C505">
        <v>27.023720000000001</v>
      </c>
      <c r="D505">
        <v>131.6283</v>
      </c>
      <c r="E505" s="13">
        <v>-33.3365927769268</v>
      </c>
      <c r="F505" s="13">
        <v>-174.36240758721601</v>
      </c>
      <c r="G505" s="13">
        <v>27.023366952923201</v>
      </c>
      <c r="H505" s="13">
        <f t="shared" si="91"/>
        <v>27.023366952923201</v>
      </c>
      <c r="I505" s="9">
        <v>-33.336592777</v>
      </c>
      <c r="J505" s="9">
        <v>-174.36240758700001</v>
      </c>
      <c r="K505" s="9">
        <f t="shared" si="92"/>
        <v>-174.36240758700001</v>
      </c>
      <c r="L505" s="10">
        <v>207.02336700000001</v>
      </c>
      <c r="M505" s="3">
        <f t="shared" si="93"/>
        <v>27.023367000000007</v>
      </c>
      <c r="N505" s="15">
        <f t="shared" si="86"/>
        <v>-33.336592776926913</v>
      </c>
      <c r="O505" s="23">
        <f t="shared" si="96"/>
        <v>1.1368683772161603E-13</v>
      </c>
      <c r="P505" s="22">
        <f t="shared" si="97"/>
        <v>7.3086425800283905E-11</v>
      </c>
      <c r="Q505" s="16">
        <f t="shared" si="94"/>
        <v>-174.36240758721632</v>
      </c>
      <c r="R505" s="23">
        <f t="shared" si="87"/>
        <v>3.1263880373444408E-13</v>
      </c>
      <c r="S505" s="22">
        <f t="shared" si="88"/>
        <v>2.163176304748049E-10</v>
      </c>
      <c r="T505" s="16">
        <f t="shared" si="95"/>
        <v>27.023366952923261</v>
      </c>
      <c r="U505" s="23">
        <f t="shared" si="89"/>
        <v>6.0396132539608516E-14</v>
      </c>
      <c r="V505" s="22">
        <f t="shared" si="90"/>
        <v>4.7076746056973207E-8</v>
      </c>
    </row>
    <row r="506" spans="1:22" x14ac:dyDescent="0.45">
      <c r="A506">
        <v>-1.3826000000000001</v>
      </c>
      <c r="B506">
        <v>-104.57032</v>
      </c>
      <c r="C506">
        <v>45.487139999999997</v>
      </c>
      <c r="D506">
        <v>173.012</v>
      </c>
      <c r="E506" s="13">
        <v>-1.3815030655892699</v>
      </c>
      <c r="F506" s="13">
        <v>-104.56921139541799</v>
      </c>
      <c r="G506" s="13">
        <v>45.487113261554299</v>
      </c>
      <c r="H506" s="13">
        <f t="shared" si="91"/>
        <v>45.487113261554299</v>
      </c>
      <c r="I506" s="11">
        <v>-1.3815030660000001</v>
      </c>
      <c r="J506" s="11">
        <v>-104.569211395</v>
      </c>
      <c r="K506" s="9">
        <f t="shared" si="92"/>
        <v>-104.569211395</v>
      </c>
      <c r="L506" s="12">
        <v>225.48711299999999</v>
      </c>
      <c r="M506" s="3">
        <f t="shared" si="93"/>
        <v>45.487113000000022</v>
      </c>
      <c r="N506" s="15">
        <f t="shared" si="86"/>
        <v>-1.381503065589875</v>
      </c>
      <c r="O506" s="23">
        <f t="shared" si="96"/>
        <v>6.0507154842071031E-13</v>
      </c>
      <c r="P506" s="22">
        <f t="shared" si="97"/>
        <v>4.101250450361249E-10</v>
      </c>
      <c r="Q506" s="16">
        <f t="shared" si="94"/>
        <v>-104.56921139541895</v>
      </c>
      <c r="R506" s="23">
        <f t="shared" si="87"/>
        <v>9.5212726591853425E-13</v>
      </c>
      <c r="S506" s="22">
        <f t="shared" si="88"/>
        <v>4.1895020785887027E-10</v>
      </c>
      <c r="T506" s="16">
        <f t="shared" si="95"/>
        <v>45.487113261554235</v>
      </c>
      <c r="U506" s="23">
        <f t="shared" si="89"/>
        <v>6.3948846218409017E-14</v>
      </c>
      <c r="V506" s="22">
        <f t="shared" si="90"/>
        <v>2.615542129547066E-7</v>
      </c>
    </row>
    <row r="507" spans="1:22" x14ac:dyDescent="0.45">
      <c r="A507">
        <v>61.856349999999999</v>
      </c>
      <c r="B507">
        <v>-111.99178999999999</v>
      </c>
      <c r="C507">
        <v>215.14201</v>
      </c>
      <c r="D507">
        <v>188.12110000000001</v>
      </c>
      <c r="E507" s="13">
        <v>61.854969623658</v>
      </c>
      <c r="F507" s="13">
        <v>-111.99384677680899</v>
      </c>
      <c r="G507" s="13">
        <v>-144.859803587827</v>
      </c>
      <c r="H507" s="13">
        <f t="shared" si="91"/>
        <v>215.140196412173</v>
      </c>
      <c r="I507" s="9">
        <v>61.854969623999999</v>
      </c>
      <c r="J507" s="9">
        <v>-111.993846777</v>
      </c>
      <c r="K507" s="9">
        <f t="shared" si="92"/>
        <v>-111.993846777</v>
      </c>
      <c r="L507" s="10">
        <v>35.140196000000003</v>
      </c>
      <c r="M507" s="3">
        <f t="shared" si="93"/>
        <v>215.140196</v>
      </c>
      <c r="N507" s="15">
        <f t="shared" si="86"/>
        <v>61.85496962365626</v>
      </c>
      <c r="O507" s="23">
        <f t="shared" si="96"/>
        <v>1.7408297026122455E-12</v>
      </c>
      <c r="P507" s="22">
        <f t="shared" si="97"/>
        <v>3.4373925927866367E-10</v>
      </c>
      <c r="Q507" s="16">
        <f t="shared" si="94"/>
        <v>-111.99384677681155</v>
      </c>
      <c r="R507" s="23">
        <f t="shared" si="87"/>
        <v>2.5579538487363607E-12</v>
      </c>
      <c r="S507" s="22">
        <f t="shared" si="88"/>
        <v>1.8845014437829377E-10</v>
      </c>
      <c r="T507" s="16">
        <f t="shared" si="95"/>
        <v>215.14019641217106</v>
      </c>
      <c r="U507" s="23">
        <f t="shared" si="89"/>
        <v>1.9326762412674725E-12</v>
      </c>
      <c r="V507" s="22">
        <f t="shared" si="90"/>
        <v>4.1217106172553031E-7</v>
      </c>
    </row>
    <row r="508" spans="1:22" x14ac:dyDescent="0.45">
      <c r="A508">
        <v>-32.009039999999999</v>
      </c>
      <c r="B508">
        <v>-36.844709999999999</v>
      </c>
      <c r="C508">
        <v>100.82675</v>
      </c>
      <c r="D508">
        <v>101.82980000000001</v>
      </c>
      <c r="E508" s="13">
        <v>-32.0092124928535</v>
      </c>
      <c r="F508" s="13">
        <v>-36.843651434312399</v>
      </c>
      <c r="G508" s="13">
        <v>100.826188902666</v>
      </c>
      <c r="H508" s="13">
        <f t="shared" si="91"/>
        <v>100.826188902666</v>
      </c>
      <c r="I508" s="11">
        <v>-32.009212493</v>
      </c>
      <c r="J508" s="11">
        <v>-36.843651434000002</v>
      </c>
      <c r="K508" s="9">
        <f t="shared" si="92"/>
        <v>-36.843651434000009</v>
      </c>
      <c r="L508" s="12">
        <v>280.826189</v>
      </c>
      <c r="M508" s="3">
        <f t="shared" si="93"/>
        <v>100.826189</v>
      </c>
      <c r="N508" s="15">
        <f t="shared" si="86"/>
        <v>-32.009212492853521</v>
      </c>
      <c r="O508" s="23">
        <f t="shared" si="96"/>
        <v>2.1316282072803006E-14</v>
      </c>
      <c r="P508" s="22">
        <f t="shared" si="97"/>
        <v>1.4647838497694465E-10</v>
      </c>
      <c r="Q508" s="16">
        <f t="shared" si="94"/>
        <v>-36.843651434312306</v>
      </c>
      <c r="R508" s="23">
        <f t="shared" si="87"/>
        <v>9.2370555648813024E-14</v>
      </c>
      <c r="S508" s="22">
        <f t="shared" si="88"/>
        <v>3.1229774322127923E-10</v>
      </c>
      <c r="T508" s="16">
        <f t="shared" si="95"/>
        <v>100.82618890266592</v>
      </c>
      <c r="U508" s="23">
        <f t="shared" si="89"/>
        <v>8.5265128291212022E-14</v>
      </c>
      <c r="V508" s="22">
        <f t="shared" si="90"/>
        <v>9.7334080351174634E-8</v>
      </c>
    </row>
    <row r="509" spans="1:22" x14ac:dyDescent="0.45">
      <c r="A509">
        <v>69.095749999999995</v>
      </c>
      <c r="B509">
        <v>165.33557999999999</v>
      </c>
      <c r="C509">
        <v>47.534529999999997</v>
      </c>
      <c r="D509">
        <v>65.089699999999993</v>
      </c>
      <c r="E509" s="13">
        <v>69.096143943629002</v>
      </c>
      <c r="F509" s="13">
        <v>165.33678535063501</v>
      </c>
      <c r="G509" s="13">
        <v>47.535656013536801</v>
      </c>
      <c r="H509" s="13">
        <f t="shared" si="91"/>
        <v>47.535656013536801</v>
      </c>
      <c r="I509" s="9">
        <v>69.096143944000005</v>
      </c>
      <c r="J509" s="9">
        <v>165.336785351</v>
      </c>
      <c r="K509" s="9">
        <f t="shared" si="92"/>
        <v>165.336785351</v>
      </c>
      <c r="L509" s="10">
        <v>227.53565599999999</v>
      </c>
      <c r="M509" s="3">
        <f t="shared" si="93"/>
        <v>47.535656000000017</v>
      </c>
      <c r="N509" s="15">
        <f t="shared" si="86"/>
        <v>69.096143943629855</v>
      </c>
      <c r="O509" s="23">
        <f t="shared" si="96"/>
        <v>8.5265128291212022E-13</v>
      </c>
      <c r="P509" s="22">
        <f t="shared" si="97"/>
        <v>3.7015013276686659E-10</v>
      </c>
      <c r="Q509" s="16">
        <f t="shared" si="94"/>
        <v>165.33678535063859</v>
      </c>
      <c r="R509" s="23">
        <f t="shared" si="87"/>
        <v>3.5811353882309049E-12</v>
      </c>
      <c r="S509" s="22">
        <f t="shared" si="88"/>
        <v>3.6141045711701736E-10</v>
      </c>
      <c r="T509" s="16">
        <f t="shared" si="95"/>
        <v>47.535656013539537</v>
      </c>
      <c r="U509" s="23">
        <f t="shared" si="89"/>
        <v>2.7355895326763857E-12</v>
      </c>
      <c r="V509" s="22">
        <f t="shared" si="90"/>
        <v>1.3539519727601146E-8</v>
      </c>
    </row>
    <row r="510" spans="1:22" x14ac:dyDescent="0.45">
      <c r="A510">
        <v>24.48837</v>
      </c>
      <c r="B510">
        <v>81.266869999999997</v>
      </c>
      <c r="C510">
        <v>193.37889000000001</v>
      </c>
      <c r="D510">
        <v>152.2518</v>
      </c>
      <c r="E510" s="13">
        <v>24.4870327590858</v>
      </c>
      <c r="F510" s="13">
        <v>81.266522450024993</v>
      </c>
      <c r="G510" s="13">
        <v>-166.621254058738</v>
      </c>
      <c r="H510" s="13">
        <f t="shared" si="91"/>
        <v>193.378745941262</v>
      </c>
      <c r="I510" s="11">
        <v>24.487032759000002</v>
      </c>
      <c r="J510" s="11">
        <v>81.266522449999997</v>
      </c>
      <c r="K510" s="9">
        <f t="shared" si="92"/>
        <v>81.266522450000025</v>
      </c>
      <c r="L510" s="12">
        <v>13.378746</v>
      </c>
      <c r="M510" s="3">
        <f t="shared" si="93"/>
        <v>193.37874600000001</v>
      </c>
      <c r="N510" s="15">
        <f t="shared" si="86"/>
        <v>24.487032759087239</v>
      </c>
      <c r="O510" s="23">
        <f t="shared" si="96"/>
        <v>1.4388490399142029E-12</v>
      </c>
      <c r="P510" s="22">
        <f t="shared" si="97"/>
        <v>8.72368843829463E-11</v>
      </c>
      <c r="Q510" s="16">
        <f t="shared" si="94"/>
        <v>81.266522450025377</v>
      </c>
      <c r="R510" s="23">
        <f t="shared" si="87"/>
        <v>3.836930773104541E-13</v>
      </c>
      <c r="S510" s="22">
        <f t="shared" si="88"/>
        <v>2.5352164811920375E-11</v>
      </c>
      <c r="T510" s="16">
        <f t="shared" si="95"/>
        <v>193.37874594126217</v>
      </c>
      <c r="U510" s="23">
        <f t="shared" si="89"/>
        <v>1.7053025658242404E-13</v>
      </c>
      <c r="V510" s="22">
        <f t="shared" si="90"/>
        <v>5.8737839481182164E-8</v>
      </c>
    </row>
    <row r="511" spans="1:22" x14ac:dyDescent="0.45">
      <c r="A511">
        <v>82.781409999999994</v>
      </c>
      <c r="B511">
        <v>28.353629999999999</v>
      </c>
      <c r="C511">
        <v>335.40109000000001</v>
      </c>
      <c r="D511">
        <v>49.255200000000002</v>
      </c>
      <c r="E511" s="13">
        <v>82.781811023273605</v>
      </c>
      <c r="F511" s="13">
        <v>28.352168975348199</v>
      </c>
      <c r="G511" s="13">
        <v>-24.600359445189401</v>
      </c>
      <c r="H511" s="13">
        <f t="shared" si="91"/>
        <v>335.39964055481062</v>
      </c>
      <c r="I511" s="9">
        <v>82.781811023000003</v>
      </c>
      <c r="J511" s="9">
        <v>28.352168975000001</v>
      </c>
      <c r="K511" s="9">
        <f t="shared" si="92"/>
        <v>28.352168975000012</v>
      </c>
      <c r="L511" s="10">
        <v>155.399641</v>
      </c>
      <c r="M511" s="3">
        <f t="shared" si="93"/>
        <v>335.39964099999997</v>
      </c>
      <c r="N511" s="15">
        <f t="shared" si="86"/>
        <v>82.78181102327521</v>
      </c>
      <c r="O511" s="23">
        <f t="shared" si="96"/>
        <v>1.6058265828178264E-12</v>
      </c>
      <c r="P511" s="22">
        <f t="shared" si="97"/>
        <v>2.75207412414602E-10</v>
      </c>
      <c r="Q511" s="16">
        <f t="shared" si="94"/>
        <v>28.35216897534184</v>
      </c>
      <c r="R511" s="23">
        <f t="shared" si="87"/>
        <v>6.3593574850528967E-12</v>
      </c>
      <c r="S511" s="22">
        <f t="shared" si="88"/>
        <v>3.41827899319469E-10</v>
      </c>
      <c r="T511" s="16">
        <f t="shared" si="95"/>
        <v>335.39964055480402</v>
      </c>
      <c r="U511" s="23">
        <f t="shared" si="89"/>
        <v>6.5938365878537297E-12</v>
      </c>
      <c r="V511" s="22">
        <f t="shared" si="90"/>
        <v>4.4519595121528255E-7</v>
      </c>
    </row>
    <row r="512" spans="1:22" x14ac:dyDescent="0.45">
      <c r="A512">
        <v>-30.31739</v>
      </c>
      <c r="B512">
        <v>151.85156000000001</v>
      </c>
      <c r="C512">
        <v>279.11272000000002</v>
      </c>
      <c r="D512">
        <v>232.5444</v>
      </c>
      <c r="E512" s="13">
        <v>-30.3170577530936</v>
      </c>
      <c r="F512" s="13">
        <v>151.84917266443401</v>
      </c>
      <c r="G512" s="13">
        <v>-80.886074903685099</v>
      </c>
      <c r="H512" s="13">
        <f t="shared" si="91"/>
        <v>279.11392509631492</v>
      </c>
      <c r="I512" s="11">
        <v>-30.317057753</v>
      </c>
      <c r="J512" s="11">
        <v>151.84917266400001</v>
      </c>
      <c r="K512" s="9">
        <f t="shared" si="92"/>
        <v>151.84917266399998</v>
      </c>
      <c r="L512" s="12">
        <v>99.113924999999995</v>
      </c>
      <c r="M512" s="3">
        <f t="shared" si="93"/>
        <v>279.11392499999999</v>
      </c>
      <c r="N512" s="15">
        <f t="shared" si="86"/>
        <v>-30.317057753093536</v>
      </c>
      <c r="O512" s="23">
        <f t="shared" si="96"/>
        <v>6.3948846218409017E-14</v>
      </c>
      <c r="P512" s="22">
        <f t="shared" si="97"/>
        <v>9.3535845735459588E-11</v>
      </c>
      <c r="Q512" s="16">
        <f t="shared" si="94"/>
        <v>151.84917266443364</v>
      </c>
      <c r="R512" s="23">
        <f t="shared" si="87"/>
        <v>3.694822225952521E-13</v>
      </c>
      <c r="S512" s="22">
        <f t="shared" si="88"/>
        <v>4.3365844248910435E-10</v>
      </c>
      <c r="T512" s="16">
        <f t="shared" si="95"/>
        <v>279.11392509631474</v>
      </c>
      <c r="U512" s="23">
        <f t="shared" si="89"/>
        <v>1.7053025658242404E-13</v>
      </c>
      <c r="V512" s="22">
        <f t="shared" si="90"/>
        <v>9.631474995330791E-8</v>
      </c>
    </row>
    <row r="513" spans="1:22" x14ac:dyDescent="0.45">
      <c r="A513">
        <v>23.356680000000001</v>
      </c>
      <c r="B513">
        <v>-164.59180000000001</v>
      </c>
      <c r="C513">
        <v>326.82810000000001</v>
      </c>
      <c r="D513">
        <v>107.157</v>
      </c>
      <c r="E513" s="13">
        <v>23.3574898834203</v>
      </c>
      <c r="F513" s="13">
        <v>-164.592373407606</v>
      </c>
      <c r="G513" s="13">
        <v>-33.172127333393099</v>
      </c>
      <c r="H513" s="13">
        <f t="shared" si="91"/>
        <v>326.82787266660688</v>
      </c>
      <c r="I513" s="9">
        <v>23.357489883</v>
      </c>
      <c r="J513" s="9">
        <v>-164.59237340799999</v>
      </c>
      <c r="K513" s="9">
        <f t="shared" si="92"/>
        <v>-164.59237340799999</v>
      </c>
      <c r="L513" s="10">
        <v>146.82787300000001</v>
      </c>
      <c r="M513" s="3">
        <f t="shared" si="93"/>
        <v>326.82787300000001</v>
      </c>
      <c r="N513" s="15">
        <f t="shared" si="86"/>
        <v>23.357489883419976</v>
      </c>
      <c r="O513" s="23">
        <f t="shared" si="96"/>
        <v>3.2329694477084558E-13</v>
      </c>
      <c r="P513" s="22">
        <f t="shared" si="97"/>
        <v>4.1997694211204362E-10</v>
      </c>
      <c r="Q513" s="16">
        <f t="shared" si="94"/>
        <v>-164.59237340760552</v>
      </c>
      <c r="R513" s="23">
        <f t="shared" si="87"/>
        <v>4.8316906031686813E-13</v>
      </c>
      <c r="S513" s="22">
        <f t="shared" si="88"/>
        <v>3.9446490518457722E-10</v>
      </c>
      <c r="T513" s="16">
        <f t="shared" si="95"/>
        <v>326.82787266660659</v>
      </c>
      <c r="U513" s="23">
        <f t="shared" si="89"/>
        <v>2.8421709430404007E-13</v>
      </c>
      <c r="V513" s="22">
        <f t="shared" si="90"/>
        <v>3.3339341598548344E-7</v>
      </c>
    </row>
    <row r="514" spans="1:22" x14ac:dyDescent="0.45">
      <c r="A514">
        <v>-73.492310000000003</v>
      </c>
      <c r="B514">
        <v>15.927949999999999</v>
      </c>
      <c r="C514">
        <v>148.55090000000001</v>
      </c>
      <c r="D514">
        <v>74.548699999999997</v>
      </c>
      <c r="E514" s="13">
        <v>-73.492879854427002</v>
      </c>
      <c r="F514" s="13">
        <v>15.9291759121369</v>
      </c>
      <c r="G514" s="13">
        <v>148.549724616259</v>
      </c>
      <c r="H514" s="13">
        <f t="shared" si="91"/>
        <v>148.549724616259</v>
      </c>
      <c r="I514" s="11">
        <v>-73.492879853999995</v>
      </c>
      <c r="J514" s="11">
        <v>15.929175912</v>
      </c>
      <c r="K514" s="9">
        <f t="shared" si="92"/>
        <v>15.929175912000005</v>
      </c>
      <c r="L514" s="12">
        <v>328.54972500000002</v>
      </c>
      <c r="M514" s="3">
        <f t="shared" si="93"/>
        <v>148.54972500000002</v>
      </c>
      <c r="N514" s="15">
        <f t="shared" si="86"/>
        <v>-73.492879854428622</v>
      </c>
      <c r="O514" s="23">
        <f t="shared" si="96"/>
        <v>1.6200374375330284E-12</v>
      </c>
      <c r="P514" s="22">
        <f t="shared" si="97"/>
        <v>4.2862779991992284E-10</v>
      </c>
      <c r="Q514" s="16">
        <f t="shared" si="94"/>
        <v>15.929175912140551</v>
      </c>
      <c r="R514" s="23">
        <f t="shared" si="87"/>
        <v>3.6504133049675147E-12</v>
      </c>
      <c r="S514" s="22">
        <f t="shared" si="88"/>
        <v>1.4054535313334782E-10</v>
      </c>
      <c r="T514" s="16">
        <f t="shared" si="95"/>
        <v>148.54972461625556</v>
      </c>
      <c r="U514" s="23">
        <f t="shared" si="89"/>
        <v>3.4390268410788849E-12</v>
      </c>
      <c r="V514" s="22">
        <f t="shared" si="90"/>
        <v>3.8374446376110427E-7</v>
      </c>
    </row>
    <row r="515" spans="1:22" x14ac:dyDescent="0.45">
      <c r="A515">
        <v>-46.820689999999999</v>
      </c>
      <c r="B515">
        <v>-33.363880000000002</v>
      </c>
      <c r="C515">
        <v>328.67232999999999</v>
      </c>
      <c r="D515">
        <v>75.305599999999998</v>
      </c>
      <c r="E515" s="13">
        <v>-46.820111351963803</v>
      </c>
      <c r="F515" s="13">
        <v>-33.364393082319197</v>
      </c>
      <c r="G515" s="13">
        <v>-31.327295854051499</v>
      </c>
      <c r="H515" s="13">
        <f t="shared" si="91"/>
        <v>328.6727041459485</v>
      </c>
      <c r="I515" s="9">
        <v>-46.820111351999998</v>
      </c>
      <c r="J515" s="9">
        <v>-33.364393081999999</v>
      </c>
      <c r="K515" s="9">
        <f t="shared" si="92"/>
        <v>-33.364393081999992</v>
      </c>
      <c r="L515" s="10">
        <v>148.67270400000001</v>
      </c>
      <c r="M515" s="3">
        <f t="shared" si="93"/>
        <v>328.67270400000001</v>
      </c>
      <c r="N515" s="15">
        <f t="shared" ref="N515:N578" si="98">vincentyDirLat(A515, $B515, $C515, $D515)</f>
        <v>-46.820111351963639</v>
      </c>
      <c r="O515" s="23">
        <f t="shared" si="96"/>
        <v>1.6342482922482304E-13</v>
      </c>
      <c r="P515" s="22">
        <f t="shared" si="97"/>
        <v>3.6358471788844327E-11</v>
      </c>
      <c r="Q515" s="16">
        <f t="shared" si="94"/>
        <v>-33.364393082319253</v>
      </c>
      <c r="R515" s="23">
        <f t="shared" ref="R515:R578" si="99">ABS(F515-Q515)</f>
        <v>5.6843418860808015E-14</v>
      </c>
      <c r="S515" s="22">
        <f t="shared" ref="S515:S578" si="100">ABS(K515-Q515)</f>
        <v>3.1926106203172822E-10</v>
      </c>
      <c r="T515" s="16">
        <f t="shared" si="95"/>
        <v>328.67270414594816</v>
      </c>
      <c r="U515" s="23">
        <f t="shared" ref="U515:U578" si="101">ABS(H515-T515)</f>
        <v>3.4106051316484809E-13</v>
      </c>
      <c r="V515" s="22">
        <f t="shared" ref="V515:V578" si="102">ABS(M515-T515)</f>
        <v>1.4594814956581104E-7</v>
      </c>
    </row>
    <row r="516" spans="1:22" x14ac:dyDescent="0.45">
      <c r="A516">
        <v>11.27017</v>
      </c>
      <c r="B516">
        <v>-26.875640000000001</v>
      </c>
      <c r="C516">
        <v>89.378320000000002</v>
      </c>
      <c r="D516">
        <v>194.6788</v>
      </c>
      <c r="E516" s="13">
        <v>11.270189090266401</v>
      </c>
      <c r="F516" s="13">
        <v>-26.873857116842199</v>
      </c>
      <c r="G516" s="13">
        <v>89.378668439092905</v>
      </c>
      <c r="H516" s="13">
        <f t="shared" ref="H516:H579" si="103">NormalizeAzimuth(G516, TRUE)</f>
        <v>89.378668439092905</v>
      </c>
      <c r="I516" s="11">
        <v>11.270189090000001</v>
      </c>
      <c r="J516" s="11">
        <v>-26.873857117</v>
      </c>
      <c r="K516" s="9">
        <f t="shared" ref="K516:K579" si="104">normalizelon(J516)</f>
        <v>-26.873857117</v>
      </c>
      <c r="L516" s="12">
        <v>269.378668</v>
      </c>
      <c r="M516" s="3">
        <f t="shared" ref="M516:M579" si="105">NormalizeAzimuth(L516+180, TRUE)</f>
        <v>89.378668000000005</v>
      </c>
      <c r="N516" s="15">
        <f t="shared" si="98"/>
        <v>11.270189090266356</v>
      </c>
      <c r="O516" s="23">
        <f t="shared" si="96"/>
        <v>4.4408920985006262E-14</v>
      </c>
      <c r="P516" s="22">
        <f t="shared" si="97"/>
        <v>2.6635582628387056E-10</v>
      </c>
      <c r="Q516" s="16">
        <f t="shared" ref="Q516:Q579" si="106">VincentyDirLon($A516, $B516, $C516, $D516)</f>
        <v>-26.873857116849422</v>
      </c>
      <c r="R516" s="23">
        <f t="shared" si="99"/>
        <v>7.2226669090014184E-12</v>
      </c>
      <c r="S516" s="22">
        <f t="shared" si="100"/>
        <v>1.5057821656228043E-10</v>
      </c>
      <c r="T516" s="16">
        <f t="shared" ref="T516:T579" si="107">VincentyDirRevAzimuth($A516, $B516, $C516, $D516)</f>
        <v>89.378668439091371</v>
      </c>
      <c r="U516" s="23">
        <f t="shared" si="101"/>
        <v>1.5347723092418164E-12</v>
      </c>
      <c r="V516" s="22">
        <f t="shared" si="102"/>
        <v>4.3909136593356379E-7</v>
      </c>
    </row>
    <row r="517" spans="1:22" x14ac:dyDescent="0.45">
      <c r="A517">
        <v>42.259520000000002</v>
      </c>
      <c r="B517">
        <v>-92.030280000000005</v>
      </c>
      <c r="C517">
        <v>289.71839999999997</v>
      </c>
      <c r="D517">
        <v>66.631600000000006</v>
      </c>
      <c r="E517" s="13">
        <v>42.259722389265697</v>
      </c>
      <c r="F517" s="13">
        <v>-92.031040176828895</v>
      </c>
      <c r="G517" s="13">
        <v>-70.282111212149204</v>
      </c>
      <c r="H517" s="13">
        <f t="shared" si="103"/>
        <v>289.71788878785082</v>
      </c>
      <c r="I517" s="9">
        <v>42.259722388999997</v>
      </c>
      <c r="J517" s="9">
        <v>-92.031040176999994</v>
      </c>
      <c r="K517" s="9">
        <f t="shared" si="104"/>
        <v>-92.031040176999994</v>
      </c>
      <c r="L517" s="10">
        <v>109.717889</v>
      </c>
      <c r="M517" s="3">
        <f t="shared" si="105"/>
        <v>289.71788900000001</v>
      </c>
      <c r="N517" s="15">
        <f t="shared" si="98"/>
        <v>42.259722389265747</v>
      </c>
      <c r="O517" s="23">
        <f t="shared" si="96"/>
        <v>4.9737991503207013E-14</v>
      </c>
      <c r="P517" s="22">
        <f t="shared" si="97"/>
        <v>2.6575008860163507E-10</v>
      </c>
      <c r="Q517" s="16">
        <f t="shared" si="106"/>
        <v>-92.031040176829094</v>
      </c>
      <c r="R517" s="23">
        <f t="shared" si="99"/>
        <v>1.9895196601282805E-13</v>
      </c>
      <c r="S517" s="22">
        <f t="shared" si="100"/>
        <v>1.708997388050193E-10</v>
      </c>
      <c r="T517" s="16">
        <f t="shared" si="107"/>
        <v>289.71788878785037</v>
      </c>
      <c r="U517" s="23">
        <f t="shared" si="101"/>
        <v>4.5474735088646412E-13</v>
      </c>
      <c r="V517" s="22">
        <f t="shared" si="102"/>
        <v>2.1214964363025501E-7</v>
      </c>
    </row>
    <row r="518" spans="1:22" x14ac:dyDescent="0.45">
      <c r="A518">
        <v>-44.623159999999999</v>
      </c>
      <c r="B518">
        <v>-9.2262699999999995</v>
      </c>
      <c r="C518">
        <v>175.12504999999999</v>
      </c>
      <c r="D518">
        <v>85.505399999999995</v>
      </c>
      <c r="E518" s="13">
        <v>-44.623926672915701</v>
      </c>
      <c r="F518" s="13">
        <v>-9.2261784390471107</v>
      </c>
      <c r="G518" s="13">
        <v>175.124985683414</v>
      </c>
      <c r="H518" s="13">
        <f t="shared" si="103"/>
        <v>175.124985683414</v>
      </c>
      <c r="I518" s="11">
        <v>-44.623926673</v>
      </c>
      <c r="J518" s="11">
        <v>-9.2261784389999999</v>
      </c>
      <c r="K518" s="9">
        <f t="shared" si="104"/>
        <v>-9.2261784389999946</v>
      </c>
      <c r="L518" s="12">
        <v>355.12498599999998</v>
      </c>
      <c r="M518" s="3">
        <f t="shared" si="105"/>
        <v>175.12498600000004</v>
      </c>
      <c r="N518" s="15">
        <f t="shared" si="98"/>
        <v>-44.623926672915395</v>
      </c>
      <c r="O518" s="23">
        <f t="shared" si="96"/>
        <v>3.0553337637684308E-13</v>
      </c>
      <c r="P518" s="22">
        <f t="shared" si="97"/>
        <v>8.4604323546955129E-11</v>
      </c>
      <c r="Q518" s="16">
        <f t="shared" si="106"/>
        <v>-9.2261784390471462</v>
      </c>
      <c r="R518" s="23">
        <f t="shared" si="99"/>
        <v>3.5527136788005009E-14</v>
      </c>
      <c r="S518" s="22">
        <f t="shared" si="100"/>
        <v>4.7151615945040248E-11</v>
      </c>
      <c r="T518" s="16">
        <f t="shared" si="107"/>
        <v>175.12498568341397</v>
      </c>
      <c r="U518" s="23">
        <f t="shared" si="101"/>
        <v>2.8421709430404007E-14</v>
      </c>
      <c r="V518" s="22">
        <f t="shared" si="102"/>
        <v>3.1658606758355745E-7</v>
      </c>
    </row>
    <row r="519" spans="1:22" x14ac:dyDescent="0.45">
      <c r="A519">
        <v>27.231000000000002</v>
      </c>
      <c r="B519">
        <v>-174.14616000000001</v>
      </c>
      <c r="C519">
        <v>54.313270000000003</v>
      </c>
      <c r="D519">
        <v>92.513499999999993</v>
      </c>
      <c r="E519" s="13">
        <v>27.231487042590199</v>
      </c>
      <c r="F519" s="13">
        <v>-174.14540138767799</v>
      </c>
      <c r="G519" s="13">
        <v>54.313617127995798</v>
      </c>
      <c r="H519" s="13">
        <f t="shared" si="103"/>
        <v>54.313617127995798</v>
      </c>
      <c r="I519" s="9">
        <v>27.231487043000001</v>
      </c>
      <c r="J519" s="9">
        <v>-174.14540138800001</v>
      </c>
      <c r="K519" s="9">
        <f t="shared" si="104"/>
        <v>-174.14540138800001</v>
      </c>
      <c r="L519" s="10">
        <v>234.31361699999999</v>
      </c>
      <c r="M519" s="3">
        <f t="shared" si="105"/>
        <v>54.313617000000022</v>
      </c>
      <c r="N519" s="15">
        <f t="shared" si="98"/>
        <v>27.231487042585076</v>
      </c>
      <c r="O519" s="23">
        <f t="shared" si="96"/>
        <v>5.1230131248303223E-12</v>
      </c>
      <c r="P519" s="22">
        <f t="shared" si="97"/>
        <v>4.149249832607893E-10</v>
      </c>
      <c r="Q519" s="16">
        <f t="shared" si="106"/>
        <v>-174.14540138768621</v>
      </c>
      <c r="R519" s="23">
        <f t="shared" si="99"/>
        <v>8.2138740253867581E-12</v>
      </c>
      <c r="S519" s="22">
        <f t="shared" si="100"/>
        <v>3.1380409382109065E-10</v>
      </c>
      <c r="T519" s="16">
        <f t="shared" si="107"/>
        <v>54.313617127992011</v>
      </c>
      <c r="U519" s="23">
        <f t="shared" si="101"/>
        <v>3.787192781601334E-12</v>
      </c>
      <c r="V519" s="22">
        <f t="shared" si="102"/>
        <v>1.2799198856328076E-7</v>
      </c>
    </row>
    <row r="520" spans="1:22" x14ac:dyDescent="0.45">
      <c r="A520">
        <v>-37.711570000000002</v>
      </c>
      <c r="B520">
        <v>96.488259999999997</v>
      </c>
      <c r="C520">
        <v>1.2880199999999999</v>
      </c>
      <c r="D520">
        <v>198.68539999999999</v>
      </c>
      <c r="E520" s="13">
        <v>-37.709780348733602</v>
      </c>
      <c r="F520" s="13">
        <v>96.488310649097002</v>
      </c>
      <c r="G520" s="13">
        <v>1.28798901924156</v>
      </c>
      <c r="H520" s="13">
        <f t="shared" si="103"/>
        <v>1.28798901924156</v>
      </c>
      <c r="I520" s="11">
        <v>-37.709780348999999</v>
      </c>
      <c r="J520" s="11">
        <v>96.488310648999999</v>
      </c>
      <c r="K520" s="9">
        <f t="shared" si="104"/>
        <v>96.488310649000027</v>
      </c>
      <c r="L520" s="12">
        <v>181.28798900000001</v>
      </c>
      <c r="M520" s="3">
        <f t="shared" si="105"/>
        <v>1.2879890000000387</v>
      </c>
      <c r="N520" s="15">
        <f t="shared" si="98"/>
        <v>-37.70978034873378</v>
      </c>
      <c r="O520" s="23">
        <f t="shared" si="96"/>
        <v>1.7763568394002505E-13</v>
      </c>
      <c r="P520" s="22">
        <f t="shared" si="97"/>
        <v>2.6621904680723674E-10</v>
      </c>
      <c r="Q520" s="16">
        <f t="shared" si="106"/>
        <v>96.488310649097002</v>
      </c>
      <c r="R520" s="23">
        <f t="shared" si="99"/>
        <v>0</v>
      </c>
      <c r="S520" s="22">
        <f t="shared" si="100"/>
        <v>9.6974872576538473E-11</v>
      </c>
      <c r="T520" s="16">
        <f t="shared" si="107"/>
        <v>1.2879890192415664</v>
      </c>
      <c r="U520" s="23">
        <f t="shared" si="101"/>
        <v>6.4392935428259079E-15</v>
      </c>
      <c r="V520" s="22">
        <f t="shared" si="102"/>
        <v>1.9241527704494388E-8</v>
      </c>
    </row>
    <row r="521" spans="1:22" x14ac:dyDescent="0.45">
      <c r="A521">
        <v>88.094620000000006</v>
      </c>
      <c r="B521">
        <v>26.098240000000001</v>
      </c>
      <c r="C521">
        <v>148.42997</v>
      </c>
      <c r="D521">
        <v>16.641500000000001</v>
      </c>
      <c r="E521" s="13">
        <v>88.094493055738596</v>
      </c>
      <c r="F521" s="13">
        <v>26.100585884429901</v>
      </c>
      <c r="G521" s="13">
        <v>148.4323145873</v>
      </c>
      <c r="H521" s="13">
        <f t="shared" si="103"/>
        <v>148.4323145873</v>
      </c>
      <c r="I521" s="9">
        <v>88.094493056000005</v>
      </c>
      <c r="J521" s="9">
        <v>26.100585884000001</v>
      </c>
      <c r="K521" s="9">
        <f t="shared" si="104"/>
        <v>26.100585883999997</v>
      </c>
      <c r="L521" s="10">
        <v>328.43231500000002</v>
      </c>
      <c r="M521" s="3">
        <f t="shared" si="105"/>
        <v>148.43231500000002</v>
      </c>
      <c r="N521" s="15">
        <f t="shared" si="98"/>
        <v>88.094493055737942</v>
      </c>
      <c r="O521" s="23">
        <f t="shared" si="96"/>
        <v>6.5369931689929217E-13</v>
      </c>
      <c r="P521" s="22">
        <f t="shared" si="97"/>
        <v>2.6206237180304015E-10</v>
      </c>
      <c r="Q521" s="16">
        <f t="shared" si="106"/>
        <v>26.10058588444096</v>
      </c>
      <c r="R521" s="23">
        <f t="shared" si="99"/>
        <v>1.1059597682105959E-11</v>
      </c>
      <c r="S521" s="22">
        <f t="shared" si="100"/>
        <v>4.4096282181271818E-10</v>
      </c>
      <c r="T521" s="16">
        <f t="shared" si="107"/>
        <v>148.43231458731091</v>
      </c>
      <c r="U521" s="23">
        <f t="shared" si="101"/>
        <v>1.0913936421275139E-11</v>
      </c>
      <c r="V521" s="22">
        <f t="shared" si="102"/>
        <v>4.1268910422331828E-7</v>
      </c>
    </row>
    <row r="522" spans="1:22" x14ac:dyDescent="0.45">
      <c r="A522">
        <v>-56.325490000000002</v>
      </c>
      <c r="B522">
        <v>-107.77484</v>
      </c>
      <c r="C522">
        <v>351.82191999999998</v>
      </c>
      <c r="D522">
        <v>22.802299999999999</v>
      </c>
      <c r="E522" s="13">
        <v>-56.325287297901802</v>
      </c>
      <c r="F522" s="13">
        <v>-107.774892428537</v>
      </c>
      <c r="G522" s="13">
        <v>-8.1780363689770503</v>
      </c>
      <c r="H522" s="13">
        <f t="shared" si="103"/>
        <v>351.82196363102292</v>
      </c>
      <c r="I522" s="11">
        <v>-56.325287297999999</v>
      </c>
      <c r="J522" s="11">
        <v>-107.774892429</v>
      </c>
      <c r="K522" s="9">
        <f t="shared" si="104"/>
        <v>-107.774892429</v>
      </c>
      <c r="L522" s="12">
        <v>171.82196400000001</v>
      </c>
      <c r="M522" s="3">
        <f t="shared" si="105"/>
        <v>351.82196399999998</v>
      </c>
      <c r="N522" s="15">
        <f t="shared" si="98"/>
        <v>-56.325287297901696</v>
      </c>
      <c r="O522" s="23">
        <f t="shared" si="96"/>
        <v>1.0658141036401503E-13</v>
      </c>
      <c r="P522" s="22">
        <f t="shared" si="97"/>
        <v>9.8303587492409861E-11</v>
      </c>
      <c r="Q522" s="16">
        <f t="shared" si="106"/>
        <v>-107.77489242853665</v>
      </c>
      <c r="R522" s="23">
        <f t="shared" si="99"/>
        <v>3.5527136788005009E-13</v>
      </c>
      <c r="S522" s="22">
        <f t="shared" si="100"/>
        <v>4.6335912884387653E-10</v>
      </c>
      <c r="T522" s="16">
        <f t="shared" si="107"/>
        <v>351.82196363102264</v>
      </c>
      <c r="U522" s="23">
        <f t="shared" si="101"/>
        <v>2.8421709430404007E-13</v>
      </c>
      <c r="V522" s="22">
        <f t="shared" si="102"/>
        <v>3.689773393489304E-7</v>
      </c>
    </row>
    <row r="523" spans="1:22" x14ac:dyDescent="0.45">
      <c r="A523">
        <v>76.131950000000003</v>
      </c>
      <c r="B523">
        <v>76.322109999999995</v>
      </c>
      <c r="C523">
        <v>48.037730000000003</v>
      </c>
      <c r="D523">
        <v>54.732100000000003</v>
      </c>
      <c r="E523" s="13">
        <v>76.132277832012406</v>
      </c>
      <c r="F523" s="13">
        <v>76.323630524145699</v>
      </c>
      <c r="G523" s="13">
        <v>48.039206202349902</v>
      </c>
      <c r="H523" s="13">
        <f t="shared" si="103"/>
        <v>48.039206202349902</v>
      </c>
      <c r="I523" s="9">
        <v>76.132277832</v>
      </c>
      <c r="J523" s="9">
        <v>76.323630523999995</v>
      </c>
      <c r="K523" s="9">
        <f t="shared" si="104"/>
        <v>76.323630524000009</v>
      </c>
      <c r="L523" s="10">
        <v>228.03920600000001</v>
      </c>
      <c r="M523" s="3">
        <f t="shared" si="105"/>
        <v>48.039206000000036</v>
      </c>
      <c r="N523" s="15">
        <f t="shared" si="98"/>
        <v>76.132277832013457</v>
      </c>
      <c r="O523" s="23">
        <f t="shared" si="96"/>
        <v>1.0516032489249483E-12</v>
      </c>
      <c r="P523" s="22">
        <f t="shared" si="97"/>
        <v>1.3457679415296298E-11</v>
      </c>
      <c r="Q523" s="16">
        <f t="shared" si="106"/>
        <v>76.323630524151213</v>
      </c>
      <c r="R523" s="23">
        <f t="shared" si="99"/>
        <v>5.5138116294983774E-12</v>
      </c>
      <c r="S523" s="22">
        <f t="shared" si="100"/>
        <v>1.5120349416974932E-10</v>
      </c>
      <c r="T523" s="16">
        <f t="shared" si="107"/>
        <v>48.039206202355196</v>
      </c>
      <c r="U523" s="23">
        <f t="shared" si="101"/>
        <v>5.2935433814127464E-12</v>
      </c>
      <c r="V523" s="22">
        <f t="shared" si="102"/>
        <v>2.0235516018374256E-7</v>
      </c>
    </row>
    <row r="524" spans="1:22" x14ac:dyDescent="0.45">
      <c r="A524">
        <v>-17.751480000000001</v>
      </c>
      <c r="B524">
        <v>140.92678000000001</v>
      </c>
      <c r="C524">
        <v>22.109079999999999</v>
      </c>
      <c r="D524">
        <v>26.3157</v>
      </c>
      <c r="E524" s="13">
        <v>-17.751259714328199</v>
      </c>
      <c r="F524" s="13">
        <v>140.92687339215399</v>
      </c>
      <c r="G524" s="13">
        <v>22.109051525939901</v>
      </c>
      <c r="H524" s="13">
        <f t="shared" si="103"/>
        <v>22.109051525939901</v>
      </c>
      <c r="I524" s="11">
        <v>-17.751259714</v>
      </c>
      <c r="J524" s="11">
        <v>140.926873392</v>
      </c>
      <c r="K524" s="9">
        <f t="shared" si="104"/>
        <v>140.926873392</v>
      </c>
      <c r="L524" s="12">
        <v>202.10905199999999</v>
      </c>
      <c r="M524" s="3">
        <f t="shared" si="105"/>
        <v>22.10905200000002</v>
      </c>
      <c r="N524" s="15">
        <f t="shared" si="98"/>
        <v>-17.751259714328565</v>
      </c>
      <c r="O524" s="23">
        <f t="shared" si="96"/>
        <v>3.659295089164516E-13</v>
      </c>
      <c r="P524" s="22">
        <f t="shared" si="97"/>
        <v>3.2856561915650673E-10</v>
      </c>
      <c r="Q524" s="16">
        <f t="shared" si="106"/>
        <v>140.92687339215365</v>
      </c>
      <c r="R524" s="23">
        <f t="shared" si="99"/>
        <v>3.4106051316484809E-13</v>
      </c>
      <c r="S524" s="22">
        <f t="shared" si="100"/>
        <v>1.5364776118076406E-10</v>
      </c>
      <c r="T524" s="16">
        <f t="shared" si="107"/>
        <v>22.109051525939979</v>
      </c>
      <c r="U524" s="23">
        <f t="shared" si="101"/>
        <v>7.815970093361102E-14</v>
      </c>
      <c r="V524" s="22">
        <f t="shared" si="102"/>
        <v>4.7406004100025712E-7</v>
      </c>
    </row>
    <row r="525" spans="1:22" x14ac:dyDescent="0.45">
      <c r="A525">
        <v>-25.518599999999999</v>
      </c>
      <c r="B525">
        <v>102.41481</v>
      </c>
      <c r="C525">
        <v>250.43512999999999</v>
      </c>
      <c r="D525">
        <v>287.31920000000002</v>
      </c>
      <c r="E525" s="13">
        <v>-25.519468499502899</v>
      </c>
      <c r="F525" s="13">
        <v>102.412116743303</v>
      </c>
      <c r="G525" s="13">
        <v>-109.56370971560099</v>
      </c>
      <c r="H525" s="13">
        <f t="shared" si="103"/>
        <v>250.43629028439901</v>
      </c>
      <c r="I525" s="9">
        <v>-25.519468499999999</v>
      </c>
      <c r="J525" s="9">
        <v>102.412116743</v>
      </c>
      <c r="K525" s="9">
        <f t="shared" si="104"/>
        <v>102.41211674300001</v>
      </c>
      <c r="L525" s="10">
        <v>70.43629</v>
      </c>
      <c r="M525" s="3">
        <f t="shared" si="105"/>
        <v>250.43628999999999</v>
      </c>
      <c r="N525" s="15">
        <f t="shared" si="98"/>
        <v>-25.519468499502871</v>
      </c>
      <c r="O525" s="23">
        <f t="shared" si="96"/>
        <v>2.8421709430404007E-14</v>
      </c>
      <c r="P525" s="22">
        <f t="shared" si="97"/>
        <v>4.9712767236087529E-10</v>
      </c>
      <c r="Q525" s="16">
        <f t="shared" si="106"/>
        <v>102.41211674330276</v>
      </c>
      <c r="R525" s="23">
        <f t="shared" si="99"/>
        <v>2.4158453015843406E-13</v>
      </c>
      <c r="S525" s="22">
        <f t="shared" si="100"/>
        <v>3.0274804885266349E-10</v>
      </c>
      <c r="T525" s="16">
        <f t="shared" si="107"/>
        <v>250.43629028439867</v>
      </c>
      <c r="U525" s="23">
        <f t="shared" si="101"/>
        <v>3.4106051316484809E-13</v>
      </c>
      <c r="V525" s="22">
        <f t="shared" si="102"/>
        <v>2.8439868060559093E-7</v>
      </c>
    </row>
    <row r="526" spans="1:22" x14ac:dyDescent="0.45">
      <c r="A526">
        <v>10.159509999999999</v>
      </c>
      <c r="B526">
        <v>149.08867000000001</v>
      </c>
      <c r="C526">
        <v>22.20468</v>
      </c>
      <c r="D526">
        <v>249.56829999999999</v>
      </c>
      <c r="E526" s="13">
        <v>10.161598984244</v>
      </c>
      <c r="F526" s="13">
        <v>149.089530666732</v>
      </c>
      <c r="G526" s="13">
        <v>22.204831827743899</v>
      </c>
      <c r="H526" s="13">
        <f t="shared" si="103"/>
        <v>22.204831827743899</v>
      </c>
      <c r="I526" s="11">
        <v>10.161598983999999</v>
      </c>
      <c r="J526" s="11">
        <v>149.08953066699999</v>
      </c>
      <c r="K526" s="9">
        <f t="shared" si="104"/>
        <v>149.08953066699996</v>
      </c>
      <c r="L526" s="12">
        <v>202.20483200000001</v>
      </c>
      <c r="M526" s="3">
        <f t="shared" si="105"/>
        <v>22.20483200000001</v>
      </c>
      <c r="N526" s="15">
        <f t="shared" si="98"/>
        <v>10.16159898423893</v>
      </c>
      <c r="O526" s="23">
        <f t="shared" si="96"/>
        <v>5.0697224196483148E-12</v>
      </c>
      <c r="P526" s="22">
        <f t="shared" si="97"/>
        <v>2.3893065304037009E-10</v>
      </c>
      <c r="Q526" s="16">
        <f t="shared" si="106"/>
        <v>149.08953066673041</v>
      </c>
      <c r="R526" s="23">
        <f t="shared" si="99"/>
        <v>1.5916157281026244E-12</v>
      </c>
      <c r="S526" s="22">
        <f t="shared" si="100"/>
        <v>2.6955149223795161E-10</v>
      </c>
      <c r="T526" s="16">
        <f t="shared" si="107"/>
        <v>22.204831827743529</v>
      </c>
      <c r="U526" s="23">
        <f t="shared" si="101"/>
        <v>3.694822225952521E-13</v>
      </c>
      <c r="V526" s="22">
        <f t="shared" si="102"/>
        <v>1.7225648107910274E-7</v>
      </c>
    </row>
    <row r="527" spans="1:22" x14ac:dyDescent="0.45">
      <c r="A527">
        <v>6.9403699999999997</v>
      </c>
      <c r="B527">
        <v>147.22119000000001</v>
      </c>
      <c r="C527">
        <v>186.31595999999999</v>
      </c>
      <c r="D527">
        <v>102.48309999999999</v>
      </c>
      <c r="E527" s="13">
        <v>6.93944893466852</v>
      </c>
      <c r="F527" s="13">
        <v>147.22108797894199</v>
      </c>
      <c r="G527" s="13">
        <v>-173.68405232703299</v>
      </c>
      <c r="H527" s="13">
        <f t="shared" si="103"/>
        <v>186.31594767296701</v>
      </c>
      <c r="I527" s="9">
        <v>6.9394489349999997</v>
      </c>
      <c r="J527" s="9">
        <v>147.221087979</v>
      </c>
      <c r="K527" s="9">
        <f t="shared" si="104"/>
        <v>147.221087979</v>
      </c>
      <c r="L527" s="10">
        <v>6.3159479999999997</v>
      </c>
      <c r="M527" s="3">
        <f t="shared" si="105"/>
        <v>186.31594799999999</v>
      </c>
      <c r="N527" s="15">
        <f t="shared" si="98"/>
        <v>6.9394489346723693</v>
      </c>
      <c r="O527" s="23">
        <f t="shared" si="96"/>
        <v>3.8493652709803428E-12</v>
      </c>
      <c r="P527" s="22">
        <f t="shared" si="97"/>
        <v>3.276303672805625E-10</v>
      </c>
      <c r="Q527" s="16">
        <f t="shared" si="106"/>
        <v>147.22108797894236</v>
      </c>
      <c r="R527" s="23">
        <f t="shared" si="99"/>
        <v>3.694822225952521E-13</v>
      </c>
      <c r="S527" s="22">
        <f t="shared" si="100"/>
        <v>5.7639226724859327E-11</v>
      </c>
      <c r="T527" s="16">
        <f t="shared" si="107"/>
        <v>186.31594767296718</v>
      </c>
      <c r="U527" s="23">
        <f t="shared" si="101"/>
        <v>1.7053025658242404E-13</v>
      </c>
      <c r="V527" s="22">
        <f t="shared" si="102"/>
        <v>3.2703280794521561E-7</v>
      </c>
    </row>
    <row r="528" spans="1:22" x14ac:dyDescent="0.45">
      <c r="A528">
        <v>-61.764209999999999</v>
      </c>
      <c r="B528">
        <v>152.63578000000001</v>
      </c>
      <c r="C528">
        <v>89.417590000000004</v>
      </c>
      <c r="D528">
        <v>112.4393</v>
      </c>
      <c r="E528" s="13">
        <v>-61.764199727696003</v>
      </c>
      <c r="F528" s="13">
        <v>152.63790931084401</v>
      </c>
      <c r="G528" s="13">
        <v>89.415714059989995</v>
      </c>
      <c r="H528" s="13">
        <f t="shared" si="103"/>
        <v>89.415714059989995</v>
      </c>
      <c r="I528" s="11">
        <v>-61.764199728000001</v>
      </c>
      <c r="J528" s="11">
        <v>152.63790931099999</v>
      </c>
      <c r="K528" s="9">
        <f t="shared" si="104"/>
        <v>152.63790931099999</v>
      </c>
      <c r="L528" s="12">
        <v>269.41571399999998</v>
      </c>
      <c r="M528" s="3">
        <f t="shared" si="105"/>
        <v>89.41571399999998</v>
      </c>
      <c r="N528" s="15">
        <f t="shared" si="98"/>
        <v>-61.764199727695939</v>
      </c>
      <c r="O528" s="23">
        <f t="shared" si="96"/>
        <v>6.3948846218409017E-14</v>
      </c>
      <c r="P528" s="22">
        <f t="shared" si="97"/>
        <v>3.0406255291381967E-10</v>
      </c>
      <c r="Q528" s="16">
        <f t="shared" si="106"/>
        <v>152.6379093108485</v>
      </c>
      <c r="R528" s="23">
        <f t="shared" si="99"/>
        <v>4.4906300900038332E-12</v>
      </c>
      <c r="S528" s="22">
        <f t="shared" si="100"/>
        <v>1.5148771126405336E-10</v>
      </c>
      <c r="T528" s="16">
        <f t="shared" si="107"/>
        <v>89.415714059985774</v>
      </c>
      <c r="U528" s="23">
        <f t="shared" si="101"/>
        <v>4.2206238504149951E-12</v>
      </c>
      <c r="V528" s="22">
        <f t="shared" si="102"/>
        <v>5.9985794109707058E-8</v>
      </c>
    </row>
    <row r="529" spans="1:22" x14ac:dyDescent="0.45">
      <c r="A529">
        <v>79.593010000000007</v>
      </c>
      <c r="B529">
        <v>-28.278780000000001</v>
      </c>
      <c r="C529">
        <v>256.24286000000001</v>
      </c>
      <c r="D529">
        <v>188.01929999999999</v>
      </c>
      <c r="E529" s="13">
        <v>79.592609430173596</v>
      </c>
      <c r="F529" s="13">
        <v>-28.287832134293801</v>
      </c>
      <c r="G529" s="13">
        <v>-103.76604321590401</v>
      </c>
      <c r="H529" s="13">
        <f t="shared" si="103"/>
        <v>256.23395678409599</v>
      </c>
      <c r="I529" s="9">
        <v>79.592609429999996</v>
      </c>
      <c r="J529" s="9">
        <v>-28.287832133999999</v>
      </c>
      <c r="K529" s="9">
        <f t="shared" si="104"/>
        <v>-28.287832133999984</v>
      </c>
      <c r="L529" s="10">
        <v>76.233957000000004</v>
      </c>
      <c r="M529" s="3">
        <f t="shared" si="105"/>
        <v>256.23395700000003</v>
      </c>
      <c r="N529" s="15">
        <f t="shared" si="98"/>
        <v>79.592609430171763</v>
      </c>
      <c r="O529" s="23">
        <f t="shared" si="96"/>
        <v>1.8332002582610585E-12</v>
      </c>
      <c r="P529" s="22">
        <f t="shared" si="97"/>
        <v>1.7176660094264662E-10</v>
      </c>
      <c r="Q529" s="16">
        <f t="shared" si="106"/>
        <v>-28.287832134332348</v>
      </c>
      <c r="R529" s="23">
        <f t="shared" si="99"/>
        <v>3.8546943414985435E-11</v>
      </c>
      <c r="S529" s="22">
        <f t="shared" si="100"/>
        <v>3.3236347007914446E-10</v>
      </c>
      <c r="T529" s="16">
        <f t="shared" si="107"/>
        <v>256.2339567840578</v>
      </c>
      <c r="U529" s="23">
        <f t="shared" si="101"/>
        <v>3.8198777474462986E-11</v>
      </c>
      <c r="V529" s="22">
        <f t="shared" si="102"/>
        <v>2.1594223653664812E-7</v>
      </c>
    </row>
    <row r="530" spans="1:22" x14ac:dyDescent="0.45">
      <c r="A530">
        <v>-79.142229999999998</v>
      </c>
      <c r="B530">
        <v>-164.06370999999999</v>
      </c>
      <c r="C530">
        <v>111.26199</v>
      </c>
      <c r="D530">
        <v>114.4122</v>
      </c>
      <c r="E530" s="13">
        <v>-79.142601549990204</v>
      </c>
      <c r="F530" s="13">
        <v>-164.05864151820899</v>
      </c>
      <c r="G530" s="13">
        <v>111.257012251991</v>
      </c>
      <c r="H530" s="13">
        <f t="shared" si="103"/>
        <v>111.257012251991</v>
      </c>
      <c r="I530" s="11">
        <v>-79.142601549999995</v>
      </c>
      <c r="J530" s="11">
        <v>-164.058641518</v>
      </c>
      <c r="K530" s="9">
        <f t="shared" si="104"/>
        <v>-164.058641518</v>
      </c>
      <c r="L530" s="12">
        <v>291.25701199999997</v>
      </c>
      <c r="M530" s="3">
        <f t="shared" si="105"/>
        <v>111.25701199999997</v>
      </c>
      <c r="N530" s="15">
        <f t="shared" si="98"/>
        <v>-79.142601549991682</v>
      </c>
      <c r="O530" s="23">
        <f t="shared" si="96"/>
        <v>1.4779288903810084E-12</v>
      </c>
      <c r="P530" s="22">
        <f t="shared" si="97"/>
        <v>8.3133500083931722E-12</v>
      </c>
      <c r="Q530" s="16">
        <f t="shared" si="106"/>
        <v>-164.05864151818807</v>
      </c>
      <c r="R530" s="23">
        <f t="shared" si="99"/>
        <v>2.0918378140777349E-11</v>
      </c>
      <c r="S530" s="22">
        <f t="shared" si="100"/>
        <v>1.8806645130098332E-10</v>
      </c>
      <c r="T530" s="16">
        <f t="shared" si="107"/>
        <v>111.25701225196974</v>
      </c>
      <c r="U530" s="23">
        <f t="shared" si="101"/>
        <v>2.1259438653942198E-11</v>
      </c>
      <c r="V530" s="22">
        <f t="shared" si="102"/>
        <v>2.5196976594088483E-7</v>
      </c>
    </row>
    <row r="531" spans="1:22" x14ac:dyDescent="0.45">
      <c r="A531">
        <v>43.785049999999998</v>
      </c>
      <c r="B531">
        <v>80.855099999999993</v>
      </c>
      <c r="C531">
        <v>54.930970000000002</v>
      </c>
      <c r="D531">
        <v>125.02719999999999</v>
      </c>
      <c r="E531" s="13">
        <v>43.785696534683701</v>
      </c>
      <c r="F531" s="13">
        <v>80.856371267445695</v>
      </c>
      <c r="G531" s="13">
        <v>54.931849664819502</v>
      </c>
      <c r="H531" s="13">
        <f t="shared" si="103"/>
        <v>54.931849664819502</v>
      </c>
      <c r="I531" s="9">
        <v>43.785696535</v>
      </c>
      <c r="J531" s="9">
        <v>80.856371267</v>
      </c>
      <c r="K531" s="9">
        <f t="shared" si="104"/>
        <v>80.856371266999986</v>
      </c>
      <c r="L531" s="10">
        <v>234.93185</v>
      </c>
      <c r="M531" s="3">
        <f t="shared" si="105"/>
        <v>54.931849999999997</v>
      </c>
      <c r="N531" s="15">
        <f t="shared" si="98"/>
        <v>43.78569653468378</v>
      </c>
      <c r="O531" s="23">
        <f t="shared" si="96"/>
        <v>7.815970093361102E-14</v>
      </c>
      <c r="P531" s="22">
        <f t="shared" si="97"/>
        <v>3.1621993912267499E-10</v>
      </c>
      <c r="Q531" s="16">
        <f t="shared" si="106"/>
        <v>80.856371267445809</v>
      </c>
      <c r="R531" s="23">
        <f t="shared" si="99"/>
        <v>1.1368683772161603E-13</v>
      </c>
      <c r="S531" s="22">
        <f t="shared" si="100"/>
        <v>4.4582293412531726E-10</v>
      </c>
      <c r="T531" s="16">
        <f t="shared" si="107"/>
        <v>54.931849664819566</v>
      </c>
      <c r="U531" s="23">
        <f t="shared" si="101"/>
        <v>6.3948846218409017E-14</v>
      </c>
      <c r="V531" s="22">
        <f t="shared" si="102"/>
        <v>3.351804309659201E-7</v>
      </c>
    </row>
    <row r="532" spans="1:22" x14ac:dyDescent="0.45">
      <c r="A532">
        <v>22.29635</v>
      </c>
      <c r="B532">
        <v>128.5907</v>
      </c>
      <c r="C532">
        <v>284.13648999999998</v>
      </c>
      <c r="D532">
        <v>69.067899999999995</v>
      </c>
      <c r="E532" s="13">
        <v>22.296502333041001</v>
      </c>
      <c r="F532" s="13">
        <v>128.59005003571201</v>
      </c>
      <c r="G532" s="13">
        <v>-75.863756595442396</v>
      </c>
      <c r="H532" s="13">
        <f t="shared" si="103"/>
        <v>284.1362434045576</v>
      </c>
      <c r="I532" s="11">
        <v>22.296502332999999</v>
      </c>
      <c r="J532" s="11">
        <v>128.59005003600001</v>
      </c>
      <c r="K532" s="9">
        <f t="shared" si="104"/>
        <v>128.59005003599998</v>
      </c>
      <c r="L532" s="12">
        <v>104.13624299999999</v>
      </c>
      <c r="M532" s="3">
        <f t="shared" si="105"/>
        <v>284.13624299999998</v>
      </c>
      <c r="N532" s="15">
        <f t="shared" si="98"/>
        <v>22.296502333037335</v>
      </c>
      <c r="O532" s="23">
        <f t="shared" si="96"/>
        <v>3.666400516522117E-12</v>
      </c>
      <c r="P532" s="22">
        <f t="shared" si="97"/>
        <v>3.7335468050514464E-11</v>
      </c>
      <c r="Q532" s="16">
        <f t="shared" si="106"/>
        <v>128.59005003572815</v>
      </c>
      <c r="R532" s="23">
        <f t="shared" si="99"/>
        <v>1.6143530956469476E-11</v>
      </c>
      <c r="S532" s="22">
        <f t="shared" si="100"/>
        <v>2.7182522899238393E-10</v>
      </c>
      <c r="T532" s="16">
        <f t="shared" si="107"/>
        <v>284.13624340456323</v>
      </c>
      <c r="U532" s="23">
        <f t="shared" si="101"/>
        <v>5.6274984672199935E-12</v>
      </c>
      <c r="V532" s="22">
        <f t="shared" si="102"/>
        <v>4.0456325223203748E-7</v>
      </c>
    </row>
    <row r="533" spans="1:22" x14ac:dyDescent="0.45">
      <c r="A533">
        <v>-32.809049999999999</v>
      </c>
      <c r="B533">
        <v>-154.67445000000001</v>
      </c>
      <c r="C533">
        <v>77.064390000000003</v>
      </c>
      <c r="D533">
        <v>7.2950999999999997</v>
      </c>
      <c r="E533" s="13">
        <v>-32.809035274679601</v>
      </c>
      <c r="F533" s="13">
        <v>-154.674374082627</v>
      </c>
      <c r="G533" s="13">
        <v>77.064348864864996</v>
      </c>
      <c r="H533" s="13">
        <f t="shared" si="103"/>
        <v>77.064348864864996</v>
      </c>
      <c r="I533" s="9">
        <v>-32.809035274999999</v>
      </c>
      <c r="J533" s="9">
        <v>-154.674374083</v>
      </c>
      <c r="K533" s="9">
        <f t="shared" si="104"/>
        <v>-154.674374083</v>
      </c>
      <c r="L533" s="10">
        <v>257.06434899999999</v>
      </c>
      <c r="M533" s="3">
        <f t="shared" si="105"/>
        <v>77.064348999999993</v>
      </c>
      <c r="N533" s="15">
        <f t="shared" si="98"/>
        <v>-32.809035274682294</v>
      </c>
      <c r="O533" s="23">
        <f t="shared" si="96"/>
        <v>2.6929569685307797E-12</v>
      </c>
      <c r="P533" s="22">
        <f t="shared" si="97"/>
        <v>3.177049734404136E-10</v>
      </c>
      <c r="Q533" s="16">
        <f t="shared" si="106"/>
        <v>-154.67437408264135</v>
      </c>
      <c r="R533" s="23">
        <f t="shared" si="99"/>
        <v>1.4352963262354024E-11</v>
      </c>
      <c r="S533" s="22">
        <f t="shared" si="100"/>
        <v>3.5865355130226817E-10</v>
      </c>
      <c r="T533" s="16">
        <f t="shared" si="107"/>
        <v>77.064348864872613</v>
      </c>
      <c r="U533" s="23">
        <f t="shared" si="101"/>
        <v>7.617018127348274E-12</v>
      </c>
      <c r="V533" s="22">
        <f t="shared" si="102"/>
        <v>1.3512737950804876E-7</v>
      </c>
    </row>
    <row r="534" spans="1:22" x14ac:dyDescent="0.45">
      <c r="A534">
        <v>-21.576830000000001</v>
      </c>
      <c r="B534">
        <v>-140.85884999999999</v>
      </c>
      <c r="C534">
        <v>344.36299000000002</v>
      </c>
      <c r="D534">
        <v>42.905700000000003</v>
      </c>
      <c r="E534" s="13">
        <v>-21.576456842590598</v>
      </c>
      <c r="F534" s="13">
        <v>-140.858961666845</v>
      </c>
      <c r="G534" s="13">
        <v>-15.636968935020301</v>
      </c>
      <c r="H534" s="13">
        <f t="shared" si="103"/>
        <v>344.36303106497968</v>
      </c>
      <c r="I534" s="11">
        <v>-21.576456842999999</v>
      </c>
      <c r="J534" s="11">
        <v>-140.85896166699999</v>
      </c>
      <c r="K534" s="9">
        <f t="shared" si="104"/>
        <v>-140.85896166699999</v>
      </c>
      <c r="L534" s="12">
        <v>164.36303100000001</v>
      </c>
      <c r="M534" s="3">
        <f t="shared" si="105"/>
        <v>344.36303099999998</v>
      </c>
      <c r="N534" s="15">
        <f t="shared" si="98"/>
        <v>-21.576456842591153</v>
      </c>
      <c r="O534" s="23">
        <f t="shared" si="96"/>
        <v>5.5422333389287814E-13</v>
      </c>
      <c r="P534" s="22">
        <f t="shared" si="97"/>
        <v>4.0884629015636165E-10</v>
      </c>
      <c r="Q534" s="16">
        <f t="shared" si="106"/>
        <v>-140.85896166684472</v>
      </c>
      <c r="R534" s="23">
        <f t="shared" si="99"/>
        <v>2.8421709430404007E-13</v>
      </c>
      <c r="S534" s="22">
        <f t="shared" si="100"/>
        <v>1.5526779861829709E-10</v>
      </c>
      <c r="T534" s="16">
        <f t="shared" si="107"/>
        <v>344.36303106497922</v>
      </c>
      <c r="U534" s="23">
        <f t="shared" si="101"/>
        <v>4.5474735088646412E-13</v>
      </c>
      <c r="V534" s="22">
        <f t="shared" si="102"/>
        <v>6.4979246872098884E-8</v>
      </c>
    </row>
    <row r="535" spans="1:22" x14ac:dyDescent="0.45">
      <c r="A535">
        <v>72.056370000000001</v>
      </c>
      <c r="B535">
        <v>-152.77322000000001</v>
      </c>
      <c r="C535">
        <v>349.06916000000001</v>
      </c>
      <c r="D535">
        <v>294.95620000000002</v>
      </c>
      <c r="E535" s="13">
        <v>72.058965322293503</v>
      </c>
      <c r="F535" s="13">
        <v>-152.77484613060801</v>
      </c>
      <c r="G535" s="13">
        <v>-10.9323870470913</v>
      </c>
      <c r="H535" s="13">
        <f t="shared" si="103"/>
        <v>349.06761295290869</v>
      </c>
      <c r="I535" s="9">
        <v>72.058965322000006</v>
      </c>
      <c r="J535" s="9">
        <v>-152.774846131</v>
      </c>
      <c r="K535" s="9">
        <f t="shared" si="104"/>
        <v>-152.774846131</v>
      </c>
      <c r="L535" s="10">
        <v>169.06761299999999</v>
      </c>
      <c r="M535" s="3">
        <f t="shared" si="105"/>
        <v>349.06761299999999</v>
      </c>
      <c r="N535" s="15">
        <f t="shared" si="98"/>
        <v>72.058965322300011</v>
      </c>
      <c r="O535" s="23">
        <f t="shared" si="96"/>
        <v>6.5085714595625177E-12</v>
      </c>
      <c r="P535" s="22">
        <f t="shared" si="97"/>
        <v>3.000053538926295E-10</v>
      </c>
      <c r="Q535" s="16">
        <f t="shared" si="106"/>
        <v>-152.77484613061188</v>
      </c>
      <c r="R535" s="23">
        <f t="shared" si="99"/>
        <v>3.865352482534945E-12</v>
      </c>
      <c r="S535" s="22">
        <f t="shared" si="100"/>
        <v>3.8812686398159713E-10</v>
      </c>
      <c r="T535" s="16">
        <f t="shared" si="107"/>
        <v>349.06761295290437</v>
      </c>
      <c r="U535" s="23">
        <f t="shared" si="101"/>
        <v>4.3200998334214091E-12</v>
      </c>
      <c r="V535" s="22">
        <f t="shared" si="102"/>
        <v>4.7095625177462352E-8</v>
      </c>
    </row>
    <row r="536" spans="1:22" x14ac:dyDescent="0.45">
      <c r="A536">
        <v>-82.838620000000006</v>
      </c>
      <c r="B536">
        <v>-106.94711</v>
      </c>
      <c r="C536">
        <v>183.34251</v>
      </c>
      <c r="D536">
        <v>219.79079999999999</v>
      </c>
      <c r="E536" s="13">
        <v>-82.840584754608201</v>
      </c>
      <c r="F536" s="13">
        <v>-106.948030623439</v>
      </c>
      <c r="G536" s="13">
        <v>-176.65657655641701</v>
      </c>
      <c r="H536" s="13">
        <f t="shared" si="103"/>
        <v>183.34342344358299</v>
      </c>
      <c r="I536" s="11">
        <v>-82.840584754999995</v>
      </c>
      <c r="J536" s="11">
        <v>-106.94803062299999</v>
      </c>
      <c r="K536" s="9">
        <f t="shared" si="104"/>
        <v>-106.94803062299999</v>
      </c>
      <c r="L536" s="12">
        <v>3.343423</v>
      </c>
      <c r="M536" s="3">
        <f t="shared" si="105"/>
        <v>183.343423</v>
      </c>
      <c r="N536" s="15">
        <f t="shared" si="98"/>
        <v>-82.840584754616543</v>
      </c>
      <c r="O536" s="23">
        <f t="shared" si="96"/>
        <v>8.3417717178235762E-12</v>
      </c>
      <c r="P536" s="22">
        <f t="shared" si="97"/>
        <v>3.8345149278029567E-10</v>
      </c>
      <c r="Q536" s="16">
        <f t="shared" si="106"/>
        <v>-106.94803062344332</v>
      </c>
      <c r="R536" s="23">
        <f t="shared" si="99"/>
        <v>4.3200998334214091E-12</v>
      </c>
      <c r="S536" s="22">
        <f t="shared" si="100"/>
        <v>4.4332182369544171E-10</v>
      </c>
      <c r="T536" s="16">
        <f t="shared" si="107"/>
        <v>183.34342344358723</v>
      </c>
      <c r="U536" s="23">
        <f t="shared" si="101"/>
        <v>4.2348347051301971E-12</v>
      </c>
      <c r="V536" s="22">
        <f t="shared" si="102"/>
        <v>4.4358722561810282E-7</v>
      </c>
    </row>
    <row r="537" spans="1:22" x14ac:dyDescent="0.45">
      <c r="A537">
        <v>-80.31738</v>
      </c>
      <c r="B537">
        <v>-159.21198999999999</v>
      </c>
      <c r="C537">
        <v>231.74418</v>
      </c>
      <c r="D537">
        <v>75.439899999999994</v>
      </c>
      <c r="E537" s="13">
        <v>-80.317798305030294</v>
      </c>
      <c r="F537" s="13">
        <v>-159.215143845157</v>
      </c>
      <c r="G537" s="13">
        <v>-128.25271108090399</v>
      </c>
      <c r="H537" s="13">
        <f t="shared" si="103"/>
        <v>231.74728891909601</v>
      </c>
      <c r="I537" s="9">
        <v>-80.317798304999997</v>
      </c>
      <c r="J537" s="9">
        <v>-159.215143845</v>
      </c>
      <c r="K537" s="9">
        <f t="shared" si="104"/>
        <v>-159.215143845</v>
      </c>
      <c r="L537" s="10">
        <v>51.747289000000002</v>
      </c>
      <c r="M537" s="3">
        <f t="shared" si="105"/>
        <v>231.74728899999999</v>
      </c>
      <c r="N537" s="15">
        <f t="shared" si="98"/>
        <v>-80.317798305031999</v>
      </c>
      <c r="O537" s="23">
        <f t="shared" si="96"/>
        <v>1.7053025658242404E-12</v>
      </c>
      <c r="P537" s="22">
        <f t="shared" si="97"/>
        <v>3.2002844818634912E-11</v>
      </c>
      <c r="Q537" s="16">
        <f t="shared" si="106"/>
        <v>-159.21514384517019</v>
      </c>
      <c r="R537" s="23">
        <f t="shared" si="99"/>
        <v>1.3187673175707459E-11</v>
      </c>
      <c r="S537" s="22">
        <f t="shared" si="100"/>
        <v>1.701891960692592E-10</v>
      </c>
      <c r="T537" s="16">
        <f t="shared" si="107"/>
        <v>231.74728891910902</v>
      </c>
      <c r="U537" s="23">
        <f t="shared" si="101"/>
        <v>1.3017142919125035E-11</v>
      </c>
      <c r="V537" s="22">
        <f t="shared" si="102"/>
        <v>8.0890970366453985E-8</v>
      </c>
    </row>
    <row r="538" spans="1:22" x14ac:dyDescent="0.45">
      <c r="A538">
        <v>-59.436450000000001</v>
      </c>
      <c r="B538">
        <v>137.40592000000001</v>
      </c>
      <c r="C538">
        <v>356.06178</v>
      </c>
      <c r="D538">
        <v>153.09970000000001</v>
      </c>
      <c r="E538" s="13">
        <v>-59.435078953573402</v>
      </c>
      <c r="F538" s="13">
        <v>137.4057347088</v>
      </c>
      <c r="G538" s="13">
        <v>-3.9380604532323602</v>
      </c>
      <c r="H538" s="13">
        <f t="shared" si="103"/>
        <v>356.06193954676763</v>
      </c>
      <c r="I538" s="11">
        <v>-59.435078953999998</v>
      </c>
      <c r="J538" s="11">
        <v>137.405734709</v>
      </c>
      <c r="K538" s="9">
        <f t="shared" si="104"/>
        <v>137.405734709</v>
      </c>
      <c r="L538" s="12">
        <v>176.06193999999999</v>
      </c>
      <c r="M538" s="3">
        <f t="shared" si="105"/>
        <v>356.06193999999999</v>
      </c>
      <c r="N538" s="15">
        <f t="shared" si="98"/>
        <v>-59.435078953572535</v>
      </c>
      <c r="O538" s="23">
        <f t="shared" si="96"/>
        <v>8.6686213762732223E-13</v>
      </c>
      <c r="P538" s="22">
        <f t="shared" si="97"/>
        <v>4.2746250983327627E-10</v>
      </c>
      <c r="Q538" s="16">
        <f t="shared" si="106"/>
        <v>137.4057347088002</v>
      </c>
      <c r="R538" s="23">
        <f t="shared" si="99"/>
        <v>1.9895196601282805E-13</v>
      </c>
      <c r="S538" s="22">
        <f t="shared" si="100"/>
        <v>1.9980461729574017E-10</v>
      </c>
      <c r="T538" s="16">
        <f t="shared" si="107"/>
        <v>356.06193954676735</v>
      </c>
      <c r="U538" s="23">
        <f t="shared" si="101"/>
        <v>2.8421709430404007E-13</v>
      </c>
      <c r="V538" s="22">
        <f t="shared" si="102"/>
        <v>4.5323264430408017E-7</v>
      </c>
    </row>
    <row r="539" spans="1:22" x14ac:dyDescent="0.45">
      <c r="A539">
        <v>-69.068560000000005</v>
      </c>
      <c r="B539">
        <v>155.59643</v>
      </c>
      <c r="C539">
        <v>294.31029999999998</v>
      </c>
      <c r="D539">
        <v>275.0976</v>
      </c>
      <c r="E539" s="13">
        <v>-69.067544630131707</v>
      </c>
      <c r="F539" s="13">
        <v>155.59014469981699</v>
      </c>
      <c r="G539" s="13">
        <v>-65.683829495595205</v>
      </c>
      <c r="H539" s="13">
        <f t="shared" si="103"/>
        <v>294.31617050440479</v>
      </c>
      <c r="I539" s="9">
        <v>-69.06754463</v>
      </c>
      <c r="J539" s="9">
        <v>155.5901447</v>
      </c>
      <c r="K539" s="9">
        <f t="shared" si="104"/>
        <v>155.5901447</v>
      </c>
      <c r="L539" s="10">
        <v>114.316171</v>
      </c>
      <c r="M539" s="3">
        <f t="shared" si="105"/>
        <v>294.316171</v>
      </c>
      <c r="N539" s="15">
        <f t="shared" si="98"/>
        <v>-69.06754463012868</v>
      </c>
      <c r="O539" s="23">
        <f t="shared" si="96"/>
        <v>3.0269120543380268E-12</v>
      </c>
      <c r="P539" s="22">
        <f t="shared" si="97"/>
        <v>1.2867928944615414E-10</v>
      </c>
      <c r="Q539" s="16">
        <f t="shared" si="106"/>
        <v>155.59014469979923</v>
      </c>
      <c r="R539" s="23">
        <f t="shared" si="99"/>
        <v>1.7763568394002505E-11</v>
      </c>
      <c r="S539" s="22">
        <f t="shared" si="100"/>
        <v>2.0077095541637391E-10</v>
      </c>
      <c r="T539" s="16">
        <f t="shared" si="107"/>
        <v>294.31617050442151</v>
      </c>
      <c r="U539" s="23">
        <f t="shared" si="101"/>
        <v>1.6711965145077556E-11</v>
      </c>
      <c r="V539" s="22">
        <f t="shared" si="102"/>
        <v>4.9557849024495226E-7</v>
      </c>
    </row>
    <row r="540" spans="1:22" x14ac:dyDescent="0.45">
      <c r="A540">
        <v>-53.89425</v>
      </c>
      <c r="B540">
        <v>-149.10196999999999</v>
      </c>
      <c r="C540">
        <v>302.54115999999999</v>
      </c>
      <c r="D540">
        <v>117.9924</v>
      </c>
      <c r="E540" s="13">
        <v>-53.893679756712302</v>
      </c>
      <c r="F540" s="13">
        <v>-149.10348299122501</v>
      </c>
      <c r="G540" s="13">
        <v>-57.457617612301398</v>
      </c>
      <c r="H540" s="13">
        <f t="shared" si="103"/>
        <v>302.54238238769858</v>
      </c>
      <c r="I540" s="11">
        <v>-53.893679757000001</v>
      </c>
      <c r="J540" s="11">
        <v>-149.10348299099999</v>
      </c>
      <c r="K540" s="9">
        <f t="shared" si="104"/>
        <v>-149.10348299099999</v>
      </c>
      <c r="L540" s="12">
        <v>122.542382</v>
      </c>
      <c r="M540" s="3">
        <f t="shared" si="105"/>
        <v>302.54238199999998</v>
      </c>
      <c r="N540" s="15">
        <f t="shared" si="98"/>
        <v>-53.893679756711791</v>
      </c>
      <c r="O540" s="23">
        <f t="shared" si="96"/>
        <v>5.1159076974727213E-13</v>
      </c>
      <c r="P540" s="22">
        <f t="shared" si="97"/>
        <v>2.8821034447901184E-10</v>
      </c>
      <c r="Q540" s="16">
        <f t="shared" si="106"/>
        <v>-149.10348299122603</v>
      </c>
      <c r="R540" s="23">
        <f t="shared" si="99"/>
        <v>1.0231815394945443E-12</v>
      </c>
      <c r="S540" s="22">
        <f t="shared" si="100"/>
        <v>2.2603785510000307E-10</v>
      </c>
      <c r="T540" s="16">
        <f t="shared" si="107"/>
        <v>302.54238238769932</v>
      </c>
      <c r="U540" s="23">
        <f t="shared" si="101"/>
        <v>7.3896444519050419E-13</v>
      </c>
      <c r="V540" s="22">
        <f t="shared" si="102"/>
        <v>3.8769934462834499E-7</v>
      </c>
    </row>
    <row r="541" spans="1:22" x14ac:dyDescent="0.45">
      <c r="A541">
        <v>-51.121549999999999</v>
      </c>
      <c r="B541">
        <v>4.9102800000000002</v>
      </c>
      <c r="C541">
        <v>241.80784</v>
      </c>
      <c r="D541">
        <v>230.8272</v>
      </c>
      <c r="E541" s="13">
        <v>-51.122530180819503</v>
      </c>
      <c r="F541" s="13">
        <v>4.9073741850387496</v>
      </c>
      <c r="G541" s="13">
        <v>-118.189897867654</v>
      </c>
      <c r="H541" s="13">
        <f t="shared" si="103"/>
        <v>241.810102132346</v>
      </c>
      <c r="I541" s="9">
        <v>-51.122530181000002</v>
      </c>
      <c r="J541" s="9">
        <v>4.9073741850000001</v>
      </c>
      <c r="K541" s="9">
        <f t="shared" si="104"/>
        <v>4.907374185000009</v>
      </c>
      <c r="L541" s="10">
        <v>61.810102000000001</v>
      </c>
      <c r="M541" s="3">
        <f t="shared" si="105"/>
        <v>241.810102</v>
      </c>
      <c r="N541" s="15">
        <f t="shared" si="98"/>
        <v>-51.122530180820007</v>
      </c>
      <c r="O541" s="23">
        <f t="shared" si="96"/>
        <v>5.0448534238967113E-13</v>
      </c>
      <c r="P541" s="22">
        <f t="shared" si="97"/>
        <v>1.7999468582274858E-10</v>
      </c>
      <c r="Q541" s="16">
        <f t="shared" si="106"/>
        <v>4.9073741850368435</v>
      </c>
      <c r="R541" s="23">
        <f t="shared" si="99"/>
        <v>1.9060308886764687E-12</v>
      </c>
      <c r="S541" s="22">
        <f t="shared" si="100"/>
        <v>3.6834535421803594E-11</v>
      </c>
      <c r="T541" s="16">
        <f t="shared" si="107"/>
        <v>241.81010213234703</v>
      </c>
      <c r="U541" s="23">
        <f t="shared" si="101"/>
        <v>1.0231815394945443E-12</v>
      </c>
      <c r="V541" s="22">
        <f t="shared" si="102"/>
        <v>1.3234702578301949E-7</v>
      </c>
    </row>
    <row r="542" spans="1:22" x14ac:dyDescent="0.45">
      <c r="A542">
        <v>57.24682</v>
      </c>
      <c r="B542">
        <v>-124.59036</v>
      </c>
      <c r="C542">
        <v>197.60433</v>
      </c>
      <c r="D542">
        <v>50.645099999999999</v>
      </c>
      <c r="E542" s="13">
        <v>57.246386527922603</v>
      </c>
      <c r="F542" s="13">
        <v>-124.590613722079</v>
      </c>
      <c r="G542" s="13">
        <v>-162.39588338202901</v>
      </c>
      <c r="H542" s="13">
        <f t="shared" si="103"/>
        <v>197.60411661797099</v>
      </c>
      <c r="I542" s="11">
        <v>57.246386528000002</v>
      </c>
      <c r="J542" s="11">
        <v>-124.590613722</v>
      </c>
      <c r="K542" s="9">
        <f t="shared" si="104"/>
        <v>-124.590613722</v>
      </c>
      <c r="L542" s="12">
        <v>17.604116999999999</v>
      </c>
      <c r="M542" s="3">
        <f t="shared" si="105"/>
        <v>197.604117</v>
      </c>
      <c r="N542" s="15">
        <f t="shared" si="98"/>
        <v>57.246386527922382</v>
      </c>
      <c r="O542" s="23">
        <f t="shared" si="96"/>
        <v>2.2026824808563106E-13</v>
      </c>
      <c r="P542" s="22">
        <f t="shared" si="97"/>
        <v>7.7619688454433344E-11</v>
      </c>
      <c r="Q542" s="16">
        <f t="shared" si="106"/>
        <v>-124.59061372207908</v>
      </c>
      <c r="R542" s="23">
        <f t="shared" si="99"/>
        <v>8.5265128291212022E-14</v>
      </c>
      <c r="S542" s="22">
        <f t="shared" si="100"/>
        <v>7.9083406490099151E-11</v>
      </c>
      <c r="T542" s="16">
        <f t="shared" si="107"/>
        <v>197.60411661797045</v>
      </c>
      <c r="U542" s="23">
        <f t="shared" si="101"/>
        <v>5.4001247917767614E-13</v>
      </c>
      <c r="V542" s="22">
        <f t="shared" si="102"/>
        <v>3.8202955465749255E-7</v>
      </c>
    </row>
    <row r="543" spans="1:22" x14ac:dyDescent="0.45">
      <c r="A543">
        <v>12.58253</v>
      </c>
      <c r="B543">
        <v>134.70033000000001</v>
      </c>
      <c r="C543">
        <v>192.15662</v>
      </c>
      <c r="D543">
        <v>199.2944</v>
      </c>
      <c r="E543" s="13">
        <v>12.5807688982185</v>
      </c>
      <c r="F543" s="13">
        <v>134.69994377853399</v>
      </c>
      <c r="G543" s="13">
        <v>-167.843464130879</v>
      </c>
      <c r="H543" s="13">
        <f t="shared" si="103"/>
        <v>192.156535869121</v>
      </c>
      <c r="I543" s="9">
        <v>12.580768898000001</v>
      </c>
      <c r="J543" s="9">
        <v>134.69994377899999</v>
      </c>
      <c r="K543" s="9">
        <f t="shared" si="104"/>
        <v>134.69994377900002</v>
      </c>
      <c r="L543" s="10">
        <v>12.156535999999999</v>
      </c>
      <c r="M543" s="3">
        <f t="shared" si="105"/>
        <v>192.15653599999999</v>
      </c>
      <c r="N543" s="15">
        <f t="shared" si="98"/>
        <v>12.580768898223816</v>
      </c>
      <c r="O543" s="23">
        <f t="shared" si="96"/>
        <v>5.3166360203249496E-12</v>
      </c>
      <c r="P543" s="22">
        <f t="shared" si="97"/>
        <v>2.2381563269391336E-10</v>
      </c>
      <c r="Q543" s="16">
        <f t="shared" si="106"/>
        <v>134.6999437785347</v>
      </c>
      <c r="R543" s="23">
        <f t="shared" si="99"/>
        <v>7.1054273576010019E-13</v>
      </c>
      <c r="S543" s="22">
        <f t="shared" si="100"/>
        <v>4.6532022679457441E-10</v>
      </c>
      <c r="T543" s="16">
        <f t="shared" si="107"/>
        <v>192.1565358691208</v>
      </c>
      <c r="U543" s="23">
        <f t="shared" si="101"/>
        <v>1.9895196601282805E-13</v>
      </c>
      <c r="V543" s="22">
        <f t="shared" si="102"/>
        <v>1.3087918659948627E-7</v>
      </c>
    </row>
    <row r="544" spans="1:22" x14ac:dyDescent="0.45">
      <c r="A544">
        <v>34.16874</v>
      </c>
      <c r="B544">
        <v>-138.63915</v>
      </c>
      <c r="C544">
        <v>156.27993000000001</v>
      </c>
      <c r="D544">
        <v>159.47839999999999</v>
      </c>
      <c r="E544" s="13">
        <v>34.167423744865303</v>
      </c>
      <c r="F544" s="13">
        <v>-138.63845421963299</v>
      </c>
      <c r="G544" s="13">
        <v>156.28032076593999</v>
      </c>
      <c r="H544" s="13">
        <f t="shared" si="103"/>
        <v>156.28032076593999</v>
      </c>
      <c r="I544" s="11">
        <v>34.167423745000001</v>
      </c>
      <c r="J544" s="11">
        <v>-138.63845422</v>
      </c>
      <c r="K544" s="9">
        <f t="shared" si="104"/>
        <v>-138.63845422</v>
      </c>
      <c r="L544" s="12">
        <v>336.28032100000001</v>
      </c>
      <c r="M544" s="3">
        <f t="shared" si="105"/>
        <v>156.28032099999996</v>
      </c>
      <c r="N544" s="15">
        <f t="shared" si="98"/>
        <v>34.167423744865395</v>
      </c>
      <c r="O544" s="23">
        <f t="shared" si="96"/>
        <v>9.2370555648813024E-14</v>
      </c>
      <c r="P544" s="22">
        <f t="shared" si="97"/>
        <v>1.3460521586239338E-10</v>
      </c>
      <c r="Q544" s="16">
        <f t="shared" si="106"/>
        <v>-138.63845421963279</v>
      </c>
      <c r="R544" s="23">
        <f t="shared" si="99"/>
        <v>1.9895196601282805E-13</v>
      </c>
      <c r="S544" s="22">
        <f t="shared" si="100"/>
        <v>3.6720848584081978E-10</v>
      </c>
      <c r="T544" s="16">
        <f t="shared" si="107"/>
        <v>156.28032076593948</v>
      </c>
      <c r="U544" s="23">
        <f t="shared" si="101"/>
        <v>5.1159076974727213E-13</v>
      </c>
      <c r="V544" s="22">
        <f t="shared" si="102"/>
        <v>2.3406047944263264E-7</v>
      </c>
    </row>
    <row r="545" spans="1:22" x14ac:dyDescent="0.45">
      <c r="A545">
        <v>-10.688639999999999</v>
      </c>
      <c r="B545">
        <v>36.416780000000003</v>
      </c>
      <c r="C545">
        <v>301.57067999999998</v>
      </c>
      <c r="D545">
        <v>65.087299999999999</v>
      </c>
      <c r="E545" s="13">
        <v>-10.688331928976501</v>
      </c>
      <c r="F545" s="13">
        <v>36.416273110908001</v>
      </c>
      <c r="G545" s="13">
        <v>-58.429225987712101</v>
      </c>
      <c r="H545" s="13">
        <f t="shared" si="103"/>
        <v>301.57077401228787</v>
      </c>
      <c r="I545" s="9">
        <v>-10.688331929</v>
      </c>
      <c r="J545" s="9">
        <v>36.416273111000002</v>
      </c>
      <c r="K545" s="9">
        <f t="shared" si="104"/>
        <v>36.41627311100001</v>
      </c>
      <c r="L545" s="10">
        <v>121.570774</v>
      </c>
      <c r="M545" s="3">
        <f t="shared" si="105"/>
        <v>301.57077400000003</v>
      </c>
      <c r="N545" s="15">
        <f t="shared" si="98"/>
        <v>-10.688331928976515</v>
      </c>
      <c r="O545" s="23">
        <f t="shared" ref="O545:O602" si="108">ABS(E545-N545)</f>
        <v>1.4210854715202004E-14</v>
      </c>
      <c r="P545" s="22">
        <f t="shared" ref="P545:P602" si="109">ABS(I545-N545)</f>
        <v>2.3485213773710711E-11</v>
      </c>
      <c r="Q545" s="16">
        <f t="shared" si="106"/>
        <v>36.416273110908037</v>
      </c>
      <c r="R545" s="23">
        <f t="shared" si="99"/>
        <v>3.5527136788005009E-14</v>
      </c>
      <c r="S545" s="22">
        <f t="shared" si="100"/>
        <v>9.1972651716787368E-11</v>
      </c>
      <c r="T545" s="16">
        <f t="shared" si="107"/>
        <v>301.5707740122877</v>
      </c>
      <c r="U545" s="23">
        <f t="shared" si="101"/>
        <v>1.7053025658242404E-13</v>
      </c>
      <c r="V545" s="22">
        <f t="shared" si="102"/>
        <v>1.2287671324884286E-8</v>
      </c>
    </row>
    <row r="546" spans="1:22" x14ac:dyDescent="0.45">
      <c r="A546">
        <v>81.386269999999996</v>
      </c>
      <c r="B546">
        <v>-36.874519999999997</v>
      </c>
      <c r="C546">
        <v>310.75274000000002</v>
      </c>
      <c r="D546">
        <v>179.26079999999999</v>
      </c>
      <c r="E546" s="13">
        <v>81.387317842947397</v>
      </c>
      <c r="F546" s="13">
        <v>-36.882639165231502</v>
      </c>
      <c r="G546" s="13">
        <v>-49.255287596380903</v>
      </c>
      <c r="H546" s="13">
        <f t="shared" si="103"/>
        <v>310.74471240361908</v>
      </c>
      <c r="I546" s="11">
        <v>81.387317843000005</v>
      </c>
      <c r="J546" s="11">
        <v>-36.882639165000001</v>
      </c>
      <c r="K546" s="9">
        <f t="shared" si="104"/>
        <v>-36.882639165000001</v>
      </c>
      <c r="L546" s="12">
        <v>130.74471199999999</v>
      </c>
      <c r="M546" s="3">
        <f t="shared" si="105"/>
        <v>310.74471199999999</v>
      </c>
      <c r="N546" s="15">
        <f t="shared" si="98"/>
        <v>81.387317842951774</v>
      </c>
      <c r="O546" s="23">
        <f t="shared" si="108"/>
        <v>4.3769432522822171E-12</v>
      </c>
      <c r="P546" s="22">
        <f t="shared" si="109"/>
        <v>4.8231640903395601E-11</v>
      </c>
      <c r="Q546" s="16">
        <f t="shared" si="106"/>
        <v>-36.882639165266312</v>
      </c>
      <c r="R546" s="23">
        <f t="shared" si="99"/>
        <v>3.4809488624887308E-11</v>
      </c>
      <c r="S546" s="22">
        <f t="shared" si="100"/>
        <v>2.6631141736288555E-10</v>
      </c>
      <c r="T546" s="16">
        <f t="shared" si="107"/>
        <v>310.74471240358434</v>
      </c>
      <c r="U546" s="23">
        <f t="shared" si="101"/>
        <v>3.4731328923953697E-11</v>
      </c>
      <c r="V546" s="22">
        <f t="shared" si="102"/>
        <v>4.0358435171583551E-7</v>
      </c>
    </row>
    <row r="547" spans="1:22" x14ac:dyDescent="0.45">
      <c r="A547">
        <v>20.176829999999999</v>
      </c>
      <c r="B547">
        <v>111.70093</v>
      </c>
      <c r="C547">
        <v>104.68876</v>
      </c>
      <c r="D547">
        <v>18.3111</v>
      </c>
      <c r="E547" s="13">
        <v>20.176788059180598</v>
      </c>
      <c r="F547" s="13">
        <v>111.70109945076101</v>
      </c>
      <c r="G547" s="13">
        <v>104.68881844667</v>
      </c>
      <c r="H547" s="13">
        <f t="shared" si="103"/>
        <v>104.68881844667</v>
      </c>
      <c r="I547" s="9">
        <v>20.176788059</v>
      </c>
      <c r="J547" s="9">
        <v>111.701099451</v>
      </c>
      <c r="K547" s="9">
        <f t="shared" si="104"/>
        <v>111.701099451</v>
      </c>
      <c r="L547" s="10">
        <v>284.68881800000003</v>
      </c>
      <c r="M547" s="3">
        <f t="shared" si="105"/>
        <v>104.68881800000003</v>
      </c>
      <c r="N547" s="15">
        <f t="shared" si="98"/>
        <v>20.176788059181096</v>
      </c>
      <c r="O547" s="23">
        <f t="shared" si="108"/>
        <v>4.9737991503207013E-13</v>
      </c>
      <c r="P547" s="22">
        <f t="shared" si="109"/>
        <v>1.8109602706317673E-10</v>
      </c>
      <c r="Q547" s="16">
        <f t="shared" si="106"/>
        <v>111.70109945075905</v>
      </c>
      <c r="R547" s="23">
        <f t="shared" si="99"/>
        <v>1.9610979506978765E-12</v>
      </c>
      <c r="S547" s="22">
        <f t="shared" si="100"/>
        <v>2.4095925255096518E-10</v>
      </c>
      <c r="T547" s="16">
        <f t="shared" si="107"/>
        <v>104.68881844666892</v>
      </c>
      <c r="U547" s="23">
        <f t="shared" si="101"/>
        <v>1.0800249583553523E-12</v>
      </c>
      <c r="V547" s="22">
        <f t="shared" si="102"/>
        <v>4.4666889209565852E-7</v>
      </c>
    </row>
    <row r="548" spans="1:22" x14ac:dyDescent="0.45">
      <c r="A548">
        <v>73.634730000000005</v>
      </c>
      <c r="B548">
        <v>160.04536999999999</v>
      </c>
      <c r="C548">
        <v>269.04316999999998</v>
      </c>
      <c r="D548">
        <v>2.7016</v>
      </c>
      <c r="E548" s="13">
        <v>73.634729595749704</v>
      </c>
      <c r="F548" s="13">
        <v>160.04528414459199</v>
      </c>
      <c r="G548" s="13">
        <v>-90.956912376970806</v>
      </c>
      <c r="H548" s="13">
        <f t="shared" si="103"/>
        <v>269.04308762302918</v>
      </c>
      <c r="I548" s="11">
        <v>73.634729596</v>
      </c>
      <c r="J548" s="11">
        <v>160.04528414500001</v>
      </c>
      <c r="K548" s="9">
        <f t="shared" si="104"/>
        <v>160.04528414499998</v>
      </c>
      <c r="L548" s="12">
        <v>89.043087999999997</v>
      </c>
      <c r="M548" s="3">
        <f t="shared" si="105"/>
        <v>269.04308800000001</v>
      </c>
      <c r="N548" s="15">
        <f t="shared" si="98"/>
        <v>73.634729595749576</v>
      </c>
      <c r="O548" s="23">
        <f t="shared" si="108"/>
        <v>1.2789769243681803E-13</v>
      </c>
      <c r="P548" s="22">
        <f t="shared" si="109"/>
        <v>2.5042368179128971E-10</v>
      </c>
      <c r="Q548" s="16">
        <f t="shared" si="106"/>
        <v>160.04528414459185</v>
      </c>
      <c r="R548" s="23">
        <f t="shared" si="99"/>
        <v>1.4210854715202004E-13</v>
      </c>
      <c r="S548" s="22">
        <f t="shared" si="100"/>
        <v>4.0813574742060155E-10</v>
      </c>
      <c r="T548" s="16">
        <f t="shared" si="107"/>
        <v>269.04308762302861</v>
      </c>
      <c r="U548" s="23">
        <f t="shared" si="101"/>
        <v>5.6843418860808015E-13</v>
      </c>
      <c r="V548" s="22">
        <f t="shared" si="102"/>
        <v>3.7697139987358241E-7</v>
      </c>
    </row>
    <row r="549" spans="1:22" x14ac:dyDescent="0.45">
      <c r="A549">
        <v>-15.179130000000001</v>
      </c>
      <c r="B549">
        <v>-136.54058000000001</v>
      </c>
      <c r="C549">
        <v>333.54842000000002</v>
      </c>
      <c r="D549">
        <v>289.99310000000003</v>
      </c>
      <c r="E549" s="13">
        <v>-15.176783561784699</v>
      </c>
      <c r="F549" s="13">
        <v>-136.54178205634</v>
      </c>
      <c r="G549" s="13">
        <v>-26.451265280143399</v>
      </c>
      <c r="H549" s="13">
        <f t="shared" si="103"/>
        <v>333.54873471985661</v>
      </c>
      <c r="I549" s="9">
        <v>-15.176783562000001</v>
      </c>
      <c r="J549" s="9">
        <v>-136.54178205599999</v>
      </c>
      <c r="K549" s="9">
        <f t="shared" si="104"/>
        <v>-136.54178205599999</v>
      </c>
      <c r="L549" s="10">
        <v>153.54873499999999</v>
      </c>
      <c r="M549" s="3">
        <f t="shared" si="105"/>
        <v>333.54873499999997</v>
      </c>
      <c r="N549" s="15">
        <f t="shared" si="98"/>
        <v>-15.176783561788168</v>
      </c>
      <c r="O549" s="23">
        <f t="shared" si="108"/>
        <v>3.4692249073486892E-12</v>
      </c>
      <c r="P549" s="22">
        <f t="shared" si="109"/>
        <v>2.1183232945531927E-10</v>
      </c>
      <c r="Q549" s="16">
        <f t="shared" si="106"/>
        <v>-136.54178205633804</v>
      </c>
      <c r="R549" s="23">
        <f t="shared" si="99"/>
        <v>1.9610979506978765E-12</v>
      </c>
      <c r="S549" s="22">
        <f t="shared" si="100"/>
        <v>3.3804781196522526E-10</v>
      </c>
      <c r="T549" s="16">
        <f t="shared" si="107"/>
        <v>333.5487347198557</v>
      </c>
      <c r="U549" s="23">
        <f t="shared" si="101"/>
        <v>9.0949470177292824E-13</v>
      </c>
      <c r="V549" s="22">
        <f t="shared" si="102"/>
        <v>2.8014426334266318E-7</v>
      </c>
    </row>
    <row r="550" spans="1:22" x14ac:dyDescent="0.45">
      <c r="A550">
        <v>-56.078150000000001</v>
      </c>
      <c r="B550">
        <v>-110.17564</v>
      </c>
      <c r="C550">
        <v>220.47939</v>
      </c>
      <c r="D550">
        <v>191.5222</v>
      </c>
      <c r="E550" s="13">
        <v>-56.079458364408403</v>
      </c>
      <c r="F550" s="13">
        <v>-110.17763681884</v>
      </c>
      <c r="G550" s="13">
        <v>-139.51895302794901</v>
      </c>
      <c r="H550" s="13">
        <f t="shared" si="103"/>
        <v>220.48104697205099</v>
      </c>
      <c r="I550" s="11">
        <v>-56.079458363999997</v>
      </c>
      <c r="J550" s="11">
        <v>-110.177636819</v>
      </c>
      <c r="K550" s="9">
        <f t="shared" si="104"/>
        <v>-110.177636819</v>
      </c>
      <c r="L550" s="12">
        <v>40.481046999999997</v>
      </c>
      <c r="M550" s="3">
        <f t="shared" si="105"/>
        <v>220.48104699999999</v>
      </c>
      <c r="N550" s="15">
        <f t="shared" si="98"/>
        <v>-56.079458364409099</v>
      </c>
      <c r="O550" s="23">
        <f t="shared" si="108"/>
        <v>6.9633188104489818E-13</v>
      </c>
      <c r="P550" s="22">
        <f t="shared" si="109"/>
        <v>4.0910208554123528E-10</v>
      </c>
      <c r="Q550" s="16">
        <f t="shared" si="106"/>
        <v>-110.17763681884169</v>
      </c>
      <c r="R550" s="23">
        <f t="shared" si="99"/>
        <v>1.6910917111090384E-12</v>
      </c>
      <c r="S550" s="22">
        <f t="shared" si="100"/>
        <v>1.5830892152735032E-10</v>
      </c>
      <c r="T550" s="16">
        <f t="shared" si="107"/>
        <v>220.48104697205176</v>
      </c>
      <c r="U550" s="23">
        <f t="shared" si="101"/>
        <v>7.673861546209082E-13</v>
      </c>
      <c r="V550" s="22">
        <f t="shared" si="102"/>
        <v>2.7948232173002907E-8</v>
      </c>
    </row>
    <row r="551" spans="1:22" x14ac:dyDescent="0.45">
      <c r="A551">
        <v>51.039769999999997</v>
      </c>
      <c r="B551">
        <v>-16.25891</v>
      </c>
      <c r="C551">
        <v>80.054810000000003</v>
      </c>
      <c r="D551">
        <v>288.79849999999999</v>
      </c>
      <c r="E551" s="13">
        <v>51.040218268215902</v>
      </c>
      <c r="F551" s="13">
        <v>-16.254854238353101</v>
      </c>
      <c r="G551" s="13">
        <v>80.057963699648596</v>
      </c>
      <c r="H551" s="13">
        <f t="shared" si="103"/>
        <v>80.057963699648596</v>
      </c>
      <c r="I551" s="9">
        <v>51.040218267999997</v>
      </c>
      <c r="J551" s="9">
        <v>-16.254854238</v>
      </c>
      <c r="K551" s="9">
        <f t="shared" si="104"/>
        <v>-16.254854238000007</v>
      </c>
      <c r="L551" s="10">
        <v>260.05796400000003</v>
      </c>
      <c r="M551" s="3">
        <f t="shared" si="105"/>
        <v>80.057964000000027</v>
      </c>
      <c r="N551" s="15">
        <f t="shared" si="98"/>
        <v>51.040218268216243</v>
      </c>
      <c r="O551" s="23">
        <f t="shared" si="108"/>
        <v>3.4106051316484809E-13</v>
      </c>
      <c r="P551" s="22">
        <f t="shared" si="109"/>
        <v>2.1624657620122889E-10</v>
      </c>
      <c r="Q551" s="16">
        <f t="shared" si="106"/>
        <v>-16.254854238349139</v>
      </c>
      <c r="R551" s="23">
        <f t="shared" si="99"/>
        <v>3.9612757518625585E-12</v>
      </c>
      <c r="S551" s="22">
        <f t="shared" si="100"/>
        <v>3.4913227864308283E-10</v>
      </c>
      <c r="T551" s="16">
        <f t="shared" si="107"/>
        <v>80.057963699651566</v>
      </c>
      <c r="U551" s="23">
        <f t="shared" si="101"/>
        <v>2.9700686354772188E-12</v>
      </c>
      <c r="V551" s="22">
        <f t="shared" si="102"/>
        <v>3.0034846076887334E-7</v>
      </c>
    </row>
    <row r="552" spans="1:22" x14ac:dyDescent="0.45">
      <c r="A552">
        <v>86.756280000000004</v>
      </c>
      <c r="B552">
        <v>-170.15781999999999</v>
      </c>
      <c r="C552">
        <v>110.48251999999999</v>
      </c>
      <c r="D552">
        <v>181.3706</v>
      </c>
      <c r="E552" s="13">
        <v>86.755711416657505</v>
      </c>
      <c r="F552" s="13">
        <v>-170.13094093100599</v>
      </c>
      <c r="G552" s="13">
        <v>110.509355997914</v>
      </c>
      <c r="H552" s="13">
        <f t="shared" si="103"/>
        <v>110.509355997914</v>
      </c>
      <c r="I552" s="11">
        <v>86.755711417000001</v>
      </c>
      <c r="J552" s="11">
        <v>-170.130940931</v>
      </c>
      <c r="K552" s="9">
        <f t="shared" si="104"/>
        <v>-170.130940931</v>
      </c>
      <c r="L552" s="12">
        <v>290.50935600000003</v>
      </c>
      <c r="M552" s="3">
        <f t="shared" si="105"/>
        <v>110.50935600000003</v>
      </c>
      <c r="N552" s="15">
        <f t="shared" si="98"/>
        <v>86.755711416654776</v>
      </c>
      <c r="O552" s="23">
        <f t="shared" si="108"/>
        <v>2.7284841053187847E-12</v>
      </c>
      <c r="P552" s="22">
        <f t="shared" si="109"/>
        <v>3.4522429359640228E-10</v>
      </c>
      <c r="Q552" s="16">
        <f t="shared" si="106"/>
        <v>-170.13094093088031</v>
      </c>
      <c r="R552" s="23">
        <f t="shared" si="99"/>
        <v>1.2568079910124652E-10</v>
      </c>
      <c r="S552" s="22">
        <f t="shared" si="100"/>
        <v>1.1968381841143128E-10</v>
      </c>
      <c r="T552" s="16">
        <f t="shared" si="107"/>
        <v>110.50935599803931</v>
      </c>
      <c r="U552" s="23">
        <f t="shared" si="101"/>
        <v>1.2531131687865127E-10</v>
      </c>
      <c r="V552" s="22">
        <f t="shared" si="102"/>
        <v>1.9607142576205661E-9</v>
      </c>
    </row>
    <row r="553" spans="1:22" x14ac:dyDescent="0.45">
      <c r="A553">
        <v>-3.9378600000000001</v>
      </c>
      <c r="B553">
        <v>104.93034</v>
      </c>
      <c r="C553">
        <v>187.28787</v>
      </c>
      <c r="D553">
        <v>238.00460000000001</v>
      </c>
      <c r="E553" s="13">
        <v>-3.9399949508667</v>
      </c>
      <c r="F553" s="13">
        <v>104.930068142583</v>
      </c>
      <c r="G553" s="13">
        <v>-172.71211132526699</v>
      </c>
      <c r="H553" s="13">
        <f t="shared" si="103"/>
        <v>187.28788867473301</v>
      </c>
      <c r="I553" s="9">
        <v>-3.9399949510000001</v>
      </c>
      <c r="J553" s="9">
        <v>104.930068143</v>
      </c>
      <c r="K553" s="9">
        <f t="shared" si="104"/>
        <v>104.93006814299997</v>
      </c>
      <c r="L553" s="10">
        <v>7.2878889999999998</v>
      </c>
      <c r="M553" s="3">
        <f t="shared" si="105"/>
        <v>187.28788900000001</v>
      </c>
      <c r="N553" s="15">
        <f t="shared" si="98"/>
        <v>-3.9399949508573449</v>
      </c>
      <c r="O553" s="23">
        <f t="shared" si="108"/>
        <v>9.3551832947014191E-12</v>
      </c>
      <c r="P553" s="22">
        <f t="shared" si="109"/>
        <v>1.4265522096934546E-10</v>
      </c>
      <c r="Q553" s="16">
        <f t="shared" si="106"/>
        <v>104.93006814258376</v>
      </c>
      <c r="R553" s="23">
        <f t="shared" si="99"/>
        <v>7.673861546209082E-13</v>
      </c>
      <c r="S553" s="22">
        <f t="shared" si="100"/>
        <v>4.1620751289883628E-10</v>
      </c>
      <c r="T553" s="16">
        <f t="shared" si="107"/>
        <v>187.28788867473233</v>
      </c>
      <c r="U553" s="23">
        <f t="shared" si="101"/>
        <v>6.8212102632969618E-13</v>
      </c>
      <c r="V553" s="22">
        <f t="shared" si="102"/>
        <v>3.2526767768104037E-7</v>
      </c>
    </row>
    <row r="554" spans="1:22" x14ac:dyDescent="0.45">
      <c r="A554">
        <v>-57.820839999999997</v>
      </c>
      <c r="B554">
        <v>-51.469000000000001</v>
      </c>
      <c r="C554">
        <v>183.06056000000001</v>
      </c>
      <c r="D554">
        <v>230.9863</v>
      </c>
      <c r="E554" s="13">
        <v>-57.8229110019617</v>
      </c>
      <c r="F554" s="13">
        <v>-51.4692075354615</v>
      </c>
      <c r="G554" s="13">
        <v>-176.9392643427</v>
      </c>
      <c r="H554" s="13">
        <f t="shared" si="103"/>
        <v>183.0607356573</v>
      </c>
      <c r="I554" s="11">
        <v>-57.822911001999998</v>
      </c>
      <c r="J554" s="11">
        <v>-51.469207535000002</v>
      </c>
      <c r="K554" s="9">
        <f t="shared" si="104"/>
        <v>-51.46920753500001</v>
      </c>
      <c r="L554" s="12">
        <v>3.0607359999999999</v>
      </c>
      <c r="M554" s="3">
        <f t="shared" si="105"/>
        <v>183.06073599999999</v>
      </c>
      <c r="N554" s="15">
        <f t="shared" si="98"/>
        <v>-57.822911001962431</v>
      </c>
      <c r="O554" s="23">
        <f t="shared" si="108"/>
        <v>7.3185901783290319E-13</v>
      </c>
      <c r="P554" s="22">
        <f t="shared" si="109"/>
        <v>3.7566394439636497E-11</v>
      </c>
      <c r="Q554" s="16">
        <f t="shared" si="106"/>
        <v>-51.469207535461578</v>
      </c>
      <c r="R554" s="23">
        <f t="shared" si="99"/>
        <v>7.815970093361102E-14</v>
      </c>
      <c r="S554" s="22">
        <f t="shared" si="100"/>
        <v>4.6156856114976108E-10</v>
      </c>
      <c r="T554" s="16">
        <f t="shared" si="107"/>
        <v>183.06073565729986</v>
      </c>
      <c r="U554" s="23">
        <f t="shared" si="101"/>
        <v>1.4210854715202004E-13</v>
      </c>
      <c r="V554" s="22">
        <f t="shared" si="102"/>
        <v>3.4270013316017867E-7</v>
      </c>
    </row>
    <row r="555" spans="1:22" x14ac:dyDescent="0.45">
      <c r="A555">
        <v>41.255890000000001</v>
      </c>
      <c r="B555">
        <v>-118.74885</v>
      </c>
      <c r="C555">
        <v>312.52050000000003</v>
      </c>
      <c r="D555">
        <v>190.0778</v>
      </c>
      <c r="E555" s="13">
        <v>41.257046715238602</v>
      </c>
      <c r="F555" s="13">
        <v>-118.750521618245</v>
      </c>
      <c r="G555" s="13">
        <v>-47.480602316371197</v>
      </c>
      <c r="H555" s="13">
        <f t="shared" si="103"/>
        <v>312.51939768362882</v>
      </c>
      <c r="I555" s="9">
        <v>41.257046715000001</v>
      </c>
      <c r="J555" s="9">
        <v>-118.75052161799999</v>
      </c>
      <c r="K555" s="9">
        <f t="shared" si="104"/>
        <v>-118.75052161799999</v>
      </c>
      <c r="L555" s="10">
        <v>132.519398</v>
      </c>
      <c r="M555" s="3">
        <f t="shared" si="105"/>
        <v>312.51939800000002</v>
      </c>
      <c r="N555" s="15">
        <f t="shared" si="98"/>
        <v>41.257046715238666</v>
      </c>
      <c r="O555" s="23">
        <f t="shared" si="108"/>
        <v>6.3948846218409017E-14</v>
      </c>
      <c r="P555" s="22">
        <f t="shared" si="109"/>
        <v>2.3866419951446005E-10</v>
      </c>
      <c r="Q555" s="16">
        <f t="shared" si="106"/>
        <v>-118.75052161824462</v>
      </c>
      <c r="R555" s="23">
        <f t="shared" si="99"/>
        <v>3.836930773104541E-13</v>
      </c>
      <c r="S555" s="22">
        <f t="shared" si="100"/>
        <v>2.4462565306748729E-10</v>
      </c>
      <c r="T555" s="16">
        <f t="shared" si="107"/>
        <v>312.51939768362854</v>
      </c>
      <c r="U555" s="23">
        <f t="shared" si="101"/>
        <v>2.8421709430404007E-13</v>
      </c>
      <c r="V555" s="22">
        <f t="shared" si="102"/>
        <v>3.163714836773579E-7</v>
      </c>
    </row>
    <row r="556" spans="1:22" x14ac:dyDescent="0.45">
      <c r="A556">
        <v>88.690420000000003</v>
      </c>
      <c r="B556">
        <v>57.01623</v>
      </c>
      <c r="C556">
        <v>153.66014000000001</v>
      </c>
      <c r="D556">
        <v>99.565399999999997</v>
      </c>
      <c r="E556" s="13">
        <v>88.689621071927803</v>
      </c>
      <c r="F556" s="13">
        <v>57.0335252697868</v>
      </c>
      <c r="G556" s="13">
        <v>153.677430749541</v>
      </c>
      <c r="H556" s="13">
        <f t="shared" si="103"/>
        <v>153.677430749541</v>
      </c>
      <c r="I556" s="11">
        <v>88.689621071999994</v>
      </c>
      <c r="J556" s="11">
        <v>57.033525269999998</v>
      </c>
      <c r="K556" s="9">
        <f t="shared" si="104"/>
        <v>57.033525269999984</v>
      </c>
      <c r="L556" s="12">
        <v>333.67743100000001</v>
      </c>
      <c r="M556" s="3">
        <f t="shared" si="105"/>
        <v>153.67743100000007</v>
      </c>
      <c r="N556" s="15">
        <f t="shared" si="98"/>
        <v>88.689621071923966</v>
      </c>
      <c r="O556" s="23">
        <f t="shared" si="108"/>
        <v>3.836930773104541E-12</v>
      </c>
      <c r="P556" s="22">
        <f t="shared" si="109"/>
        <v>7.602807272633072E-11</v>
      </c>
      <c r="Q556" s="16">
        <f t="shared" si="106"/>
        <v>57.03352526986825</v>
      </c>
      <c r="R556" s="23">
        <f t="shared" si="99"/>
        <v>8.1449513800180284E-11</v>
      </c>
      <c r="S556" s="22">
        <f t="shared" si="100"/>
        <v>1.3173462320992257E-10</v>
      </c>
      <c r="T556" s="16">
        <f t="shared" si="107"/>
        <v>153.67743074962186</v>
      </c>
      <c r="U556" s="23">
        <f t="shared" si="101"/>
        <v>8.0859763329499401E-11</v>
      </c>
      <c r="V556" s="22">
        <f t="shared" si="102"/>
        <v>2.5037820705620106E-7</v>
      </c>
    </row>
    <row r="557" spans="1:22" x14ac:dyDescent="0.45">
      <c r="A557">
        <v>-87.363870000000006</v>
      </c>
      <c r="B557">
        <v>75.309780000000003</v>
      </c>
      <c r="C557">
        <v>263.39355999999998</v>
      </c>
      <c r="D557">
        <v>29.6218</v>
      </c>
      <c r="E557" s="13">
        <v>-87.363900499013695</v>
      </c>
      <c r="F557" s="13">
        <v>75.304051967964398</v>
      </c>
      <c r="G557" s="13">
        <v>-96.600718029493507</v>
      </c>
      <c r="H557" s="13">
        <f t="shared" si="103"/>
        <v>263.39928197050648</v>
      </c>
      <c r="I557" s="9">
        <v>-87.363900498999996</v>
      </c>
      <c r="J557" s="9">
        <v>75.304051967999996</v>
      </c>
      <c r="K557" s="9">
        <f t="shared" si="104"/>
        <v>75.30405196800001</v>
      </c>
      <c r="L557" s="10">
        <v>83.399281999999999</v>
      </c>
      <c r="M557" s="3">
        <f t="shared" si="105"/>
        <v>263.39928199999997</v>
      </c>
      <c r="N557" s="15">
        <f t="shared" si="98"/>
        <v>-87.363900499013724</v>
      </c>
      <c r="O557" s="23">
        <f t="shared" si="108"/>
        <v>2.8421709430404007E-14</v>
      </c>
      <c r="P557" s="22">
        <f t="shared" si="109"/>
        <v>1.3727685654885136E-11</v>
      </c>
      <c r="Q557" s="16">
        <f t="shared" si="106"/>
        <v>75.304051967937539</v>
      </c>
      <c r="R557" s="23">
        <f t="shared" si="99"/>
        <v>2.6858515411731787E-11</v>
      </c>
      <c r="S557" s="22">
        <f t="shared" si="100"/>
        <v>6.2470917328028008E-11</v>
      </c>
      <c r="T557" s="16">
        <f t="shared" si="107"/>
        <v>263.39928197053314</v>
      </c>
      <c r="U557" s="23">
        <f t="shared" si="101"/>
        <v>2.6659563445718959E-11</v>
      </c>
      <c r="V557" s="22">
        <f t="shared" si="102"/>
        <v>2.9466832529578824E-8</v>
      </c>
    </row>
    <row r="558" spans="1:22" x14ac:dyDescent="0.45">
      <c r="A558">
        <v>-5.7315699999999996</v>
      </c>
      <c r="B558">
        <v>-136.95232999999999</v>
      </c>
      <c r="C558">
        <v>43.299230000000001</v>
      </c>
      <c r="D558">
        <v>162.2439</v>
      </c>
      <c r="E558" s="13">
        <v>-5.7305022429728698</v>
      </c>
      <c r="F558" s="13">
        <v>-136.95132547352699</v>
      </c>
      <c r="G558" s="13">
        <v>43.299129689252801</v>
      </c>
      <c r="H558" s="13">
        <f t="shared" si="103"/>
        <v>43.299129689252801</v>
      </c>
      <c r="I558" s="11">
        <v>-5.7305022430000001</v>
      </c>
      <c r="J558" s="11">
        <v>-136.95132547399999</v>
      </c>
      <c r="K558" s="9">
        <f t="shared" si="104"/>
        <v>-136.95132547399999</v>
      </c>
      <c r="L558" s="12">
        <v>223.29912999999999</v>
      </c>
      <c r="M558" s="3">
        <f t="shared" si="105"/>
        <v>43.299129999999991</v>
      </c>
      <c r="N558" s="15">
        <f t="shared" si="98"/>
        <v>-5.730502242973559</v>
      </c>
      <c r="O558" s="23">
        <f t="shared" si="108"/>
        <v>6.8922645368729718E-13</v>
      </c>
      <c r="P558" s="22">
        <f t="shared" si="109"/>
        <v>2.6441071554472728E-11</v>
      </c>
      <c r="Q558" s="16">
        <f t="shared" si="106"/>
        <v>-136.95132547352813</v>
      </c>
      <c r="R558" s="23">
        <f t="shared" si="99"/>
        <v>1.1368683772161603E-12</v>
      </c>
      <c r="S558" s="22">
        <f t="shared" si="100"/>
        <v>4.7185721996356733E-10</v>
      </c>
      <c r="T558" s="16">
        <f t="shared" si="107"/>
        <v>43.299129689252872</v>
      </c>
      <c r="U558" s="23">
        <f t="shared" si="101"/>
        <v>7.1054273576010019E-14</v>
      </c>
      <c r="V558" s="22">
        <f t="shared" si="102"/>
        <v>3.1074711870360261E-7</v>
      </c>
    </row>
    <row r="559" spans="1:22" x14ac:dyDescent="0.45">
      <c r="A559">
        <v>34.532760000000003</v>
      </c>
      <c r="B559">
        <v>127.68576</v>
      </c>
      <c r="C559">
        <v>307.16313000000002</v>
      </c>
      <c r="D559">
        <v>56.786299999999997</v>
      </c>
      <c r="E559" s="13">
        <v>34.533069231849197</v>
      </c>
      <c r="F559" s="13">
        <v>127.685267056141</v>
      </c>
      <c r="G559" s="13">
        <v>-52.837149439807</v>
      </c>
      <c r="H559" s="13">
        <f t="shared" si="103"/>
        <v>307.16285056019302</v>
      </c>
      <c r="I559" s="9">
        <v>34.533069232000003</v>
      </c>
      <c r="J559" s="9">
        <v>127.685267056</v>
      </c>
      <c r="K559" s="9">
        <f t="shared" si="104"/>
        <v>127.68526705599999</v>
      </c>
      <c r="L559" s="10">
        <v>127.162851</v>
      </c>
      <c r="M559" s="3">
        <f t="shared" si="105"/>
        <v>307.16285099999999</v>
      </c>
      <c r="N559" s="15">
        <f t="shared" si="98"/>
        <v>34.533069231844721</v>
      </c>
      <c r="O559" s="23">
        <f t="shared" si="108"/>
        <v>4.4764192352886312E-12</v>
      </c>
      <c r="P559" s="22">
        <f t="shared" si="109"/>
        <v>1.5528200947301229E-10</v>
      </c>
      <c r="Q559" s="16">
        <f t="shared" si="106"/>
        <v>127.68526705614772</v>
      </c>
      <c r="R559" s="23">
        <f t="shared" si="99"/>
        <v>6.7217342802905478E-12</v>
      </c>
      <c r="S559" s="22">
        <f t="shared" si="100"/>
        <v>1.4773604561924003E-10</v>
      </c>
      <c r="T559" s="16">
        <f t="shared" si="107"/>
        <v>307.16285056019683</v>
      </c>
      <c r="U559" s="23">
        <f t="shared" si="101"/>
        <v>3.808509063674137E-12</v>
      </c>
      <c r="V559" s="22">
        <f t="shared" si="102"/>
        <v>4.3980315922453883E-7</v>
      </c>
    </row>
    <row r="560" spans="1:22" x14ac:dyDescent="0.45">
      <c r="A560">
        <v>-31.722169999999998</v>
      </c>
      <c r="B560">
        <v>-81.074830000000006</v>
      </c>
      <c r="C560">
        <v>6.0523999999999996</v>
      </c>
      <c r="D560">
        <v>144.6337</v>
      </c>
      <c r="E560" s="13">
        <v>-31.7208728771697</v>
      </c>
      <c r="F560" s="13">
        <v>-81.0746690994022</v>
      </c>
      <c r="G560" s="13">
        <v>6.0523153998823096</v>
      </c>
      <c r="H560" s="13">
        <f t="shared" si="103"/>
        <v>6.0523153998823096</v>
      </c>
      <c r="I560" s="11">
        <v>-31.720872877000001</v>
      </c>
      <c r="J560" s="11">
        <v>-81.074669099000005</v>
      </c>
      <c r="K560" s="9">
        <f t="shared" si="104"/>
        <v>-81.074669099000005</v>
      </c>
      <c r="L560" s="12">
        <v>186.05231499999999</v>
      </c>
      <c r="M560" s="3">
        <f t="shared" si="105"/>
        <v>6.0523150000000214</v>
      </c>
      <c r="N560" s="15">
        <f t="shared" si="98"/>
        <v>-31.720872877170194</v>
      </c>
      <c r="O560" s="23">
        <f t="shared" si="108"/>
        <v>4.9382720135326963E-13</v>
      </c>
      <c r="P560" s="22">
        <f t="shared" si="109"/>
        <v>1.70192748782938E-10</v>
      </c>
      <c r="Q560" s="16">
        <f t="shared" si="106"/>
        <v>-81.074669099402286</v>
      </c>
      <c r="R560" s="23">
        <f t="shared" si="99"/>
        <v>8.5265128291212022E-14</v>
      </c>
      <c r="S560" s="22">
        <f t="shared" si="100"/>
        <v>4.0228087527793832E-10</v>
      </c>
      <c r="T560" s="16">
        <f t="shared" si="107"/>
        <v>6.0523153998823451</v>
      </c>
      <c r="U560" s="23">
        <f t="shared" si="101"/>
        <v>3.5527136788005009E-14</v>
      </c>
      <c r="V560" s="22">
        <f t="shared" si="102"/>
        <v>3.9988232369836396E-7</v>
      </c>
    </row>
    <row r="561" spans="1:22" x14ac:dyDescent="0.45">
      <c r="A561">
        <v>27.26512</v>
      </c>
      <c r="B561">
        <v>-140.48827</v>
      </c>
      <c r="C561">
        <v>59.526020000000003</v>
      </c>
      <c r="D561">
        <v>173.5181</v>
      </c>
      <c r="E561" s="13">
        <v>27.265914153062599</v>
      </c>
      <c r="F561" s="13">
        <v>-140.48675972237601</v>
      </c>
      <c r="G561" s="13">
        <v>59.526711880328897</v>
      </c>
      <c r="H561" s="13">
        <f t="shared" si="103"/>
        <v>59.526711880328897</v>
      </c>
      <c r="I561" s="9">
        <v>27.265914153000001</v>
      </c>
      <c r="J561" s="9">
        <v>-140.48675972199999</v>
      </c>
      <c r="K561" s="9">
        <f t="shared" si="104"/>
        <v>-140.48675972199999</v>
      </c>
      <c r="L561" s="10">
        <v>239.526712</v>
      </c>
      <c r="M561" s="3">
        <f t="shared" si="105"/>
        <v>59.526711999999975</v>
      </c>
      <c r="N561" s="15">
        <f t="shared" si="98"/>
        <v>27.265914153062575</v>
      </c>
      <c r="O561" s="23">
        <f t="shared" si="108"/>
        <v>2.4868995751603507E-14</v>
      </c>
      <c r="P561" s="22">
        <f t="shared" si="109"/>
        <v>6.2573946024713223E-11</v>
      </c>
      <c r="Q561" s="16">
        <f t="shared" si="106"/>
        <v>-140.48675972237564</v>
      </c>
      <c r="R561" s="23">
        <f t="shared" si="99"/>
        <v>3.694822225952521E-13</v>
      </c>
      <c r="S561" s="22">
        <f t="shared" si="100"/>
        <v>3.7564973354164977E-10</v>
      </c>
      <c r="T561" s="16">
        <f t="shared" si="107"/>
        <v>59.526711880328762</v>
      </c>
      <c r="U561" s="23">
        <f t="shared" si="101"/>
        <v>1.3500311979441904E-13</v>
      </c>
      <c r="V561" s="22">
        <f t="shared" si="102"/>
        <v>1.1967121338329889E-7</v>
      </c>
    </row>
    <row r="562" spans="1:22" x14ac:dyDescent="0.45">
      <c r="A562">
        <v>-25.903079999999999</v>
      </c>
      <c r="B562">
        <v>-172.59781000000001</v>
      </c>
      <c r="C562">
        <v>265.84955000000002</v>
      </c>
      <c r="D562">
        <v>53.187399999999997</v>
      </c>
      <c r="E562" s="13">
        <v>-25.9031147458122</v>
      </c>
      <c r="F562" s="13">
        <v>-172.59833942189701</v>
      </c>
      <c r="G562" s="13">
        <v>-94.150218721823506</v>
      </c>
      <c r="H562" s="13">
        <f t="shared" si="103"/>
        <v>265.84978127817647</v>
      </c>
      <c r="I562" s="11">
        <v>-25.903114746</v>
      </c>
      <c r="J562" s="11">
        <v>-172.59833942200001</v>
      </c>
      <c r="K562" s="9">
        <f t="shared" si="104"/>
        <v>-172.59833942200001</v>
      </c>
      <c r="L562" s="12">
        <v>85.849780999999993</v>
      </c>
      <c r="M562" s="3">
        <f t="shared" si="105"/>
        <v>265.84978100000001</v>
      </c>
      <c r="N562" s="15">
        <f t="shared" si="98"/>
        <v>-25.903114745808768</v>
      </c>
      <c r="O562" s="23">
        <f t="shared" si="108"/>
        <v>3.4319214137212839E-12</v>
      </c>
      <c r="P562" s="22">
        <f t="shared" si="109"/>
        <v>1.9123191918879456E-10</v>
      </c>
      <c r="Q562" s="16">
        <f t="shared" si="106"/>
        <v>-172.5983394218448</v>
      </c>
      <c r="R562" s="23">
        <f t="shared" si="99"/>
        <v>5.2210680223652162E-11</v>
      </c>
      <c r="S562" s="22">
        <f t="shared" si="100"/>
        <v>1.5521095519943628E-10</v>
      </c>
      <c r="T562" s="16">
        <f t="shared" si="107"/>
        <v>265.84978127815361</v>
      </c>
      <c r="U562" s="23">
        <f t="shared" si="101"/>
        <v>2.2851054382044822E-11</v>
      </c>
      <c r="V562" s="22">
        <f t="shared" si="102"/>
        <v>2.7815360681415768E-7</v>
      </c>
    </row>
    <row r="563" spans="1:22" x14ac:dyDescent="0.45">
      <c r="A563">
        <v>33.746499999999997</v>
      </c>
      <c r="B563">
        <v>-124.47116</v>
      </c>
      <c r="C563">
        <v>46.665370000000003</v>
      </c>
      <c r="D563">
        <v>147.19309999999999</v>
      </c>
      <c r="E563" s="13">
        <v>33.747410690940697</v>
      </c>
      <c r="F563" s="13">
        <v>-124.470004537268</v>
      </c>
      <c r="G563" s="13">
        <v>46.666011889645802</v>
      </c>
      <c r="H563" s="13">
        <f t="shared" si="103"/>
        <v>46.666011889645802</v>
      </c>
      <c r="I563" s="9">
        <v>33.747410690999999</v>
      </c>
      <c r="J563" s="9">
        <v>-124.47000453699999</v>
      </c>
      <c r="K563" s="9">
        <f t="shared" si="104"/>
        <v>-124.47000453699999</v>
      </c>
      <c r="L563" s="10">
        <v>226.66601199999999</v>
      </c>
      <c r="M563" s="3">
        <f t="shared" si="105"/>
        <v>46.666012000000023</v>
      </c>
      <c r="N563" s="15">
        <f t="shared" si="98"/>
        <v>33.747410690939759</v>
      </c>
      <c r="O563" s="23">
        <f t="shared" si="108"/>
        <v>9.3791641120333225E-13</v>
      </c>
      <c r="P563" s="22">
        <f t="shared" si="109"/>
        <v>6.0239813137741294E-11</v>
      </c>
      <c r="Q563" s="16">
        <f t="shared" si="106"/>
        <v>-124.4700045372692</v>
      </c>
      <c r="R563" s="23">
        <f t="shared" si="99"/>
        <v>1.2079226507921703E-12</v>
      </c>
      <c r="S563" s="22">
        <f t="shared" si="100"/>
        <v>2.6921043172478676E-10</v>
      </c>
      <c r="T563" s="16">
        <f t="shared" si="107"/>
        <v>46.666011889645048</v>
      </c>
      <c r="U563" s="23">
        <f t="shared" si="101"/>
        <v>7.531752999057062E-13</v>
      </c>
      <c r="V563" s="22">
        <f t="shared" si="102"/>
        <v>1.1035497493594448E-7</v>
      </c>
    </row>
    <row r="564" spans="1:22" x14ac:dyDescent="0.45">
      <c r="A564">
        <v>-0.81971000000000005</v>
      </c>
      <c r="B564">
        <v>-111.59759</v>
      </c>
      <c r="C564">
        <v>307.62626</v>
      </c>
      <c r="D564">
        <v>286.26080000000002</v>
      </c>
      <c r="E564" s="13">
        <v>-0.81812948526762197</v>
      </c>
      <c r="F564" s="13">
        <v>-111.599626879176</v>
      </c>
      <c r="G564" s="13">
        <v>-52.373710888191198</v>
      </c>
      <c r="H564" s="13">
        <f t="shared" si="103"/>
        <v>307.62628911180877</v>
      </c>
      <c r="I564" s="11">
        <v>-0.81812948500000005</v>
      </c>
      <c r="J564" s="11">
        <v>-111.599626879</v>
      </c>
      <c r="K564" s="9">
        <f t="shared" si="104"/>
        <v>-111.599626879</v>
      </c>
      <c r="L564" s="12">
        <v>127.626289</v>
      </c>
      <c r="M564" s="3">
        <f t="shared" si="105"/>
        <v>307.62628899999999</v>
      </c>
      <c r="N564" s="15">
        <f t="shared" si="98"/>
        <v>-0.818129485268</v>
      </c>
      <c r="O564" s="23">
        <f t="shared" si="108"/>
        <v>3.780309398848658E-13</v>
      </c>
      <c r="P564" s="22">
        <f t="shared" si="109"/>
        <v>2.6799995556103795E-10</v>
      </c>
      <c r="Q564" s="16">
        <f t="shared" si="106"/>
        <v>-111.59962687917586</v>
      </c>
      <c r="R564" s="23">
        <f t="shared" si="99"/>
        <v>1.4210854715202004E-13</v>
      </c>
      <c r="S564" s="22">
        <f t="shared" si="100"/>
        <v>1.758593271006248E-10</v>
      </c>
      <c r="T564" s="16">
        <f t="shared" si="107"/>
        <v>307.62628911180855</v>
      </c>
      <c r="U564" s="23">
        <f t="shared" si="101"/>
        <v>2.2737367544323206E-13</v>
      </c>
      <c r="V564" s="22">
        <f t="shared" si="102"/>
        <v>1.1180856063219835E-7</v>
      </c>
    </row>
    <row r="565" spans="1:22" x14ac:dyDescent="0.45">
      <c r="A565">
        <v>-83.180459999999997</v>
      </c>
      <c r="B565">
        <v>-157.54884999999999</v>
      </c>
      <c r="C565">
        <v>226.68654000000001</v>
      </c>
      <c r="D565">
        <v>15.910600000000001</v>
      </c>
      <c r="E565" s="13">
        <v>-83.180557731047102</v>
      </c>
      <c r="F565" s="13">
        <v>-157.54972292452601</v>
      </c>
      <c r="G565" s="13">
        <v>-133.31259325126501</v>
      </c>
      <c r="H565" s="13">
        <f t="shared" si="103"/>
        <v>226.68740674873499</v>
      </c>
      <c r="I565" s="9">
        <v>-83.180557730999993</v>
      </c>
      <c r="J565" s="9">
        <v>-157.549722925</v>
      </c>
      <c r="K565" s="9">
        <f t="shared" si="104"/>
        <v>-157.549722925</v>
      </c>
      <c r="L565" s="10">
        <v>46.687407</v>
      </c>
      <c r="M565" s="3">
        <f t="shared" si="105"/>
        <v>226.68740700000001</v>
      </c>
      <c r="N565" s="15">
        <f t="shared" si="98"/>
        <v>-83.180557731047486</v>
      </c>
      <c r="O565" s="23">
        <f t="shared" si="108"/>
        <v>3.836930773104541E-13</v>
      </c>
      <c r="P565" s="22">
        <f t="shared" si="109"/>
        <v>4.7492676458205096E-11</v>
      </c>
      <c r="Q565" s="16">
        <f t="shared" si="106"/>
        <v>-157.54972292453013</v>
      </c>
      <c r="R565" s="23">
        <f t="shared" si="99"/>
        <v>4.1211478674085811E-12</v>
      </c>
      <c r="S565" s="22">
        <f t="shared" si="100"/>
        <v>4.6986770030343905E-10</v>
      </c>
      <c r="T565" s="16">
        <f t="shared" si="107"/>
        <v>226.68740674873848</v>
      </c>
      <c r="U565" s="23">
        <f t="shared" si="101"/>
        <v>3.4958702599396929E-12</v>
      </c>
      <c r="V565" s="22">
        <f t="shared" si="102"/>
        <v>2.5126152536358859E-7</v>
      </c>
    </row>
    <row r="566" spans="1:22" x14ac:dyDescent="0.45">
      <c r="A566">
        <v>79.332220000000007</v>
      </c>
      <c r="B566">
        <v>58.705269999999999</v>
      </c>
      <c r="C566">
        <v>224.47203999999999</v>
      </c>
      <c r="D566">
        <v>1.7715000000000001</v>
      </c>
      <c r="E566" s="13">
        <v>79.332208678283905</v>
      </c>
      <c r="F566" s="13">
        <v>58.705209970075003</v>
      </c>
      <c r="G566" s="13">
        <v>-135.52801899242999</v>
      </c>
      <c r="H566" s="13">
        <f t="shared" si="103"/>
        <v>224.47198100757001</v>
      </c>
      <c r="I566" s="11">
        <v>79.332208678000001</v>
      </c>
      <c r="J566" s="11">
        <v>58.705209969999999</v>
      </c>
      <c r="K566" s="9">
        <f t="shared" si="104"/>
        <v>58.705209969999999</v>
      </c>
      <c r="L566" s="12">
        <v>44.471981</v>
      </c>
      <c r="M566" s="3">
        <f t="shared" si="105"/>
        <v>224.471981</v>
      </c>
      <c r="N566" s="15">
        <f t="shared" si="98"/>
        <v>79.332208678312526</v>
      </c>
      <c r="O566" s="23">
        <f t="shared" si="108"/>
        <v>2.8620661396416835E-11</v>
      </c>
      <c r="P566" s="22">
        <f t="shared" si="109"/>
        <v>3.1252511689672247E-10</v>
      </c>
      <c r="Q566" s="16">
        <f t="shared" si="106"/>
        <v>58.705209970227003</v>
      </c>
      <c r="R566" s="23">
        <f t="shared" si="99"/>
        <v>1.5199930203380063E-10</v>
      </c>
      <c r="S566" s="22">
        <f t="shared" si="100"/>
        <v>2.2700419322063681E-10</v>
      </c>
      <c r="T566" s="16">
        <f t="shared" si="107"/>
        <v>224.47198100771948</v>
      </c>
      <c r="U566" s="23">
        <f t="shared" si="101"/>
        <v>1.4946976989449468E-10</v>
      </c>
      <c r="V566" s="22">
        <f t="shared" si="102"/>
        <v>7.7194783898448804E-9</v>
      </c>
    </row>
    <row r="567" spans="1:22" x14ac:dyDescent="0.45">
      <c r="A567">
        <v>28.642399999999999</v>
      </c>
      <c r="B567">
        <v>-153.45140000000001</v>
      </c>
      <c r="C567">
        <v>311.82407000000001</v>
      </c>
      <c r="D567">
        <v>17.602499999999999</v>
      </c>
      <c r="E567" s="13">
        <v>28.6425059113404</v>
      </c>
      <c r="F567" s="13">
        <v>-153.45153416186</v>
      </c>
      <c r="G567" s="13">
        <v>-48.175994309449401</v>
      </c>
      <c r="H567" s="13">
        <f t="shared" si="103"/>
        <v>311.82400569055062</v>
      </c>
      <c r="I567" s="9">
        <v>28.642505911000001</v>
      </c>
      <c r="J567" s="9">
        <v>-153.451534162</v>
      </c>
      <c r="K567" s="9">
        <f t="shared" si="104"/>
        <v>-153.451534162</v>
      </c>
      <c r="L567" s="10">
        <v>131.824006</v>
      </c>
      <c r="M567" s="3">
        <f t="shared" si="105"/>
        <v>311.824006</v>
      </c>
      <c r="N567" s="15">
        <f t="shared" si="98"/>
        <v>28.642505911336446</v>
      </c>
      <c r="O567" s="23">
        <f t="shared" si="108"/>
        <v>3.9541703245049575E-12</v>
      </c>
      <c r="P567" s="22">
        <f t="shared" si="109"/>
        <v>3.3644553809608624E-10</v>
      </c>
      <c r="Q567" s="16">
        <f t="shared" si="106"/>
        <v>-153.45153416185485</v>
      </c>
      <c r="R567" s="23">
        <f t="shared" si="99"/>
        <v>5.1443294069031253E-12</v>
      </c>
      <c r="S567" s="22">
        <f t="shared" si="100"/>
        <v>1.4514967006107327E-10</v>
      </c>
      <c r="T567" s="16">
        <f t="shared" si="107"/>
        <v>311.82400569055267</v>
      </c>
      <c r="U567" s="23">
        <f t="shared" si="101"/>
        <v>2.0463630789890885E-12</v>
      </c>
      <c r="V567" s="22">
        <f t="shared" si="102"/>
        <v>3.0944732998250402E-7</v>
      </c>
    </row>
    <row r="568" spans="1:22" x14ac:dyDescent="0.45">
      <c r="A568">
        <v>-52.37426</v>
      </c>
      <c r="B568">
        <v>31.57901</v>
      </c>
      <c r="C568">
        <v>159.75973999999999</v>
      </c>
      <c r="D568">
        <v>41.176900000000003</v>
      </c>
      <c r="E568" s="13">
        <v>-52.374607197494903</v>
      </c>
      <c r="F568" s="13">
        <v>31.5792191743746</v>
      </c>
      <c r="G568" s="13">
        <v>159.759574330275</v>
      </c>
      <c r="H568" s="13">
        <f t="shared" si="103"/>
        <v>159.759574330275</v>
      </c>
      <c r="I568" s="11">
        <v>-52.374607197000003</v>
      </c>
      <c r="J568" s="11">
        <v>31.579219173999999</v>
      </c>
      <c r="K568" s="9">
        <f t="shared" si="104"/>
        <v>31.579219174000002</v>
      </c>
      <c r="L568" s="12">
        <v>339.75957399999999</v>
      </c>
      <c r="M568" s="3">
        <f t="shared" si="105"/>
        <v>159.75957399999993</v>
      </c>
      <c r="N568" s="15">
        <f t="shared" si="98"/>
        <v>-52.374607197494804</v>
      </c>
      <c r="O568" s="23">
        <f t="shared" si="108"/>
        <v>9.9475983006414026E-14</v>
      </c>
      <c r="P568" s="22">
        <f t="shared" si="109"/>
        <v>4.9480064490126097E-10</v>
      </c>
      <c r="Q568" s="16">
        <f t="shared" si="106"/>
        <v>31.5792191743746</v>
      </c>
      <c r="R568" s="23">
        <f t="shared" si="99"/>
        <v>0</v>
      </c>
      <c r="S568" s="22">
        <f t="shared" si="100"/>
        <v>3.7459813029272482E-10</v>
      </c>
      <c r="T568" s="16">
        <f t="shared" si="107"/>
        <v>159.75957433027497</v>
      </c>
      <c r="U568" s="23">
        <f t="shared" si="101"/>
        <v>2.8421709430404007E-14</v>
      </c>
      <c r="V568" s="22">
        <f t="shared" si="102"/>
        <v>3.3027504287019838E-7</v>
      </c>
    </row>
    <row r="569" spans="1:22" x14ac:dyDescent="0.45">
      <c r="A569">
        <v>-44.8003</v>
      </c>
      <c r="B569">
        <v>43.95102</v>
      </c>
      <c r="C569">
        <v>112.05547</v>
      </c>
      <c r="D569">
        <v>213.721</v>
      </c>
      <c r="E569" s="13">
        <v>-44.801022141477603</v>
      </c>
      <c r="F569" s="13">
        <v>43.953523575804503</v>
      </c>
      <c r="G569" s="13">
        <v>112.053705874344</v>
      </c>
      <c r="H569" s="13">
        <f t="shared" si="103"/>
        <v>112.053705874344</v>
      </c>
      <c r="I569" s="9">
        <v>-44.801022140999997</v>
      </c>
      <c r="J569" s="9">
        <v>43.953523576000002</v>
      </c>
      <c r="K569" s="9">
        <f t="shared" si="104"/>
        <v>43.953523576000009</v>
      </c>
      <c r="L569" s="10">
        <v>292.05370599999998</v>
      </c>
      <c r="M569" s="3">
        <f t="shared" si="105"/>
        <v>112.05370599999998</v>
      </c>
      <c r="N569" s="15">
        <f t="shared" si="98"/>
        <v>-44.801022141477823</v>
      </c>
      <c r="O569" s="23">
        <f t="shared" si="108"/>
        <v>2.2026824808563106E-13</v>
      </c>
      <c r="P569" s="22">
        <f t="shared" si="109"/>
        <v>4.7782577894395217E-10</v>
      </c>
      <c r="Q569" s="16">
        <f t="shared" si="106"/>
        <v>43.953523575805377</v>
      </c>
      <c r="R569" s="23">
        <f t="shared" si="99"/>
        <v>8.7396756498492323E-13</v>
      </c>
      <c r="S569" s="22">
        <f t="shared" si="100"/>
        <v>1.9463186617940664E-10</v>
      </c>
      <c r="T569" s="16">
        <f t="shared" si="107"/>
        <v>112.05370587434355</v>
      </c>
      <c r="U569" s="23">
        <f t="shared" si="101"/>
        <v>4.5474735088646412E-13</v>
      </c>
      <c r="V569" s="22">
        <f t="shared" si="102"/>
        <v>1.2565642748540995E-7</v>
      </c>
    </row>
    <row r="570" spans="1:22" x14ac:dyDescent="0.45">
      <c r="A570">
        <v>-77.591309999999993</v>
      </c>
      <c r="B570">
        <v>156.82078000000001</v>
      </c>
      <c r="C570">
        <v>139.50046</v>
      </c>
      <c r="D570">
        <v>299.5917</v>
      </c>
      <c r="E570" s="13">
        <v>-77.593350448000507</v>
      </c>
      <c r="F570" s="13">
        <v>156.82888914770001</v>
      </c>
      <c r="G570" s="13">
        <v>139.49254025340801</v>
      </c>
      <c r="H570" s="13">
        <f t="shared" si="103"/>
        <v>139.49254025340801</v>
      </c>
      <c r="I570" s="11">
        <v>-77.593350447999995</v>
      </c>
      <c r="J570" s="11">
        <v>156.828889148</v>
      </c>
      <c r="K570" s="9">
        <f t="shared" si="104"/>
        <v>156.82888914800003</v>
      </c>
      <c r="L570" s="12">
        <v>319.49254000000002</v>
      </c>
      <c r="M570" s="3">
        <f t="shared" si="105"/>
        <v>139.49254000000002</v>
      </c>
      <c r="N570" s="15">
        <f t="shared" si="98"/>
        <v>-77.593350448008067</v>
      </c>
      <c r="O570" s="23">
        <f t="shared" si="108"/>
        <v>7.560174708487466E-12</v>
      </c>
      <c r="P570" s="22">
        <f t="shared" si="109"/>
        <v>8.0717654782347381E-12</v>
      </c>
      <c r="Q570" s="16">
        <f t="shared" si="106"/>
        <v>156.82888914773037</v>
      </c>
      <c r="R570" s="23">
        <f t="shared" si="99"/>
        <v>3.035438567167148E-11</v>
      </c>
      <c r="S570" s="22">
        <f t="shared" si="100"/>
        <v>2.6966517907567322E-10</v>
      </c>
      <c r="T570" s="16">
        <f t="shared" si="107"/>
        <v>139.49254025337791</v>
      </c>
      <c r="U570" s="23">
        <f t="shared" si="101"/>
        <v>3.0098590286797844E-11</v>
      </c>
      <c r="V570" s="22">
        <f t="shared" si="102"/>
        <v>2.5337789111290476E-7</v>
      </c>
    </row>
    <row r="571" spans="1:22" x14ac:dyDescent="0.45">
      <c r="A571">
        <v>-63.280999999999999</v>
      </c>
      <c r="B571">
        <v>77.74485</v>
      </c>
      <c r="C571">
        <v>133.05328</v>
      </c>
      <c r="D571">
        <v>26.440300000000001</v>
      </c>
      <c r="E571" s="13">
        <v>-63.281161934040597</v>
      </c>
      <c r="F571" s="13">
        <v>77.745234985340403</v>
      </c>
      <c r="G571" s="13">
        <v>133.05293612224901</v>
      </c>
      <c r="H571" s="13">
        <f t="shared" si="103"/>
        <v>133.05293612224901</v>
      </c>
      <c r="I571" s="9">
        <v>-63.281161933999996</v>
      </c>
      <c r="J571" s="9">
        <v>77.745234984999996</v>
      </c>
      <c r="K571" s="9">
        <f t="shared" si="104"/>
        <v>77.745234985000025</v>
      </c>
      <c r="L571" s="10">
        <v>313.05293599999999</v>
      </c>
      <c r="M571" s="3">
        <f t="shared" si="105"/>
        <v>133.05293599999999</v>
      </c>
      <c r="N571" s="15">
        <f t="shared" si="98"/>
        <v>-63.281161934040803</v>
      </c>
      <c r="O571" s="23">
        <f t="shared" si="108"/>
        <v>2.0605739337042905E-13</v>
      </c>
      <c r="P571" s="22">
        <f t="shared" si="109"/>
        <v>4.0806469314702554E-11</v>
      </c>
      <c r="Q571" s="16">
        <f t="shared" si="106"/>
        <v>77.745234985340971</v>
      </c>
      <c r="R571" s="23">
        <f t="shared" si="99"/>
        <v>5.6843418860808015E-13</v>
      </c>
      <c r="S571" s="22">
        <f t="shared" si="100"/>
        <v>3.4094682632712647E-10</v>
      </c>
      <c r="T571" s="16">
        <f t="shared" si="107"/>
        <v>133.05293612224838</v>
      </c>
      <c r="U571" s="23">
        <f t="shared" si="101"/>
        <v>6.2527760746888816E-13</v>
      </c>
      <c r="V571" s="22">
        <f t="shared" si="102"/>
        <v>1.2224839451846492E-7</v>
      </c>
    </row>
    <row r="572" spans="1:22" x14ac:dyDescent="0.45">
      <c r="A572">
        <v>-76.6036</v>
      </c>
      <c r="B572">
        <v>16.639379999999999</v>
      </c>
      <c r="C572">
        <v>312.82227</v>
      </c>
      <c r="D572">
        <v>113.30110000000001</v>
      </c>
      <c r="E572" s="13">
        <v>-76.6029100987313</v>
      </c>
      <c r="F572" s="13">
        <v>16.636168266359402</v>
      </c>
      <c r="G572" s="13">
        <v>-47.174605660706703</v>
      </c>
      <c r="H572" s="13">
        <f t="shared" si="103"/>
        <v>312.82539433929333</v>
      </c>
      <c r="I572" s="11">
        <v>-76.602910098999999</v>
      </c>
      <c r="J572" s="11">
        <v>16.636168265999999</v>
      </c>
      <c r="K572" s="9">
        <f t="shared" si="104"/>
        <v>16.636168265999999</v>
      </c>
      <c r="L572" s="12">
        <v>132.82539399999999</v>
      </c>
      <c r="M572" s="3">
        <f t="shared" si="105"/>
        <v>312.82539399999996</v>
      </c>
      <c r="N572" s="15">
        <f t="shared" si="98"/>
        <v>-76.602910098728614</v>
      </c>
      <c r="O572" s="23">
        <f t="shared" si="108"/>
        <v>2.6858515411731787E-12</v>
      </c>
      <c r="P572" s="22">
        <f t="shared" si="109"/>
        <v>2.7138469249621266E-10</v>
      </c>
      <c r="Q572" s="16">
        <f t="shared" si="106"/>
        <v>16.636168266347511</v>
      </c>
      <c r="R572" s="23">
        <f t="shared" si="99"/>
        <v>1.1890932682945277E-11</v>
      </c>
      <c r="S572" s="22">
        <f t="shared" si="100"/>
        <v>3.475122412055498E-10</v>
      </c>
      <c r="T572" s="16">
        <f t="shared" si="107"/>
        <v>312.82539433930458</v>
      </c>
      <c r="U572" s="23">
        <f t="shared" si="101"/>
        <v>1.1254996934439987E-11</v>
      </c>
      <c r="V572" s="22">
        <f t="shared" si="102"/>
        <v>3.3930461995623773E-7</v>
      </c>
    </row>
    <row r="573" spans="1:22" x14ac:dyDescent="0.45">
      <c r="A573">
        <v>57.43224</v>
      </c>
      <c r="B573">
        <v>78.881559999999993</v>
      </c>
      <c r="C573">
        <v>193.30803</v>
      </c>
      <c r="D573">
        <v>216.56450000000001</v>
      </c>
      <c r="E573" s="13">
        <v>57.430347624105003</v>
      </c>
      <c r="F573" s="13">
        <v>78.880730118285399</v>
      </c>
      <c r="G573" s="13">
        <v>-166.69266937994101</v>
      </c>
      <c r="H573" s="13">
        <f t="shared" si="103"/>
        <v>193.30733062005899</v>
      </c>
      <c r="I573" s="9">
        <v>57.430347623999999</v>
      </c>
      <c r="J573" s="9">
        <v>78.880730118000002</v>
      </c>
      <c r="K573" s="9">
        <f t="shared" si="104"/>
        <v>78.880730117999974</v>
      </c>
      <c r="L573" s="10">
        <v>13.307331</v>
      </c>
      <c r="M573" s="3">
        <f t="shared" si="105"/>
        <v>193.307331</v>
      </c>
      <c r="N573" s="15">
        <f t="shared" si="98"/>
        <v>57.43034762410413</v>
      </c>
      <c r="O573" s="23">
        <f t="shared" si="108"/>
        <v>8.7396756498492323E-13</v>
      </c>
      <c r="P573" s="22">
        <f t="shared" si="109"/>
        <v>1.0413003792564268E-10</v>
      </c>
      <c r="Q573" s="16">
        <f t="shared" si="106"/>
        <v>78.880730118285101</v>
      </c>
      <c r="R573" s="23">
        <f t="shared" si="99"/>
        <v>2.9842794901924208E-13</v>
      </c>
      <c r="S573" s="22">
        <f t="shared" si="100"/>
        <v>2.85126589005813E-10</v>
      </c>
      <c r="T573" s="16">
        <f t="shared" si="107"/>
        <v>193.30733062005822</v>
      </c>
      <c r="U573" s="23">
        <f t="shared" si="101"/>
        <v>7.673861546209082E-13</v>
      </c>
      <c r="V573" s="22">
        <f t="shared" si="102"/>
        <v>3.7994178114786337E-7</v>
      </c>
    </row>
    <row r="574" spans="1:22" x14ac:dyDescent="0.45">
      <c r="A574">
        <v>-70.088729999999998</v>
      </c>
      <c r="B574">
        <v>130.12809999999999</v>
      </c>
      <c r="C574">
        <v>226.68773999999999</v>
      </c>
      <c r="D574">
        <v>139.32480000000001</v>
      </c>
      <c r="E574" s="13">
        <v>-70.089586653665407</v>
      </c>
      <c r="F574" s="13">
        <v>130.12543378552999</v>
      </c>
      <c r="G574" s="13">
        <v>-133.30975316195901</v>
      </c>
      <c r="H574" s="13">
        <f t="shared" si="103"/>
        <v>226.69024683804099</v>
      </c>
      <c r="I574" s="11">
        <v>-70.089586654000001</v>
      </c>
      <c r="J574" s="11">
        <v>130.125433786</v>
      </c>
      <c r="K574" s="9">
        <f t="shared" si="104"/>
        <v>130.12543378600003</v>
      </c>
      <c r="L574" s="12">
        <v>46.690246999999999</v>
      </c>
      <c r="M574" s="3">
        <f t="shared" si="105"/>
        <v>226.690247</v>
      </c>
      <c r="N574" s="15">
        <f t="shared" si="98"/>
        <v>-70.089586653667581</v>
      </c>
      <c r="O574" s="23">
        <f t="shared" si="108"/>
        <v>2.1742607714259066E-12</v>
      </c>
      <c r="P574" s="22">
        <f t="shared" si="109"/>
        <v>3.3242031349800527E-10</v>
      </c>
      <c r="Q574" s="16">
        <f t="shared" si="106"/>
        <v>130.12543378552266</v>
      </c>
      <c r="R574" s="23">
        <f t="shared" si="99"/>
        <v>7.3328010330442339E-12</v>
      </c>
      <c r="S574" s="22">
        <f t="shared" si="100"/>
        <v>4.7737103159306571E-10</v>
      </c>
      <c r="T574" s="16">
        <f t="shared" si="107"/>
        <v>226.69024683804753</v>
      </c>
      <c r="U574" s="23">
        <f t="shared" si="101"/>
        <v>6.5369931689929217E-12</v>
      </c>
      <c r="V574" s="22">
        <f t="shared" si="102"/>
        <v>1.6195247098949039E-7</v>
      </c>
    </row>
    <row r="575" spans="1:22" x14ac:dyDescent="0.45">
      <c r="A575">
        <v>72.797669999999997</v>
      </c>
      <c r="B575">
        <v>61.032829999999997</v>
      </c>
      <c r="C575">
        <v>26.693940000000001</v>
      </c>
      <c r="D575">
        <v>131.84719999999999</v>
      </c>
      <c r="E575" s="13">
        <v>72.798725545345107</v>
      </c>
      <c r="F575" s="13">
        <v>61.034623651993599</v>
      </c>
      <c r="G575" s="13">
        <v>26.695653420254398</v>
      </c>
      <c r="H575" s="13">
        <f t="shared" si="103"/>
        <v>26.695653420254398</v>
      </c>
      <c r="I575" s="9">
        <v>72.798725544999996</v>
      </c>
      <c r="J575" s="9">
        <v>61.034623652000001</v>
      </c>
      <c r="K575" s="9">
        <f t="shared" si="104"/>
        <v>61.034623651999993</v>
      </c>
      <c r="L575" s="10">
        <v>206.69565299999999</v>
      </c>
      <c r="M575" s="3">
        <f t="shared" si="105"/>
        <v>26.695652999999993</v>
      </c>
      <c r="N575" s="15">
        <f t="shared" si="98"/>
        <v>72.798725545348006</v>
      </c>
      <c r="O575" s="23">
        <f t="shared" si="108"/>
        <v>2.8990143619012088E-12</v>
      </c>
      <c r="P575" s="22">
        <f t="shared" si="109"/>
        <v>3.4800962112058187E-10</v>
      </c>
      <c r="Q575" s="16">
        <f t="shared" si="106"/>
        <v>61.034623651998714</v>
      </c>
      <c r="R575" s="23">
        <f t="shared" si="99"/>
        <v>5.1159076974727213E-12</v>
      </c>
      <c r="S575" s="22">
        <f t="shared" si="100"/>
        <v>1.2789769243681803E-12</v>
      </c>
      <c r="T575" s="16">
        <f t="shared" si="107"/>
        <v>26.695653420259241</v>
      </c>
      <c r="U575" s="23">
        <f t="shared" si="101"/>
        <v>4.8423487442050828E-12</v>
      </c>
      <c r="V575" s="22">
        <f t="shared" si="102"/>
        <v>4.2025924784638846E-7</v>
      </c>
    </row>
    <row r="576" spans="1:22" x14ac:dyDescent="0.45">
      <c r="A576">
        <v>-12.12105</v>
      </c>
      <c r="B576">
        <v>65.601759999999999</v>
      </c>
      <c r="C576">
        <v>172.55895000000001</v>
      </c>
      <c r="D576">
        <v>211.75059999999999</v>
      </c>
      <c r="E576" s="13">
        <v>-12.122948039915499</v>
      </c>
      <c r="F576" s="13">
        <v>65.602011926658093</v>
      </c>
      <c r="G576" s="13">
        <v>172.55889709691999</v>
      </c>
      <c r="H576" s="13">
        <f t="shared" si="103"/>
        <v>172.55889709691999</v>
      </c>
      <c r="I576" s="11">
        <v>-12.122948040000001</v>
      </c>
      <c r="J576" s="11">
        <v>65.602011927000007</v>
      </c>
      <c r="K576" s="9">
        <f t="shared" si="104"/>
        <v>65.602011927000007</v>
      </c>
      <c r="L576" s="12">
        <v>352.558897</v>
      </c>
      <c r="M576" s="3">
        <f t="shared" si="105"/>
        <v>172.558897</v>
      </c>
      <c r="N576" s="15">
        <f t="shared" si="98"/>
        <v>-12.122948039909023</v>
      </c>
      <c r="O576" s="23">
        <f t="shared" si="108"/>
        <v>6.4765970364533132E-12</v>
      </c>
      <c r="P576" s="22">
        <f t="shared" si="109"/>
        <v>9.0977891886723228E-11</v>
      </c>
      <c r="Q576" s="16">
        <f t="shared" si="106"/>
        <v>65.602011926657212</v>
      </c>
      <c r="R576" s="23">
        <f t="shared" si="99"/>
        <v>8.8107299234252423E-13</v>
      </c>
      <c r="S576" s="22">
        <f t="shared" si="100"/>
        <v>3.4279423744010273E-10</v>
      </c>
      <c r="T576" s="16">
        <f t="shared" si="107"/>
        <v>172.5588970969203</v>
      </c>
      <c r="U576" s="23">
        <f t="shared" si="101"/>
        <v>3.1263880373444408E-13</v>
      </c>
      <c r="V576" s="22">
        <f t="shared" si="102"/>
        <v>9.6920302894432098E-8</v>
      </c>
    </row>
    <row r="577" spans="1:22" x14ac:dyDescent="0.45">
      <c r="A577">
        <v>56.408329999999999</v>
      </c>
      <c r="B577">
        <v>-137.34782000000001</v>
      </c>
      <c r="C577">
        <v>245.13218000000001</v>
      </c>
      <c r="D577">
        <v>1.5274000000000001</v>
      </c>
      <c r="E577" s="13">
        <v>56.408324231553102</v>
      </c>
      <c r="F577" s="13">
        <v>-137.347842447837</v>
      </c>
      <c r="G577" s="13">
        <v>-114.86783869908599</v>
      </c>
      <c r="H577" s="13">
        <f t="shared" si="103"/>
        <v>245.13216130091399</v>
      </c>
      <c r="I577" s="9">
        <v>56.408324231999998</v>
      </c>
      <c r="J577" s="9">
        <v>-137.34784244799999</v>
      </c>
      <c r="K577" s="9">
        <f t="shared" si="104"/>
        <v>-137.34784244799999</v>
      </c>
      <c r="L577" s="10">
        <v>65.132160999999996</v>
      </c>
      <c r="M577" s="3">
        <f t="shared" si="105"/>
        <v>245.132161</v>
      </c>
      <c r="N577" s="15">
        <f t="shared" si="98"/>
        <v>56.408324231559689</v>
      </c>
      <c r="O577" s="23">
        <f t="shared" si="108"/>
        <v>6.5867311604961287E-12</v>
      </c>
      <c r="P577" s="22">
        <f t="shared" si="109"/>
        <v>4.4030912249581888E-10</v>
      </c>
      <c r="Q577" s="16">
        <f t="shared" si="106"/>
        <v>-137.34784244781122</v>
      </c>
      <c r="R577" s="23">
        <f t="shared" si="99"/>
        <v>2.5778490453376435E-11</v>
      </c>
      <c r="S577" s="22">
        <f t="shared" si="100"/>
        <v>1.8877699403674342E-10</v>
      </c>
      <c r="T577" s="16">
        <f t="shared" si="107"/>
        <v>245.13216130093573</v>
      </c>
      <c r="U577" s="23">
        <f t="shared" si="101"/>
        <v>2.1742607714259066E-11</v>
      </c>
      <c r="V577" s="22">
        <f t="shared" si="102"/>
        <v>3.0093573855083378E-7</v>
      </c>
    </row>
    <row r="578" spans="1:22" x14ac:dyDescent="0.45">
      <c r="A578">
        <v>4.0333899999999998</v>
      </c>
      <c r="B578">
        <v>53.337260000000001</v>
      </c>
      <c r="C578">
        <v>115.78897000000001</v>
      </c>
      <c r="D578">
        <v>145.38300000000001</v>
      </c>
      <c r="E578" s="13">
        <v>4.0328180138268701</v>
      </c>
      <c r="F578" s="13">
        <v>53.338438823035098</v>
      </c>
      <c r="G578" s="13">
        <v>115.789052909958</v>
      </c>
      <c r="H578" s="13">
        <f t="shared" si="103"/>
        <v>115.789052909958</v>
      </c>
      <c r="I578" s="11">
        <v>4.0328180140000001</v>
      </c>
      <c r="J578" s="11">
        <v>53.338438822999997</v>
      </c>
      <c r="K578" s="9">
        <f t="shared" si="104"/>
        <v>53.33843882299999</v>
      </c>
      <c r="L578" s="12">
        <v>295.78905300000002</v>
      </c>
      <c r="M578" s="3">
        <f t="shared" si="105"/>
        <v>115.78905300000002</v>
      </c>
      <c r="N578" s="15">
        <f t="shared" si="98"/>
        <v>4.0328180138268834</v>
      </c>
      <c r="O578" s="23">
        <f t="shared" si="108"/>
        <v>1.3322676295501878E-14</v>
      </c>
      <c r="P578" s="22">
        <f t="shared" si="109"/>
        <v>1.7311663214059081E-10</v>
      </c>
      <c r="Q578" s="16">
        <f t="shared" si="106"/>
        <v>53.338438823035034</v>
      </c>
      <c r="R578" s="23">
        <f t="shared" si="99"/>
        <v>6.3948846218409017E-14</v>
      </c>
      <c r="S578" s="22">
        <f t="shared" si="100"/>
        <v>3.5043967727688141E-11</v>
      </c>
      <c r="T578" s="16">
        <f t="shared" si="107"/>
        <v>115.78905290995833</v>
      </c>
      <c r="U578" s="23">
        <f t="shared" si="101"/>
        <v>3.2684965844964609E-13</v>
      </c>
      <c r="V578" s="22">
        <f t="shared" si="102"/>
        <v>9.0041694988940435E-8</v>
      </c>
    </row>
    <row r="579" spans="1:22" x14ac:dyDescent="0.45">
      <c r="A579">
        <v>-24.675519999999999</v>
      </c>
      <c r="B579">
        <v>-116.47371</v>
      </c>
      <c r="C579">
        <v>17.108699999999999</v>
      </c>
      <c r="D579">
        <v>298.60430000000002</v>
      </c>
      <c r="E579" s="13">
        <v>-24.672943527601898</v>
      </c>
      <c r="F579" s="13">
        <v>-116.47284210042901</v>
      </c>
      <c r="G579" s="13">
        <v>17.108337688000201</v>
      </c>
      <c r="H579" s="13">
        <f t="shared" si="103"/>
        <v>17.108337688000201</v>
      </c>
      <c r="I579" s="9">
        <v>-24.672943528000001</v>
      </c>
      <c r="J579" s="9">
        <v>-116.47284209999999</v>
      </c>
      <c r="K579" s="9">
        <f t="shared" si="104"/>
        <v>-116.47284209999999</v>
      </c>
      <c r="L579" s="10">
        <v>197.108338</v>
      </c>
      <c r="M579" s="3">
        <f t="shared" si="105"/>
        <v>17.108338000000003</v>
      </c>
      <c r="N579" s="15">
        <f t="shared" ref="N579:N602" si="110">vincentyDirLat(A579, $B579, $C579, $D579)</f>
        <v>-24.672943527604254</v>
      </c>
      <c r="O579" s="23">
        <f t="shared" si="108"/>
        <v>2.3554491690447321E-12</v>
      </c>
      <c r="P579" s="22">
        <f t="shared" si="109"/>
        <v>3.957474348226242E-10</v>
      </c>
      <c r="Q579" s="16">
        <f t="shared" si="106"/>
        <v>-116.47284210042982</v>
      </c>
      <c r="R579" s="23">
        <f t="shared" ref="R579:R602" si="111">ABS(F579-Q579)</f>
        <v>8.1001871876651421E-13</v>
      </c>
      <c r="S579" s="22">
        <f t="shared" ref="S579:S602" si="112">ABS(K579-Q579)</f>
        <v>4.298215117159998E-10</v>
      </c>
      <c r="T579" s="16">
        <f t="shared" si="107"/>
        <v>17.108337688000482</v>
      </c>
      <c r="U579" s="23">
        <f t="shared" ref="U579:U602" si="113">ABS(H579-T579)</f>
        <v>2.8066438062523957E-13</v>
      </c>
      <c r="V579" s="22">
        <f t="shared" ref="V579:V602" si="114">ABS(M579-T579)</f>
        <v>3.1199952132965336E-7</v>
      </c>
    </row>
    <row r="580" spans="1:22" x14ac:dyDescent="0.45">
      <c r="A580">
        <v>24.813469999999999</v>
      </c>
      <c r="B580">
        <v>95.51782</v>
      </c>
      <c r="C580">
        <v>34.912210000000002</v>
      </c>
      <c r="D580">
        <v>134.36859999999999</v>
      </c>
      <c r="E580" s="13">
        <v>24.814464727239798</v>
      </c>
      <c r="F580" s="13">
        <v>95.518580643351996</v>
      </c>
      <c r="G580" s="13">
        <v>34.912529221754902</v>
      </c>
      <c r="H580" s="13">
        <f t="shared" ref="H580:H602" si="115">NormalizeAzimuth(G580, TRUE)</f>
        <v>34.912529221754902</v>
      </c>
      <c r="I580" s="11">
        <v>24.814464727000001</v>
      </c>
      <c r="J580" s="11">
        <v>95.518580643000007</v>
      </c>
      <c r="K580" s="9">
        <f t="shared" ref="K580:K602" si="116">normalizelon(J580)</f>
        <v>95.518580643000007</v>
      </c>
      <c r="L580" s="12">
        <v>214.91252900000001</v>
      </c>
      <c r="M580" s="3">
        <f t="shared" ref="M580:M602" si="117">NormalizeAzimuth(L580+180, TRUE)</f>
        <v>34.912529000000006</v>
      </c>
      <c r="N580" s="15">
        <f t="shared" si="110"/>
        <v>24.814464727239521</v>
      </c>
      <c r="O580" s="23">
        <f t="shared" si="108"/>
        <v>2.7711166694643907E-13</v>
      </c>
      <c r="P580" s="22">
        <f t="shared" si="109"/>
        <v>2.3952040351105097E-10</v>
      </c>
      <c r="Q580" s="16">
        <f t="shared" ref="Q580:Q602" si="118">VincentyDirLon($A580, $B580, $C580, $D580)</f>
        <v>95.518580643351811</v>
      </c>
      <c r="R580" s="23">
        <f t="shared" si="111"/>
        <v>1.8474111129762605E-13</v>
      </c>
      <c r="S580" s="22">
        <f t="shared" si="112"/>
        <v>3.518039193295408E-10</v>
      </c>
      <c r="T580" s="16">
        <f t="shared" ref="T580:T602" si="119">VincentyDirRevAzimuth($A580, $B580, $C580, $D580)</f>
        <v>34.912529221754859</v>
      </c>
      <c r="U580" s="23">
        <f t="shared" si="113"/>
        <v>4.2632564145606011E-14</v>
      </c>
      <c r="V580" s="22">
        <f t="shared" si="114"/>
        <v>2.217548527028157E-7</v>
      </c>
    </row>
    <row r="581" spans="1:22" x14ac:dyDescent="0.45">
      <c r="A581">
        <v>-67.415689999999998</v>
      </c>
      <c r="B581">
        <v>65.61645</v>
      </c>
      <c r="C581">
        <v>198.33238</v>
      </c>
      <c r="D581">
        <v>113.09690000000001</v>
      </c>
      <c r="E581" s="13">
        <v>-67.416652602075104</v>
      </c>
      <c r="F581" s="13">
        <v>65.615620272359394</v>
      </c>
      <c r="G581" s="13">
        <v>-161.66685389699899</v>
      </c>
      <c r="H581" s="13">
        <f t="shared" si="115"/>
        <v>198.33314610300101</v>
      </c>
      <c r="I581" s="9">
        <v>-67.416652601999999</v>
      </c>
      <c r="J581" s="9">
        <v>65.615620272000001</v>
      </c>
      <c r="K581" s="9">
        <f t="shared" si="116"/>
        <v>65.615620272000001</v>
      </c>
      <c r="L581" s="10">
        <v>18.333145999999999</v>
      </c>
      <c r="M581" s="3">
        <f t="shared" si="117"/>
        <v>198.333146</v>
      </c>
      <c r="N581" s="15">
        <f t="shared" si="110"/>
        <v>-67.416652602076752</v>
      </c>
      <c r="O581" s="23">
        <f t="shared" si="108"/>
        <v>1.6484591469634324E-12</v>
      </c>
      <c r="P581" s="22">
        <f t="shared" si="109"/>
        <v>7.6752826316806022E-11</v>
      </c>
      <c r="Q581" s="16">
        <f t="shared" si="118"/>
        <v>65.615620272357887</v>
      </c>
      <c r="R581" s="23">
        <f t="shared" si="111"/>
        <v>1.5063505998114124E-12</v>
      </c>
      <c r="S581" s="22">
        <f t="shared" si="112"/>
        <v>3.5788616514764726E-10</v>
      </c>
      <c r="T581" s="16">
        <f t="shared" si="119"/>
        <v>198.33314610300187</v>
      </c>
      <c r="U581" s="23">
        <f t="shared" si="113"/>
        <v>8.5265128291212022E-13</v>
      </c>
      <c r="V581" s="22">
        <f t="shared" si="114"/>
        <v>1.0300186659151223E-7</v>
      </c>
    </row>
    <row r="582" spans="1:22" x14ac:dyDescent="0.45">
      <c r="A582">
        <v>1.18946</v>
      </c>
      <c r="B582">
        <v>62.518470000000001</v>
      </c>
      <c r="C582">
        <v>336.43885999999998</v>
      </c>
      <c r="D582">
        <v>258.26159999999999</v>
      </c>
      <c r="E582" s="13">
        <v>1.1916009168716799</v>
      </c>
      <c r="F582" s="13">
        <v>62.517542431739201</v>
      </c>
      <c r="G582" s="13">
        <v>-23.5611592722538</v>
      </c>
      <c r="H582" s="13">
        <f t="shared" si="115"/>
        <v>336.4388407277462</v>
      </c>
      <c r="I582" s="11">
        <v>1.1916009169999999</v>
      </c>
      <c r="J582" s="11">
        <v>62.517542431999999</v>
      </c>
      <c r="K582" s="9">
        <f t="shared" si="116"/>
        <v>62.517542431999999</v>
      </c>
      <c r="L582" s="12">
        <v>156.438841</v>
      </c>
      <c r="M582" s="3">
        <f t="shared" si="117"/>
        <v>336.43884100000002</v>
      </c>
      <c r="N582" s="15">
        <f t="shared" si="110"/>
        <v>1.1916009168656825</v>
      </c>
      <c r="O582" s="23">
        <f t="shared" si="108"/>
        <v>5.9974247790250956E-12</v>
      </c>
      <c r="P582" s="22">
        <f t="shared" si="109"/>
        <v>1.3431744605441054E-10</v>
      </c>
      <c r="Q582" s="16">
        <f t="shared" si="118"/>
        <v>62.517542431741845</v>
      </c>
      <c r="R582" s="23">
        <f t="shared" si="111"/>
        <v>2.6432189770275727E-12</v>
      </c>
      <c r="S582" s="22">
        <f t="shared" si="112"/>
        <v>2.581543867563596E-10</v>
      </c>
      <c r="T582" s="16">
        <f t="shared" si="119"/>
        <v>336.43884072774586</v>
      </c>
      <c r="U582" s="23">
        <f t="shared" si="113"/>
        <v>3.4106051316484809E-13</v>
      </c>
      <c r="V582" s="22">
        <f t="shared" si="114"/>
        <v>2.7225416943110758E-7</v>
      </c>
    </row>
    <row r="583" spans="1:22" x14ac:dyDescent="0.45">
      <c r="A583">
        <v>86.295429999999996</v>
      </c>
      <c r="B583">
        <v>128.02153000000001</v>
      </c>
      <c r="C583">
        <v>249.55179999999999</v>
      </c>
      <c r="D583">
        <v>245.2526</v>
      </c>
      <c r="E583" s="13">
        <v>86.294662287370102</v>
      </c>
      <c r="F583" s="13">
        <v>127.989693756796</v>
      </c>
      <c r="G583" s="13">
        <v>-110.479969706574</v>
      </c>
      <c r="H583" s="13">
        <f t="shared" si="115"/>
        <v>249.520030293426</v>
      </c>
      <c r="I583" s="9">
        <v>86.294662286999994</v>
      </c>
      <c r="J583" s="9">
        <v>127.989693757</v>
      </c>
      <c r="K583" s="9">
        <f t="shared" si="116"/>
        <v>127.989693757</v>
      </c>
      <c r="L583" s="10">
        <v>69.520030000000006</v>
      </c>
      <c r="M583" s="3">
        <f t="shared" si="117"/>
        <v>249.52003000000002</v>
      </c>
      <c r="N583" s="15">
        <f t="shared" si="110"/>
        <v>86.294662287366478</v>
      </c>
      <c r="O583" s="23">
        <f t="shared" si="108"/>
        <v>3.6237679523765109E-12</v>
      </c>
      <c r="P583" s="22">
        <f t="shared" si="109"/>
        <v>3.6648373225034447E-10</v>
      </c>
      <c r="Q583" s="16">
        <f t="shared" si="118"/>
        <v>127.98969375664774</v>
      </c>
      <c r="R583" s="23">
        <f t="shared" si="111"/>
        <v>1.482618472437025E-10</v>
      </c>
      <c r="S583" s="22">
        <f t="shared" si="112"/>
        <v>3.5225866668042727E-10</v>
      </c>
      <c r="T583" s="16">
        <f t="shared" si="119"/>
        <v>249.52003029327742</v>
      </c>
      <c r="U583" s="23">
        <f t="shared" si="113"/>
        <v>1.4858869690215215E-10</v>
      </c>
      <c r="V583" s="22">
        <f t="shared" si="114"/>
        <v>2.9327739525797369E-7</v>
      </c>
    </row>
    <row r="584" spans="1:22" x14ac:dyDescent="0.45">
      <c r="A584">
        <v>15.1288</v>
      </c>
      <c r="B584">
        <v>108.01099000000001</v>
      </c>
      <c r="C584">
        <v>122.24324</v>
      </c>
      <c r="D584">
        <v>232.00069999999999</v>
      </c>
      <c r="E584" s="13">
        <v>15.127681367662699</v>
      </c>
      <c r="F584" s="13">
        <v>108.012815570896</v>
      </c>
      <c r="G584" s="13">
        <v>122.243716438134</v>
      </c>
      <c r="H584" s="13">
        <f t="shared" si="115"/>
        <v>122.243716438134</v>
      </c>
      <c r="I584" s="11">
        <v>15.127681367999999</v>
      </c>
      <c r="J584" s="11">
        <v>108.012815571</v>
      </c>
      <c r="K584" s="9">
        <f t="shared" si="116"/>
        <v>108.01281557100003</v>
      </c>
      <c r="L584" s="12">
        <v>302.24371600000001</v>
      </c>
      <c r="M584" s="3">
        <f t="shared" si="117"/>
        <v>122.24371600000001</v>
      </c>
      <c r="N584" s="15">
        <f t="shared" si="110"/>
        <v>15.127681367662682</v>
      </c>
      <c r="O584" s="23">
        <f t="shared" si="108"/>
        <v>1.7763568394002505E-14</v>
      </c>
      <c r="P584" s="22">
        <f t="shared" si="109"/>
        <v>3.3731772930423176E-10</v>
      </c>
      <c r="Q584" s="16">
        <f t="shared" si="118"/>
        <v>108.0128155708959</v>
      </c>
      <c r="R584" s="23">
        <f t="shared" si="111"/>
        <v>9.9475983006414026E-14</v>
      </c>
      <c r="S584" s="22">
        <f t="shared" si="112"/>
        <v>1.0413714335300028E-10</v>
      </c>
      <c r="T584" s="16">
        <f t="shared" si="119"/>
        <v>122.24371643813427</v>
      </c>
      <c r="U584" s="23">
        <f t="shared" si="113"/>
        <v>2.7000623958883807E-13</v>
      </c>
      <c r="V584" s="22">
        <f t="shared" si="114"/>
        <v>4.3813426486849494E-7</v>
      </c>
    </row>
    <row r="585" spans="1:22" x14ac:dyDescent="0.45">
      <c r="A585">
        <v>71.317300000000003</v>
      </c>
      <c r="B585">
        <v>-79.998649999999998</v>
      </c>
      <c r="C585">
        <v>208.13885999999999</v>
      </c>
      <c r="D585">
        <v>154.26689999999999</v>
      </c>
      <c r="E585" s="13">
        <v>71.316080811367598</v>
      </c>
      <c r="F585" s="13">
        <v>-80.000684020583094</v>
      </c>
      <c r="G585" s="13">
        <v>-151.86306683508801</v>
      </c>
      <c r="H585" s="13">
        <f t="shared" si="115"/>
        <v>208.13693316491199</v>
      </c>
      <c r="I585" s="9">
        <v>71.316080811000006</v>
      </c>
      <c r="J585" s="9">
        <v>-80.000684020999998</v>
      </c>
      <c r="K585" s="9">
        <f t="shared" si="116"/>
        <v>-80.000684020999998</v>
      </c>
      <c r="L585" s="10">
        <v>28.136932999999999</v>
      </c>
      <c r="M585" s="3">
        <f t="shared" si="117"/>
        <v>208.136933</v>
      </c>
      <c r="N585" s="15">
        <f t="shared" si="110"/>
        <v>71.316080811364372</v>
      </c>
      <c r="O585" s="23">
        <f t="shared" si="108"/>
        <v>3.2258640203508548E-12</v>
      </c>
      <c r="P585" s="22">
        <f t="shared" si="109"/>
        <v>3.6436631489777938E-10</v>
      </c>
      <c r="Q585" s="16">
        <f t="shared" si="118"/>
        <v>-80.000684020588366</v>
      </c>
      <c r="R585" s="23">
        <f t="shared" si="111"/>
        <v>5.2722270993399434E-12</v>
      </c>
      <c r="S585" s="22">
        <f t="shared" si="112"/>
        <v>4.1163161768054124E-10</v>
      </c>
      <c r="T585" s="16">
        <f t="shared" si="119"/>
        <v>208.13693316490688</v>
      </c>
      <c r="U585" s="23">
        <f t="shared" si="113"/>
        <v>5.1159076974727213E-12</v>
      </c>
      <c r="V585" s="22">
        <f t="shared" si="114"/>
        <v>1.6490687926307146E-7</v>
      </c>
    </row>
    <row r="586" spans="1:22" x14ac:dyDescent="0.45">
      <c r="A586">
        <v>15.766260000000001</v>
      </c>
      <c r="B586">
        <v>-104.24096</v>
      </c>
      <c r="C586">
        <v>121.76687</v>
      </c>
      <c r="D586">
        <v>133.05260000000001</v>
      </c>
      <c r="E586" s="13">
        <v>15.7656269793285</v>
      </c>
      <c r="F586" s="13">
        <v>-104.239904356214</v>
      </c>
      <c r="G586" s="13">
        <v>121.767156827134</v>
      </c>
      <c r="H586" s="13">
        <f t="shared" si="115"/>
        <v>121.767156827134</v>
      </c>
      <c r="I586" s="11">
        <v>15.765626979</v>
      </c>
      <c r="J586" s="11">
        <v>-104.239904356</v>
      </c>
      <c r="K586" s="9">
        <f t="shared" si="116"/>
        <v>-104.239904356</v>
      </c>
      <c r="L586" s="12">
        <v>301.767157</v>
      </c>
      <c r="M586" s="3">
        <f t="shared" si="117"/>
        <v>121.767157</v>
      </c>
      <c r="N586" s="15">
        <f t="shared" si="110"/>
        <v>15.765626979328523</v>
      </c>
      <c r="O586" s="23">
        <f t="shared" si="108"/>
        <v>2.3092638912203256E-14</v>
      </c>
      <c r="P586" s="22">
        <f t="shared" si="109"/>
        <v>3.2852298659236112E-10</v>
      </c>
      <c r="Q586" s="16">
        <f t="shared" si="118"/>
        <v>-104.23990435621437</v>
      </c>
      <c r="R586" s="23">
        <f t="shared" si="111"/>
        <v>3.694822225952521E-13</v>
      </c>
      <c r="S586" s="22">
        <f t="shared" si="112"/>
        <v>2.1437074337882223E-10</v>
      </c>
      <c r="T586" s="16">
        <f t="shared" si="119"/>
        <v>121.76715682713429</v>
      </c>
      <c r="U586" s="23">
        <f t="shared" si="113"/>
        <v>2.8421709430404007E-13</v>
      </c>
      <c r="V586" s="22">
        <f t="shared" si="114"/>
        <v>1.7286571107888449E-7</v>
      </c>
    </row>
    <row r="587" spans="1:22" x14ac:dyDescent="0.45">
      <c r="A587">
        <v>-57.65</v>
      </c>
      <c r="B587">
        <v>47.026119999999999</v>
      </c>
      <c r="C587">
        <v>307.18281000000002</v>
      </c>
      <c r="D587">
        <v>161.2106</v>
      </c>
      <c r="E587" s="13">
        <v>-57.649125168160701</v>
      </c>
      <c r="F587" s="13">
        <v>47.023968970789802</v>
      </c>
      <c r="G587" s="13">
        <v>-52.815372829632999</v>
      </c>
      <c r="H587" s="13">
        <f t="shared" si="115"/>
        <v>307.18462717036698</v>
      </c>
      <c r="I587" s="9">
        <v>-57.649125167999998</v>
      </c>
      <c r="J587" s="9">
        <v>47.023968971000002</v>
      </c>
      <c r="K587" s="9">
        <f t="shared" si="116"/>
        <v>47.023968970999988</v>
      </c>
      <c r="L587" s="10">
        <v>127.18462700000001</v>
      </c>
      <c r="M587" s="3">
        <f t="shared" si="117"/>
        <v>307.18462699999998</v>
      </c>
      <c r="N587" s="15">
        <f t="shared" si="110"/>
        <v>-57.649125168159699</v>
      </c>
      <c r="O587" s="23">
        <f t="shared" si="108"/>
        <v>1.0018652574217413E-12</v>
      </c>
      <c r="P587" s="22">
        <f t="shared" si="109"/>
        <v>1.5970158528944012E-10</v>
      </c>
      <c r="Q587" s="16">
        <f t="shared" si="118"/>
        <v>47.023968970787564</v>
      </c>
      <c r="R587" s="23">
        <f t="shared" si="111"/>
        <v>2.2382096176443156E-12</v>
      </c>
      <c r="S587" s="22">
        <f t="shared" si="112"/>
        <v>2.1242385628283955E-10</v>
      </c>
      <c r="T587" s="16">
        <f t="shared" si="119"/>
        <v>307.18462717036869</v>
      </c>
      <c r="U587" s="23">
        <f t="shared" si="113"/>
        <v>1.7053025658242404E-12</v>
      </c>
      <c r="V587" s="22">
        <f t="shared" si="114"/>
        <v>1.7036870758602163E-7</v>
      </c>
    </row>
    <row r="588" spans="1:22" x14ac:dyDescent="0.45">
      <c r="A588">
        <v>12.35566</v>
      </c>
      <c r="B588">
        <v>65.927099999999996</v>
      </c>
      <c r="C588">
        <v>68.582499999999996</v>
      </c>
      <c r="D588">
        <v>106.81950000000001</v>
      </c>
      <c r="E588" s="13">
        <v>12.356012597630301</v>
      </c>
      <c r="F588" s="13">
        <v>65.928014354133694</v>
      </c>
      <c r="G588" s="13">
        <v>68.582695655730902</v>
      </c>
      <c r="H588" s="13">
        <f t="shared" si="115"/>
        <v>68.582695655730902</v>
      </c>
      <c r="I588" s="11">
        <v>12.356012598</v>
      </c>
      <c r="J588" s="11">
        <v>65.928014353999998</v>
      </c>
      <c r="K588" s="9">
        <f t="shared" si="116"/>
        <v>65.928014353999998</v>
      </c>
      <c r="L588" s="12">
        <v>248.582696</v>
      </c>
      <c r="M588" s="3">
        <f t="shared" si="117"/>
        <v>68.582695999999999</v>
      </c>
      <c r="N588" s="15">
        <f t="shared" si="110"/>
        <v>12.356012597623648</v>
      </c>
      <c r="O588" s="23">
        <f t="shared" si="108"/>
        <v>6.652456363553938E-12</v>
      </c>
      <c r="P588" s="22">
        <f t="shared" si="109"/>
        <v>3.7635139449321287E-10</v>
      </c>
      <c r="Q588" s="16">
        <f t="shared" si="118"/>
        <v>65.928014354116328</v>
      </c>
      <c r="R588" s="23">
        <f t="shared" si="111"/>
        <v>1.7365664461976849E-11</v>
      </c>
      <c r="S588" s="22">
        <f t="shared" si="112"/>
        <v>1.163300566986436E-10</v>
      </c>
      <c r="T588" s="16">
        <f t="shared" si="119"/>
        <v>68.582695655727065</v>
      </c>
      <c r="U588" s="23">
        <f t="shared" si="113"/>
        <v>3.836930773104541E-12</v>
      </c>
      <c r="V588" s="22">
        <f t="shared" si="114"/>
        <v>3.4427293371663836E-7</v>
      </c>
    </row>
    <row r="589" spans="1:22" x14ac:dyDescent="0.45">
      <c r="A589">
        <v>25.570540000000001</v>
      </c>
      <c r="B589">
        <v>48.943420000000003</v>
      </c>
      <c r="C589">
        <v>287.78473000000002</v>
      </c>
      <c r="D589">
        <v>46.385199999999998</v>
      </c>
      <c r="E589" s="13">
        <v>25.5706678904853</v>
      </c>
      <c r="F589" s="13">
        <v>48.942980419919898</v>
      </c>
      <c r="G589" s="13">
        <v>-72.215459732872702</v>
      </c>
      <c r="H589" s="13">
        <f t="shared" si="115"/>
        <v>287.78454026712728</v>
      </c>
      <c r="I589" s="9">
        <v>25.570667889999999</v>
      </c>
      <c r="J589" s="9">
        <v>48.942980419999998</v>
      </c>
      <c r="K589" s="9">
        <f t="shared" si="116"/>
        <v>48.942980419999998</v>
      </c>
      <c r="L589" s="10">
        <v>107.78454000000001</v>
      </c>
      <c r="M589" s="3">
        <f t="shared" si="117"/>
        <v>287.78453999999999</v>
      </c>
      <c r="N589" s="15">
        <f t="shared" si="110"/>
        <v>25.570667890480919</v>
      </c>
      <c r="O589" s="23">
        <f t="shared" si="108"/>
        <v>4.3804959659610176E-12</v>
      </c>
      <c r="P589" s="22">
        <f t="shared" si="109"/>
        <v>4.8092019255818741E-10</v>
      </c>
      <c r="Q589" s="16">
        <f t="shared" si="118"/>
        <v>48.942980419934798</v>
      </c>
      <c r="R589" s="23">
        <f t="shared" si="111"/>
        <v>1.4900081168889301E-11</v>
      </c>
      <c r="S589" s="22">
        <f t="shared" si="112"/>
        <v>6.5199401433346793E-11</v>
      </c>
      <c r="T589" s="16">
        <f t="shared" si="119"/>
        <v>287.78454026713342</v>
      </c>
      <c r="U589" s="23">
        <f t="shared" si="113"/>
        <v>6.1390892369672656E-12</v>
      </c>
      <c r="V589" s="22">
        <f t="shared" si="114"/>
        <v>2.6713343004303169E-7</v>
      </c>
    </row>
    <row r="590" spans="1:22" x14ac:dyDescent="0.45">
      <c r="A590">
        <v>76.305090000000007</v>
      </c>
      <c r="B590">
        <v>161.61292</v>
      </c>
      <c r="C590">
        <v>309.79298999999997</v>
      </c>
      <c r="D590">
        <v>169.67699999999999</v>
      </c>
      <c r="E590" s="13">
        <v>76.306062765279606</v>
      </c>
      <c r="F590" s="13">
        <v>161.60798851286299</v>
      </c>
      <c r="G590" s="13">
        <v>-50.211801295639603</v>
      </c>
      <c r="H590" s="13">
        <f t="shared" si="115"/>
        <v>309.78819870436041</v>
      </c>
      <c r="I590" s="11">
        <v>76.306062764999993</v>
      </c>
      <c r="J590" s="11">
        <v>161.60798851300001</v>
      </c>
      <c r="K590" s="9">
        <f t="shared" si="116"/>
        <v>161.60798851300001</v>
      </c>
      <c r="L590" s="12">
        <v>129.78819899999999</v>
      </c>
      <c r="M590" s="3">
        <f t="shared" si="117"/>
        <v>309.78819899999996</v>
      </c>
      <c r="N590" s="15">
        <f t="shared" si="110"/>
        <v>76.306062765283116</v>
      </c>
      <c r="O590" s="23">
        <f t="shared" si="108"/>
        <v>3.5100811146548949E-12</v>
      </c>
      <c r="P590" s="22">
        <f t="shared" si="109"/>
        <v>2.8312285849096952E-10</v>
      </c>
      <c r="Q590" s="16">
        <f t="shared" si="118"/>
        <v>161.6079885128446</v>
      </c>
      <c r="R590" s="23">
        <f t="shared" si="111"/>
        <v>1.8388846001471393E-11</v>
      </c>
      <c r="S590" s="22">
        <f t="shared" si="112"/>
        <v>1.5540990716544911E-10</v>
      </c>
      <c r="T590" s="16">
        <f t="shared" si="119"/>
        <v>309.78819870434239</v>
      </c>
      <c r="U590" s="23">
        <f t="shared" si="113"/>
        <v>1.8019363778876141E-11</v>
      </c>
      <c r="V590" s="22">
        <f t="shared" si="114"/>
        <v>2.9565757131422288E-7</v>
      </c>
    </row>
    <row r="591" spans="1:22" x14ac:dyDescent="0.45">
      <c r="A591">
        <v>83.929739999999995</v>
      </c>
      <c r="B591">
        <v>37.098689999999998</v>
      </c>
      <c r="C591">
        <v>200.59738999999999</v>
      </c>
      <c r="D591">
        <v>82.587900000000005</v>
      </c>
      <c r="E591" s="13">
        <v>83.929047770426195</v>
      </c>
      <c r="F591" s="13">
        <v>37.096230332490897</v>
      </c>
      <c r="G591" s="13">
        <v>-159.40505587450301</v>
      </c>
      <c r="H591" s="13">
        <f t="shared" si="115"/>
        <v>200.59494412549699</v>
      </c>
      <c r="I591" s="9">
        <v>83.929047769999997</v>
      </c>
      <c r="J591" s="9">
        <v>37.096230331999998</v>
      </c>
      <c r="K591" s="9">
        <f t="shared" si="116"/>
        <v>37.096230332000005</v>
      </c>
      <c r="L591" s="10">
        <v>20.594944000000002</v>
      </c>
      <c r="M591" s="3">
        <f t="shared" si="117"/>
        <v>200.594944</v>
      </c>
      <c r="N591" s="15">
        <f t="shared" si="110"/>
        <v>83.92904777042304</v>
      </c>
      <c r="O591" s="23">
        <f t="shared" si="108"/>
        <v>3.1548097467748448E-12</v>
      </c>
      <c r="P591" s="22">
        <f t="shared" si="109"/>
        <v>4.2304293401684845E-10</v>
      </c>
      <c r="Q591" s="16">
        <f t="shared" si="118"/>
        <v>37.09623033247999</v>
      </c>
      <c r="R591" s="23">
        <f t="shared" si="111"/>
        <v>1.0906830993917538E-11</v>
      </c>
      <c r="S591" s="22">
        <f t="shared" si="112"/>
        <v>4.7998582886066288E-10</v>
      </c>
      <c r="T591" s="16">
        <f t="shared" si="119"/>
        <v>200.59494412548625</v>
      </c>
      <c r="U591" s="23">
        <f t="shared" si="113"/>
        <v>1.0743406164692715E-11</v>
      </c>
      <c r="V591" s="22">
        <f t="shared" si="114"/>
        <v>1.2548625250019541E-7</v>
      </c>
    </row>
    <row r="592" spans="1:22" x14ac:dyDescent="0.45">
      <c r="A592">
        <v>25.358000000000001</v>
      </c>
      <c r="B592">
        <v>-63.579210000000003</v>
      </c>
      <c r="C592">
        <v>27.82329</v>
      </c>
      <c r="D592">
        <v>90.400300000000001</v>
      </c>
      <c r="E592" s="13">
        <v>25.3587217046185</v>
      </c>
      <c r="F592" s="13">
        <v>-63.578790805851703</v>
      </c>
      <c r="G592" s="13">
        <v>27.8234695318537</v>
      </c>
      <c r="H592" s="13">
        <f t="shared" si="115"/>
        <v>27.8234695318537</v>
      </c>
      <c r="I592" s="11">
        <v>25.358721705000001</v>
      </c>
      <c r="J592" s="11">
        <v>-63.578790806000001</v>
      </c>
      <c r="K592" s="9">
        <f t="shared" si="116"/>
        <v>-63.578790806000001</v>
      </c>
      <c r="L592" s="12">
        <v>207.82346999999999</v>
      </c>
      <c r="M592" s="3">
        <f t="shared" si="117"/>
        <v>27.823469999999986</v>
      </c>
      <c r="N592" s="15">
        <f t="shared" si="110"/>
        <v>25.358721704618215</v>
      </c>
      <c r="O592" s="23">
        <f t="shared" si="108"/>
        <v>2.8421709430404007E-13</v>
      </c>
      <c r="P592" s="22">
        <f t="shared" si="109"/>
        <v>3.8178527006493823E-10</v>
      </c>
      <c r="Q592" s="16">
        <f t="shared" si="118"/>
        <v>-63.578790805851867</v>
      </c>
      <c r="R592" s="23">
        <f t="shared" si="111"/>
        <v>1.6342482922482304E-13</v>
      </c>
      <c r="S592" s="22">
        <f t="shared" si="112"/>
        <v>1.4813394955126569E-10</v>
      </c>
      <c r="T592" s="16">
        <f t="shared" si="119"/>
        <v>27.823469531853597</v>
      </c>
      <c r="U592" s="23">
        <f t="shared" si="113"/>
        <v>1.0302869668521453E-13</v>
      </c>
      <c r="V592" s="22">
        <f t="shared" si="114"/>
        <v>4.6814638920977814E-7</v>
      </c>
    </row>
    <row r="593" spans="1:22" x14ac:dyDescent="0.45">
      <c r="A593">
        <v>-50.062719999999999</v>
      </c>
      <c r="B593">
        <v>-16.0336</v>
      </c>
      <c r="C593">
        <v>258.18344000000002</v>
      </c>
      <c r="D593">
        <v>239.33629999999999</v>
      </c>
      <c r="E593" s="13">
        <v>-50.063160580676197</v>
      </c>
      <c r="F593" s="13">
        <v>-16.036871766963799</v>
      </c>
      <c r="G593" s="13">
        <v>-101.81405137237699</v>
      </c>
      <c r="H593" s="13">
        <f t="shared" si="115"/>
        <v>258.18594862762302</v>
      </c>
      <c r="I593" s="9">
        <v>-50.063160580999998</v>
      </c>
      <c r="J593" s="9">
        <v>-16.036871767000001</v>
      </c>
      <c r="K593" s="9">
        <f t="shared" si="116"/>
        <v>-16.036871767000008</v>
      </c>
      <c r="L593" s="10">
        <v>78.185948999999994</v>
      </c>
      <c r="M593" s="3">
        <f t="shared" si="117"/>
        <v>258.18594899999999</v>
      </c>
      <c r="N593" s="15">
        <f t="shared" si="110"/>
        <v>-50.063160580676474</v>
      </c>
      <c r="O593" s="23">
        <f t="shared" si="108"/>
        <v>2.7711166694643907E-13</v>
      </c>
      <c r="P593" s="22">
        <f t="shared" si="109"/>
        <v>3.2352431844628882E-10</v>
      </c>
      <c r="Q593" s="16">
        <f t="shared" si="118"/>
        <v>-16.036871766966669</v>
      </c>
      <c r="R593" s="23">
        <f t="shared" si="111"/>
        <v>2.8705926524708048E-12</v>
      </c>
      <c r="S593" s="22">
        <f t="shared" si="112"/>
        <v>3.3338665161863901E-11</v>
      </c>
      <c r="T593" s="16">
        <f t="shared" si="119"/>
        <v>258.18594862762535</v>
      </c>
      <c r="U593" s="23">
        <f t="shared" si="113"/>
        <v>2.3305801732931286E-12</v>
      </c>
      <c r="V593" s="22">
        <f t="shared" si="114"/>
        <v>3.7237464312056545E-7</v>
      </c>
    </row>
    <row r="594" spans="1:22" x14ac:dyDescent="0.45">
      <c r="A594">
        <v>-36.636679999999998</v>
      </c>
      <c r="B594">
        <v>-143.06874999999999</v>
      </c>
      <c r="C594">
        <v>30.596160000000001</v>
      </c>
      <c r="D594">
        <v>6.0903</v>
      </c>
      <c r="E594" s="13">
        <v>-36.636632758893803</v>
      </c>
      <c r="F594" s="13">
        <v>-143.06871533887599</v>
      </c>
      <c r="G594" s="13">
        <v>30.596139316376998</v>
      </c>
      <c r="H594" s="13">
        <f t="shared" si="115"/>
        <v>30.596139316376998</v>
      </c>
      <c r="I594" s="11">
        <v>-36.636632759000001</v>
      </c>
      <c r="J594" s="11">
        <v>-143.06871533899999</v>
      </c>
      <c r="K594" s="9">
        <f t="shared" si="116"/>
        <v>-143.06871533899999</v>
      </c>
      <c r="L594" s="12">
        <v>210.59613899999999</v>
      </c>
      <c r="M594" s="3">
        <f t="shared" si="117"/>
        <v>30.596138999999994</v>
      </c>
      <c r="N594" s="15">
        <f t="shared" si="110"/>
        <v>-36.636632758895836</v>
      </c>
      <c r="O594" s="23">
        <f t="shared" si="108"/>
        <v>2.0321522242738865E-12</v>
      </c>
      <c r="P594" s="22">
        <f t="shared" si="109"/>
        <v>1.0416556506243069E-10</v>
      </c>
      <c r="Q594" s="16">
        <f t="shared" si="118"/>
        <v>-143.0687153388771</v>
      </c>
      <c r="R594" s="23">
        <f t="shared" si="111"/>
        <v>1.1084466677857563E-12</v>
      </c>
      <c r="S594" s="22">
        <f t="shared" si="112"/>
        <v>1.2289547157706693E-10</v>
      </c>
      <c r="T594" s="16">
        <f t="shared" si="119"/>
        <v>30.596139316377851</v>
      </c>
      <c r="U594" s="23">
        <f t="shared" si="113"/>
        <v>8.5265128291212022E-13</v>
      </c>
      <c r="V594" s="22">
        <f t="shared" si="114"/>
        <v>3.1637785724569767E-7</v>
      </c>
    </row>
    <row r="595" spans="1:22" x14ac:dyDescent="0.45">
      <c r="A595">
        <v>-21.80837</v>
      </c>
      <c r="B595">
        <v>-154.77431999999999</v>
      </c>
      <c r="C595">
        <v>168.23294999999999</v>
      </c>
      <c r="D595">
        <v>133.09180000000001</v>
      </c>
      <c r="E595" s="13">
        <v>-21.8095467139131</v>
      </c>
      <c r="F595" s="13">
        <v>-154.77405750519799</v>
      </c>
      <c r="G595" s="13">
        <v>168.23285247976801</v>
      </c>
      <c r="H595" s="13">
        <f t="shared" si="115"/>
        <v>168.23285247976801</v>
      </c>
      <c r="I595" s="9">
        <v>-21.809546714</v>
      </c>
      <c r="J595" s="9">
        <v>-154.774057505</v>
      </c>
      <c r="K595" s="9">
        <f t="shared" si="116"/>
        <v>-154.774057505</v>
      </c>
      <c r="L595" s="10">
        <v>348.23285199999998</v>
      </c>
      <c r="M595" s="3">
        <f t="shared" si="117"/>
        <v>168.23285199999998</v>
      </c>
      <c r="N595" s="15">
        <f t="shared" si="110"/>
        <v>-21.809546713911274</v>
      </c>
      <c r="O595" s="23">
        <f t="shared" si="108"/>
        <v>1.8260948309034575E-12</v>
      </c>
      <c r="P595" s="22">
        <f t="shared" si="109"/>
        <v>8.872547141436371E-11</v>
      </c>
      <c r="Q595" s="16">
        <f t="shared" si="118"/>
        <v>-154.77405750519858</v>
      </c>
      <c r="R595" s="23">
        <f t="shared" si="111"/>
        <v>5.9685589803848416E-13</v>
      </c>
      <c r="S595" s="22">
        <f t="shared" si="112"/>
        <v>1.985824837902328E-10</v>
      </c>
      <c r="T595" s="16">
        <f t="shared" si="119"/>
        <v>168.23285247976801</v>
      </c>
      <c r="U595" s="23">
        <f t="shared" si="113"/>
        <v>0</v>
      </c>
      <c r="V595" s="22">
        <f t="shared" si="114"/>
        <v>4.7976803330129769E-7</v>
      </c>
    </row>
    <row r="596" spans="1:22" x14ac:dyDescent="0.45">
      <c r="A596">
        <v>-49.109319999999997</v>
      </c>
      <c r="B596">
        <v>95.639200000000002</v>
      </c>
      <c r="C596">
        <v>355.23928000000001</v>
      </c>
      <c r="D596">
        <v>62.752699999999997</v>
      </c>
      <c r="E596" s="13">
        <v>-49.108757683977998</v>
      </c>
      <c r="F596" s="13">
        <v>95.639128667690002</v>
      </c>
      <c r="G596" s="13">
        <v>-4.7606660758587598</v>
      </c>
      <c r="H596" s="13">
        <f t="shared" si="115"/>
        <v>355.23933392414125</v>
      </c>
      <c r="I596" s="11">
        <v>-49.108757683999997</v>
      </c>
      <c r="J596" s="11">
        <v>95.639128667999998</v>
      </c>
      <c r="K596" s="9">
        <f t="shared" si="116"/>
        <v>95.639128668000012</v>
      </c>
      <c r="L596" s="12">
        <v>175.23933400000001</v>
      </c>
      <c r="M596" s="3">
        <f t="shared" si="117"/>
        <v>355.23933399999999</v>
      </c>
      <c r="N596" s="15">
        <f t="shared" si="110"/>
        <v>-49.108757684010385</v>
      </c>
      <c r="O596" s="23">
        <f t="shared" si="108"/>
        <v>3.2386537895945366E-11</v>
      </c>
      <c r="P596" s="22">
        <f t="shared" si="109"/>
        <v>1.0388134796812665E-11</v>
      </c>
      <c r="Q596" s="16">
        <f t="shared" si="118"/>
        <v>95.639128667694138</v>
      </c>
      <c r="R596" s="23">
        <f t="shared" si="111"/>
        <v>4.1353587221237831E-12</v>
      </c>
      <c r="S596" s="22">
        <f t="shared" si="112"/>
        <v>3.0587443689000793E-10</v>
      </c>
      <c r="T596" s="16">
        <f t="shared" si="119"/>
        <v>355.23933392413772</v>
      </c>
      <c r="U596" s="23">
        <f t="shared" si="113"/>
        <v>3.5242919693700969E-12</v>
      </c>
      <c r="V596" s="22">
        <f t="shared" si="114"/>
        <v>7.5862260473513743E-8</v>
      </c>
    </row>
    <row r="597" spans="1:22" x14ac:dyDescent="0.45">
      <c r="A597">
        <v>-29.813839999999999</v>
      </c>
      <c r="B597">
        <v>-177.22112000000001</v>
      </c>
      <c r="C597">
        <v>181.60153</v>
      </c>
      <c r="D597">
        <v>164.04509999999999</v>
      </c>
      <c r="E597" s="13">
        <v>-29.815319314557701</v>
      </c>
      <c r="F597" s="13">
        <v>-177.221167429926</v>
      </c>
      <c r="G597" s="13">
        <v>-178.39844641809</v>
      </c>
      <c r="H597" s="13">
        <f t="shared" si="115"/>
        <v>181.60155358191</v>
      </c>
      <c r="I597" s="9">
        <v>-29.815319315</v>
      </c>
      <c r="J597" s="9">
        <v>-177.22116743000001</v>
      </c>
      <c r="K597" s="9">
        <f t="shared" si="116"/>
        <v>-177.22116743000001</v>
      </c>
      <c r="L597" s="10">
        <v>1.6015539999999999</v>
      </c>
      <c r="M597" s="3">
        <f t="shared" si="117"/>
        <v>181.60155399999999</v>
      </c>
      <c r="N597" s="15">
        <f t="shared" si="110"/>
        <v>-29.815319314556778</v>
      </c>
      <c r="O597" s="23">
        <f t="shared" si="108"/>
        <v>9.2370555648813024E-13</v>
      </c>
      <c r="P597" s="22">
        <f t="shared" si="109"/>
        <v>4.4322234771243529E-10</v>
      </c>
      <c r="Q597" s="16">
        <f t="shared" si="118"/>
        <v>-177.22116742992571</v>
      </c>
      <c r="R597" s="23">
        <f t="shared" si="111"/>
        <v>2.8421709430404007E-13</v>
      </c>
      <c r="S597" s="22">
        <f t="shared" si="112"/>
        <v>7.4294348451076075E-11</v>
      </c>
      <c r="T597" s="16">
        <f t="shared" si="119"/>
        <v>181.60155358191031</v>
      </c>
      <c r="U597" s="23">
        <f t="shared" si="113"/>
        <v>3.1263880373444408E-13</v>
      </c>
      <c r="V597" s="22">
        <f t="shared" si="114"/>
        <v>4.1808968376244593E-7</v>
      </c>
    </row>
    <row r="598" spans="1:22" x14ac:dyDescent="0.45">
      <c r="A598">
        <v>-0.25624999999999998</v>
      </c>
      <c r="B598">
        <v>86.503640000000004</v>
      </c>
      <c r="C598">
        <v>56.481619999999999</v>
      </c>
      <c r="D598">
        <v>165.18979999999999</v>
      </c>
      <c r="E598" s="13">
        <v>-0.25542504743236299</v>
      </c>
      <c r="F598" s="13">
        <v>86.504877173611703</v>
      </c>
      <c r="G598" s="13">
        <v>56.481614475781903</v>
      </c>
      <c r="H598" s="13">
        <f t="shared" si="115"/>
        <v>56.481614475781903</v>
      </c>
      <c r="I598" s="11">
        <v>-0.25542504700000002</v>
      </c>
      <c r="J598" s="11">
        <v>86.504877174000001</v>
      </c>
      <c r="K598" s="9">
        <f t="shared" si="116"/>
        <v>86.504877174000001</v>
      </c>
      <c r="L598" s="12">
        <v>236.48161400000001</v>
      </c>
      <c r="M598" s="3">
        <f t="shared" si="117"/>
        <v>56.481614000000036</v>
      </c>
      <c r="N598" s="15">
        <f t="shared" si="110"/>
        <v>-0.25542504743246897</v>
      </c>
      <c r="O598" s="23">
        <f t="shared" si="108"/>
        <v>1.0597078770047119E-13</v>
      </c>
      <c r="P598" s="22">
        <f t="shared" si="109"/>
        <v>4.3246894954052095E-10</v>
      </c>
      <c r="Q598" s="16">
        <f t="shared" si="118"/>
        <v>86.50487717361159</v>
      </c>
      <c r="R598" s="23">
        <f t="shared" si="111"/>
        <v>1.1368683772161603E-13</v>
      </c>
      <c r="S598" s="22">
        <f t="shared" si="112"/>
        <v>3.8841108107590117E-10</v>
      </c>
      <c r="T598" s="16">
        <f t="shared" si="119"/>
        <v>56.481614475781818</v>
      </c>
      <c r="U598" s="23">
        <f t="shared" si="113"/>
        <v>8.5265128291212022E-14</v>
      </c>
      <c r="V598" s="22">
        <f t="shared" si="114"/>
        <v>4.7578178197227317E-7</v>
      </c>
    </row>
    <row r="599" spans="1:22" x14ac:dyDescent="0.45">
      <c r="A599">
        <v>5.8987499999999997</v>
      </c>
      <c r="B599">
        <v>-31.936610000000002</v>
      </c>
      <c r="C599">
        <v>66.285300000000007</v>
      </c>
      <c r="D599">
        <v>256.2978</v>
      </c>
      <c r="E599" s="13">
        <v>5.8996821079236996</v>
      </c>
      <c r="F599" s="13">
        <v>-31.934490900956401</v>
      </c>
      <c r="G599" s="13">
        <v>66.285517798725607</v>
      </c>
      <c r="H599" s="13">
        <f t="shared" si="115"/>
        <v>66.285517798725607</v>
      </c>
      <c r="I599" s="9">
        <v>5.8996821080000004</v>
      </c>
      <c r="J599" s="9">
        <v>-31.934490901</v>
      </c>
      <c r="K599" s="9">
        <f t="shared" si="116"/>
        <v>-31.934490901000004</v>
      </c>
      <c r="L599" s="10">
        <v>246.285518</v>
      </c>
      <c r="M599" s="3">
        <f t="shared" si="117"/>
        <v>66.285518000000025</v>
      </c>
      <c r="N599" s="15">
        <f t="shared" si="110"/>
        <v>5.8996821079236907</v>
      </c>
      <c r="O599" s="23">
        <f t="shared" si="108"/>
        <v>8.8817841970012523E-15</v>
      </c>
      <c r="P599" s="22">
        <f t="shared" si="109"/>
        <v>7.630962528537566E-11</v>
      </c>
      <c r="Q599" s="16">
        <f t="shared" si="118"/>
        <v>-31.934490900956405</v>
      </c>
      <c r="R599" s="23">
        <f t="shared" si="111"/>
        <v>3.5527136788005009E-15</v>
      </c>
      <c r="S599" s="22">
        <f t="shared" si="112"/>
        <v>4.3598902266239747E-11</v>
      </c>
      <c r="T599" s="16">
        <f t="shared" si="119"/>
        <v>66.285517798725465</v>
      </c>
      <c r="U599" s="23">
        <f t="shared" si="113"/>
        <v>1.4210854715202004E-13</v>
      </c>
      <c r="V599" s="22">
        <f t="shared" si="114"/>
        <v>2.0127455968577124E-7</v>
      </c>
    </row>
    <row r="600" spans="1:22" x14ac:dyDescent="0.45">
      <c r="A600">
        <v>69.368719999999996</v>
      </c>
      <c r="B600">
        <v>-100.64169</v>
      </c>
      <c r="C600">
        <v>212.68315000000001</v>
      </c>
      <c r="D600">
        <v>28.553999999999998</v>
      </c>
      <c r="E600" s="13">
        <v>69.368504560868004</v>
      </c>
      <c r="F600" s="13">
        <v>-100.642081944833</v>
      </c>
      <c r="G600" s="13">
        <v>-147.31721680809801</v>
      </c>
      <c r="H600" s="13">
        <f t="shared" si="115"/>
        <v>212.68278319190199</v>
      </c>
      <c r="I600" s="11">
        <v>69.368504560999995</v>
      </c>
      <c r="J600" s="11">
        <v>-100.642081945</v>
      </c>
      <c r="K600" s="9">
        <f t="shared" si="116"/>
        <v>-100.642081945</v>
      </c>
      <c r="L600" s="12">
        <v>32.682783000000001</v>
      </c>
      <c r="M600" s="3">
        <f t="shared" si="117"/>
        <v>212.682783</v>
      </c>
      <c r="N600" s="15">
        <f t="shared" si="110"/>
        <v>69.368504560867393</v>
      </c>
      <c r="O600" s="23">
        <f t="shared" si="108"/>
        <v>6.1106675275368616E-13</v>
      </c>
      <c r="P600" s="22">
        <f t="shared" si="109"/>
        <v>1.326014853475499E-10</v>
      </c>
      <c r="Q600" s="16">
        <f t="shared" si="118"/>
        <v>-100.64208194483381</v>
      </c>
      <c r="R600" s="23">
        <f t="shared" si="111"/>
        <v>8.1001871876651421E-13</v>
      </c>
      <c r="S600" s="22">
        <f t="shared" si="112"/>
        <v>1.6619594589428743E-10</v>
      </c>
      <c r="T600" s="16">
        <f t="shared" si="119"/>
        <v>212.68278319190134</v>
      </c>
      <c r="U600" s="23">
        <f t="shared" si="113"/>
        <v>6.5369931689929217E-13</v>
      </c>
      <c r="V600" s="22">
        <f t="shared" si="114"/>
        <v>1.9190133571100887E-7</v>
      </c>
    </row>
    <row r="601" spans="1:22" x14ac:dyDescent="0.45">
      <c r="A601">
        <v>37.389220000000002</v>
      </c>
      <c r="B601">
        <v>31.747720000000001</v>
      </c>
      <c r="C601">
        <v>259.94269000000003</v>
      </c>
      <c r="D601">
        <v>8.3794000000000004</v>
      </c>
      <c r="E601" s="13">
        <v>37.389206815104103</v>
      </c>
      <c r="F601" s="13">
        <v>31.747626831324698</v>
      </c>
      <c r="G601" s="13">
        <v>-100.057366574467</v>
      </c>
      <c r="H601" s="13">
        <f t="shared" si="115"/>
        <v>259.94263342553302</v>
      </c>
      <c r="I601" s="9">
        <v>37.389206815000001</v>
      </c>
      <c r="J601" s="9">
        <v>31.747626831000002</v>
      </c>
      <c r="K601" s="9">
        <f t="shared" si="116"/>
        <v>31.747626830999991</v>
      </c>
      <c r="L601" s="10">
        <v>79.942633000000001</v>
      </c>
      <c r="M601" s="3">
        <f t="shared" si="117"/>
        <v>259.942633</v>
      </c>
      <c r="N601" s="15">
        <f t="shared" si="110"/>
        <v>37.389206815108594</v>
      </c>
      <c r="O601" s="23">
        <f t="shared" si="108"/>
        <v>4.4906300900038332E-12</v>
      </c>
      <c r="P601" s="22">
        <f t="shared" si="109"/>
        <v>1.0859224630621611E-10</v>
      </c>
      <c r="Q601" s="16">
        <f t="shared" si="118"/>
        <v>31.747626831356712</v>
      </c>
      <c r="R601" s="23">
        <f t="shared" si="111"/>
        <v>3.2013502959671314E-11</v>
      </c>
      <c r="S601" s="22">
        <f t="shared" si="112"/>
        <v>3.567208750610007E-10</v>
      </c>
      <c r="T601" s="16">
        <f t="shared" si="119"/>
        <v>259.94263342555183</v>
      </c>
      <c r="U601" s="23">
        <f t="shared" si="113"/>
        <v>1.8815171642927453E-11</v>
      </c>
      <c r="V601" s="22">
        <f t="shared" si="114"/>
        <v>4.2555183199510793E-7</v>
      </c>
    </row>
    <row r="602" spans="1:22" x14ac:dyDescent="0.45">
      <c r="A602">
        <v>69.3005</v>
      </c>
      <c r="B602">
        <v>47.158839999999998</v>
      </c>
      <c r="C602">
        <v>263.31389000000001</v>
      </c>
      <c r="D602">
        <v>123.89790000000001</v>
      </c>
      <c r="E602" s="13">
        <v>69.300370657415499</v>
      </c>
      <c r="F602" s="13">
        <v>47.155721813369503</v>
      </c>
      <c r="G602" s="13">
        <v>-96.689026897445004</v>
      </c>
      <c r="H602" s="13">
        <f t="shared" si="115"/>
        <v>263.31097310255501</v>
      </c>
      <c r="I602" s="11">
        <v>69.300370657000002</v>
      </c>
      <c r="J602" s="11">
        <v>47.155721813</v>
      </c>
      <c r="K602" s="9">
        <f t="shared" si="116"/>
        <v>47.155721813000014</v>
      </c>
      <c r="L602" s="12">
        <v>83.310973000000004</v>
      </c>
      <c r="M602" s="3">
        <f t="shared" si="117"/>
        <v>263.31097299999999</v>
      </c>
      <c r="N602" s="15">
        <f t="shared" si="110"/>
        <v>69.300370657414973</v>
      </c>
      <c r="O602" s="23">
        <f t="shared" si="108"/>
        <v>5.2580162446247414E-13</v>
      </c>
      <c r="P602" s="22">
        <f t="shared" si="109"/>
        <v>4.1497116853861371E-10</v>
      </c>
      <c r="Q602" s="16">
        <f t="shared" si="118"/>
        <v>47.155721813359662</v>
      </c>
      <c r="R602" s="23">
        <f t="shared" si="111"/>
        <v>9.8410168902773876E-12</v>
      </c>
      <c r="S602" s="22">
        <f t="shared" si="112"/>
        <v>3.5964831113233231E-10</v>
      </c>
      <c r="T602" s="16">
        <f t="shared" si="119"/>
        <v>263.31097310254557</v>
      </c>
      <c r="U602" s="23">
        <f t="shared" si="113"/>
        <v>9.4360075308941305E-12</v>
      </c>
      <c r="V602" s="22">
        <f t="shared" si="114"/>
        <v>1.0254558446831652E-7</v>
      </c>
    </row>
    <row r="603" spans="1:22" x14ac:dyDescent="0.45">
      <c r="N603" s="6" t="s">
        <v>10</v>
      </c>
      <c r="O603" s="20">
        <f>MAX(O3:O602)</f>
        <v>1.1058602922275895E-9</v>
      </c>
      <c r="P603" s="20">
        <f>MAX(P3:P602)</f>
        <v>3.9644543647909813E-8</v>
      </c>
      <c r="Q603" s="1"/>
      <c r="R603" s="20">
        <f>MAX(R3:R602)</f>
        <v>6.5426988271610753E-9</v>
      </c>
      <c r="S603" s="20">
        <f>MAX(S3:S602)</f>
        <v>2.8846966415585484E-7</v>
      </c>
      <c r="T603" s="1"/>
      <c r="U603" s="20">
        <f>MAX(U3:U602)</f>
        <v>6.5425567186139233E-9</v>
      </c>
      <c r="V603" s="20">
        <f>MAX(V3:V602)</f>
        <v>5.0476700153012644E-7</v>
      </c>
    </row>
    <row r="604" spans="1:22" x14ac:dyDescent="0.45">
      <c r="A604" s="1"/>
      <c r="O604" s="21" t="str">
        <f>ConvertDegrees(O603)</f>
        <v>000°00'00.0000"</v>
      </c>
      <c r="P604" s="21" t="str">
        <f>ConvertDegrees(P603)</f>
        <v>000°00'00.0001"</v>
      </c>
      <c r="R604" s="21" t="str">
        <f>ConvertDegrees(R603)</f>
        <v>000°00'00.0000"</v>
      </c>
      <c r="S604" s="21" t="str">
        <f>ConvertDegrees(S603)</f>
        <v>000°00'00.0010"</v>
      </c>
      <c r="U604" s="21" t="str">
        <f>ConvertDegrees(U603)</f>
        <v>000°00'00.0000"</v>
      </c>
      <c r="V604" s="21" t="str">
        <f>ConvertDegrees(V603)</f>
        <v>000°00'00.0018"</v>
      </c>
    </row>
  </sheetData>
  <mergeCells count="4">
    <mergeCell ref="A1:D1"/>
    <mergeCell ref="I1:M1"/>
    <mergeCell ref="N1:V1"/>
    <mergeCell ref="E1:H1"/>
  </mergeCells>
  <conditionalFormatting sqref="R3:S602 U3:V602 O3:P602">
    <cfRule type="cellIs" dxfId="3" priority="18" operator="greaterThan">
      <formula>0.0000001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E47F5B-3614-43C9-A4B1-B0C5FE53027C}">
  <sheetPr codeName="Sheet2"/>
  <dimension ref="A1:X604"/>
  <sheetViews>
    <sheetView topLeftCell="N1" zoomScaleNormal="100" workbookViewId="0">
      <pane ySplit="2" topLeftCell="A3" activePane="bottomLeft" state="frozen"/>
      <selection activeCell="I1" sqref="I1"/>
      <selection pane="bottomLeft" activeCell="Y7" sqref="Y7"/>
    </sheetView>
  </sheetViews>
  <sheetFormatPr defaultRowHeight="14.25" x14ac:dyDescent="0.45"/>
  <cols>
    <col min="1" max="1" width="9.33203125" bestFit="1" customWidth="1"/>
    <col min="2" max="2" width="10.33203125" bestFit="1" customWidth="1"/>
    <col min="3" max="3" width="9.33203125" bestFit="1" customWidth="1"/>
    <col min="4" max="4" width="10.33203125" bestFit="1" customWidth="1"/>
    <col min="5" max="5" width="11.73046875" bestFit="1" customWidth="1"/>
    <col min="6" max="6" width="12.33203125" bestFit="1" customWidth="1"/>
    <col min="7" max="7" width="16.1328125" bestFit="1" customWidth="1"/>
    <col min="8" max="8" width="12.33203125" bestFit="1" customWidth="1"/>
    <col min="9" max="9" width="15.73046875" bestFit="1" customWidth="1"/>
    <col min="10" max="10" width="12.33203125" bestFit="1" customWidth="1"/>
    <col min="11" max="11" width="11.796875" bestFit="1" customWidth="1"/>
    <col min="12" max="12" width="12.1328125" bestFit="1" customWidth="1"/>
    <col min="13" max="13" width="16.265625" bestFit="1" customWidth="1"/>
    <col min="14" max="14" width="16.59765625" bestFit="1" customWidth="1"/>
    <col min="15" max="15" width="11.73046875" bestFit="1" customWidth="1"/>
    <col min="16" max="16" width="11.73046875" customWidth="1"/>
    <col min="17" max="17" width="12.1328125" bestFit="1" customWidth="1"/>
    <col min="18" max="18" width="12.1328125" customWidth="1"/>
    <col min="19" max="19" width="20" bestFit="1" customWidth="1"/>
    <col min="20" max="20" width="15.1328125" customWidth="1"/>
    <col min="21" max="21" width="15.53125" customWidth="1"/>
    <col min="22" max="22" width="19.59765625" bestFit="1" customWidth="1"/>
    <col min="23" max="23" width="14.73046875" customWidth="1"/>
    <col min="24" max="24" width="15.1328125" customWidth="1"/>
  </cols>
  <sheetData>
    <row r="1" spans="1:24" x14ac:dyDescent="0.45">
      <c r="A1" s="29" t="s">
        <v>9</v>
      </c>
      <c r="B1" s="29"/>
      <c r="C1" s="29"/>
      <c r="D1" s="29"/>
      <c r="E1" s="34" t="s">
        <v>35</v>
      </c>
      <c r="F1" s="35"/>
      <c r="G1" s="35"/>
      <c r="H1" s="35"/>
      <c r="I1" s="36"/>
      <c r="J1" s="30" t="s">
        <v>43</v>
      </c>
      <c r="K1" s="30"/>
      <c r="L1" s="30"/>
      <c r="M1" s="30"/>
      <c r="N1" s="31" t="s">
        <v>39</v>
      </c>
      <c r="O1" s="32"/>
      <c r="P1" s="32"/>
      <c r="Q1" s="32"/>
      <c r="R1" s="32"/>
      <c r="S1" s="32"/>
      <c r="T1" s="32"/>
      <c r="U1" s="32"/>
      <c r="V1" s="32"/>
      <c r="W1" s="32"/>
      <c r="X1" s="32"/>
    </row>
    <row r="2" spans="1:24" x14ac:dyDescent="0.45">
      <c r="A2" s="1" t="s">
        <v>0</v>
      </c>
      <c r="B2" s="1" t="s">
        <v>1</v>
      </c>
      <c r="C2" s="1" t="s">
        <v>5</v>
      </c>
      <c r="D2" s="1" t="s">
        <v>6</v>
      </c>
      <c r="E2" s="1" t="s">
        <v>57</v>
      </c>
      <c r="F2" s="1" t="s">
        <v>44</v>
      </c>
      <c r="G2" s="1" t="s">
        <v>54</v>
      </c>
      <c r="H2" s="1" t="s">
        <v>40</v>
      </c>
      <c r="I2" s="1" t="s">
        <v>55</v>
      </c>
      <c r="J2" s="1" t="s">
        <v>57</v>
      </c>
      <c r="K2" s="1" t="s">
        <v>44</v>
      </c>
      <c r="L2" s="1" t="s">
        <v>40</v>
      </c>
      <c r="M2" s="1" t="s">
        <v>41</v>
      </c>
      <c r="N2" s="1" t="s">
        <v>45</v>
      </c>
      <c r="O2" s="1" t="s">
        <v>48</v>
      </c>
      <c r="P2" s="1" t="s">
        <v>48</v>
      </c>
      <c r="Q2" s="1" t="s">
        <v>47</v>
      </c>
      <c r="R2" s="1" t="s">
        <v>47</v>
      </c>
      <c r="S2" s="1" t="s">
        <v>46</v>
      </c>
      <c r="T2" s="1" t="s">
        <v>50</v>
      </c>
      <c r="U2" s="1" t="s">
        <v>49</v>
      </c>
      <c r="V2" s="1" t="s">
        <v>51</v>
      </c>
      <c r="W2" s="1" t="s">
        <v>53</v>
      </c>
      <c r="X2" s="1" t="s">
        <v>52</v>
      </c>
    </row>
    <row r="3" spans="1:24" x14ac:dyDescent="0.45">
      <c r="A3">
        <v>-73.190340000000006</v>
      </c>
      <c r="B3">
        <v>-90.317070000000001</v>
      </c>
      <c r="C3">
        <v>-7.6972199999999997</v>
      </c>
      <c r="D3">
        <v>-97.150509999999997</v>
      </c>
      <c r="E3" s="13">
        <v>7288125.6964171799</v>
      </c>
      <c r="F3" s="13">
        <v>-7.4490987605668701</v>
      </c>
      <c r="G3" s="13">
        <f>NormalizeAzimuth(F3, TRUE)</f>
        <v>352.55090123943313</v>
      </c>
      <c r="H3" s="13">
        <v>-2.1747678297242099</v>
      </c>
      <c r="I3" s="13">
        <f>NormalizeAzimuth(H3, TRUE)</f>
        <v>357.8252321702758</v>
      </c>
      <c r="J3" s="9">
        <v>7288125.6960000005</v>
      </c>
      <c r="K3" s="9">
        <v>352.55090100000001</v>
      </c>
      <c r="L3" s="10">
        <v>177.825232</v>
      </c>
      <c r="M3" s="18">
        <f>NormalizeAzimuth(L3+180, TRUE)</f>
        <v>357.82523200000003</v>
      </c>
      <c r="N3" s="17">
        <f t="shared" ref="N3:N66" si="0">VincentyInvDistance($A3,$B3,$C3,$D3)</f>
        <v>7288125.6963858316</v>
      </c>
      <c r="O3" s="14">
        <f t="shared" ref="O3:O66" si="1">ABS((E3-N3)/E3)</f>
        <v>4.3012866637258662E-12</v>
      </c>
      <c r="P3" s="24">
        <f t="shared" ref="P3:P66" si="2">ABS(E3-N3)</f>
        <v>3.1348317861557007E-5</v>
      </c>
      <c r="Q3" s="2">
        <f>ABS((J3-N3)/J3)</f>
        <v>5.2939689334828981E-11</v>
      </c>
      <c r="R3" s="19">
        <f>ABS(J3-N3)</f>
        <v>3.8583111017942429E-4</v>
      </c>
      <c r="S3" s="16">
        <f>VincentyInvFwdAzimuth($A3,$B3,$C3,$D3)</f>
        <v>352.5509012394408</v>
      </c>
      <c r="T3" s="23">
        <f t="shared" ref="T3:T66" si="3">ABS(G3-S3)</f>
        <v>7.673861546209082E-12</v>
      </c>
      <c r="U3" s="22">
        <f t="shared" ref="U3:U66" si="4">ABS(K3-S3)</f>
        <v>2.3944079430293641E-7</v>
      </c>
      <c r="V3" s="16">
        <f>VincentyInvRevAzimuth($A3,$B3,$C3,$D3)</f>
        <v>357.82523217027801</v>
      </c>
      <c r="W3" s="23">
        <f t="shared" ref="W3:W66" si="5">ABS(I3-V3)</f>
        <v>2.2168933355715126E-12</v>
      </c>
      <c r="X3" s="22">
        <f t="shared" ref="X3:X66" si="6">ABS(M3-V3)</f>
        <v>1.7027798548951978E-7</v>
      </c>
    </row>
    <row r="4" spans="1:24" x14ac:dyDescent="0.45">
      <c r="A4">
        <v>-27.462730000000001</v>
      </c>
      <c r="B4">
        <v>64.612369999999999</v>
      </c>
      <c r="C4">
        <v>-23.959250000000001</v>
      </c>
      <c r="D4">
        <v>155.74135999999999</v>
      </c>
      <c r="E4" s="13">
        <v>8926024.1224153992</v>
      </c>
      <c r="F4" s="13">
        <v>112.009204964482</v>
      </c>
      <c r="G4" s="13">
        <f t="shared" ref="G4:G67" si="7">NormalizeAzimuth(F4, TRUE)</f>
        <v>112.009204964482</v>
      </c>
      <c r="H4" s="13">
        <v>64.205242492916597</v>
      </c>
      <c r="I4" s="13">
        <f t="shared" ref="I4:I67" si="8">NormalizeAzimuth(H4, TRUE)</f>
        <v>64.205242492916597</v>
      </c>
      <c r="J4" s="11">
        <v>8926024.1219999995</v>
      </c>
      <c r="K4" s="11">
        <v>112.00920499999999</v>
      </c>
      <c r="L4" s="12">
        <v>244.205242</v>
      </c>
      <c r="M4" s="18">
        <f t="shared" ref="M4:M13" si="9">NormalizeAzimuth(L4+180, TRUE)</f>
        <v>64.205241999999998</v>
      </c>
      <c r="N4" s="17">
        <f t="shared" si="0"/>
        <v>8926024.1224245112</v>
      </c>
      <c r="O4" s="14">
        <f t="shared" si="1"/>
        <v>1.0208419723127637E-12</v>
      </c>
      <c r="P4" s="24">
        <f t="shared" si="2"/>
        <v>9.1120600700378418E-6</v>
      </c>
      <c r="Q4" s="2">
        <f t="shared" ref="Q4:Q67" si="10">ABS((J4-N4)/J4)</f>
        <v>4.7558882305127718E-11</v>
      </c>
      <c r="R4" s="19">
        <f t="shared" ref="R4:R67" si="11">ABS(J4-N4)</f>
        <v>4.2451173067092896E-4</v>
      </c>
      <c r="S4" s="16">
        <f t="shared" ref="S4:S67" si="12">VincentyInvFwdAzimuth($A4,$B4,$C4,$D4)</f>
        <v>112.00920496472528</v>
      </c>
      <c r="T4" s="23">
        <f t="shared" si="3"/>
        <v>2.432898327242583E-10</v>
      </c>
      <c r="U4" s="22">
        <f t="shared" si="4"/>
        <v>3.5274709375698876E-8</v>
      </c>
      <c r="V4" s="16">
        <f t="shared" ref="V4:V67" si="13">VincentyInvRevAzimuth($A4,$B4,$C4,$D4)</f>
        <v>64.205242492713069</v>
      </c>
      <c r="W4" s="23">
        <f t="shared" si="5"/>
        <v>2.035278612311231E-10</v>
      </c>
      <c r="X4" s="22">
        <f t="shared" si="6"/>
        <v>4.9271307034359779E-7</v>
      </c>
    </row>
    <row r="5" spans="1:24" x14ac:dyDescent="0.45">
      <c r="A5">
        <v>-83.241240000000005</v>
      </c>
      <c r="B5">
        <v>-117.00995</v>
      </c>
      <c r="C5">
        <v>64.205719999999999</v>
      </c>
      <c r="D5">
        <v>121.59592000000001</v>
      </c>
      <c r="E5" s="13">
        <v>17441757.0029209</v>
      </c>
      <c r="F5" s="13">
        <v>-107.84626365295701</v>
      </c>
      <c r="G5" s="13">
        <f t="shared" si="7"/>
        <v>252.15373634704298</v>
      </c>
      <c r="H5" s="13">
        <v>-14.927720331935401</v>
      </c>
      <c r="I5" s="13">
        <f t="shared" si="8"/>
        <v>345.0722796680646</v>
      </c>
      <c r="J5" s="9">
        <v>17441757.002999999</v>
      </c>
      <c r="K5" s="9">
        <v>252.15373600000001</v>
      </c>
      <c r="L5" s="10">
        <v>165.07228000000001</v>
      </c>
      <c r="M5" s="18">
        <f t="shared" si="9"/>
        <v>345.07227999999998</v>
      </c>
      <c r="N5" s="17">
        <f t="shared" si="0"/>
        <v>17441757.002850156</v>
      </c>
      <c r="O5" s="14">
        <f t="shared" si="1"/>
        <v>4.0559711246948721E-12</v>
      </c>
      <c r="P5" s="24">
        <f t="shared" si="2"/>
        <v>7.0743262767791748E-5</v>
      </c>
      <c r="Q5" s="2">
        <f t="shared" si="10"/>
        <v>8.5910124564434954E-12</v>
      </c>
      <c r="R5" s="19">
        <f t="shared" si="11"/>
        <v>1.4984235167503357E-4</v>
      </c>
      <c r="S5" s="16">
        <f t="shared" si="12"/>
        <v>252.15373634698722</v>
      </c>
      <c r="T5" s="23">
        <f t="shared" si="3"/>
        <v>5.5763393902452663E-11</v>
      </c>
      <c r="U5" s="22">
        <f t="shared" si="4"/>
        <v>3.4698720696724195E-7</v>
      </c>
      <c r="V5" s="16">
        <f t="shared" si="13"/>
        <v>345.0722796680692</v>
      </c>
      <c r="W5" s="23">
        <f t="shared" si="5"/>
        <v>4.6043169277254492E-12</v>
      </c>
      <c r="X5" s="22">
        <f t="shared" si="6"/>
        <v>3.3193077797477599E-7</v>
      </c>
    </row>
    <row r="6" spans="1:24" x14ac:dyDescent="0.45">
      <c r="A6">
        <v>-33.339660000000002</v>
      </c>
      <c r="B6">
        <v>-52.979750000000003</v>
      </c>
      <c r="C6">
        <v>-18.051110000000001</v>
      </c>
      <c r="D6">
        <v>-51.955039999999997</v>
      </c>
      <c r="E6" s="13">
        <v>1696868.6812084899</v>
      </c>
      <c r="F6" s="13">
        <v>3.7093984418079602</v>
      </c>
      <c r="G6" s="13">
        <f t="shared" si="7"/>
        <v>3.7093984418079602</v>
      </c>
      <c r="H6" s="13">
        <v>3.2610901367110601</v>
      </c>
      <c r="I6" s="13">
        <f t="shared" si="8"/>
        <v>3.2610901367110601</v>
      </c>
      <c r="J6" s="11">
        <v>1696868.6810000001</v>
      </c>
      <c r="K6" s="11">
        <v>3.7093980000000002</v>
      </c>
      <c r="L6" s="12">
        <v>183.26109</v>
      </c>
      <c r="M6" s="18">
        <f t="shared" si="9"/>
        <v>3.2610899999999674</v>
      </c>
      <c r="N6" s="17">
        <f t="shared" si="0"/>
        <v>1696868.6811977762</v>
      </c>
      <c r="O6" s="14">
        <f t="shared" si="1"/>
        <v>6.3138074185579516E-12</v>
      </c>
      <c r="P6" s="24">
        <f t="shared" si="2"/>
        <v>1.0713702067732811E-5</v>
      </c>
      <c r="Q6" s="2">
        <f t="shared" si="10"/>
        <v>1.1655358474179435E-10</v>
      </c>
      <c r="R6" s="19">
        <f t="shared" si="11"/>
        <v>1.9777612760663033E-4</v>
      </c>
      <c r="S6" s="16">
        <f t="shared" si="12"/>
        <v>3.7093984416246419</v>
      </c>
      <c r="T6" s="23">
        <f t="shared" si="3"/>
        <v>1.8331824946926645E-10</v>
      </c>
      <c r="U6" s="22">
        <f t="shared" si="4"/>
        <v>4.4162464174490879E-7</v>
      </c>
      <c r="V6" s="16">
        <f t="shared" si="13"/>
        <v>3.2610901365499525</v>
      </c>
      <c r="W6" s="23">
        <f t="shared" si="5"/>
        <v>1.6110757172782542E-10</v>
      </c>
      <c r="X6" s="22">
        <f t="shared" si="6"/>
        <v>1.3654998509693428E-7</v>
      </c>
    </row>
    <row r="7" spans="1:24" x14ac:dyDescent="0.45">
      <c r="A7">
        <v>4.8342999999999998</v>
      </c>
      <c r="B7">
        <v>51.63044</v>
      </c>
      <c r="C7">
        <v>31.730799999999999</v>
      </c>
      <c r="D7">
        <v>-136.5581</v>
      </c>
      <c r="E7" s="13">
        <v>15866490.8425442</v>
      </c>
      <c r="F7" s="13">
        <v>11.416517018296799</v>
      </c>
      <c r="G7" s="13">
        <f t="shared" si="7"/>
        <v>11.416517018296799</v>
      </c>
      <c r="H7" s="13">
        <v>166.603493013698</v>
      </c>
      <c r="I7" s="13">
        <f t="shared" si="8"/>
        <v>166.603493013698</v>
      </c>
      <c r="J7" s="9">
        <v>15866490.843</v>
      </c>
      <c r="K7" s="9">
        <v>11.416517000000001</v>
      </c>
      <c r="L7" s="10">
        <v>346.60349300000001</v>
      </c>
      <c r="M7" s="18">
        <f t="shared" si="9"/>
        <v>166.60349300000007</v>
      </c>
      <c r="N7" s="17">
        <f t="shared" si="0"/>
        <v>15866490.842496967</v>
      </c>
      <c r="O7" s="14">
        <f t="shared" si="1"/>
        <v>2.9768999435936258E-12</v>
      </c>
      <c r="P7" s="24">
        <f t="shared" si="2"/>
        <v>4.7232955694198608E-5</v>
      </c>
      <c r="Q7" s="2">
        <f t="shared" si="10"/>
        <v>3.1704137011734903E-11</v>
      </c>
      <c r="R7" s="19">
        <f t="shared" si="11"/>
        <v>5.0303339958190918E-4</v>
      </c>
      <c r="S7" s="16">
        <f t="shared" si="12"/>
        <v>11.416517018141185</v>
      </c>
      <c r="T7" s="23">
        <f t="shared" si="3"/>
        <v>1.5561418820198014E-10</v>
      </c>
      <c r="U7" s="22">
        <f t="shared" si="4"/>
        <v>1.814118455456537E-8</v>
      </c>
      <c r="V7" s="16">
        <f t="shared" si="13"/>
        <v>166.60349301388189</v>
      </c>
      <c r="W7" s="23">
        <f t="shared" si="5"/>
        <v>1.8388846001471393E-10</v>
      </c>
      <c r="X7" s="22">
        <f t="shared" si="6"/>
        <v>1.3881816585126217E-8</v>
      </c>
    </row>
    <row r="8" spans="1:24" x14ac:dyDescent="0.45">
      <c r="A8">
        <v>-58.147010000000002</v>
      </c>
      <c r="B8">
        <v>-142.20697000000001</v>
      </c>
      <c r="C8">
        <v>-44.846879999999999</v>
      </c>
      <c r="D8">
        <v>-115.80561</v>
      </c>
      <c r="E8" s="13">
        <v>2329780.6717694202</v>
      </c>
      <c r="F8" s="13">
        <v>62.125919783662503</v>
      </c>
      <c r="G8" s="13">
        <f t="shared" si="7"/>
        <v>62.125919783662503</v>
      </c>
      <c r="H8" s="13">
        <v>41.184567216970798</v>
      </c>
      <c r="I8" s="13">
        <f t="shared" si="8"/>
        <v>41.184567216970798</v>
      </c>
      <c r="J8" s="11">
        <v>2329780.6719999998</v>
      </c>
      <c r="K8" s="11">
        <v>62.125920000000001</v>
      </c>
      <c r="L8" s="12">
        <v>221.18456699999999</v>
      </c>
      <c r="M8" s="18">
        <f t="shared" si="9"/>
        <v>41.184567000000015</v>
      </c>
      <c r="N8" s="17">
        <f t="shared" si="0"/>
        <v>2329780.6717621377</v>
      </c>
      <c r="O8" s="14">
        <f t="shared" si="1"/>
        <v>3.1258207952574538E-12</v>
      </c>
      <c r="P8" s="24">
        <f t="shared" si="2"/>
        <v>7.2824768722057343E-6</v>
      </c>
      <c r="Q8" s="2">
        <f t="shared" si="10"/>
        <v>1.0209635470064959E-10</v>
      </c>
      <c r="R8" s="19">
        <f t="shared" si="11"/>
        <v>2.3786211386322975E-4</v>
      </c>
      <c r="S8" s="16">
        <f t="shared" si="12"/>
        <v>62.125919783652961</v>
      </c>
      <c r="T8" s="23">
        <f t="shared" si="3"/>
        <v>9.5425889412581455E-12</v>
      </c>
      <c r="U8" s="22">
        <f t="shared" si="4"/>
        <v>2.1634703983863801E-7</v>
      </c>
      <c r="V8" s="16">
        <f t="shared" si="13"/>
        <v>41.184567216966443</v>
      </c>
      <c r="W8" s="23">
        <f t="shared" si="5"/>
        <v>4.3556269702094141E-12</v>
      </c>
      <c r="X8" s="22">
        <f t="shared" si="6"/>
        <v>2.1696642704682745E-7</v>
      </c>
    </row>
    <row r="9" spans="1:24" x14ac:dyDescent="0.45">
      <c r="A9">
        <v>-14.643140000000001</v>
      </c>
      <c r="B9">
        <v>-168.42304999999999</v>
      </c>
      <c r="C9">
        <v>20.68601</v>
      </c>
      <c r="D9">
        <v>125.92728</v>
      </c>
      <c r="E9" s="13">
        <v>8171429.8378942702</v>
      </c>
      <c r="F9" s="13">
        <v>-62.8877191244069</v>
      </c>
      <c r="G9" s="13">
        <f t="shared" si="7"/>
        <v>297.11228087559311</v>
      </c>
      <c r="H9" s="13">
        <v>-66.979261936396696</v>
      </c>
      <c r="I9" s="13">
        <f t="shared" si="8"/>
        <v>293.02073806360329</v>
      </c>
      <c r="J9" s="9">
        <v>8171429.8380000005</v>
      </c>
      <c r="K9" s="9">
        <v>297.112281</v>
      </c>
      <c r="L9" s="10">
        <v>113.02073799999999</v>
      </c>
      <c r="M9" s="18">
        <f t="shared" si="9"/>
        <v>293.02073799999999</v>
      </c>
      <c r="N9" s="17">
        <f t="shared" si="0"/>
        <v>8171429.8378450526</v>
      </c>
      <c r="O9" s="14">
        <f t="shared" si="1"/>
        <v>6.0231324354597023E-12</v>
      </c>
      <c r="P9" s="24">
        <f t="shared" si="2"/>
        <v>4.9217604100704193E-5</v>
      </c>
      <c r="Q9" s="2">
        <f t="shared" si="10"/>
        <v>1.8962148008481206E-11</v>
      </c>
      <c r="R9" s="19">
        <f t="shared" si="11"/>
        <v>1.5494786202907562E-4</v>
      </c>
      <c r="S9" s="16">
        <f t="shared" si="12"/>
        <v>297.11228087556606</v>
      </c>
      <c r="T9" s="23">
        <f t="shared" si="3"/>
        <v>2.7057467377744615E-11</v>
      </c>
      <c r="U9" s="22">
        <f t="shared" si="4"/>
        <v>1.244339387085347E-7</v>
      </c>
      <c r="V9" s="16">
        <f t="shared" si="13"/>
        <v>293.02073806357066</v>
      </c>
      <c r="W9" s="23">
        <f t="shared" si="5"/>
        <v>3.2628122426103801E-11</v>
      </c>
      <c r="X9" s="22">
        <f t="shared" si="6"/>
        <v>6.3570666952728061E-8</v>
      </c>
    </row>
    <row r="10" spans="1:24" x14ac:dyDescent="0.45">
      <c r="A10">
        <v>57.651539999999997</v>
      </c>
      <c r="B10">
        <v>157.96238</v>
      </c>
      <c r="C10">
        <v>-69.683610000000002</v>
      </c>
      <c r="D10">
        <v>-12.811310000000001</v>
      </c>
      <c r="E10" s="13">
        <v>18591406.404616799</v>
      </c>
      <c r="F10" s="13">
        <v>-165.40080176014101</v>
      </c>
      <c r="G10" s="13">
        <f t="shared" si="7"/>
        <v>194.59919823985899</v>
      </c>
      <c r="H10" s="13">
        <v>-22.8437978101521</v>
      </c>
      <c r="I10" s="13">
        <f t="shared" si="8"/>
        <v>337.15620218984787</v>
      </c>
      <c r="J10" s="11">
        <v>18591406.405000001</v>
      </c>
      <c r="K10" s="11">
        <v>194.599198</v>
      </c>
      <c r="L10" s="12">
        <v>157.15620200000001</v>
      </c>
      <c r="M10" s="18">
        <f t="shared" si="9"/>
        <v>337.15620200000001</v>
      </c>
      <c r="N10" s="17">
        <f t="shared" si="0"/>
        <v>18591406.404547203</v>
      </c>
      <c r="O10" s="14">
        <f t="shared" si="1"/>
        <v>3.7434431716033463E-12</v>
      </c>
      <c r="P10" s="24">
        <f t="shared" si="2"/>
        <v>6.9595873355865479E-5</v>
      </c>
      <c r="Q10" s="2">
        <f t="shared" si="10"/>
        <v>2.435522359327125E-11</v>
      </c>
      <c r="R10" s="19">
        <f t="shared" si="11"/>
        <v>4.5279785990715027E-4</v>
      </c>
      <c r="S10" s="16">
        <f t="shared" si="12"/>
        <v>194.59919823975687</v>
      </c>
      <c r="T10" s="23">
        <f t="shared" si="3"/>
        <v>1.021192019834416E-10</v>
      </c>
      <c r="U10" s="22">
        <f t="shared" si="4"/>
        <v>2.3975687213351193E-7</v>
      </c>
      <c r="V10" s="16">
        <f t="shared" si="13"/>
        <v>337.15620219001295</v>
      </c>
      <c r="W10" s="23">
        <f t="shared" si="5"/>
        <v>1.6507328837178648E-10</v>
      </c>
      <c r="X10" s="22">
        <f t="shared" si="6"/>
        <v>1.9001294049303397E-7</v>
      </c>
    </row>
    <row r="11" spans="1:24" x14ac:dyDescent="0.45">
      <c r="A11">
        <v>-1.8526899999999999</v>
      </c>
      <c r="B11">
        <v>113.12232</v>
      </c>
      <c r="C11">
        <v>14.288539999999999</v>
      </c>
      <c r="D11">
        <v>-58.398949999999999</v>
      </c>
      <c r="E11" s="13">
        <v>18352200.135696899</v>
      </c>
      <c r="F11" s="13">
        <v>-32.679470561092202</v>
      </c>
      <c r="G11" s="13">
        <f t="shared" si="7"/>
        <v>327.32052943890778</v>
      </c>
      <c r="H11" s="13">
        <v>-146.16714444865499</v>
      </c>
      <c r="I11" s="13">
        <f t="shared" si="8"/>
        <v>213.83285555134501</v>
      </c>
      <c r="J11" s="9">
        <v>18352200.136</v>
      </c>
      <c r="K11" s="9">
        <v>327.32052900000002</v>
      </c>
      <c r="L11" s="10">
        <v>33.832856</v>
      </c>
      <c r="M11" s="18">
        <f t="shared" si="9"/>
        <v>213.83285599999999</v>
      </c>
      <c r="N11" s="17">
        <f t="shared" si="0"/>
        <v>18352200.13564178</v>
      </c>
      <c r="O11" s="14">
        <f t="shared" si="1"/>
        <v>3.0034216523625218E-12</v>
      </c>
      <c r="P11" s="24">
        <f t="shared" si="2"/>
        <v>5.511939525604248E-5</v>
      </c>
      <c r="Q11" s="2">
        <f t="shared" si="10"/>
        <v>1.9519195908675175E-11</v>
      </c>
      <c r="R11" s="19">
        <f t="shared" si="11"/>
        <v>3.5822018980979919E-4</v>
      </c>
      <c r="S11" s="16">
        <f t="shared" si="12"/>
        <v>327.32052944022479</v>
      </c>
      <c r="T11" s="23">
        <f t="shared" si="3"/>
        <v>1.3170051715860609E-9</v>
      </c>
      <c r="U11" s="22">
        <f t="shared" si="4"/>
        <v>4.4022476686222944E-7</v>
      </c>
      <c r="V11" s="16">
        <f t="shared" si="13"/>
        <v>213.8328555499688</v>
      </c>
      <c r="W11" s="23">
        <f t="shared" si="5"/>
        <v>1.3762075923295924E-9</v>
      </c>
      <c r="X11" s="22">
        <f t="shared" si="6"/>
        <v>4.5003119453213003E-7</v>
      </c>
    </row>
    <row r="12" spans="1:24" x14ac:dyDescent="0.45">
      <c r="A12">
        <v>-34.554499999999997</v>
      </c>
      <c r="B12">
        <v>-89.889120000000005</v>
      </c>
      <c r="C12">
        <v>8.9408600000000007</v>
      </c>
      <c r="D12">
        <v>26.80087</v>
      </c>
      <c r="E12" s="13">
        <v>13013464.1025804</v>
      </c>
      <c r="F12" s="13">
        <v>98.158764755410004</v>
      </c>
      <c r="G12" s="13">
        <f t="shared" si="7"/>
        <v>98.158764755410004</v>
      </c>
      <c r="H12" s="13">
        <v>55.700402137881902</v>
      </c>
      <c r="I12" s="13">
        <f t="shared" si="8"/>
        <v>55.700402137881902</v>
      </c>
      <c r="J12" s="11">
        <v>13013464.103</v>
      </c>
      <c r="K12" s="11">
        <v>98.158765000000002</v>
      </c>
      <c r="L12" s="12">
        <v>235.700402</v>
      </c>
      <c r="M12" s="18">
        <f>NormalizeAzimuth(L12+180, TRUE)</f>
        <v>55.700401999999997</v>
      </c>
      <c r="N12" s="17">
        <f t="shared" si="0"/>
        <v>13013464.102549139</v>
      </c>
      <c r="O12" s="14">
        <f t="shared" si="1"/>
        <v>2.4021869421643504E-12</v>
      </c>
      <c r="P12" s="24">
        <f t="shared" si="2"/>
        <v>3.1260773539543152E-5</v>
      </c>
      <c r="Q12" s="2">
        <f t="shared" si="10"/>
        <v>3.4645710426020456E-11</v>
      </c>
      <c r="R12" s="19">
        <f t="shared" si="11"/>
        <v>4.5086070895195007E-4</v>
      </c>
      <c r="S12" s="16">
        <f t="shared" si="12"/>
        <v>98.158764755728726</v>
      </c>
      <c r="T12" s="23">
        <f t="shared" si="3"/>
        <v>3.1872104955255054E-10</v>
      </c>
      <c r="U12" s="22">
        <f t="shared" si="4"/>
        <v>2.442712769834543E-7</v>
      </c>
      <c r="V12" s="16">
        <f t="shared" si="13"/>
        <v>55.700402137814962</v>
      </c>
      <c r="W12" s="23">
        <f t="shared" si="5"/>
        <v>6.6940231135959039E-11</v>
      </c>
      <c r="X12" s="22">
        <f t="shared" si="6"/>
        <v>1.3781496477349719E-7</v>
      </c>
    </row>
    <row r="13" spans="1:24" x14ac:dyDescent="0.45">
      <c r="A13">
        <v>-40.491390000000003</v>
      </c>
      <c r="B13">
        <v>-52.189729999999997</v>
      </c>
      <c r="C13">
        <v>-32.456119999999999</v>
      </c>
      <c r="D13">
        <v>-172.04351</v>
      </c>
      <c r="E13" s="13">
        <v>9843902.6371442191</v>
      </c>
      <c r="F13" s="13">
        <v>-132.983420732892</v>
      </c>
      <c r="G13" s="13">
        <f t="shared" si="7"/>
        <v>227.016579267108</v>
      </c>
      <c r="H13" s="13">
        <v>-41.271577961570102</v>
      </c>
      <c r="I13" s="13">
        <f t="shared" si="8"/>
        <v>318.72842203842993</v>
      </c>
      <c r="J13" s="9">
        <v>9843902.6370000001</v>
      </c>
      <c r="K13" s="9">
        <v>227.01657900000001</v>
      </c>
      <c r="L13" s="10">
        <v>138.72842199999999</v>
      </c>
      <c r="M13" s="18">
        <f t="shared" si="9"/>
        <v>318.72842200000002</v>
      </c>
      <c r="N13" s="17">
        <f t="shared" si="0"/>
        <v>9843902.6371369381</v>
      </c>
      <c r="O13" s="14">
        <f t="shared" si="1"/>
        <v>7.3965378943001215E-13</v>
      </c>
      <c r="P13" s="24">
        <f t="shared" si="2"/>
        <v>7.281079888343811E-6</v>
      </c>
      <c r="Q13" s="2">
        <f t="shared" si="10"/>
        <v>1.3910940724510693E-11</v>
      </c>
      <c r="R13" s="19">
        <f t="shared" si="11"/>
        <v>1.369379460811615E-4</v>
      </c>
      <c r="S13" s="16">
        <f t="shared" si="12"/>
        <v>227.0165792668657</v>
      </c>
      <c r="T13" s="23">
        <f t="shared" si="3"/>
        <v>2.4229507289419416E-10</v>
      </c>
      <c r="U13" s="22">
        <f t="shared" si="4"/>
        <v>2.6686569754019729E-7</v>
      </c>
      <c r="V13" s="16">
        <f t="shared" si="13"/>
        <v>318.72842203862825</v>
      </c>
      <c r="W13" s="23">
        <f t="shared" si="5"/>
        <v>1.9832668840535916E-10</v>
      </c>
      <c r="X13" s="22">
        <f t="shared" si="6"/>
        <v>3.8628229503956391E-8</v>
      </c>
    </row>
    <row r="14" spans="1:24" x14ac:dyDescent="0.45">
      <c r="A14">
        <v>-5.8353099999999998</v>
      </c>
      <c r="B14">
        <v>-40.940559999999998</v>
      </c>
      <c r="C14">
        <v>58.066690000000001</v>
      </c>
      <c r="D14">
        <v>128.92748</v>
      </c>
      <c r="E14" s="13">
        <v>14144633.180030501</v>
      </c>
      <c r="F14" s="13">
        <v>6.6962546326618302</v>
      </c>
      <c r="G14" s="13">
        <f>NormalizeAzimuth(F14, TRUE)</f>
        <v>6.6962546326618302</v>
      </c>
      <c r="H14" s="13">
        <v>167.36195787053799</v>
      </c>
      <c r="I14" s="13">
        <f t="shared" si="8"/>
        <v>167.36195787053799</v>
      </c>
      <c r="J14" s="11">
        <v>14144633.18</v>
      </c>
      <c r="K14" s="11">
        <v>6.6962549999999998</v>
      </c>
      <c r="L14" s="12">
        <v>347.36195800000002</v>
      </c>
      <c r="M14" s="18">
        <f t="shared" ref="M14:M67" si="14">NormalizeAzimuth(L14+180, TRUE)</f>
        <v>167.36195799999996</v>
      </c>
      <c r="N14" s="17">
        <f t="shared" si="0"/>
        <v>14144633.179986298</v>
      </c>
      <c r="O14" s="14">
        <f t="shared" si="1"/>
        <v>3.1250320509410711E-12</v>
      </c>
      <c r="P14" s="24">
        <f t="shared" si="2"/>
        <v>4.4202432036399841E-5</v>
      </c>
      <c r="Q14" s="2">
        <f t="shared" si="10"/>
        <v>9.6867960755012804E-13</v>
      </c>
      <c r="R14" s="19">
        <f t="shared" si="11"/>
        <v>1.370161771774292E-5</v>
      </c>
      <c r="S14" s="16">
        <f t="shared" si="12"/>
        <v>6.6962546326498265</v>
      </c>
      <c r="T14" s="23">
        <f t="shared" si="3"/>
        <v>1.2003731342247193E-11</v>
      </c>
      <c r="U14" s="22">
        <f t="shared" si="4"/>
        <v>3.6735017339140086E-7</v>
      </c>
      <c r="V14" s="16">
        <f t="shared" si="13"/>
        <v>167.36195787056118</v>
      </c>
      <c r="W14" s="23">
        <f t="shared" si="5"/>
        <v>2.319211489520967E-11</v>
      </c>
      <c r="X14" s="22">
        <f t="shared" si="6"/>
        <v>1.294387743655534E-7</v>
      </c>
    </row>
    <row r="15" spans="1:24" x14ac:dyDescent="0.45">
      <c r="A15">
        <v>22.30837</v>
      </c>
      <c r="B15">
        <v>-15.412610000000001</v>
      </c>
      <c r="C15">
        <v>-77.917240000000007</v>
      </c>
      <c r="D15">
        <v>-21.18674</v>
      </c>
      <c r="E15" s="13">
        <v>11126939.108771799</v>
      </c>
      <c r="F15" s="13">
        <v>-178.768639660914</v>
      </c>
      <c r="G15" s="13">
        <f t="shared" si="7"/>
        <v>181.231360339086</v>
      </c>
      <c r="H15" s="13">
        <v>-174.564833962488</v>
      </c>
      <c r="I15" s="13">
        <f t="shared" si="8"/>
        <v>185.435166037512</v>
      </c>
      <c r="J15" s="9">
        <v>11126939.108999999</v>
      </c>
      <c r="K15" s="9">
        <v>181.23136</v>
      </c>
      <c r="L15" s="10">
        <v>5.4351659999999997</v>
      </c>
      <c r="M15" s="18">
        <f t="shared" si="14"/>
        <v>185.43516600000001</v>
      </c>
      <c r="N15" s="17">
        <f t="shared" si="0"/>
        <v>11126939.108720006</v>
      </c>
      <c r="O15" s="14">
        <f t="shared" si="1"/>
        <v>4.6547132606024399E-12</v>
      </c>
      <c r="P15" s="24">
        <f t="shared" si="2"/>
        <v>5.1792711019515991E-5</v>
      </c>
      <c r="Q15" s="2">
        <f t="shared" si="10"/>
        <v>2.5163507779594652E-11</v>
      </c>
      <c r="R15" s="19">
        <f t="shared" si="11"/>
        <v>2.7999281883239746E-4</v>
      </c>
      <c r="S15" s="16">
        <f t="shared" si="12"/>
        <v>181.23136033908511</v>
      </c>
      <c r="T15" s="23">
        <f t="shared" si="3"/>
        <v>8.8107299234252423E-13</v>
      </c>
      <c r="U15" s="22">
        <f t="shared" si="4"/>
        <v>3.3908511909430672E-7</v>
      </c>
      <c r="V15" s="16">
        <f t="shared" si="13"/>
        <v>185.43516603750612</v>
      </c>
      <c r="W15" s="23">
        <f t="shared" si="5"/>
        <v>5.8832938520936295E-12</v>
      </c>
      <c r="X15" s="22">
        <f t="shared" si="6"/>
        <v>3.750611199393461E-8</v>
      </c>
    </row>
    <row r="16" spans="1:24" x14ac:dyDescent="0.45">
      <c r="A16">
        <v>69.170749999999998</v>
      </c>
      <c r="B16">
        <v>-132.38274000000001</v>
      </c>
      <c r="C16">
        <v>-7.7923400000000003</v>
      </c>
      <c r="D16">
        <v>-148.41024999999999</v>
      </c>
      <c r="E16" s="13">
        <v>8628113.1866634097</v>
      </c>
      <c r="F16" s="13">
        <v>-163.71265574985901</v>
      </c>
      <c r="G16" s="13">
        <f t="shared" si="7"/>
        <v>196.28734425014099</v>
      </c>
      <c r="H16" s="13">
        <v>-174.206462031272</v>
      </c>
      <c r="I16" s="13">
        <f t="shared" si="8"/>
        <v>185.793537968728</v>
      </c>
      <c r="J16" s="11">
        <v>8628113.1870000008</v>
      </c>
      <c r="K16" s="11">
        <v>196.28734399999999</v>
      </c>
      <c r="L16" s="12">
        <v>5.7935379999999999</v>
      </c>
      <c r="M16" s="18">
        <f t="shared" si="14"/>
        <v>185.79353800000001</v>
      </c>
      <c r="N16" s="17">
        <f t="shared" si="0"/>
        <v>8628113.1866227742</v>
      </c>
      <c r="O16" s="14">
        <f t="shared" si="1"/>
        <v>4.7096584961858572E-12</v>
      </c>
      <c r="P16" s="24">
        <f t="shared" si="2"/>
        <v>4.0635466575622559E-5</v>
      </c>
      <c r="Q16" s="2">
        <f t="shared" si="10"/>
        <v>4.372063888555845E-11</v>
      </c>
      <c r="R16" s="19">
        <f t="shared" si="11"/>
        <v>3.7722662091255188E-4</v>
      </c>
      <c r="S16" s="16">
        <f t="shared" si="12"/>
        <v>196.2873442501573</v>
      </c>
      <c r="T16" s="23">
        <f t="shared" si="3"/>
        <v>1.63140612130519E-11</v>
      </c>
      <c r="U16" s="22">
        <f t="shared" si="4"/>
        <v>2.5015731353050796E-7</v>
      </c>
      <c r="V16" s="16">
        <f t="shared" si="13"/>
        <v>185.79353796873374</v>
      </c>
      <c r="W16" s="23">
        <f t="shared" si="5"/>
        <v>5.7411853049416095E-12</v>
      </c>
      <c r="X16" s="22">
        <f t="shared" si="6"/>
        <v>3.1266267797036562E-8</v>
      </c>
    </row>
    <row r="17" spans="1:24" x14ac:dyDescent="0.45">
      <c r="A17">
        <v>-63.510779999999997</v>
      </c>
      <c r="B17">
        <v>97.623270000000005</v>
      </c>
      <c r="C17">
        <v>71.74239</v>
      </c>
      <c r="D17">
        <v>116.67794000000001</v>
      </c>
      <c r="E17" s="13">
        <v>15078802.086486099</v>
      </c>
      <c r="F17" s="13">
        <v>8.4671747155981798</v>
      </c>
      <c r="G17" s="13">
        <f t="shared" si="7"/>
        <v>8.4671747155981798</v>
      </c>
      <c r="H17" s="13">
        <v>12.0964352730872</v>
      </c>
      <c r="I17" s="13">
        <f t="shared" si="8"/>
        <v>12.0964352730872</v>
      </c>
      <c r="J17" s="9">
        <v>15078802.085999999</v>
      </c>
      <c r="K17" s="9">
        <v>8.4671749999999992</v>
      </c>
      <c r="L17" s="10">
        <v>192.09643500000001</v>
      </c>
      <c r="M17" s="18">
        <f t="shared" si="14"/>
        <v>12.096435000000042</v>
      </c>
      <c r="N17" s="17">
        <f t="shared" si="0"/>
        <v>15078802.086415969</v>
      </c>
      <c r="O17" s="14">
        <f t="shared" si="1"/>
        <v>4.6509299685382147E-12</v>
      </c>
      <c r="P17" s="24">
        <f t="shared" si="2"/>
        <v>7.0130452513694763E-5</v>
      </c>
      <c r="Q17" s="2">
        <f t="shared" si="10"/>
        <v>2.7586385022107638E-11</v>
      </c>
      <c r="R17" s="19">
        <f t="shared" si="11"/>
        <v>4.1596964001655579E-4</v>
      </c>
      <c r="S17" s="16">
        <f t="shared" si="12"/>
        <v>8.4671747156079995</v>
      </c>
      <c r="T17" s="23">
        <f t="shared" si="3"/>
        <v>9.8197006082045846E-12</v>
      </c>
      <c r="U17" s="22">
        <f t="shared" si="4"/>
        <v>2.8439199972751794E-7</v>
      </c>
      <c r="V17" s="16">
        <f t="shared" si="13"/>
        <v>12.096435273101354</v>
      </c>
      <c r="W17" s="23">
        <f t="shared" si="5"/>
        <v>1.4154011296341196E-11</v>
      </c>
      <c r="X17" s="22">
        <f t="shared" si="6"/>
        <v>2.7310131223146072E-7</v>
      </c>
    </row>
    <row r="18" spans="1:24" x14ac:dyDescent="0.45">
      <c r="A18">
        <v>-19.57667</v>
      </c>
      <c r="B18">
        <v>78.649979999999999</v>
      </c>
      <c r="C18">
        <v>69.278580000000005</v>
      </c>
      <c r="D18">
        <v>136.25335999999999</v>
      </c>
      <c r="E18" s="13">
        <v>10848297.5345449</v>
      </c>
      <c r="F18" s="13">
        <v>17.6171834755663</v>
      </c>
      <c r="G18" s="13">
        <f t="shared" si="7"/>
        <v>17.6171834755663</v>
      </c>
      <c r="H18" s="13">
        <v>53.5018586808226</v>
      </c>
      <c r="I18" s="13">
        <f t="shared" si="8"/>
        <v>53.5018586808226</v>
      </c>
      <c r="J18" s="11">
        <v>10848297.535</v>
      </c>
      <c r="K18" s="11">
        <v>17.617183000000001</v>
      </c>
      <c r="L18" s="12">
        <v>233.501859</v>
      </c>
      <c r="M18" s="18">
        <f t="shared" si="14"/>
        <v>53.501858999999968</v>
      </c>
      <c r="N18" s="17">
        <f t="shared" si="0"/>
        <v>10848297.534494171</v>
      </c>
      <c r="O18" s="14">
        <f t="shared" si="1"/>
        <v>4.6762305769882503E-12</v>
      </c>
      <c r="P18" s="24">
        <f t="shared" si="2"/>
        <v>5.0729140639305115E-5</v>
      </c>
      <c r="Q18" s="2">
        <f t="shared" si="10"/>
        <v>4.6627521813348274E-11</v>
      </c>
      <c r="R18" s="19">
        <f t="shared" si="11"/>
        <v>5.0582922995090485E-4</v>
      </c>
      <c r="S18" s="16">
        <f t="shared" si="12"/>
        <v>17.617183475579434</v>
      </c>
      <c r="T18" s="23">
        <f t="shared" si="3"/>
        <v>1.3134382470525452E-11</v>
      </c>
      <c r="U18" s="22">
        <f t="shared" si="4"/>
        <v>4.755794336119834E-7</v>
      </c>
      <c r="V18" s="16">
        <f t="shared" si="13"/>
        <v>53.50185868087803</v>
      </c>
      <c r="W18" s="23">
        <f t="shared" si="5"/>
        <v>5.5429438816645415E-11</v>
      </c>
      <c r="X18" s="22">
        <f t="shared" si="6"/>
        <v>3.1912193776406639E-7</v>
      </c>
    </row>
    <row r="19" spans="1:24" x14ac:dyDescent="0.45">
      <c r="A19">
        <v>39.893880000000003</v>
      </c>
      <c r="B19">
        <v>-26.36665</v>
      </c>
      <c r="C19">
        <v>43.53266</v>
      </c>
      <c r="D19">
        <v>-1.8880399999999999</v>
      </c>
      <c r="E19" s="13">
        <v>2068921.0111378899</v>
      </c>
      <c r="F19" s="13">
        <v>70.729945893312703</v>
      </c>
      <c r="G19" s="13">
        <f t="shared" si="7"/>
        <v>70.729945893312703</v>
      </c>
      <c r="H19" s="13">
        <v>87.165704715533906</v>
      </c>
      <c r="I19" s="13">
        <f t="shared" si="8"/>
        <v>87.165704715533906</v>
      </c>
      <c r="J19" s="9">
        <v>2068921.0109999999</v>
      </c>
      <c r="K19" s="9">
        <v>70.729945999999998</v>
      </c>
      <c r="L19" s="10">
        <v>267.165705</v>
      </c>
      <c r="M19" s="18">
        <f t="shared" si="14"/>
        <v>87.165705000000003</v>
      </c>
      <c r="N19" s="17">
        <f t="shared" si="0"/>
        <v>2068921.0111408576</v>
      </c>
      <c r="O19" s="14">
        <f t="shared" si="1"/>
        <v>1.4343995580479089E-12</v>
      </c>
      <c r="P19" s="24">
        <f t="shared" si="2"/>
        <v>2.9676593840122223E-6</v>
      </c>
      <c r="Q19" s="2">
        <f t="shared" si="10"/>
        <v>6.8082662034057906E-11</v>
      </c>
      <c r="R19" s="19">
        <f t="shared" si="11"/>
        <v>1.4085764996707439E-4</v>
      </c>
      <c r="S19" s="16">
        <f t="shared" si="12"/>
        <v>70.729945893328122</v>
      </c>
      <c r="T19" s="23">
        <f t="shared" si="3"/>
        <v>1.5418777365994174E-11</v>
      </c>
      <c r="U19" s="22">
        <f t="shared" si="4"/>
        <v>1.06671876665132E-7</v>
      </c>
      <c r="V19" s="16">
        <f t="shared" si="13"/>
        <v>87.165704715642718</v>
      </c>
      <c r="W19" s="23">
        <f t="shared" si="5"/>
        <v>1.0881251455430174E-10</v>
      </c>
      <c r="X19" s="22">
        <f t="shared" si="6"/>
        <v>2.8435728438580554E-7</v>
      </c>
    </row>
    <row r="20" spans="1:24" x14ac:dyDescent="0.45">
      <c r="A20">
        <v>-81.014600000000002</v>
      </c>
      <c r="B20">
        <v>61.020249999999997</v>
      </c>
      <c r="C20">
        <v>39.040280000000003</v>
      </c>
      <c r="D20">
        <v>68.610119999999995</v>
      </c>
      <c r="E20" s="13">
        <v>13329277.5754636</v>
      </c>
      <c r="F20" s="13">
        <v>6.8190588723243399</v>
      </c>
      <c r="G20" s="13">
        <f t="shared" si="7"/>
        <v>6.8190588723243399</v>
      </c>
      <c r="H20" s="13">
        <v>1.3707664483302</v>
      </c>
      <c r="I20" s="13">
        <f t="shared" si="8"/>
        <v>1.3707664483302</v>
      </c>
      <c r="J20" s="11">
        <v>13329277.574999999</v>
      </c>
      <c r="K20" s="11">
        <v>6.8190590000000002</v>
      </c>
      <c r="L20" s="12">
        <v>181.370766</v>
      </c>
      <c r="M20" s="18">
        <f t="shared" si="14"/>
        <v>1.3707660000000033</v>
      </c>
      <c r="N20" s="17">
        <f t="shared" si="0"/>
        <v>13329277.575401368</v>
      </c>
      <c r="O20" s="14">
        <f t="shared" si="1"/>
        <v>4.6688829704854436E-12</v>
      </c>
      <c r="P20" s="24">
        <f t="shared" si="2"/>
        <v>6.2232837080955505E-5</v>
      </c>
      <c r="Q20" s="2">
        <f t="shared" si="10"/>
        <v>3.0111786811652045E-11</v>
      </c>
      <c r="R20" s="19">
        <f t="shared" si="11"/>
        <v>4.0136836469173431E-4</v>
      </c>
      <c r="S20" s="16">
        <f t="shared" si="12"/>
        <v>6.8190588723230716</v>
      </c>
      <c r="T20" s="23">
        <f t="shared" si="3"/>
        <v>1.2683187833317788E-12</v>
      </c>
      <c r="U20" s="22">
        <f t="shared" si="4"/>
        <v>1.2767692858517421E-7</v>
      </c>
      <c r="V20" s="16">
        <f t="shared" si="13"/>
        <v>1.3707664483299571</v>
      </c>
      <c r="W20" s="23">
        <f t="shared" si="5"/>
        <v>2.4291679778798425E-13</v>
      </c>
      <c r="X20" s="22">
        <f t="shared" si="6"/>
        <v>4.4832995382826368E-7</v>
      </c>
    </row>
    <row r="21" spans="1:24" x14ac:dyDescent="0.45">
      <c r="A21">
        <v>-48.464100000000002</v>
      </c>
      <c r="B21">
        <v>142.61760000000001</v>
      </c>
      <c r="C21">
        <v>20.164390000000001</v>
      </c>
      <c r="D21">
        <v>-137.13471999999999</v>
      </c>
      <c r="E21" s="13">
        <v>10971195.9105135</v>
      </c>
      <c r="F21" s="13">
        <v>69.582145989826202</v>
      </c>
      <c r="G21" s="13">
        <f t="shared" si="7"/>
        <v>69.582145989826202</v>
      </c>
      <c r="H21" s="13">
        <v>41.528057891924298</v>
      </c>
      <c r="I21" s="13">
        <f t="shared" si="8"/>
        <v>41.528057891924298</v>
      </c>
      <c r="J21" s="9">
        <v>10971195.911</v>
      </c>
      <c r="K21" s="9">
        <v>69.582145999999995</v>
      </c>
      <c r="L21" s="10">
        <v>221.52805799999999</v>
      </c>
      <c r="M21" s="18">
        <f t="shared" si="14"/>
        <v>41.528057999999987</v>
      </c>
      <c r="N21" s="17">
        <f t="shared" si="0"/>
        <v>10971195.910463449</v>
      </c>
      <c r="O21" s="14">
        <f t="shared" si="1"/>
        <v>4.5620494076695819E-12</v>
      </c>
      <c r="P21" s="24">
        <f t="shared" si="2"/>
        <v>5.0051137804985046E-5</v>
      </c>
      <c r="Q21" s="2">
        <f t="shared" si="10"/>
        <v>4.8905488826825147E-11</v>
      </c>
      <c r="R21" s="19">
        <f t="shared" si="11"/>
        <v>5.3655169904232025E-4</v>
      </c>
      <c r="S21" s="16">
        <f t="shared" si="12"/>
        <v>69.582145989964062</v>
      </c>
      <c r="T21" s="23">
        <f t="shared" si="3"/>
        <v>1.3785950159217464E-10</v>
      </c>
      <c r="U21" s="22">
        <f t="shared" si="4"/>
        <v>1.0035932973551098E-8</v>
      </c>
      <c r="V21" s="16">
        <f t="shared" si="13"/>
        <v>41.528057891969894</v>
      </c>
      <c r="W21" s="23">
        <f t="shared" si="5"/>
        <v>4.5595527353725629E-11</v>
      </c>
      <c r="X21" s="22">
        <f t="shared" si="6"/>
        <v>1.0803009331539215E-7</v>
      </c>
    </row>
    <row r="22" spans="1:24" x14ac:dyDescent="0.45">
      <c r="A22">
        <v>-11.96942</v>
      </c>
      <c r="B22">
        <v>19.343589999999999</v>
      </c>
      <c r="C22">
        <v>-63.417520000000003</v>
      </c>
      <c r="D22">
        <v>71.231399999999994</v>
      </c>
      <c r="E22" s="13">
        <v>6990777.0187480999</v>
      </c>
      <c r="F22" s="13">
        <v>156.61335933907199</v>
      </c>
      <c r="G22" s="13">
        <f t="shared" si="7"/>
        <v>156.61335933907199</v>
      </c>
      <c r="H22" s="13">
        <v>120.055039909795</v>
      </c>
      <c r="I22" s="13">
        <f t="shared" si="8"/>
        <v>120.055039909795</v>
      </c>
      <c r="J22" s="11">
        <v>6990777.0190000003</v>
      </c>
      <c r="K22" s="11">
        <v>156.613359</v>
      </c>
      <c r="L22" s="12">
        <v>300.05504000000002</v>
      </c>
      <c r="M22" s="18">
        <f t="shared" si="14"/>
        <v>120.05504000000002</v>
      </c>
      <c r="N22" s="17">
        <f t="shared" si="0"/>
        <v>6990777.0187217705</v>
      </c>
      <c r="O22" s="14">
        <f t="shared" si="1"/>
        <v>3.7663081566388216E-12</v>
      </c>
      <c r="P22" s="24">
        <f t="shared" si="2"/>
        <v>2.6329420506954193E-5</v>
      </c>
      <c r="Q22" s="2">
        <f t="shared" si="10"/>
        <v>3.9799556536055834E-11</v>
      </c>
      <c r="R22" s="19">
        <f t="shared" si="11"/>
        <v>2.7822982519865036E-4</v>
      </c>
      <c r="S22" s="16">
        <f t="shared" si="12"/>
        <v>156.61335933904897</v>
      </c>
      <c r="T22" s="23">
        <f t="shared" si="3"/>
        <v>2.3021584638627246E-11</v>
      </c>
      <c r="U22" s="22">
        <f t="shared" si="4"/>
        <v>3.3904896667991125E-7</v>
      </c>
      <c r="V22" s="16">
        <f t="shared" si="13"/>
        <v>120.05503990970278</v>
      </c>
      <c r="W22" s="23">
        <f t="shared" si="5"/>
        <v>9.2214236246945802E-11</v>
      </c>
      <c r="X22" s="22">
        <f t="shared" si="6"/>
        <v>9.0297234578429197E-8</v>
      </c>
    </row>
    <row r="23" spans="1:24" x14ac:dyDescent="0.45">
      <c r="A23">
        <v>-69.891480000000001</v>
      </c>
      <c r="B23">
        <v>-112.86902000000001</v>
      </c>
      <c r="C23">
        <v>14.28862</v>
      </c>
      <c r="D23">
        <v>105.75986</v>
      </c>
      <c r="E23" s="13">
        <v>13278834.8877271</v>
      </c>
      <c r="F23" s="13">
        <v>-136.07293861162</v>
      </c>
      <c r="G23" s="13">
        <f t="shared" si="7"/>
        <v>223.92706138838</v>
      </c>
      <c r="H23" s="13">
        <v>-14.2883065562329</v>
      </c>
      <c r="I23" s="13">
        <f t="shared" si="8"/>
        <v>345.7116934437671</v>
      </c>
      <c r="J23" s="9">
        <v>13278834.888</v>
      </c>
      <c r="K23" s="9">
        <v>223.92706100000001</v>
      </c>
      <c r="L23" s="10">
        <v>165.711693</v>
      </c>
      <c r="M23" s="18">
        <f t="shared" si="14"/>
        <v>345.71169299999997</v>
      </c>
      <c r="N23" s="17">
        <f t="shared" si="0"/>
        <v>13278834.887680421</v>
      </c>
      <c r="O23" s="14">
        <f t="shared" si="1"/>
        <v>3.5153498390149085E-12</v>
      </c>
      <c r="P23" s="24">
        <f t="shared" si="2"/>
        <v>4.6679750084877014E-5</v>
      </c>
      <c r="Q23" s="2">
        <f t="shared" si="10"/>
        <v>2.4066841623115976E-11</v>
      </c>
      <c r="R23" s="19">
        <f t="shared" si="11"/>
        <v>3.1957961618900299E-4</v>
      </c>
      <c r="S23" s="16">
        <f t="shared" si="12"/>
        <v>223.92706138829112</v>
      </c>
      <c r="T23" s="23">
        <f t="shared" si="3"/>
        <v>8.8874685388873331E-11</v>
      </c>
      <c r="U23" s="22">
        <f t="shared" si="4"/>
        <v>3.8829111304039543E-7</v>
      </c>
      <c r="V23" s="16">
        <f t="shared" si="13"/>
        <v>345.71169344379047</v>
      </c>
      <c r="W23" s="23">
        <f t="shared" si="5"/>
        <v>2.3362645151792094E-11</v>
      </c>
      <c r="X23" s="22">
        <f t="shared" si="6"/>
        <v>4.4379049768394907E-7</v>
      </c>
    </row>
    <row r="24" spans="1:24" x14ac:dyDescent="0.45">
      <c r="A24">
        <v>-89.175899999999999</v>
      </c>
      <c r="B24">
        <v>154.12210999999999</v>
      </c>
      <c r="C24">
        <v>56.214649999999999</v>
      </c>
      <c r="D24">
        <v>-75.161519999999996</v>
      </c>
      <c r="E24" s="13">
        <v>16293897.9904579</v>
      </c>
      <c r="F24" s="13">
        <v>129.772134826101</v>
      </c>
      <c r="G24" s="13">
        <f t="shared" si="7"/>
        <v>129.772134826101</v>
      </c>
      <c r="H24" s="13">
        <v>1.1402578593469399</v>
      </c>
      <c r="I24" s="13">
        <f t="shared" si="8"/>
        <v>1.1402578593469399</v>
      </c>
      <c r="J24" s="11">
        <v>16293897.99</v>
      </c>
      <c r="K24" s="11">
        <v>129.77213499999999</v>
      </c>
      <c r="L24" s="12">
        <v>181.14025799999999</v>
      </c>
      <c r="M24" s="18">
        <f t="shared" si="14"/>
        <v>1.1402580000000171</v>
      </c>
      <c r="N24" s="17">
        <f t="shared" si="0"/>
        <v>16293897.990389509</v>
      </c>
      <c r="O24" s="14">
        <f t="shared" si="1"/>
        <v>4.1973223340642196E-12</v>
      </c>
      <c r="P24" s="24">
        <f t="shared" si="2"/>
        <v>6.8390741944313049E-5</v>
      </c>
      <c r="Q24" s="2">
        <f t="shared" si="10"/>
        <v>2.3905200785326679E-11</v>
      </c>
      <c r="R24" s="19">
        <f t="shared" si="11"/>
        <v>3.8950890302658081E-4</v>
      </c>
      <c r="S24" s="16">
        <f t="shared" si="12"/>
        <v>129.77213482607075</v>
      </c>
      <c r="T24" s="23">
        <f t="shared" si="3"/>
        <v>3.0240698833949864E-11</v>
      </c>
      <c r="U24" s="22">
        <f t="shared" si="4"/>
        <v>1.7392923723491549E-7</v>
      </c>
      <c r="V24" s="16">
        <f t="shared" si="13"/>
        <v>1.1402578593475707</v>
      </c>
      <c r="W24" s="23">
        <f t="shared" si="5"/>
        <v>6.3082872259201395E-13</v>
      </c>
      <c r="X24" s="22">
        <f t="shared" si="6"/>
        <v>1.4065244635652618E-7</v>
      </c>
    </row>
    <row r="25" spans="1:24" x14ac:dyDescent="0.45">
      <c r="A25">
        <v>70.158690000000007</v>
      </c>
      <c r="B25">
        <v>46.310409999999997</v>
      </c>
      <c r="C25">
        <v>-3.0710999999999999</v>
      </c>
      <c r="D25">
        <v>-70.828180000000003</v>
      </c>
      <c r="E25" s="13">
        <v>11321064.524782</v>
      </c>
      <c r="F25" s="13">
        <v>-65.124153972149699</v>
      </c>
      <c r="G25" s="13">
        <f t="shared" si="7"/>
        <v>294.87584602785029</v>
      </c>
      <c r="H25" s="13">
        <v>-161.983980597608</v>
      </c>
      <c r="I25" s="13">
        <f t="shared" si="8"/>
        <v>198.016019402392</v>
      </c>
      <c r="J25" s="9">
        <v>11321064.525</v>
      </c>
      <c r="K25" s="9">
        <v>294.87584600000002</v>
      </c>
      <c r="L25" s="10">
        <v>18.016019</v>
      </c>
      <c r="M25" s="18">
        <f t="shared" si="14"/>
        <v>198.016019</v>
      </c>
      <c r="N25" s="17">
        <f t="shared" si="0"/>
        <v>11321064.524744052</v>
      </c>
      <c r="O25" s="14">
        <f t="shared" si="1"/>
        <v>3.3519524195109218E-12</v>
      </c>
      <c r="P25" s="24">
        <f t="shared" si="2"/>
        <v>3.7947669625282288E-5</v>
      </c>
      <c r="Q25" s="2">
        <f t="shared" si="10"/>
        <v>2.2608115344256907E-11</v>
      </c>
      <c r="R25" s="19">
        <f t="shared" si="11"/>
        <v>2.5594793260097504E-4</v>
      </c>
      <c r="S25" s="16">
        <f t="shared" si="12"/>
        <v>294.87584602796466</v>
      </c>
      <c r="T25" s="23">
        <f t="shared" si="3"/>
        <v>1.1436895874794573E-10</v>
      </c>
      <c r="U25" s="22">
        <f t="shared" si="4"/>
        <v>2.796463149934425E-8</v>
      </c>
      <c r="V25" s="16">
        <f t="shared" si="13"/>
        <v>198.01601940237526</v>
      </c>
      <c r="W25" s="23">
        <f t="shared" si="5"/>
        <v>1.674038685450796E-11</v>
      </c>
      <c r="X25" s="22">
        <f t="shared" si="6"/>
        <v>4.0237526377495669E-7</v>
      </c>
    </row>
    <row r="26" spans="1:24" x14ac:dyDescent="0.45">
      <c r="A26">
        <v>16.067440000000001</v>
      </c>
      <c r="B26">
        <v>-33.326090000000001</v>
      </c>
      <c r="C26">
        <v>-64.480180000000004</v>
      </c>
      <c r="D26">
        <v>108.66274</v>
      </c>
      <c r="E26" s="13">
        <v>13912911.09127</v>
      </c>
      <c r="F26" s="13">
        <v>161.055419375306</v>
      </c>
      <c r="G26" s="13">
        <f t="shared" si="7"/>
        <v>161.055419375306</v>
      </c>
      <c r="H26" s="13">
        <v>46.247766004057702</v>
      </c>
      <c r="I26" s="13">
        <f t="shared" si="8"/>
        <v>46.247766004057702</v>
      </c>
      <c r="J26" s="11">
        <v>13912911.091</v>
      </c>
      <c r="K26" s="11">
        <v>161.055419</v>
      </c>
      <c r="L26" s="12">
        <v>226.24776600000001</v>
      </c>
      <c r="M26" s="18">
        <f t="shared" si="14"/>
        <v>46.247766000000013</v>
      </c>
      <c r="N26" s="17">
        <f t="shared" si="0"/>
        <v>13912911.091220979</v>
      </c>
      <c r="O26" s="14">
        <f t="shared" si="1"/>
        <v>3.5234247323135576E-12</v>
      </c>
      <c r="P26" s="24">
        <f t="shared" si="2"/>
        <v>4.9021095037460327E-5</v>
      </c>
      <c r="Q26" s="2">
        <f t="shared" si="10"/>
        <v>1.588299034788341E-11</v>
      </c>
      <c r="R26" s="19">
        <f t="shared" si="11"/>
        <v>2.2097863256931305E-4</v>
      </c>
      <c r="S26" s="16">
        <f t="shared" si="12"/>
        <v>161.05541937534827</v>
      </c>
      <c r="T26" s="23">
        <f t="shared" si="3"/>
        <v>4.2263081923010759E-11</v>
      </c>
      <c r="U26" s="22">
        <f t="shared" si="4"/>
        <v>3.7534826446972147E-7</v>
      </c>
      <c r="V26" s="16">
        <f t="shared" si="13"/>
        <v>46.247766003927964</v>
      </c>
      <c r="W26" s="23">
        <f t="shared" si="5"/>
        <v>1.2973799812243669E-10</v>
      </c>
      <c r="X26" s="22">
        <f t="shared" si="6"/>
        <v>3.9279512975554098E-9</v>
      </c>
    </row>
    <row r="27" spans="1:24" x14ac:dyDescent="0.45">
      <c r="A27">
        <v>-65.584879999999998</v>
      </c>
      <c r="B27">
        <v>-9.0929599999999997</v>
      </c>
      <c r="C27">
        <v>-23.258849999999999</v>
      </c>
      <c r="D27">
        <v>-108.1495</v>
      </c>
      <c r="E27" s="13">
        <v>8079548.1933564199</v>
      </c>
      <c r="F27" s="13">
        <v>-108.080377026009</v>
      </c>
      <c r="G27" s="13">
        <f t="shared" si="7"/>
        <v>251.91962297399101</v>
      </c>
      <c r="H27" s="13">
        <v>-25.382626143567101</v>
      </c>
      <c r="I27" s="13">
        <f t="shared" si="8"/>
        <v>334.61737385643289</v>
      </c>
      <c r="J27" s="9">
        <v>8079548.193</v>
      </c>
      <c r="K27" s="9">
        <v>251.919623</v>
      </c>
      <c r="L27" s="10">
        <v>154.61737400000001</v>
      </c>
      <c r="M27" s="18">
        <f t="shared" si="14"/>
        <v>334.61737400000004</v>
      </c>
      <c r="N27" s="17">
        <f t="shared" si="0"/>
        <v>8079548.1933386493</v>
      </c>
      <c r="O27" s="14">
        <f t="shared" si="1"/>
        <v>2.199450466902366E-12</v>
      </c>
      <c r="P27" s="24">
        <f t="shared" si="2"/>
        <v>1.7770566046237946E-5</v>
      </c>
      <c r="Q27" s="2">
        <f t="shared" si="10"/>
        <v>4.1914395351986429E-11</v>
      </c>
      <c r="R27" s="19">
        <f t="shared" si="11"/>
        <v>3.3864937722682953E-4</v>
      </c>
      <c r="S27" s="16">
        <f t="shared" si="12"/>
        <v>251.91962297387079</v>
      </c>
      <c r="T27" s="23">
        <f t="shared" si="3"/>
        <v>1.2022383089060895E-10</v>
      </c>
      <c r="U27" s="22">
        <f t="shared" si="4"/>
        <v>2.612921434774762E-8</v>
      </c>
      <c r="V27" s="16">
        <f t="shared" si="13"/>
        <v>334.61737385645148</v>
      </c>
      <c r="W27" s="23">
        <f t="shared" si="5"/>
        <v>1.8587797967484221E-11</v>
      </c>
      <c r="X27" s="22">
        <f t="shared" si="6"/>
        <v>1.4354856148202089E-7</v>
      </c>
    </row>
    <row r="28" spans="1:24" x14ac:dyDescent="0.45">
      <c r="A28">
        <v>51.177770000000002</v>
      </c>
      <c r="B28">
        <v>117.54172</v>
      </c>
      <c r="C28">
        <v>-9.3270400000000002</v>
      </c>
      <c r="D28">
        <v>-118.73787</v>
      </c>
      <c r="E28" s="13">
        <v>13124386.157580599</v>
      </c>
      <c r="F28" s="13">
        <v>68.204056750898005</v>
      </c>
      <c r="G28" s="13">
        <f t="shared" si="7"/>
        <v>68.204056750898005</v>
      </c>
      <c r="H28" s="13">
        <v>143.76923798912401</v>
      </c>
      <c r="I28" s="13">
        <f t="shared" si="8"/>
        <v>143.76923798912401</v>
      </c>
      <c r="J28" s="11">
        <v>13124386.158</v>
      </c>
      <c r="K28" s="11">
        <v>68.204057000000006</v>
      </c>
      <c r="L28" s="12">
        <v>323.76923799999997</v>
      </c>
      <c r="M28" s="18">
        <f t="shared" si="14"/>
        <v>143.76923799999997</v>
      </c>
      <c r="N28" s="17">
        <f t="shared" si="0"/>
        <v>13124386.15754142</v>
      </c>
      <c r="O28" s="14">
        <f t="shared" si="1"/>
        <v>2.9851969911975173E-12</v>
      </c>
      <c r="P28" s="24">
        <f t="shared" si="2"/>
        <v>3.917887806892395E-5</v>
      </c>
      <c r="Q28" s="2">
        <f t="shared" si="10"/>
        <v>3.4941025426231838E-11</v>
      </c>
      <c r="R28" s="19">
        <f t="shared" si="11"/>
        <v>4.5857951045036316E-4</v>
      </c>
      <c r="S28" s="16">
        <f t="shared" si="12"/>
        <v>68.204056750594319</v>
      </c>
      <c r="T28" s="23">
        <f t="shared" si="3"/>
        <v>3.0368596526386682E-10</v>
      </c>
      <c r="U28" s="22">
        <f t="shared" si="4"/>
        <v>2.4940568721376621E-7</v>
      </c>
      <c r="V28" s="16">
        <f t="shared" si="13"/>
        <v>143.769237989213</v>
      </c>
      <c r="W28" s="23">
        <f t="shared" si="5"/>
        <v>8.8988372226594947E-11</v>
      </c>
      <c r="X28" s="22">
        <f t="shared" si="6"/>
        <v>1.0786976645249524E-8</v>
      </c>
    </row>
    <row r="29" spans="1:24" x14ac:dyDescent="0.45">
      <c r="A29">
        <v>73.504499999999993</v>
      </c>
      <c r="B29">
        <v>-166.58958000000001</v>
      </c>
      <c r="C29">
        <v>5.8188500000000003</v>
      </c>
      <c r="D29">
        <v>163.43951999999999</v>
      </c>
      <c r="E29" s="13">
        <v>7776083.7753266301</v>
      </c>
      <c r="F29" s="13">
        <v>-148.02754482329101</v>
      </c>
      <c r="G29" s="13">
        <f t="shared" si="7"/>
        <v>211.97245517670899</v>
      </c>
      <c r="H29" s="13">
        <v>-171.280905841037</v>
      </c>
      <c r="I29" s="13">
        <f t="shared" si="8"/>
        <v>188.719094158963</v>
      </c>
      <c r="J29" s="9">
        <v>7776083.7750000004</v>
      </c>
      <c r="K29" s="9">
        <v>211.972455</v>
      </c>
      <c r="L29" s="10">
        <v>8.7190940000000001</v>
      </c>
      <c r="M29" s="18">
        <f t="shared" si="14"/>
        <v>188.71909400000001</v>
      </c>
      <c r="N29" s="17">
        <f t="shared" si="0"/>
        <v>7776083.7752931975</v>
      </c>
      <c r="O29" s="14">
        <f t="shared" si="1"/>
        <v>4.2994158434387657E-12</v>
      </c>
      <c r="P29" s="24">
        <f t="shared" si="2"/>
        <v>3.3432617783546448E-5</v>
      </c>
      <c r="Q29" s="2">
        <f t="shared" si="10"/>
        <v>3.7704983482549443E-11</v>
      </c>
      <c r="R29" s="19">
        <f t="shared" si="11"/>
        <v>2.9319711029529572E-4</v>
      </c>
      <c r="S29" s="16">
        <f t="shared" si="12"/>
        <v>211.97245517669091</v>
      </c>
      <c r="T29" s="23">
        <f t="shared" si="3"/>
        <v>1.8076207197736949E-11</v>
      </c>
      <c r="U29" s="22">
        <f t="shared" si="4"/>
        <v>1.7669091789684899E-7</v>
      </c>
      <c r="V29" s="16">
        <f t="shared" si="13"/>
        <v>188.71909415895823</v>
      </c>
      <c r="W29" s="23">
        <f t="shared" si="5"/>
        <v>4.7748471843078732E-12</v>
      </c>
      <c r="X29" s="22">
        <f t="shared" si="6"/>
        <v>1.589582154792879E-7</v>
      </c>
    </row>
    <row r="30" spans="1:24" x14ac:dyDescent="0.45">
      <c r="A30">
        <v>-65.198800000000006</v>
      </c>
      <c r="B30">
        <v>-174.18019000000001</v>
      </c>
      <c r="C30">
        <v>-28.909610000000001</v>
      </c>
      <c r="D30">
        <v>29.757259999999999</v>
      </c>
      <c r="E30" s="13">
        <v>9368637.2487851307</v>
      </c>
      <c r="F30" s="13">
        <v>-159.104105442622</v>
      </c>
      <c r="G30" s="13">
        <f t="shared" si="7"/>
        <v>200.895894557378</v>
      </c>
      <c r="H30" s="13">
        <v>-9.8605551978343602</v>
      </c>
      <c r="I30" s="13">
        <f t="shared" si="8"/>
        <v>350.13944480216566</v>
      </c>
      <c r="J30" s="11">
        <v>9368637.2489999998</v>
      </c>
      <c r="K30" s="11">
        <v>200.895895</v>
      </c>
      <c r="L30" s="12">
        <v>170.13944499999999</v>
      </c>
      <c r="M30" s="18">
        <f t="shared" si="14"/>
        <v>350.13944500000002</v>
      </c>
      <c r="N30" s="17">
        <f t="shared" si="0"/>
        <v>9368637.2487671636</v>
      </c>
      <c r="O30" s="14">
        <f t="shared" si="1"/>
        <v>1.9177896029448335E-12</v>
      </c>
      <c r="P30" s="24">
        <f t="shared" si="2"/>
        <v>1.7967075109481812E-5</v>
      </c>
      <c r="Q30" s="2">
        <f t="shared" si="10"/>
        <v>2.4852732089095463E-11</v>
      </c>
      <c r="R30" s="19">
        <f t="shared" si="11"/>
        <v>2.3283623158931732E-4</v>
      </c>
      <c r="S30" s="16">
        <f t="shared" si="12"/>
        <v>200.89589455733392</v>
      </c>
      <c r="T30" s="23">
        <f t="shared" si="3"/>
        <v>4.4082071326556616E-11</v>
      </c>
      <c r="U30" s="22">
        <f t="shared" si="4"/>
        <v>4.4266607801546343E-7</v>
      </c>
      <c r="V30" s="16">
        <f t="shared" si="13"/>
        <v>350.13944480218555</v>
      </c>
      <c r="W30" s="23">
        <f t="shared" si="5"/>
        <v>1.9895196601282805E-11</v>
      </c>
      <c r="X30" s="22">
        <f t="shared" si="6"/>
        <v>1.9781447235800442E-7</v>
      </c>
    </row>
    <row r="31" spans="1:24" x14ac:dyDescent="0.45">
      <c r="A31">
        <v>-56.731380000000001</v>
      </c>
      <c r="B31">
        <v>-169.91386</v>
      </c>
      <c r="C31">
        <v>-69.354529999999997</v>
      </c>
      <c r="D31">
        <v>13.248900000000001</v>
      </c>
      <c r="E31" s="13">
        <v>6014625.47188891</v>
      </c>
      <c r="F31" s="13">
        <v>-178.61995535805301</v>
      </c>
      <c r="G31" s="13">
        <f t="shared" si="7"/>
        <v>181.38004464194699</v>
      </c>
      <c r="H31" s="13">
        <v>-2.1461476781893398</v>
      </c>
      <c r="I31" s="13">
        <f t="shared" si="8"/>
        <v>357.85385232181068</v>
      </c>
      <c r="J31" s="9">
        <v>6014625.4720000001</v>
      </c>
      <c r="K31" s="9">
        <v>181.380045</v>
      </c>
      <c r="L31" s="10">
        <v>177.85385199999999</v>
      </c>
      <c r="M31" s="18">
        <f t="shared" si="14"/>
        <v>357.85385199999996</v>
      </c>
      <c r="N31" s="17">
        <f t="shared" si="0"/>
        <v>6014625.4718837198</v>
      </c>
      <c r="O31" s="14">
        <f t="shared" si="1"/>
        <v>8.629399673496288E-13</v>
      </c>
      <c r="P31" s="24">
        <f t="shared" si="2"/>
        <v>5.1902607083320618E-6</v>
      </c>
      <c r="Q31" s="2">
        <f t="shared" si="10"/>
        <v>1.9332921159420043E-11</v>
      </c>
      <c r="R31" s="19">
        <f t="shared" si="11"/>
        <v>1.1628028005361557E-4</v>
      </c>
      <c r="S31" s="16">
        <f t="shared" si="12"/>
        <v>181.38004464194486</v>
      </c>
      <c r="T31" s="23">
        <f t="shared" si="3"/>
        <v>2.1316282072803006E-12</v>
      </c>
      <c r="U31" s="22">
        <f t="shared" si="4"/>
        <v>3.5805513221021101E-7</v>
      </c>
      <c r="V31" s="16">
        <f t="shared" si="13"/>
        <v>357.85385232181341</v>
      </c>
      <c r="W31" s="23">
        <f t="shared" si="5"/>
        <v>2.7284841053187847E-12</v>
      </c>
      <c r="X31" s="22">
        <f t="shared" si="6"/>
        <v>3.2181344522541622E-7</v>
      </c>
    </row>
    <row r="32" spans="1:24" x14ac:dyDescent="0.45">
      <c r="A32">
        <v>-6.88687</v>
      </c>
      <c r="B32">
        <v>-8.0862300000000005</v>
      </c>
      <c r="C32">
        <v>-41.409059999999997</v>
      </c>
      <c r="D32">
        <v>-68.357510000000005</v>
      </c>
      <c r="E32" s="13">
        <v>7044804.2746508401</v>
      </c>
      <c r="F32" s="13">
        <v>-133.092710804376</v>
      </c>
      <c r="G32" s="13">
        <f t="shared" si="7"/>
        <v>226.907289195624</v>
      </c>
      <c r="H32" s="13">
        <v>-105.14625643742301</v>
      </c>
      <c r="I32" s="13">
        <f t="shared" si="8"/>
        <v>254.85374356257699</v>
      </c>
      <c r="J32" s="11">
        <v>7044804.2750000004</v>
      </c>
      <c r="K32" s="11">
        <v>226.90728899999999</v>
      </c>
      <c r="L32" s="12">
        <v>74.853744000000006</v>
      </c>
      <c r="M32" s="18">
        <f t="shared" si="14"/>
        <v>254.85374400000001</v>
      </c>
      <c r="N32" s="17">
        <f t="shared" si="0"/>
        <v>7044804.2746306788</v>
      </c>
      <c r="O32" s="14">
        <f t="shared" si="1"/>
        <v>2.8618639083873096E-12</v>
      </c>
      <c r="P32" s="24">
        <f t="shared" si="2"/>
        <v>2.0161271095275879E-5</v>
      </c>
      <c r="Q32" s="2">
        <f t="shared" si="10"/>
        <v>5.2424672209820289E-11</v>
      </c>
      <c r="R32" s="19">
        <f t="shared" si="11"/>
        <v>3.693215548992157E-4</v>
      </c>
      <c r="S32" s="16">
        <f t="shared" si="12"/>
        <v>226.90728919567658</v>
      </c>
      <c r="T32" s="23">
        <f t="shared" si="3"/>
        <v>5.2580162446247414E-11</v>
      </c>
      <c r="U32" s="22">
        <f t="shared" si="4"/>
        <v>1.9567659137464943E-7</v>
      </c>
      <c r="V32" s="16">
        <f t="shared" si="13"/>
        <v>254.85374356275781</v>
      </c>
      <c r="W32" s="23">
        <f t="shared" si="5"/>
        <v>1.808189153962303E-10</v>
      </c>
      <c r="X32" s="22">
        <f t="shared" si="6"/>
        <v>4.3724219267460285E-7</v>
      </c>
    </row>
    <row r="33" spans="1:24" x14ac:dyDescent="0.45">
      <c r="A33">
        <v>18.230799999999999</v>
      </c>
      <c r="B33">
        <v>77.88579</v>
      </c>
      <c r="C33">
        <v>34.195740000000001</v>
      </c>
      <c r="D33">
        <v>92.443370000000002</v>
      </c>
      <c r="E33" s="13">
        <v>2284594.0220705001</v>
      </c>
      <c r="F33" s="13">
        <v>36.417644074668203</v>
      </c>
      <c r="G33" s="13">
        <f t="shared" si="7"/>
        <v>36.417644074668203</v>
      </c>
      <c r="H33" s="13">
        <v>42.939324481717001</v>
      </c>
      <c r="I33" s="13">
        <f t="shared" si="8"/>
        <v>42.939324481717001</v>
      </c>
      <c r="J33" s="9">
        <v>2284594.0219999999</v>
      </c>
      <c r="K33" s="9">
        <v>36.417644000000003</v>
      </c>
      <c r="L33" s="10">
        <v>222.939324</v>
      </c>
      <c r="M33" s="18">
        <f t="shared" si="14"/>
        <v>42.939323999999999</v>
      </c>
      <c r="N33" s="17">
        <f t="shared" si="0"/>
        <v>2284594.0220601563</v>
      </c>
      <c r="O33" s="14">
        <f t="shared" si="1"/>
        <v>4.5276027491275718E-12</v>
      </c>
      <c r="P33" s="24">
        <f t="shared" si="2"/>
        <v>1.0343734174966812E-5</v>
      </c>
      <c r="Q33" s="2">
        <f t="shared" si="10"/>
        <v>2.6331353764196402E-11</v>
      </c>
      <c r="R33" s="19">
        <f t="shared" si="11"/>
        <v>6.0156453400850296E-5</v>
      </c>
      <c r="S33" s="16">
        <f t="shared" si="12"/>
        <v>36.417644074744928</v>
      </c>
      <c r="T33" s="23">
        <f t="shared" si="3"/>
        <v>7.6724404607375618E-11</v>
      </c>
      <c r="U33" s="22">
        <f t="shared" si="4"/>
        <v>7.4744924916103628E-8</v>
      </c>
      <c r="V33" s="16">
        <f t="shared" si="13"/>
        <v>42.939324481813799</v>
      </c>
      <c r="W33" s="23">
        <f t="shared" si="5"/>
        <v>9.6797236892598448E-11</v>
      </c>
      <c r="X33" s="22">
        <f t="shared" si="6"/>
        <v>4.8181379952438874E-7</v>
      </c>
    </row>
    <row r="34" spans="1:24" x14ac:dyDescent="0.45">
      <c r="A34">
        <v>-43.999510000000001</v>
      </c>
      <c r="B34">
        <v>-106.45717</v>
      </c>
      <c r="C34">
        <v>-24.05743</v>
      </c>
      <c r="D34">
        <v>-127.96366999999999</v>
      </c>
      <c r="E34" s="13">
        <v>2954440.6790862898</v>
      </c>
      <c r="F34" s="13">
        <v>-48.5584137837104</v>
      </c>
      <c r="G34" s="13">
        <f t="shared" si="7"/>
        <v>311.44158621628958</v>
      </c>
      <c r="H34" s="13">
        <v>-36.239842648555097</v>
      </c>
      <c r="I34" s="13">
        <f t="shared" si="8"/>
        <v>323.76015735144489</v>
      </c>
      <c r="J34" s="11">
        <v>2954440.679</v>
      </c>
      <c r="K34" s="11">
        <v>311.44158599999997</v>
      </c>
      <c r="L34" s="12">
        <v>143.76015699999999</v>
      </c>
      <c r="M34" s="18">
        <f t="shared" si="14"/>
        <v>323.76015699999999</v>
      </c>
      <c r="N34" s="17">
        <f t="shared" si="0"/>
        <v>2954440.6790760066</v>
      </c>
      <c r="O34" s="14">
        <f t="shared" si="1"/>
        <v>3.4805905159676644E-12</v>
      </c>
      <c r="P34" s="24">
        <f t="shared" si="2"/>
        <v>1.0283198207616806E-5</v>
      </c>
      <c r="Q34" s="2">
        <f t="shared" si="10"/>
        <v>2.572623401731571E-11</v>
      </c>
      <c r="R34" s="19">
        <f t="shared" si="11"/>
        <v>7.6006632298231125E-5</v>
      </c>
      <c r="S34" s="16">
        <f t="shared" si="12"/>
        <v>311.44158621617783</v>
      </c>
      <c r="T34" s="23">
        <f t="shared" si="3"/>
        <v>1.1175416148034856E-10</v>
      </c>
      <c r="U34" s="22">
        <f t="shared" si="4"/>
        <v>2.1617785250782617E-7</v>
      </c>
      <c r="V34" s="16">
        <f t="shared" si="13"/>
        <v>323.76015735137247</v>
      </c>
      <c r="W34" s="23">
        <f t="shared" si="5"/>
        <v>7.2418515628669411E-11</v>
      </c>
      <c r="X34" s="22">
        <f t="shared" si="6"/>
        <v>3.5137247778038727E-7</v>
      </c>
    </row>
    <row r="35" spans="1:24" x14ac:dyDescent="0.45">
      <c r="A35">
        <v>67.071370000000002</v>
      </c>
      <c r="B35">
        <v>64.740520000000004</v>
      </c>
      <c r="C35">
        <v>-13.068619999999999</v>
      </c>
      <c r="D35">
        <v>97.427769999999995</v>
      </c>
      <c r="E35" s="13">
        <v>9276811.5911209192</v>
      </c>
      <c r="F35" s="13">
        <v>147.970051226588</v>
      </c>
      <c r="G35" s="13">
        <f t="shared" si="7"/>
        <v>147.970051226588</v>
      </c>
      <c r="H35" s="13">
        <v>167.72036949640699</v>
      </c>
      <c r="I35" s="13">
        <f t="shared" si="8"/>
        <v>167.72036949640699</v>
      </c>
      <c r="J35" s="9">
        <v>9276811.591</v>
      </c>
      <c r="K35" s="9">
        <v>147.97005100000001</v>
      </c>
      <c r="L35" s="10">
        <v>347.72036900000001</v>
      </c>
      <c r="M35" s="18">
        <f t="shared" si="14"/>
        <v>167.72036900000001</v>
      </c>
      <c r="N35" s="17">
        <f t="shared" si="0"/>
        <v>9276811.5910762642</v>
      </c>
      <c r="O35" s="14">
        <f t="shared" si="1"/>
        <v>4.8136209697740865E-12</v>
      </c>
      <c r="P35" s="24">
        <f t="shared" si="2"/>
        <v>4.4655054807662964E-5</v>
      </c>
      <c r="Q35" s="2">
        <f t="shared" si="10"/>
        <v>8.2209433965545652E-12</v>
      </c>
      <c r="R35" s="19">
        <f t="shared" si="11"/>
        <v>7.6264142990112305E-5</v>
      </c>
      <c r="S35" s="16">
        <f t="shared" si="12"/>
        <v>147.97005122655514</v>
      </c>
      <c r="T35" s="23">
        <f t="shared" si="3"/>
        <v>3.2855496101547033E-11</v>
      </c>
      <c r="U35" s="22">
        <f t="shared" si="4"/>
        <v>2.2655513021163642E-7</v>
      </c>
      <c r="V35" s="16">
        <f t="shared" si="13"/>
        <v>167.72036949639536</v>
      </c>
      <c r="W35" s="23">
        <f t="shared" si="5"/>
        <v>1.1624479157035239E-11</v>
      </c>
      <c r="X35" s="22">
        <f t="shared" si="6"/>
        <v>4.963953585956915E-7</v>
      </c>
    </row>
    <row r="36" spans="1:24" x14ac:dyDescent="0.45">
      <c r="A36">
        <v>-63.16404</v>
      </c>
      <c r="B36">
        <v>171.13804999999999</v>
      </c>
      <c r="C36">
        <v>66.351709999999997</v>
      </c>
      <c r="D36">
        <v>-36.604999999999997</v>
      </c>
      <c r="E36" s="13">
        <v>18654328.232122</v>
      </c>
      <c r="F36" s="13">
        <v>62.607587672562602</v>
      </c>
      <c r="G36" s="13">
        <f t="shared" si="7"/>
        <v>62.607587672562602</v>
      </c>
      <c r="H36" s="13">
        <v>92.421820570645806</v>
      </c>
      <c r="I36" s="13">
        <f t="shared" si="8"/>
        <v>92.421820570645806</v>
      </c>
      <c r="J36" s="11">
        <v>18654328.232000001</v>
      </c>
      <c r="K36" s="11">
        <v>62.607588</v>
      </c>
      <c r="L36" s="12">
        <v>272.42182100000002</v>
      </c>
      <c r="M36" s="18">
        <f t="shared" si="14"/>
        <v>92.421821000000023</v>
      </c>
      <c r="N36" s="17">
        <f t="shared" si="0"/>
        <v>18654328.232049946</v>
      </c>
      <c r="O36" s="14">
        <f t="shared" si="1"/>
        <v>3.8626191228250876E-12</v>
      </c>
      <c r="P36" s="24">
        <f t="shared" si="2"/>
        <v>7.2054564952850342E-5</v>
      </c>
      <c r="Q36" s="2">
        <f t="shared" si="10"/>
        <v>2.6773929572978299E-12</v>
      </c>
      <c r="R36" s="19">
        <f t="shared" si="11"/>
        <v>4.9944967031478882E-5</v>
      </c>
      <c r="S36" s="16">
        <f t="shared" si="12"/>
        <v>62.607587672545094</v>
      </c>
      <c r="T36" s="23">
        <f t="shared" si="3"/>
        <v>1.7507773009128869E-11</v>
      </c>
      <c r="U36" s="22">
        <f t="shared" si="4"/>
        <v>3.274549058573939E-7</v>
      </c>
      <c r="V36" s="16">
        <f t="shared" si="13"/>
        <v>92.421820570860305</v>
      </c>
      <c r="W36" s="23">
        <f t="shared" si="5"/>
        <v>2.1449864107125904E-10</v>
      </c>
      <c r="X36" s="22">
        <f t="shared" si="6"/>
        <v>4.2913971753932856E-7</v>
      </c>
    </row>
    <row r="37" spans="1:24" x14ac:dyDescent="0.45">
      <c r="A37">
        <v>68.749970000000005</v>
      </c>
      <c r="B37">
        <v>-16.916160000000001</v>
      </c>
      <c r="C37">
        <v>-81.489639999999994</v>
      </c>
      <c r="D37">
        <v>-54.97925</v>
      </c>
      <c r="E37" s="13">
        <v>16831309.185820099</v>
      </c>
      <c r="F37" s="13">
        <v>-168.93168304221001</v>
      </c>
      <c r="G37" s="13">
        <f t="shared" si="7"/>
        <v>191.06831695778999</v>
      </c>
      <c r="H37" s="13">
        <v>-151.96544989931201</v>
      </c>
      <c r="I37" s="13">
        <f t="shared" si="8"/>
        <v>208.03455010068799</v>
      </c>
      <c r="J37" s="9">
        <v>16831309.186000001</v>
      </c>
      <c r="K37" s="9">
        <v>191.06831700000001</v>
      </c>
      <c r="L37" s="10">
        <v>28.034549999999999</v>
      </c>
      <c r="M37" s="18">
        <f t="shared" si="14"/>
        <v>208.03455</v>
      </c>
      <c r="N37" s="17">
        <f t="shared" si="0"/>
        <v>16831309.185747702</v>
      </c>
      <c r="O37" s="14">
        <f t="shared" si="1"/>
        <v>4.3013464289100876E-12</v>
      </c>
      <c r="P37" s="24">
        <f t="shared" si="2"/>
        <v>7.2397291660308838E-5</v>
      </c>
      <c r="Q37" s="2">
        <f t="shared" si="10"/>
        <v>1.4989862521418694E-11</v>
      </c>
      <c r="R37" s="19">
        <f t="shared" si="11"/>
        <v>2.5229901075363159E-4</v>
      </c>
      <c r="S37" s="16">
        <f t="shared" si="12"/>
        <v>191.06831695779121</v>
      </c>
      <c r="T37" s="23">
        <f t="shared" si="3"/>
        <v>1.2221335055073723E-12</v>
      </c>
      <c r="U37" s="22">
        <f t="shared" si="4"/>
        <v>4.2208796457998687E-8</v>
      </c>
      <c r="V37" s="16">
        <f t="shared" si="13"/>
        <v>208.03455010069055</v>
      </c>
      <c r="W37" s="23">
        <f t="shared" si="5"/>
        <v>2.5579538487363607E-12</v>
      </c>
      <c r="X37" s="22">
        <f t="shared" si="6"/>
        <v>1.0069055633721291E-7</v>
      </c>
    </row>
    <row r="38" spans="1:24" x14ac:dyDescent="0.45">
      <c r="A38">
        <v>68.798839999999998</v>
      </c>
      <c r="B38">
        <v>-132.99173999999999</v>
      </c>
      <c r="C38">
        <v>45.924790000000002</v>
      </c>
      <c r="D38">
        <v>49.90748</v>
      </c>
      <c r="E38" s="13">
        <v>7278952.7179896804</v>
      </c>
      <c r="F38" s="13">
        <v>-2.2188097350192701</v>
      </c>
      <c r="G38" s="13">
        <f t="shared" si="7"/>
        <v>357.78119026498075</v>
      </c>
      <c r="H38" s="13">
        <v>-178.84528098713</v>
      </c>
      <c r="I38" s="13">
        <f t="shared" si="8"/>
        <v>181.15471901287</v>
      </c>
      <c r="J38" s="11">
        <v>7278952.7180000003</v>
      </c>
      <c r="K38" s="11">
        <v>357.78118999999998</v>
      </c>
      <c r="L38" s="12">
        <v>1.1547190000000001</v>
      </c>
      <c r="M38" s="18">
        <f t="shared" si="14"/>
        <v>181.154719</v>
      </c>
      <c r="N38" s="17">
        <f t="shared" si="0"/>
        <v>7278952.7179807257</v>
      </c>
      <c r="O38" s="14">
        <f t="shared" si="1"/>
        <v>1.2302135900397699E-12</v>
      </c>
      <c r="P38" s="24">
        <f t="shared" si="2"/>
        <v>8.9546665549278259E-6</v>
      </c>
      <c r="Q38" s="2">
        <f t="shared" si="10"/>
        <v>2.6479979676991142E-12</v>
      </c>
      <c r="R38" s="19">
        <f t="shared" si="11"/>
        <v>1.9274652004241943E-5</v>
      </c>
      <c r="S38" s="16">
        <f t="shared" si="12"/>
        <v>357.78119026498632</v>
      </c>
      <c r="T38" s="23">
        <f t="shared" si="3"/>
        <v>5.5706550483591855E-12</v>
      </c>
      <c r="U38" s="22">
        <f t="shared" si="4"/>
        <v>2.6498634042582125E-7</v>
      </c>
      <c r="V38" s="16">
        <f t="shared" si="13"/>
        <v>181.15471901286708</v>
      </c>
      <c r="W38" s="23">
        <f t="shared" si="5"/>
        <v>2.9274360713316128E-12</v>
      </c>
      <c r="X38" s="22">
        <f t="shared" si="6"/>
        <v>1.2867076293332502E-8</v>
      </c>
    </row>
    <row r="39" spans="1:24" x14ac:dyDescent="0.45">
      <c r="A39">
        <v>46.28192</v>
      </c>
      <c r="B39">
        <v>-68.099469999999997</v>
      </c>
      <c r="C39">
        <v>3.9421900000000001</v>
      </c>
      <c r="D39">
        <v>169.94654</v>
      </c>
      <c r="E39" s="13">
        <v>12060516.6776457</v>
      </c>
      <c r="F39" s="13">
        <v>-62.969012172953299</v>
      </c>
      <c r="G39" s="13">
        <f t="shared" si="7"/>
        <v>297.03098782704672</v>
      </c>
      <c r="H39" s="13">
        <v>-141.81911201023499</v>
      </c>
      <c r="I39" s="13">
        <f t="shared" si="8"/>
        <v>218.18088798976501</v>
      </c>
      <c r="J39" s="9">
        <v>12060516.677999999</v>
      </c>
      <c r="K39" s="9">
        <v>297.03098799999998</v>
      </c>
      <c r="L39" s="10">
        <v>38.180888000000003</v>
      </c>
      <c r="M39" s="18">
        <f t="shared" si="14"/>
        <v>218.18088800000001</v>
      </c>
      <c r="N39" s="17">
        <f t="shared" si="0"/>
        <v>12060516.677621422</v>
      </c>
      <c r="O39" s="14">
        <f t="shared" si="1"/>
        <v>2.0129914433993785E-12</v>
      </c>
      <c r="P39" s="24">
        <f t="shared" si="2"/>
        <v>2.4277716875076294E-5</v>
      </c>
      <c r="Q39" s="2">
        <f t="shared" si="10"/>
        <v>3.1389786089042077E-11</v>
      </c>
      <c r="R39" s="19">
        <f t="shared" si="11"/>
        <v>3.7857703864574432E-4</v>
      </c>
      <c r="S39" s="16">
        <f t="shared" si="12"/>
        <v>297.0309878273909</v>
      </c>
      <c r="T39" s="23">
        <f t="shared" si="3"/>
        <v>3.4418690120219253E-10</v>
      </c>
      <c r="U39" s="22">
        <f t="shared" si="4"/>
        <v>1.7260907725358265E-7</v>
      </c>
      <c r="V39" s="16">
        <f t="shared" si="13"/>
        <v>218.18088798962674</v>
      </c>
      <c r="W39" s="23">
        <f t="shared" si="5"/>
        <v>1.382716163789155E-10</v>
      </c>
      <c r="X39" s="22">
        <f t="shared" si="6"/>
        <v>1.0373270242780563E-8</v>
      </c>
    </row>
    <row r="40" spans="1:24" x14ac:dyDescent="0.45">
      <c r="A40">
        <v>29.880749999999999</v>
      </c>
      <c r="B40">
        <v>43.055280000000003</v>
      </c>
      <c r="C40">
        <v>56.306449999999998</v>
      </c>
      <c r="D40">
        <v>37.67671</v>
      </c>
      <c r="E40" s="13">
        <v>2966149.7010675799</v>
      </c>
      <c r="F40" s="13">
        <v>-6.6741085913402696</v>
      </c>
      <c r="G40" s="13">
        <f t="shared" si="7"/>
        <v>353.32589140865974</v>
      </c>
      <c r="H40" s="13">
        <v>-10.45025933298</v>
      </c>
      <c r="I40" s="13">
        <f t="shared" si="8"/>
        <v>349.54974066701999</v>
      </c>
      <c r="J40" s="11">
        <v>2966149.7009999999</v>
      </c>
      <c r="K40" s="11">
        <v>353.32589100000001</v>
      </c>
      <c r="L40" s="12">
        <v>169.54974100000001</v>
      </c>
      <c r="M40" s="18">
        <f t="shared" si="14"/>
        <v>349.54974100000004</v>
      </c>
      <c r="N40" s="17">
        <f t="shared" si="0"/>
        <v>2966149.701055496</v>
      </c>
      <c r="O40" s="14">
        <f t="shared" si="1"/>
        <v>4.0739381432051722E-12</v>
      </c>
      <c r="P40" s="24">
        <f t="shared" si="2"/>
        <v>1.2083910405635834E-5</v>
      </c>
      <c r="Q40" s="2">
        <f t="shared" si="10"/>
        <v>1.8709816034829473E-11</v>
      </c>
      <c r="R40" s="19">
        <f t="shared" si="11"/>
        <v>5.5496115237474442E-5</v>
      </c>
      <c r="S40" s="16">
        <f t="shared" si="12"/>
        <v>353.32589140869777</v>
      </c>
      <c r="T40" s="23">
        <f t="shared" si="3"/>
        <v>3.8028247217880562E-11</v>
      </c>
      <c r="U40" s="22">
        <f t="shared" si="4"/>
        <v>4.0869775830287836E-7</v>
      </c>
      <c r="V40" s="16">
        <f t="shared" si="13"/>
        <v>349.54974066708002</v>
      </c>
      <c r="W40" s="23">
        <f t="shared" si="5"/>
        <v>6.0026650317013264E-11</v>
      </c>
      <c r="X40" s="22">
        <f t="shared" si="6"/>
        <v>3.3292002399321063E-7</v>
      </c>
    </row>
    <row r="41" spans="1:24" x14ac:dyDescent="0.45">
      <c r="A41">
        <v>-16.532419999999998</v>
      </c>
      <c r="B41">
        <v>-63.160330000000002</v>
      </c>
      <c r="C41">
        <v>-18.927790000000002</v>
      </c>
      <c r="D41">
        <v>58.511189999999999</v>
      </c>
      <c r="E41" s="13">
        <v>12533853.7411057</v>
      </c>
      <c r="F41" s="13">
        <v>119.40456392591101</v>
      </c>
      <c r="G41" s="13">
        <f t="shared" si="7"/>
        <v>119.40456392591101</v>
      </c>
      <c r="H41" s="13">
        <v>61.985368830474698</v>
      </c>
      <c r="I41" s="13">
        <f t="shared" si="8"/>
        <v>61.985368830474698</v>
      </c>
      <c r="J41" s="9">
        <v>12533853.741</v>
      </c>
      <c r="K41" s="9">
        <v>119.40456399999999</v>
      </c>
      <c r="L41" s="10">
        <v>241.98536899999999</v>
      </c>
      <c r="M41" s="18">
        <f t="shared" si="14"/>
        <v>61.985368999999992</v>
      </c>
      <c r="N41" s="17">
        <f t="shared" si="0"/>
        <v>12533853.74110496</v>
      </c>
      <c r="O41" s="14">
        <f t="shared" si="1"/>
        <v>5.8997826168941405E-14</v>
      </c>
      <c r="P41" s="24">
        <f t="shared" si="2"/>
        <v>7.3947012424468994E-7</v>
      </c>
      <c r="Q41" s="2">
        <f t="shared" si="10"/>
        <v>8.3741246968460562E-12</v>
      </c>
      <c r="R41" s="19">
        <f t="shared" si="11"/>
        <v>1.0496005415916443E-4</v>
      </c>
      <c r="S41" s="16">
        <f t="shared" si="12"/>
        <v>119.4045639262667</v>
      </c>
      <c r="T41" s="23">
        <f t="shared" si="3"/>
        <v>3.5569769352150615E-10</v>
      </c>
      <c r="U41" s="22">
        <f t="shared" si="4"/>
        <v>7.3733289696065185E-8</v>
      </c>
      <c r="V41" s="16">
        <f t="shared" si="13"/>
        <v>61.985368830097698</v>
      </c>
      <c r="W41" s="23">
        <f t="shared" si="5"/>
        <v>3.7699976473959396E-10</v>
      </c>
      <c r="X41" s="22">
        <f t="shared" si="6"/>
        <v>1.6990229312341398E-7</v>
      </c>
    </row>
    <row r="42" spans="1:24" x14ac:dyDescent="0.45">
      <c r="A42">
        <v>-59.595860000000002</v>
      </c>
      <c r="B42">
        <v>-11.015370000000001</v>
      </c>
      <c r="C42">
        <v>-62.377690000000001</v>
      </c>
      <c r="D42">
        <v>36.852679999999999</v>
      </c>
      <c r="E42" s="13">
        <v>2549123.51472829</v>
      </c>
      <c r="F42" s="13">
        <v>117.64300573897199</v>
      </c>
      <c r="G42" s="13">
        <f t="shared" si="7"/>
        <v>117.64300573897199</v>
      </c>
      <c r="H42" s="13">
        <v>75.203345563631004</v>
      </c>
      <c r="I42" s="13">
        <f t="shared" si="8"/>
        <v>75.203345563631004</v>
      </c>
      <c r="J42" s="11">
        <v>2549123.5150000001</v>
      </c>
      <c r="K42" s="11">
        <v>117.643006</v>
      </c>
      <c r="L42" s="12">
        <v>255.20334600000001</v>
      </c>
      <c r="M42" s="18">
        <f t="shared" si="14"/>
        <v>75.20334600000001</v>
      </c>
      <c r="N42" s="17">
        <f t="shared" si="0"/>
        <v>2549123.5147279091</v>
      </c>
      <c r="O42" s="14">
        <f t="shared" si="1"/>
        <v>1.4942819789504465E-13</v>
      </c>
      <c r="P42" s="24">
        <f t="shared" si="2"/>
        <v>3.8091093301773071E-7</v>
      </c>
      <c r="Q42" s="2">
        <f t="shared" si="10"/>
        <v>1.0673904612584942E-10</v>
      </c>
      <c r="R42" s="19">
        <f t="shared" si="11"/>
        <v>2.7209101244807243E-4</v>
      </c>
      <c r="S42" s="16">
        <f t="shared" si="12"/>
        <v>117.64300573899122</v>
      </c>
      <c r="T42" s="23">
        <f t="shared" si="3"/>
        <v>1.9227286429668311E-11</v>
      </c>
      <c r="U42" s="22">
        <f t="shared" si="4"/>
        <v>2.6100877903445507E-7</v>
      </c>
      <c r="V42" s="16">
        <f t="shared" si="13"/>
        <v>75.203345563593089</v>
      </c>
      <c r="W42" s="23">
        <f t="shared" si="5"/>
        <v>3.7914560380158946E-11</v>
      </c>
      <c r="X42" s="22">
        <f t="shared" si="6"/>
        <v>4.3640692126700742E-7</v>
      </c>
    </row>
    <row r="43" spans="1:24" x14ac:dyDescent="0.45">
      <c r="A43">
        <v>-9.3298799999999993</v>
      </c>
      <c r="B43">
        <v>58.546340000000001</v>
      </c>
      <c r="C43">
        <v>36.548920000000003</v>
      </c>
      <c r="D43">
        <v>-49.88832</v>
      </c>
      <c r="E43" s="13">
        <v>12271081.0643405</v>
      </c>
      <c r="F43" s="13">
        <v>-54.432488473542897</v>
      </c>
      <c r="G43" s="13">
        <f t="shared" si="7"/>
        <v>305.56751152645711</v>
      </c>
      <c r="H43" s="13">
        <v>-93.572863989313305</v>
      </c>
      <c r="I43" s="13">
        <f t="shared" si="8"/>
        <v>266.4271360106867</v>
      </c>
      <c r="J43" s="9">
        <v>12271081.063999999</v>
      </c>
      <c r="K43" s="9">
        <v>305.56751200000002</v>
      </c>
      <c r="L43" s="10">
        <v>86.427136000000004</v>
      </c>
      <c r="M43" s="18">
        <f t="shared" si="14"/>
        <v>266.42713600000002</v>
      </c>
      <c r="N43" s="17">
        <f t="shared" si="0"/>
        <v>12271081.064307384</v>
      </c>
      <c r="O43" s="14">
        <f t="shared" si="1"/>
        <v>2.6987001336346382E-12</v>
      </c>
      <c r="P43" s="24">
        <f t="shared" si="2"/>
        <v>3.3115968108177185E-5</v>
      </c>
      <c r="Q43" s="2">
        <f t="shared" si="10"/>
        <v>2.5049535309384532E-11</v>
      </c>
      <c r="R43" s="19">
        <f t="shared" si="11"/>
        <v>3.0738487839698792E-4</v>
      </c>
      <c r="S43" s="16">
        <f t="shared" si="12"/>
        <v>305.5675115264811</v>
      </c>
      <c r="T43" s="23">
        <f t="shared" si="3"/>
        <v>2.3987922759260982E-11</v>
      </c>
      <c r="U43" s="22">
        <f t="shared" si="4"/>
        <v>4.7351892362712533E-7</v>
      </c>
      <c r="V43" s="16">
        <f t="shared" si="13"/>
        <v>266.42713601041243</v>
      </c>
      <c r="W43" s="23">
        <f t="shared" si="5"/>
        <v>2.7426949600339867E-10</v>
      </c>
      <c r="X43" s="22">
        <f t="shared" si="6"/>
        <v>1.041240693666623E-8</v>
      </c>
    </row>
    <row r="44" spans="1:24" x14ac:dyDescent="0.45">
      <c r="A44">
        <v>-84.074929999999995</v>
      </c>
      <c r="B44">
        <v>-20.868459999999999</v>
      </c>
      <c r="C44">
        <v>-88.659310000000005</v>
      </c>
      <c r="D44">
        <v>-77.098910000000004</v>
      </c>
      <c r="E44" s="13">
        <v>591727.50880262</v>
      </c>
      <c r="F44" s="13">
        <v>-167.83952934158199</v>
      </c>
      <c r="G44" s="13">
        <f t="shared" si="7"/>
        <v>192.16047065841801</v>
      </c>
      <c r="H44" s="13">
        <v>-111.66673916374</v>
      </c>
      <c r="I44" s="13">
        <f t="shared" si="8"/>
        <v>248.33326083626</v>
      </c>
      <c r="J44" s="11">
        <v>591727.50899999996</v>
      </c>
      <c r="K44" s="11">
        <v>192.160471</v>
      </c>
      <c r="L44" s="12">
        <v>68.333260999999993</v>
      </c>
      <c r="M44" s="18">
        <f t="shared" si="14"/>
        <v>248.33326099999999</v>
      </c>
      <c r="N44" s="17">
        <f t="shared" si="0"/>
        <v>591727.50880290929</v>
      </c>
      <c r="O44" s="14">
        <f t="shared" si="1"/>
        <v>4.8889407782532371E-13</v>
      </c>
      <c r="P44" s="24">
        <f t="shared" si="2"/>
        <v>2.8929207473993301E-7</v>
      </c>
      <c r="Q44" s="2">
        <f t="shared" si="10"/>
        <v>3.3307674764823779E-10</v>
      </c>
      <c r="R44" s="19">
        <f t="shared" si="11"/>
        <v>1.9709067419171333E-4</v>
      </c>
      <c r="S44" s="16">
        <f t="shared" si="12"/>
        <v>192.1604706584184</v>
      </c>
      <c r="T44" s="23">
        <f t="shared" si="3"/>
        <v>3.979039320256561E-13</v>
      </c>
      <c r="U44" s="22">
        <f t="shared" si="4"/>
        <v>3.4158159678554512E-7</v>
      </c>
      <c r="V44" s="16">
        <f t="shared" si="13"/>
        <v>248.3332608362617</v>
      </c>
      <c r="W44" s="23">
        <f t="shared" si="5"/>
        <v>1.7053025658242404E-12</v>
      </c>
      <c r="X44" s="22">
        <f t="shared" si="6"/>
        <v>1.6373829225813097E-7</v>
      </c>
    </row>
    <row r="45" spans="1:24" x14ac:dyDescent="0.45">
      <c r="A45">
        <v>-70.928510000000003</v>
      </c>
      <c r="B45">
        <v>-35.97439</v>
      </c>
      <c r="C45">
        <v>54.71416</v>
      </c>
      <c r="D45">
        <v>-101.14644</v>
      </c>
      <c r="E45" s="13">
        <v>14851083.606228599</v>
      </c>
      <c r="F45" s="13">
        <v>-46.677488705216398</v>
      </c>
      <c r="G45" s="13">
        <f t="shared" si="7"/>
        <v>313.32251129478362</v>
      </c>
      <c r="H45" s="13">
        <v>-24.3193568034675</v>
      </c>
      <c r="I45" s="13">
        <f t="shared" si="8"/>
        <v>335.68064319653251</v>
      </c>
      <c r="J45" s="9">
        <v>14851083.606000001</v>
      </c>
      <c r="K45" s="9">
        <v>313.32251100000002</v>
      </c>
      <c r="L45" s="10">
        <v>155.680643</v>
      </c>
      <c r="M45" s="18">
        <f t="shared" si="14"/>
        <v>335.68064300000003</v>
      </c>
      <c r="N45" s="17">
        <f t="shared" si="0"/>
        <v>14851083.606159996</v>
      </c>
      <c r="O45" s="14">
        <f t="shared" si="1"/>
        <v>4.6193991839459436E-12</v>
      </c>
      <c r="P45" s="24">
        <f t="shared" si="2"/>
        <v>6.8603083491325378E-5</v>
      </c>
      <c r="Q45" s="2">
        <f t="shared" si="10"/>
        <v>1.0773330393133841E-11</v>
      </c>
      <c r="R45" s="19">
        <f t="shared" si="11"/>
        <v>1.5999563038349152E-4</v>
      </c>
      <c r="S45" s="16">
        <f t="shared" si="12"/>
        <v>313.32251129472274</v>
      </c>
      <c r="T45" s="23">
        <f t="shared" si="3"/>
        <v>6.0879301599925384E-11</v>
      </c>
      <c r="U45" s="22">
        <f t="shared" si="4"/>
        <v>2.9472272444763803E-7</v>
      </c>
      <c r="V45" s="16">
        <f t="shared" si="13"/>
        <v>335.68064319650648</v>
      </c>
      <c r="W45" s="23">
        <f t="shared" si="5"/>
        <v>2.6034285838250071E-11</v>
      </c>
      <c r="X45" s="22">
        <f t="shared" si="6"/>
        <v>1.9650644844659837E-7</v>
      </c>
    </row>
    <row r="46" spans="1:24" x14ac:dyDescent="0.45">
      <c r="A46">
        <v>44.042279999999998</v>
      </c>
      <c r="B46">
        <v>149.45542</v>
      </c>
      <c r="C46">
        <v>44.364550000000001</v>
      </c>
      <c r="D46">
        <v>-13.95912</v>
      </c>
      <c r="E46" s="13">
        <v>10074604.4794716</v>
      </c>
      <c r="F46" s="13">
        <v>-11.763807687380901</v>
      </c>
      <c r="G46" s="13">
        <f t="shared" si="7"/>
        <v>348.2361923126191</v>
      </c>
      <c r="H46" s="13">
        <v>-168.17095928763899</v>
      </c>
      <c r="I46" s="13">
        <f t="shared" si="8"/>
        <v>191.82904071236101</v>
      </c>
      <c r="J46" s="11">
        <v>10074604.479</v>
      </c>
      <c r="K46" s="11">
        <v>348.23619200000002</v>
      </c>
      <c r="L46" s="12">
        <v>11.829041</v>
      </c>
      <c r="M46" s="18">
        <f t="shared" si="14"/>
        <v>191.82904099999999</v>
      </c>
      <c r="N46" s="17">
        <f t="shared" si="0"/>
        <v>10074604.479454651</v>
      </c>
      <c r="O46" s="14">
        <f t="shared" si="1"/>
        <v>1.6822703310474169E-12</v>
      </c>
      <c r="P46" s="24">
        <f t="shared" si="2"/>
        <v>1.6948208212852478E-5</v>
      </c>
      <c r="Q46" s="2">
        <f t="shared" si="10"/>
        <v>4.5128440801654531E-11</v>
      </c>
      <c r="R46" s="19">
        <f t="shared" si="11"/>
        <v>4.5465119183063507E-4</v>
      </c>
      <c r="S46" s="16">
        <f t="shared" si="12"/>
        <v>348.23619231265025</v>
      </c>
      <c r="T46" s="23">
        <f t="shared" si="3"/>
        <v>3.1150193535722792E-11</v>
      </c>
      <c r="U46" s="22">
        <f t="shared" si="4"/>
        <v>3.126502292616351E-7</v>
      </c>
      <c r="V46" s="16">
        <f t="shared" si="13"/>
        <v>191.82904071232926</v>
      </c>
      <c r="W46" s="23">
        <f t="shared" si="5"/>
        <v>3.1747049433761276E-11</v>
      </c>
      <c r="X46" s="22">
        <f t="shared" si="6"/>
        <v>2.8767072990376619E-7</v>
      </c>
    </row>
    <row r="47" spans="1:24" x14ac:dyDescent="0.45">
      <c r="A47">
        <v>-46.165430000000001</v>
      </c>
      <c r="B47">
        <v>-161.16449</v>
      </c>
      <c r="C47">
        <v>-31.393419999999999</v>
      </c>
      <c r="D47">
        <v>-53.703870000000002</v>
      </c>
      <c r="E47" s="13">
        <v>8754736.1896679904</v>
      </c>
      <c r="F47" s="13">
        <v>123.875128955078</v>
      </c>
      <c r="G47" s="13">
        <f t="shared" si="7"/>
        <v>123.875128955078</v>
      </c>
      <c r="H47" s="13">
        <v>42.391394999247197</v>
      </c>
      <c r="I47" s="13">
        <f t="shared" si="8"/>
        <v>42.391394999247197</v>
      </c>
      <c r="J47" s="9">
        <v>8754736.1899999995</v>
      </c>
      <c r="K47" s="9">
        <v>123.875129</v>
      </c>
      <c r="L47" s="10">
        <v>222.39139499999999</v>
      </c>
      <c r="M47" s="18">
        <f t="shared" si="14"/>
        <v>42.391394999999989</v>
      </c>
      <c r="N47" s="17">
        <f t="shared" si="0"/>
        <v>8754736.1896608267</v>
      </c>
      <c r="O47" s="14">
        <f t="shared" si="1"/>
        <v>8.1826945880980723E-13</v>
      </c>
      <c r="P47" s="24">
        <f t="shared" si="2"/>
        <v>7.1637332439422607E-6</v>
      </c>
      <c r="Q47" s="2">
        <f t="shared" si="10"/>
        <v>3.8741633460204066E-11</v>
      </c>
      <c r="R47" s="19">
        <f t="shared" si="11"/>
        <v>3.3917278051376343E-4</v>
      </c>
      <c r="S47" s="16">
        <f t="shared" si="12"/>
        <v>123.87512895528674</v>
      </c>
      <c r="T47" s="23">
        <f t="shared" si="3"/>
        <v>2.0874324491160223E-10</v>
      </c>
      <c r="U47" s="22">
        <f t="shared" si="4"/>
        <v>4.4713260649587028E-8</v>
      </c>
      <c r="V47" s="16">
        <f t="shared" si="13"/>
        <v>42.391394999119342</v>
      </c>
      <c r="W47" s="23">
        <f t="shared" si="5"/>
        <v>1.2785505987267243E-10</v>
      </c>
      <c r="X47" s="22">
        <f t="shared" si="6"/>
        <v>8.8064666670106817E-10</v>
      </c>
    </row>
    <row r="48" spans="1:24" x14ac:dyDescent="0.45">
      <c r="A48">
        <v>-89.398070000000004</v>
      </c>
      <c r="B48">
        <v>81.868600000000001</v>
      </c>
      <c r="C48">
        <v>-13.23263</v>
      </c>
      <c r="D48">
        <v>-96.450230000000005</v>
      </c>
      <c r="E48" s="13">
        <v>8605721.7856206894</v>
      </c>
      <c r="F48" s="13">
        <v>-178.32295915487501</v>
      </c>
      <c r="G48" s="13">
        <f t="shared" si="7"/>
        <v>181.67704084512499</v>
      </c>
      <c r="H48" s="13">
        <v>-1.8153741317127301E-2</v>
      </c>
      <c r="I48" s="13">
        <f t="shared" si="8"/>
        <v>359.98184625868288</v>
      </c>
      <c r="J48" s="11">
        <v>8605721.7860000003</v>
      </c>
      <c r="K48" s="11">
        <v>181.677041</v>
      </c>
      <c r="L48" s="12">
        <v>179.98184599999999</v>
      </c>
      <c r="M48" s="18">
        <f t="shared" si="14"/>
        <v>359.98184600000002</v>
      </c>
      <c r="N48" s="17">
        <f t="shared" si="0"/>
        <v>8605721.7855929863</v>
      </c>
      <c r="O48" s="14">
        <f t="shared" si="1"/>
        <v>3.2191513965512111E-12</v>
      </c>
      <c r="P48" s="24">
        <f t="shared" si="2"/>
        <v>2.7703121304512024E-5</v>
      </c>
      <c r="Q48" s="2">
        <f t="shared" si="10"/>
        <v>4.7295747208699428E-11</v>
      </c>
      <c r="R48" s="19">
        <f t="shared" si="11"/>
        <v>4.0701404213905334E-4</v>
      </c>
      <c r="S48" s="16">
        <f t="shared" si="12"/>
        <v>181.67704084512559</v>
      </c>
      <c r="T48" s="23">
        <f t="shared" si="3"/>
        <v>5.9685589803848416E-13</v>
      </c>
      <c r="U48" s="22">
        <f t="shared" si="4"/>
        <v>1.5487441373807087E-7</v>
      </c>
      <c r="V48" s="16">
        <f t="shared" si="13"/>
        <v>359.98184625868288</v>
      </c>
      <c r="W48" s="23">
        <f t="shared" si="5"/>
        <v>0</v>
      </c>
      <c r="X48" s="22">
        <f t="shared" si="6"/>
        <v>2.5868286002150853E-7</v>
      </c>
    </row>
    <row r="49" spans="1:24" x14ac:dyDescent="0.45">
      <c r="A49">
        <v>78.9649</v>
      </c>
      <c r="B49">
        <v>64.746480000000005</v>
      </c>
      <c r="C49">
        <v>86.207070000000002</v>
      </c>
      <c r="D49">
        <v>-24.311129999999999</v>
      </c>
      <c r="E49" s="13">
        <v>1295718.6771784199</v>
      </c>
      <c r="F49" s="13">
        <v>-19.2029105985055</v>
      </c>
      <c r="G49" s="13">
        <f t="shared" si="7"/>
        <v>340.79708940149447</v>
      </c>
      <c r="H49" s="13">
        <v>-107.894083400708</v>
      </c>
      <c r="I49" s="13">
        <f t="shared" si="8"/>
        <v>252.10591659929202</v>
      </c>
      <c r="J49" s="9">
        <v>1295718.6769999999</v>
      </c>
      <c r="K49" s="9">
        <v>340.79708900000003</v>
      </c>
      <c r="L49" s="10">
        <v>72.105917000000005</v>
      </c>
      <c r="M49" s="18">
        <f t="shared" si="14"/>
        <v>252.10591700000001</v>
      </c>
      <c r="N49" s="17">
        <f t="shared" si="0"/>
        <v>1295718.6771788264</v>
      </c>
      <c r="O49" s="14">
        <f t="shared" si="1"/>
        <v>3.1374272130190065E-13</v>
      </c>
      <c r="P49" s="24">
        <f t="shared" si="2"/>
        <v>4.0652230381965637E-7</v>
      </c>
      <c r="Q49" s="2">
        <f t="shared" si="10"/>
        <v>1.3801337462771572E-10</v>
      </c>
      <c r="R49" s="19">
        <f t="shared" si="11"/>
        <v>1.7882650718092918E-4</v>
      </c>
      <c r="S49" s="16">
        <f t="shared" si="12"/>
        <v>340.79708940149459</v>
      </c>
      <c r="T49" s="23">
        <f t="shared" si="3"/>
        <v>1.1368683772161603E-13</v>
      </c>
      <c r="U49" s="22">
        <f t="shared" si="4"/>
        <v>4.0149456026483676E-7</v>
      </c>
      <c r="V49" s="16">
        <f t="shared" si="13"/>
        <v>252.10591659928795</v>
      </c>
      <c r="W49" s="23">
        <f t="shared" si="5"/>
        <v>4.0643044485477731E-12</v>
      </c>
      <c r="X49" s="22">
        <f t="shared" si="6"/>
        <v>4.0071205376079888E-7</v>
      </c>
    </row>
    <row r="50" spans="1:24" x14ac:dyDescent="0.45">
      <c r="A50">
        <v>-55.494799999999998</v>
      </c>
      <c r="B50">
        <v>78.023079999999993</v>
      </c>
      <c r="C50">
        <v>79.251220000000004</v>
      </c>
      <c r="D50">
        <v>-129.02636000000001</v>
      </c>
      <c r="E50" s="13">
        <v>17177097.930962998</v>
      </c>
      <c r="F50" s="13">
        <v>11.4173827241528</v>
      </c>
      <c r="G50" s="13">
        <f t="shared" si="7"/>
        <v>11.4173827241528</v>
      </c>
      <c r="H50" s="13">
        <v>143.08101160340999</v>
      </c>
      <c r="I50" s="13">
        <f t="shared" si="8"/>
        <v>143.08101160340999</v>
      </c>
      <c r="J50" s="11">
        <v>17177097.931000002</v>
      </c>
      <c r="K50" s="11">
        <v>11.417382999999999</v>
      </c>
      <c r="L50" s="12">
        <v>323.08101199999999</v>
      </c>
      <c r="M50" s="18">
        <f t="shared" si="14"/>
        <v>143.08101199999999</v>
      </c>
      <c r="N50" s="17">
        <f t="shared" si="0"/>
        <v>17177097.930895045</v>
      </c>
      <c r="O50" s="14">
        <f t="shared" si="1"/>
        <v>3.9560245046838441E-12</v>
      </c>
      <c r="P50" s="24">
        <f t="shared" si="2"/>
        <v>6.7953020334243774E-5</v>
      </c>
      <c r="Q50" s="2">
        <f t="shared" si="10"/>
        <v>6.110248034357903E-12</v>
      </c>
      <c r="R50" s="19">
        <f t="shared" si="11"/>
        <v>1.0495632886886597E-4</v>
      </c>
      <c r="S50" s="16">
        <f t="shared" si="12"/>
        <v>11.417382724134946</v>
      </c>
      <c r="T50" s="23">
        <f t="shared" si="3"/>
        <v>1.7854162592811917E-11</v>
      </c>
      <c r="U50" s="22">
        <f t="shared" si="4"/>
        <v>2.7586505346732793E-7</v>
      </c>
      <c r="V50" s="16">
        <f t="shared" si="13"/>
        <v>143.08101160347721</v>
      </c>
      <c r="W50" s="23">
        <f t="shared" si="5"/>
        <v>6.7217342802905478E-11</v>
      </c>
      <c r="X50" s="22">
        <f t="shared" si="6"/>
        <v>3.9652277905588562E-7</v>
      </c>
    </row>
    <row r="51" spans="1:24" x14ac:dyDescent="0.45">
      <c r="A51">
        <v>22.121279999999999</v>
      </c>
      <c r="B51">
        <v>-121.46489</v>
      </c>
      <c r="C51">
        <v>36.995260000000002</v>
      </c>
      <c r="D51">
        <v>133.47765000000001</v>
      </c>
      <c r="E51" s="13">
        <v>9805356.2540363595</v>
      </c>
      <c r="F51" s="13">
        <v>-50.51411043393</v>
      </c>
      <c r="G51" s="13">
        <f t="shared" si="7"/>
        <v>309.48588956607</v>
      </c>
      <c r="H51" s="13">
        <v>-116.552897363434</v>
      </c>
      <c r="I51" s="13">
        <f t="shared" si="8"/>
        <v>243.447102636566</v>
      </c>
      <c r="J51" s="9">
        <v>9805356.2540000007</v>
      </c>
      <c r="K51" s="9">
        <v>309.48588999999998</v>
      </c>
      <c r="L51" s="10">
        <v>63.447102999999998</v>
      </c>
      <c r="M51" s="18">
        <f t="shared" si="14"/>
        <v>243.447103</v>
      </c>
      <c r="N51" s="17">
        <f t="shared" si="0"/>
        <v>9805356.254032582</v>
      </c>
      <c r="O51" s="14">
        <f t="shared" si="1"/>
        <v>3.8524294934061186E-13</v>
      </c>
      <c r="P51" s="24">
        <f t="shared" si="2"/>
        <v>3.7774443626403809E-6</v>
      </c>
      <c r="Q51" s="2">
        <f t="shared" si="10"/>
        <v>3.3228154190783876E-12</v>
      </c>
      <c r="R51" s="19">
        <f t="shared" si="11"/>
        <v>3.25813889503479E-5</v>
      </c>
      <c r="S51" s="16">
        <f t="shared" si="12"/>
        <v>309.48588956624536</v>
      </c>
      <c r="T51" s="23">
        <f t="shared" si="3"/>
        <v>1.7536194718559273E-10</v>
      </c>
      <c r="U51" s="22">
        <f t="shared" si="4"/>
        <v>4.3375462155381683E-7</v>
      </c>
      <c r="V51" s="16">
        <f t="shared" si="13"/>
        <v>243.44710263627644</v>
      </c>
      <c r="W51" s="23">
        <f t="shared" si="5"/>
        <v>2.8956037567695603E-10</v>
      </c>
      <c r="X51" s="22">
        <f t="shared" si="6"/>
        <v>3.6372355793901079E-7</v>
      </c>
    </row>
    <row r="52" spans="1:24" x14ac:dyDescent="0.45">
      <c r="A52">
        <v>66.243080000000006</v>
      </c>
      <c r="B52">
        <v>-44.368960000000001</v>
      </c>
      <c r="C52">
        <v>39.010210000000001</v>
      </c>
      <c r="D52">
        <v>-18.764869999999998</v>
      </c>
      <c r="E52" s="13">
        <v>3435870.1126317801</v>
      </c>
      <c r="F52" s="13">
        <v>139.054071847941</v>
      </c>
      <c r="G52" s="13">
        <f t="shared" si="7"/>
        <v>139.054071847941</v>
      </c>
      <c r="H52" s="13">
        <v>160.106531472608</v>
      </c>
      <c r="I52" s="13">
        <f t="shared" si="8"/>
        <v>160.106531472608</v>
      </c>
      <c r="J52" s="11">
        <v>3435870.1129999999</v>
      </c>
      <c r="K52" s="11">
        <v>139.05407199999999</v>
      </c>
      <c r="L52" s="12">
        <v>340.10653100000002</v>
      </c>
      <c r="M52" s="18">
        <f t="shared" si="14"/>
        <v>160.10653100000002</v>
      </c>
      <c r="N52" s="17">
        <f t="shared" si="0"/>
        <v>3435870.1126214182</v>
      </c>
      <c r="O52" s="14">
        <f t="shared" si="1"/>
        <v>3.0157993828337399E-12</v>
      </c>
      <c r="P52" s="24">
        <f t="shared" si="2"/>
        <v>1.0361894965171814E-5</v>
      </c>
      <c r="Q52" s="2">
        <f t="shared" si="10"/>
        <v>1.1018510095192804E-10</v>
      </c>
      <c r="R52" s="19">
        <f t="shared" si="11"/>
        <v>3.785816952586174E-4</v>
      </c>
      <c r="S52" s="16">
        <f t="shared" si="12"/>
        <v>139.05407184794481</v>
      </c>
      <c r="T52" s="23">
        <f t="shared" si="3"/>
        <v>3.808509063674137E-12</v>
      </c>
      <c r="U52" s="22">
        <f t="shared" si="4"/>
        <v>1.5205517911454081E-7</v>
      </c>
      <c r="V52" s="16">
        <f t="shared" si="13"/>
        <v>160.10653147260999</v>
      </c>
      <c r="W52" s="23">
        <f t="shared" si="5"/>
        <v>1.9895196601282805E-12</v>
      </c>
      <c r="X52" s="22">
        <f t="shared" si="6"/>
        <v>4.7260996893783158E-7</v>
      </c>
    </row>
    <row r="53" spans="1:24" x14ac:dyDescent="0.45">
      <c r="A53">
        <v>-28.940200000000001</v>
      </c>
      <c r="B53">
        <v>154.92586</v>
      </c>
      <c r="C53">
        <v>-39.298279999999998</v>
      </c>
      <c r="D53">
        <v>38.95881</v>
      </c>
      <c r="E53" s="13">
        <v>9964216.6492688302</v>
      </c>
      <c r="F53" s="13">
        <v>-135.92523870827699</v>
      </c>
      <c r="G53" s="13">
        <f t="shared" si="7"/>
        <v>224.07476129172301</v>
      </c>
      <c r="H53" s="13">
        <v>-51.829998578129398</v>
      </c>
      <c r="I53" s="13">
        <f t="shared" si="8"/>
        <v>308.17000142187061</v>
      </c>
      <c r="J53" s="9">
        <v>9964216.6490000002</v>
      </c>
      <c r="K53" s="9">
        <v>224.074761</v>
      </c>
      <c r="L53" s="10">
        <v>128.17000100000001</v>
      </c>
      <c r="M53" s="18">
        <f t="shared" si="14"/>
        <v>308.17000100000001</v>
      </c>
      <c r="N53" s="17">
        <f t="shared" si="0"/>
        <v>9964216.6492618695</v>
      </c>
      <c r="O53" s="14">
        <f t="shared" si="1"/>
        <v>6.9857021055306538E-13</v>
      </c>
      <c r="P53" s="24">
        <f t="shared" si="2"/>
        <v>6.9607049226760864E-6</v>
      </c>
      <c r="Q53" s="2">
        <f t="shared" si="10"/>
        <v>2.6280970271422312E-11</v>
      </c>
      <c r="R53" s="19">
        <f t="shared" si="11"/>
        <v>2.6186928153038025E-4</v>
      </c>
      <c r="S53" s="16">
        <f t="shared" si="12"/>
        <v>224.07476129152471</v>
      </c>
      <c r="T53" s="23">
        <f t="shared" si="3"/>
        <v>1.9829826669592876E-10</v>
      </c>
      <c r="U53" s="22">
        <f t="shared" si="4"/>
        <v>2.9152471370252897E-7</v>
      </c>
      <c r="V53" s="16">
        <f t="shared" si="13"/>
        <v>308.17000142213129</v>
      </c>
      <c r="W53" s="23">
        <f t="shared" si="5"/>
        <v>2.6068391889566556E-10</v>
      </c>
      <c r="X53" s="22">
        <f t="shared" si="6"/>
        <v>4.2213127926515881E-7</v>
      </c>
    </row>
    <row r="54" spans="1:24" x14ac:dyDescent="0.45">
      <c r="A54">
        <v>32.50235</v>
      </c>
      <c r="B54">
        <v>-149.48728</v>
      </c>
      <c r="C54">
        <v>76.772989999999993</v>
      </c>
      <c r="D54">
        <v>-106.60453</v>
      </c>
      <c r="E54" s="13">
        <v>5384030.2016943702</v>
      </c>
      <c r="F54" s="13">
        <v>12.0595294532935</v>
      </c>
      <c r="G54" s="13">
        <f t="shared" si="7"/>
        <v>12.0595294532935</v>
      </c>
      <c r="H54" s="13">
        <v>50.208903903800497</v>
      </c>
      <c r="I54" s="13">
        <f t="shared" si="8"/>
        <v>50.208903903800497</v>
      </c>
      <c r="J54" s="11">
        <v>5384030.2019999996</v>
      </c>
      <c r="K54" s="11">
        <v>12.059528999999999</v>
      </c>
      <c r="L54" s="12">
        <v>230.20890399999999</v>
      </c>
      <c r="M54" s="18">
        <f t="shared" si="14"/>
        <v>50.208903999999961</v>
      </c>
      <c r="N54" s="17">
        <f t="shared" si="0"/>
        <v>5384030.2016799124</v>
      </c>
      <c r="O54" s="14">
        <f t="shared" si="1"/>
        <v>2.685321424047874E-12</v>
      </c>
      <c r="P54" s="24">
        <f t="shared" si="2"/>
        <v>1.4457851648330688E-5</v>
      </c>
      <c r="Q54" s="2">
        <f t="shared" si="10"/>
        <v>5.9451224265656234E-11</v>
      </c>
      <c r="R54" s="19">
        <f t="shared" si="11"/>
        <v>3.2008718699216843E-4</v>
      </c>
      <c r="S54" s="16">
        <f t="shared" si="12"/>
        <v>12.059529453298415</v>
      </c>
      <c r="T54" s="23">
        <f t="shared" si="3"/>
        <v>4.915179374620493E-12</v>
      </c>
      <c r="U54" s="22">
        <f t="shared" si="4"/>
        <v>4.532984156924158E-7</v>
      </c>
      <c r="V54" s="16">
        <f t="shared" si="13"/>
        <v>50.208903903827718</v>
      </c>
      <c r="W54" s="23">
        <f t="shared" si="5"/>
        <v>2.7220892206969438E-11</v>
      </c>
      <c r="X54" s="22">
        <f t="shared" si="6"/>
        <v>9.6172243502223864E-8</v>
      </c>
    </row>
    <row r="55" spans="1:24" x14ac:dyDescent="0.45">
      <c r="A55">
        <v>-38.189250000000001</v>
      </c>
      <c r="B55">
        <v>-115.41135</v>
      </c>
      <c r="C55">
        <v>-41.625279999999997</v>
      </c>
      <c r="D55">
        <v>170.0462</v>
      </c>
      <c r="E55" s="13">
        <v>6179877.6031595701</v>
      </c>
      <c r="F55" s="13">
        <v>-118.96792211059901</v>
      </c>
      <c r="G55" s="13">
        <f t="shared" si="7"/>
        <v>241.03207788940099</v>
      </c>
      <c r="H55" s="13">
        <v>-66.886961291809399</v>
      </c>
      <c r="I55" s="13">
        <f t="shared" si="8"/>
        <v>293.11303870819063</v>
      </c>
      <c r="J55" s="9">
        <v>6179877.6030000001</v>
      </c>
      <c r="K55" s="9">
        <v>241.03207800000001</v>
      </c>
      <c r="L55" s="10">
        <v>113.113039</v>
      </c>
      <c r="M55" s="18">
        <f t="shared" si="14"/>
        <v>293.11303900000001</v>
      </c>
      <c r="N55" s="17">
        <f t="shared" si="0"/>
        <v>6179877.6031648442</v>
      </c>
      <c r="O55" s="14">
        <f t="shared" si="1"/>
        <v>8.5342786357952937E-13</v>
      </c>
      <c r="P55" s="24">
        <f t="shared" si="2"/>
        <v>5.2740797400474548E-6</v>
      </c>
      <c r="Q55" s="2">
        <f t="shared" si="10"/>
        <v>2.6674330188500288E-11</v>
      </c>
      <c r="R55" s="19">
        <f t="shared" si="11"/>
        <v>1.648440957069397E-4</v>
      </c>
      <c r="S55" s="16">
        <f t="shared" si="12"/>
        <v>241.03207788927108</v>
      </c>
      <c r="T55" s="23">
        <f t="shared" si="3"/>
        <v>1.2991563380637672E-10</v>
      </c>
      <c r="U55" s="22">
        <f t="shared" si="4"/>
        <v>1.1072893357777502E-7</v>
      </c>
      <c r="V55" s="16">
        <f t="shared" si="13"/>
        <v>293.11303870835894</v>
      </c>
      <c r="W55" s="23">
        <f t="shared" si="5"/>
        <v>1.6831336324685253E-10</v>
      </c>
      <c r="X55" s="22">
        <f t="shared" si="6"/>
        <v>2.9164107218093704E-7</v>
      </c>
    </row>
    <row r="56" spans="1:24" x14ac:dyDescent="0.45">
      <c r="A56">
        <v>20.636610000000001</v>
      </c>
      <c r="B56">
        <v>-166.07919000000001</v>
      </c>
      <c r="C56">
        <v>64.659310000000005</v>
      </c>
      <c r="D56">
        <v>140.75031000000001</v>
      </c>
      <c r="E56" s="13">
        <v>6233671.1722831996</v>
      </c>
      <c r="F56" s="13">
        <v>-24.475331803885201</v>
      </c>
      <c r="G56" s="13">
        <f t="shared" si="7"/>
        <v>335.52466819611482</v>
      </c>
      <c r="H56" s="13">
        <v>-64.659243515056104</v>
      </c>
      <c r="I56" s="13">
        <f t="shared" si="8"/>
        <v>295.34075648494388</v>
      </c>
      <c r="J56" s="11">
        <v>6233671.1720000003</v>
      </c>
      <c r="K56" s="11">
        <v>335.52466800000002</v>
      </c>
      <c r="L56" s="12">
        <v>115.340756</v>
      </c>
      <c r="M56" s="18">
        <f t="shared" si="14"/>
        <v>295.340756</v>
      </c>
      <c r="N56" s="17">
        <f t="shared" si="0"/>
        <v>6233671.1722633103</v>
      </c>
      <c r="O56" s="14">
        <f t="shared" si="1"/>
        <v>3.1906278585758831E-12</v>
      </c>
      <c r="P56" s="24">
        <f t="shared" si="2"/>
        <v>1.9889324903488159E-5</v>
      </c>
      <c r="Q56" s="2">
        <f t="shared" si="10"/>
        <v>4.2239962662135493E-11</v>
      </c>
      <c r="R56" s="19">
        <f t="shared" si="11"/>
        <v>2.6331003755331039E-4</v>
      </c>
      <c r="S56" s="16">
        <f t="shared" si="12"/>
        <v>335.52466819609452</v>
      </c>
      <c r="T56" s="23">
        <f t="shared" si="3"/>
        <v>2.0293100533308461E-11</v>
      </c>
      <c r="U56" s="22">
        <f t="shared" si="4"/>
        <v>1.9609450419011409E-7</v>
      </c>
      <c r="V56" s="16">
        <f t="shared" si="13"/>
        <v>295.34075648485003</v>
      </c>
      <c r="W56" s="23">
        <f t="shared" si="5"/>
        <v>9.3848484539194033E-11</v>
      </c>
      <c r="X56" s="22">
        <f t="shared" si="6"/>
        <v>4.8485003389941994E-7</v>
      </c>
    </row>
    <row r="57" spans="1:24" x14ac:dyDescent="0.45">
      <c r="A57">
        <v>-87.275670000000005</v>
      </c>
      <c r="B57">
        <v>-40.886800000000001</v>
      </c>
      <c r="C57">
        <v>-61.053400000000003</v>
      </c>
      <c r="D57">
        <v>126.21026000000001</v>
      </c>
      <c r="E57" s="13">
        <v>3527724.8938067998</v>
      </c>
      <c r="F57" s="13">
        <v>168.100321961307</v>
      </c>
      <c r="G57" s="13">
        <f t="shared" si="7"/>
        <v>168.100321961307</v>
      </c>
      <c r="H57" s="13">
        <v>1.16120984841915</v>
      </c>
      <c r="I57" s="13">
        <f t="shared" si="8"/>
        <v>1.16120984841915</v>
      </c>
      <c r="J57" s="9">
        <v>3527724.8939999999</v>
      </c>
      <c r="K57" s="9">
        <v>168.10032200000001</v>
      </c>
      <c r="L57" s="10">
        <v>181.16121000000001</v>
      </c>
      <c r="M57" s="18">
        <f t="shared" si="14"/>
        <v>1.1612099999999828</v>
      </c>
      <c r="N57" s="17">
        <f t="shared" si="0"/>
        <v>3527724.8938039802</v>
      </c>
      <c r="O57" s="14">
        <f t="shared" si="1"/>
        <v>7.9926274852054238E-13</v>
      </c>
      <c r="P57" s="24">
        <f t="shared" si="2"/>
        <v>2.8195790946483612E-6</v>
      </c>
      <c r="Q57" s="2">
        <f t="shared" si="10"/>
        <v>5.5565459076556197E-11</v>
      </c>
      <c r="R57" s="19">
        <f t="shared" si="11"/>
        <v>1.9601965323090553E-4</v>
      </c>
      <c r="S57" s="16">
        <f t="shared" si="12"/>
        <v>168.10032196130197</v>
      </c>
      <c r="T57" s="23">
        <f t="shared" si="3"/>
        <v>5.0306425691815093E-12</v>
      </c>
      <c r="U57" s="22">
        <f t="shared" si="4"/>
        <v>3.8698033222317463E-8</v>
      </c>
      <c r="V57" s="16">
        <f t="shared" si="13"/>
        <v>1.1612098484196764</v>
      </c>
      <c r="W57" s="23">
        <f t="shared" si="5"/>
        <v>5.2646775827724923E-13</v>
      </c>
      <c r="X57" s="22">
        <f t="shared" si="6"/>
        <v>1.5158030630679775E-7</v>
      </c>
    </row>
    <row r="58" spans="1:24" x14ac:dyDescent="0.45">
      <c r="A58">
        <v>-65.268349999999998</v>
      </c>
      <c r="B58">
        <v>22.998069999999998</v>
      </c>
      <c r="C58">
        <v>-13.56738</v>
      </c>
      <c r="D58">
        <v>116.74199</v>
      </c>
      <c r="E58" s="13">
        <v>8818419.3637484703</v>
      </c>
      <c r="F58" s="13">
        <v>99.217750851321895</v>
      </c>
      <c r="G58" s="13">
        <f t="shared" si="7"/>
        <v>99.217750851321895</v>
      </c>
      <c r="H58" s="13">
        <v>25.208946007102298</v>
      </c>
      <c r="I58" s="13">
        <f t="shared" si="8"/>
        <v>25.208946007102298</v>
      </c>
      <c r="J58" s="11">
        <v>8818419.3640000001</v>
      </c>
      <c r="K58" s="11">
        <v>99.217751000000007</v>
      </c>
      <c r="L58" s="12">
        <v>205.208946</v>
      </c>
      <c r="M58" s="18">
        <f t="shared" si="14"/>
        <v>25.208945999999969</v>
      </c>
      <c r="N58" s="17">
        <f t="shared" si="0"/>
        <v>8818419.3637236543</v>
      </c>
      <c r="O58" s="14">
        <f t="shared" si="1"/>
        <v>2.8141121781098223E-12</v>
      </c>
      <c r="P58" s="24">
        <f t="shared" si="2"/>
        <v>2.4816021323204041E-5</v>
      </c>
      <c r="Q58" s="2">
        <f t="shared" si="10"/>
        <v>3.1337334756197612E-11</v>
      </c>
      <c r="R58" s="19">
        <f t="shared" si="11"/>
        <v>2.7634575963020325E-4</v>
      </c>
      <c r="S58" s="16">
        <f t="shared" si="12"/>
        <v>99.217750851452678</v>
      </c>
      <c r="T58" s="23">
        <f t="shared" si="3"/>
        <v>1.3078249594400404E-10</v>
      </c>
      <c r="U58" s="22">
        <f t="shared" si="4"/>
        <v>1.485473291040762E-7</v>
      </c>
      <c r="V58" s="16">
        <f t="shared" si="13"/>
        <v>25.208946007092369</v>
      </c>
      <c r="W58" s="23">
        <f t="shared" si="5"/>
        <v>9.9298347322474001E-12</v>
      </c>
      <c r="X58" s="22">
        <f t="shared" si="6"/>
        <v>7.0923995565408404E-9</v>
      </c>
    </row>
    <row r="59" spans="1:24" x14ac:dyDescent="0.45">
      <c r="A59">
        <v>12.131449999999999</v>
      </c>
      <c r="B59">
        <v>-7.6449400000000001</v>
      </c>
      <c r="C59">
        <v>3.0405899999999999</v>
      </c>
      <c r="D59">
        <v>-160.11855</v>
      </c>
      <c r="E59" s="13">
        <v>16552270.061924599</v>
      </c>
      <c r="F59" s="13">
        <v>-62.384102905255702</v>
      </c>
      <c r="G59" s="13">
        <f t="shared" si="7"/>
        <v>297.6158970947443</v>
      </c>
      <c r="H59" s="13">
        <v>-119.815777264861</v>
      </c>
      <c r="I59" s="13">
        <f t="shared" si="8"/>
        <v>240.184222735139</v>
      </c>
      <c r="J59" s="9">
        <v>16552270.062000001</v>
      </c>
      <c r="K59" s="9">
        <v>297.61589700000002</v>
      </c>
      <c r="L59" s="10">
        <v>60.184223000000003</v>
      </c>
      <c r="M59" s="18">
        <f t="shared" si="14"/>
        <v>240.184223</v>
      </c>
      <c r="N59" s="17">
        <f t="shared" si="0"/>
        <v>16552270.061897544</v>
      </c>
      <c r="O59" s="14">
        <f t="shared" si="1"/>
        <v>1.6345142201862954E-12</v>
      </c>
      <c r="P59" s="24">
        <f t="shared" si="2"/>
        <v>2.7054920792579651E-5</v>
      </c>
      <c r="Q59" s="2">
        <f t="shared" si="10"/>
        <v>6.1898856588748922E-12</v>
      </c>
      <c r="R59" s="19">
        <f t="shared" si="11"/>
        <v>1.0245665907859802E-4</v>
      </c>
      <c r="S59" s="16">
        <f t="shared" si="12"/>
        <v>297.61589709547673</v>
      </c>
      <c r="T59" s="23">
        <f t="shared" si="3"/>
        <v>7.3242745202151127E-10</v>
      </c>
      <c r="U59" s="22">
        <f t="shared" si="4"/>
        <v>9.5476707429043017E-8</v>
      </c>
      <c r="V59" s="16">
        <f t="shared" si="13"/>
        <v>240.18422273447027</v>
      </c>
      <c r="W59" s="23">
        <f t="shared" si="5"/>
        <v>6.6873440118797589E-10</v>
      </c>
      <c r="X59" s="22">
        <f t="shared" si="6"/>
        <v>2.6552973508842115E-7</v>
      </c>
    </row>
    <row r="60" spans="1:24" x14ac:dyDescent="0.45">
      <c r="A60">
        <v>47.686250000000001</v>
      </c>
      <c r="B60">
        <v>52.705010000000001</v>
      </c>
      <c r="C60">
        <v>44.657290000000003</v>
      </c>
      <c r="D60">
        <v>149.32464999999999</v>
      </c>
      <c r="E60" s="13">
        <v>6949214.2646151399</v>
      </c>
      <c r="F60" s="13">
        <v>52.912935299569</v>
      </c>
      <c r="G60" s="13">
        <f t="shared" si="7"/>
        <v>52.912935299569</v>
      </c>
      <c r="H60" s="13">
        <v>130.96687850952699</v>
      </c>
      <c r="I60" s="13">
        <f t="shared" si="8"/>
        <v>130.96687850952699</v>
      </c>
      <c r="J60" s="11">
        <v>6949214.2649999997</v>
      </c>
      <c r="K60" s="11">
        <v>52.912934999999997</v>
      </c>
      <c r="L60" s="12">
        <v>310.96687900000001</v>
      </c>
      <c r="M60" s="18">
        <f t="shared" si="14"/>
        <v>130.96687900000001</v>
      </c>
      <c r="N60" s="17">
        <f t="shared" si="0"/>
        <v>6949214.2646111874</v>
      </c>
      <c r="O60" s="14">
        <f t="shared" si="1"/>
        <v>5.6877408814318508E-13</v>
      </c>
      <c r="P60" s="24">
        <f t="shared" si="2"/>
        <v>3.9525330066680908E-6</v>
      </c>
      <c r="Q60" s="2">
        <f t="shared" si="10"/>
        <v>5.5950537559193886E-11</v>
      </c>
      <c r="R60" s="19">
        <f t="shared" si="11"/>
        <v>3.8881227374076843E-4</v>
      </c>
      <c r="S60" s="16">
        <f t="shared" si="12"/>
        <v>52.912935299445394</v>
      </c>
      <c r="T60" s="23">
        <f t="shared" si="3"/>
        <v>1.2360601431282703E-10</v>
      </c>
      <c r="U60" s="22">
        <f t="shared" si="4"/>
        <v>2.9944539647885904E-7</v>
      </c>
      <c r="V60" s="16">
        <f t="shared" si="13"/>
        <v>130.96687850963451</v>
      </c>
      <c r="W60" s="23">
        <f t="shared" si="5"/>
        <v>1.0751932677521836E-10</v>
      </c>
      <c r="X60" s="22">
        <f t="shared" si="6"/>
        <v>4.9036549398806528E-7</v>
      </c>
    </row>
    <row r="61" spans="1:24" x14ac:dyDescent="0.45">
      <c r="A61">
        <v>80.821719999999999</v>
      </c>
      <c r="B61">
        <v>54.919280000000001</v>
      </c>
      <c r="C61">
        <v>-47.024940000000001</v>
      </c>
      <c r="D61">
        <v>-139.65667999999999</v>
      </c>
      <c r="E61" s="13">
        <v>16197045.795119099</v>
      </c>
      <c r="F61" s="13">
        <v>17.7643659031807</v>
      </c>
      <c r="G61" s="13">
        <f t="shared" si="7"/>
        <v>17.7643659031807</v>
      </c>
      <c r="H61" s="13">
        <v>175.90002856249299</v>
      </c>
      <c r="I61" s="13">
        <f t="shared" si="8"/>
        <v>175.90002856249299</v>
      </c>
      <c r="J61" s="9">
        <v>16197045.795</v>
      </c>
      <c r="K61" s="9">
        <v>17.764365999999999</v>
      </c>
      <c r="L61" s="10">
        <v>355.90002900000002</v>
      </c>
      <c r="M61" s="18">
        <f t="shared" si="14"/>
        <v>175.90002900000002</v>
      </c>
      <c r="N61" s="17">
        <f t="shared" si="0"/>
        <v>16197045.795054168</v>
      </c>
      <c r="O61" s="14">
        <f t="shared" si="1"/>
        <v>4.0088674640753342E-12</v>
      </c>
      <c r="P61" s="24">
        <f t="shared" si="2"/>
        <v>6.4931809902191162E-5</v>
      </c>
      <c r="Q61" s="2">
        <f t="shared" si="10"/>
        <v>3.3442878578207702E-12</v>
      </c>
      <c r="R61" s="19">
        <f t="shared" si="11"/>
        <v>5.4167583584785461E-5</v>
      </c>
      <c r="S61" s="16">
        <f t="shared" si="12"/>
        <v>17.7643659031548</v>
      </c>
      <c r="T61" s="23">
        <f t="shared" si="3"/>
        <v>2.5899282718455652E-11</v>
      </c>
      <c r="U61" s="22">
        <f t="shared" si="4"/>
        <v>9.6845198527262255E-8</v>
      </c>
      <c r="V61" s="16">
        <f t="shared" si="13"/>
        <v>175.90002856249916</v>
      </c>
      <c r="W61" s="23">
        <f t="shared" si="5"/>
        <v>6.1675109463976696E-12</v>
      </c>
      <c r="X61" s="22">
        <f t="shared" si="6"/>
        <v>4.3750085865212895E-7</v>
      </c>
    </row>
    <row r="62" spans="1:24" x14ac:dyDescent="0.45">
      <c r="A62">
        <v>55.425759999999997</v>
      </c>
      <c r="B62">
        <v>-86.433049999999994</v>
      </c>
      <c r="C62">
        <v>-82.724689999999995</v>
      </c>
      <c r="D62">
        <v>134.173</v>
      </c>
      <c r="E62" s="13">
        <v>16726146.3002315</v>
      </c>
      <c r="F62" s="13">
        <v>-170.32842115198201</v>
      </c>
      <c r="G62" s="13">
        <f t="shared" si="7"/>
        <v>189.67157884801799</v>
      </c>
      <c r="H62" s="13">
        <v>-48.768389756501797</v>
      </c>
      <c r="I62" s="13">
        <f t="shared" si="8"/>
        <v>311.23161024349821</v>
      </c>
      <c r="J62" s="11">
        <v>16726146.300000001</v>
      </c>
      <c r="K62" s="11">
        <v>189.67157900000001</v>
      </c>
      <c r="L62" s="12">
        <v>131.23160999999999</v>
      </c>
      <c r="M62" s="18">
        <f t="shared" si="14"/>
        <v>311.23160999999999</v>
      </c>
      <c r="N62" s="17">
        <f t="shared" si="0"/>
        <v>16726146.300163798</v>
      </c>
      <c r="O62" s="14">
        <f t="shared" si="1"/>
        <v>4.0476486348897096E-12</v>
      </c>
      <c r="P62" s="24">
        <f t="shared" si="2"/>
        <v>6.7701563239097595E-5</v>
      </c>
      <c r="Q62" s="2">
        <f t="shared" si="10"/>
        <v>9.7928887022273562E-12</v>
      </c>
      <c r="R62" s="19">
        <f t="shared" si="11"/>
        <v>1.637972891330719E-4</v>
      </c>
      <c r="S62" s="16">
        <f t="shared" si="12"/>
        <v>189.67157884800702</v>
      </c>
      <c r="T62" s="23">
        <f t="shared" si="3"/>
        <v>1.0970779840135947E-11</v>
      </c>
      <c r="U62" s="22">
        <f t="shared" si="4"/>
        <v>1.5199299241430708E-7</v>
      </c>
      <c r="V62" s="16">
        <f t="shared" si="13"/>
        <v>311.23161024357563</v>
      </c>
      <c r="W62" s="23">
        <f t="shared" si="5"/>
        <v>7.7420736488420516E-11</v>
      </c>
      <c r="X62" s="22">
        <f t="shared" si="6"/>
        <v>2.4357564143429045E-7</v>
      </c>
    </row>
    <row r="63" spans="1:24" x14ac:dyDescent="0.45">
      <c r="A63">
        <v>18.858260000000001</v>
      </c>
      <c r="B63">
        <v>17.283829999999998</v>
      </c>
      <c r="C63">
        <v>56.321370000000002</v>
      </c>
      <c r="D63">
        <v>-163.41587000000001</v>
      </c>
      <c r="E63" s="13">
        <v>11673348.671267301</v>
      </c>
      <c r="F63" s="13">
        <v>0.40121749586021399</v>
      </c>
      <c r="G63" s="13">
        <f t="shared" si="7"/>
        <v>0.40121749586021399</v>
      </c>
      <c r="H63" s="13">
        <v>179.316655331699</v>
      </c>
      <c r="I63" s="13">
        <f t="shared" si="8"/>
        <v>179.316655331699</v>
      </c>
      <c r="J63" s="9">
        <v>11673348.671</v>
      </c>
      <c r="K63" s="9">
        <v>0.40121699999999999</v>
      </c>
      <c r="L63" s="10">
        <v>359.31665500000003</v>
      </c>
      <c r="M63" s="18">
        <f t="shared" si="14"/>
        <v>179.31665500000008</v>
      </c>
      <c r="N63" s="17">
        <f t="shared" si="0"/>
        <v>11673348.671239186</v>
      </c>
      <c r="O63" s="14">
        <f t="shared" si="1"/>
        <v>2.4084576477779298E-12</v>
      </c>
      <c r="P63" s="24">
        <f t="shared" si="2"/>
        <v>2.8114765882492065E-5</v>
      </c>
      <c r="Q63" s="2">
        <f t="shared" si="10"/>
        <v>2.0489920728338505E-11</v>
      </c>
      <c r="R63" s="19">
        <f t="shared" si="11"/>
        <v>2.3918598890304565E-4</v>
      </c>
      <c r="S63" s="16">
        <f t="shared" si="12"/>
        <v>0.40121749585878008</v>
      </c>
      <c r="T63" s="23">
        <f t="shared" si="3"/>
        <v>1.4339085474546209E-12</v>
      </c>
      <c r="U63" s="22">
        <f t="shared" si="4"/>
        <v>4.9585878009184015E-7</v>
      </c>
      <c r="V63" s="16">
        <f t="shared" si="13"/>
        <v>179.31665533170138</v>
      </c>
      <c r="W63" s="23">
        <f t="shared" si="5"/>
        <v>2.3874235921539366E-12</v>
      </c>
      <c r="X63" s="22">
        <f t="shared" si="6"/>
        <v>3.3170130109283491E-7</v>
      </c>
    </row>
    <row r="64" spans="1:24" x14ac:dyDescent="0.45">
      <c r="A64">
        <v>17.267710000000001</v>
      </c>
      <c r="B64">
        <v>157.71124</v>
      </c>
      <c r="C64">
        <v>-81.171559999999999</v>
      </c>
      <c r="D64">
        <v>59.534210000000002</v>
      </c>
      <c r="E64" s="13">
        <v>12028828.3237129</v>
      </c>
      <c r="F64" s="13">
        <v>-170.76514101750399</v>
      </c>
      <c r="G64" s="13">
        <f t="shared" si="7"/>
        <v>189.23485898249601</v>
      </c>
      <c r="H64" s="13">
        <v>-84.586954018244398</v>
      </c>
      <c r="I64" s="13">
        <f t="shared" si="8"/>
        <v>275.4130459817556</v>
      </c>
      <c r="J64" s="11">
        <v>12028828.323999999</v>
      </c>
      <c r="K64" s="11">
        <v>189.234859</v>
      </c>
      <c r="L64" s="12">
        <v>95.413045999999994</v>
      </c>
      <c r="M64" s="18">
        <f t="shared" si="14"/>
        <v>275.41304600000001</v>
      </c>
      <c r="N64" s="17">
        <f t="shared" si="0"/>
        <v>12028828.323664518</v>
      </c>
      <c r="O64" s="14">
        <f t="shared" si="1"/>
        <v>4.0221879013682794E-12</v>
      </c>
      <c r="P64" s="24">
        <f t="shared" si="2"/>
        <v>4.8382207751274109E-5</v>
      </c>
      <c r="Q64" s="2">
        <f t="shared" si="10"/>
        <v>2.7889750255944187E-11</v>
      </c>
      <c r="R64" s="19">
        <f t="shared" si="11"/>
        <v>3.3548101782798767E-4</v>
      </c>
      <c r="S64" s="16">
        <f t="shared" si="12"/>
        <v>189.23485898249606</v>
      </c>
      <c r="T64" s="23">
        <f t="shared" si="3"/>
        <v>5.6843418860808015E-14</v>
      </c>
      <c r="U64" s="22">
        <f t="shared" si="4"/>
        <v>1.7503936078355764E-8</v>
      </c>
      <c r="V64" s="16">
        <f t="shared" si="13"/>
        <v>275.4130459817876</v>
      </c>
      <c r="W64" s="23">
        <f t="shared" si="5"/>
        <v>3.2002844818634912E-11</v>
      </c>
      <c r="X64" s="22">
        <f t="shared" si="6"/>
        <v>1.8212404029327445E-8</v>
      </c>
    </row>
    <row r="65" spans="1:24" x14ac:dyDescent="0.45">
      <c r="A65">
        <v>-26.748480000000001</v>
      </c>
      <c r="B65">
        <v>-149.95332999999999</v>
      </c>
      <c r="C65">
        <v>14.54387</v>
      </c>
      <c r="D65">
        <v>83.499619999999993</v>
      </c>
      <c r="E65" s="13">
        <v>14339963.472031601</v>
      </c>
      <c r="F65" s="13">
        <v>-92.769616291088298</v>
      </c>
      <c r="G65" s="13">
        <f t="shared" si="7"/>
        <v>267.23038370891169</v>
      </c>
      <c r="H65" s="13">
        <v>-67.206432159358897</v>
      </c>
      <c r="I65" s="13">
        <f t="shared" si="8"/>
        <v>292.79356784064112</v>
      </c>
      <c r="J65" s="9">
        <v>14339963.471999999</v>
      </c>
      <c r="K65" s="9">
        <v>267.23038400000002</v>
      </c>
      <c r="L65" s="10">
        <v>112.79356799999999</v>
      </c>
      <c r="M65" s="18">
        <f t="shared" si="14"/>
        <v>292.79356799999999</v>
      </c>
      <c r="N65" s="17">
        <f t="shared" si="0"/>
        <v>14339963.471979573</v>
      </c>
      <c r="O65" s="14">
        <f t="shared" si="1"/>
        <v>3.6281406441370911E-12</v>
      </c>
      <c r="P65" s="24">
        <f t="shared" si="2"/>
        <v>5.2027404308319092E-5</v>
      </c>
      <c r="Q65" s="2">
        <f t="shared" si="10"/>
        <v>1.4243946120469362E-12</v>
      </c>
      <c r="R65" s="19">
        <f t="shared" si="11"/>
        <v>2.0425766706466675E-5</v>
      </c>
      <c r="S65" s="16">
        <f t="shared" si="12"/>
        <v>267.23038370871063</v>
      </c>
      <c r="T65" s="23">
        <f t="shared" si="3"/>
        <v>2.0105517251067795E-10</v>
      </c>
      <c r="U65" s="22">
        <f t="shared" si="4"/>
        <v>2.9128938194844523E-7</v>
      </c>
      <c r="V65" s="16">
        <f t="shared" si="13"/>
        <v>292.79356784066425</v>
      </c>
      <c r="W65" s="23">
        <f t="shared" si="5"/>
        <v>2.3135271476348862E-11</v>
      </c>
      <c r="X65" s="22">
        <f t="shared" si="6"/>
        <v>1.5933574104565196E-7</v>
      </c>
    </row>
    <row r="66" spans="1:24" x14ac:dyDescent="0.45">
      <c r="A66">
        <v>1.4743900000000001</v>
      </c>
      <c r="B66">
        <v>-90.107110000000006</v>
      </c>
      <c r="C66">
        <v>37.681040000000003</v>
      </c>
      <c r="D66">
        <v>-63.983580000000003</v>
      </c>
      <c r="E66" s="13">
        <v>4818719.4102579597</v>
      </c>
      <c r="F66" s="13">
        <v>30.599144143464301</v>
      </c>
      <c r="G66" s="13">
        <f t="shared" si="7"/>
        <v>30.599144143464301</v>
      </c>
      <c r="H66" s="13">
        <v>39.953293830988997</v>
      </c>
      <c r="I66" s="13">
        <f t="shared" si="8"/>
        <v>39.953293830988997</v>
      </c>
      <c r="J66" s="11">
        <v>4818719.41</v>
      </c>
      <c r="K66" s="11">
        <v>30.599143999999999</v>
      </c>
      <c r="L66" s="12">
        <v>219.953294</v>
      </c>
      <c r="M66" s="18">
        <f t="shared" si="14"/>
        <v>39.953294000000028</v>
      </c>
      <c r="N66" s="17">
        <f t="shared" si="0"/>
        <v>4818719.410231459</v>
      </c>
      <c r="O66" s="14">
        <f t="shared" si="1"/>
        <v>5.4995490719524544E-12</v>
      </c>
      <c r="P66" s="24">
        <f t="shared" si="2"/>
        <v>2.6500783860683441E-5</v>
      </c>
      <c r="Q66" s="2">
        <f t="shared" si="10"/>
        <v>4.8033260666958199E-11</v>
      </c>
      <c r="R66" s="19">
        <f t="shared" si="11"/>
        <v>2.3145880550146103E-4</v>
      </c>
      <c r="S66" s="16">
        <f t="shared" si="12"/>
        <v>30.599144143507953</v>
      </c>
      <c r="T66" s="23">
        <f t="shared" si="3"/>
        <v>4.3652192971421755E-11</v>
      </c>
      <c r="U66" s="22">
        <f t="shared" si="4"/>
        <v>1.435079539646722E-7</v>
      </c>
      <c r="V66" s="16">
        <f t="shared" si="13"/>
        <v>39.953293831050836</v>
      </c>
      <c r="W66" s="23">
        <f t="shared" si="5"/>
        <v>6.1838534293201519E-11</v>
      </c>
      <c r="X66" s="22">
        <f t="shared" si="6"/>
        <v>1.6894919241394746E-7</v>
      </c>
    </row>
    <row r="67" spans="1:24" x14ac:dyDescent="0.45">
      <c r="A67">
        <v>19.722549999999998</v>
      </c>
      <c r="B67">
        <v>66.421509999999998</v>
      </c>
      <c r="C67">
        <v>80.064130000000006</v>
      </c>
      <c r="D67">
        <v>-12.07429</v>
      </c>
      <c r="E67" s="13">
        <v>7633895.7516946699</v>
      </c>
      <c r="F67" s="13">
        <v>-10.4940932007845</v>
      </c>
      <c r="G67" s="13">
        <f t="shared" si="7"/>
        <v>349.5059067992155</v>
      </c>
      <c r="H67" s="13">
        <v>-82.219298319101298</v>
      </c>
      <c r="I67" s="13">
        <f t="shared" si="8"/>
        <v>277.78070168089869</v>
      </c>
      <c r="J67" s="9">
        <v>7633895.7520000003</v>
      </c>
      <c r="K67" s="9">
        <v>349.50590699999998</v>
      </c>
      <c r="L67" s="10">
        <v>97.780702000000005</v>
      </c>
      <c r="M67" s="18">
        <f t="shared" si="14"/>
        <v>277.78070200000002</v>
      </c>
      <c r="N67" s="17">
        <f t="shared" ref="N67:N130" si="15">VincentyInvDistance($A67,$B67,$C67,$D67)</f>
        <v>7633895.7516718889</v>
      </c>
      <c r="O67" s="14">
        <f t="shared" ref="O67:O130" si="16">ABS((E67-N67)/E67)</f>
        <v>2.9842012831537532E-12</v>
      </c>
      <c r="P67" s="24">
        <f t="shared" ref="P67:P130" si="17">ABS(E67-N67)</f>
        <v>2.278108149766922E-5</v>
      </c>
      <c r="Q67" s="2">
        <f t="shared" si="10"/>
        <v>4.2980867561506019E-11</v>
      </c>
      <c r="R67" s="19">
        <f t="shared" si="11"/>
        <v>3.2811146229505539E-4</v>
      </c>
      <c r="S67" s="16">
        <f t="shared" si="12"/>
        <v>349.50590679921424</v>
      </c>
      <c r="T67" s="23">
        <f t="shared" ref="T67:T130" si="18">ABS(G67-S67)</f>
        <v>1.2505552149377763E-12</v>
      </c>
      <c r="U67" s="22">
        <f t="shared" ref="U67:U130" si="19">ABS(K67-S67)</f>
        <v>2.0078573470527772E-7</v>
      </c>
      <c r="V67" s="16">
        <f t="shared" si="13"/>
        <v>277.78070168085389</v>
      </c>
      <c r="W67" s="23">
        <f t="shared" ref="W67:W130" si="20">ABS(I67-V67)</f>
        <v>4.4792614062316716E-11</v>
      </c>
      <c r="X67" s="22">
        <f t="shared" ref="X67:X130" si="21">ABS(M67-V67)</f>
        <v>3.1914612463879166E-7</v>
      </c>
    </row>
    <row r="68" spans="1:24" x14ac:dyDescent="0.45">
      <c r="A68">
        <v>-88.287170000000003</v>
      </c>
      <c r="B68">
        <v>104.3566</v>
      </c>
      <c r="C68">
        <v>-27.904769999999999</v>
      </c>
      <c r="D68">
        <v>-58.987259999999999</v>
      </c>
      <c r="E68" s="13">
        <v>7097483.6344005996</v>
      </c>
      <c r="F68" s="13">
        <v>-163.594843083369</v>
      </c>
      <c r="G68" s="13">
        <f t="shared" ref="G68:G131" si="22">NormalizeAzimuth(F68, TRUE)</f>
        <v>196.405156916631</v>
      </c>
      <c r="H68" s="13">
        <v>-0.548762355204228</v>
      </c>
      <c r="I68" s="13">
        <f t="shared" ref="I68:I131" si="23">NormalizeAzimuth(H68, TRUE)</f>
        <v>359.45123764479575</v>
      </c>
      <c r="J68" s="11">
        <v>7097483.6339999996</v>
      </c>
      <c r="K68" s="11">
        <v>196.405157</v>
      </c>
      <c r="L68" s="12">
        <v>179.45123799999999</v>
      </c>
      <c r="M68" s="18">
        <f t="shared" ref="M68:M131" si="24">NormalizeAzimuth(L68+180, TRUE)</f>
        <v>359.45123799999999</v>
      </c>
      <c r="N68" s="17">
        <f t="shared" si="15"/>
        <v>7097483.6343833497</v>
      </c>
      <c r="O68" s="14">
        <f t="shared" si="16"/>
        <v>2.4304327583679866E-12</v>
      </c>
      <c r="P68" s="24">
        <f t="shared" si="17"/>
        <v>1.7249956727027893E-5</v>
      </c>
      <c r="Q68" s="2">
        <f t="shared" ref="Q68:Q131" si="25">ABS((J68-N68)/J68)</f>
        <v>5.40121100109674E-11</v>
      </c>
      <c r="R68" s="19">
        <f t="shared" ref="R68:R131" si="26">ABS(J68-N68)</f>
        <v>3.8335006684064865E-4</v>
      </c>
      <c r="S68" s="16">
        <f t="shared" ref="S68:S131" si="27">VincentyInvFwdAzimuth($A68,$B68,$C68,$D68)</f>
        <v>196.40515691664916</v>
      </c>
      <c r="T68" s="23">
        <f t="shared" si="18"/>
        <v>1.8161472326028161E-11</v>
      </c>
      <c r="U68" s="22">
        <f t="shared" si="19"/>
        <v>8.3350840895946021E-8</v>
      </c>
      <c r="V68" s="16">
        <f t="shared" ref="V68:V131" si="28">VincentyInvRevAzimuth($A68,$B68,$C68,$D68)</f>
        <v>359.45123764479519</v>
      </c>
      <c r="W68" s="23">
        <f t="shared" si="20"/>
        <v>5.6843418860808015E-13</v>
      </c>
      <c r="X68" s="22">
        <f t="shared" si="21"/>
        <v>3.5520480423656409E-7</v>
      </c>
    </row>
    <row r="69" spans="1:24" x14ac:dyDescent="0.45">
      <c r="A69">
        <v>43.514180000000003</v>
      </c>
      <c r="B69">
        <v>-6.9319800000000003</v>
      </c>
      <c r="C69">
        <v>-34.248049999999999</v>
      </c>
      <c r="D69">
        <v>-108.17846</v>
      </c>
      <c r="E69" s="13">
        <v>13364872.8995921</v>
      </c>
      <c r="F69" s="13">
        <v>-109.945333961735</v>
      </c>
      <c r="G69" s="13">
        <f t="shared" si="22"/>
        <v>250.054666038265</v>
      </c>
      <c r="H69" s="13">
        <v>-124.39765308780601</v>
      </c>
      <c r="I69" s="13">
        <f t="shared" si="23"/>
        <v>235.60234691219398</v>
      </c>
      <c r="J69" s="9">
        <v>13364872.9</v>
      </c>
      <c r="K69" s="9">
        <v>250.054666</v>
      </c>
      <c r="L69" s="10">
        <v>55.602347000000002</v>
      </c>
      <c r="M69" s="18">
        <f t="shared" si="24"/>
        <v>235.60234700000001</v>
      </c>
      <c r="N69" s="17">
        <f t="shared" si="15"/>
        <v>13364872.899534322</v>
      </c>
      <c r="O69" s="14">
        <f t="shared" si="16"/>
        <v>4.323078140590356E-12</v>
      </c>
      <c r="P69" s="24">
        <f t="shared" si="17"/>
        <v>5.7777389883995056E-5</v>
      </c>
      <c r="Q69" s="2">
        <f t="shared" si="25"/>
        <v>3.4843432825618737E-11</v>
      </c>
      <c r="R69" s="19">
        <f t="shared" si="26"/>
        <v>4.6567805111408234E-4</v>
      </c>
      <c r="S69" s="16">
        <f t="shared" si="27"/>
        <v>250.05466603841933</v>
      </c>
      <c r="T69" s="23">
        <f t="shared" si="18"/>
        <v>1.5432988220709376E-10</v>
      </c>
      <c r="U69" s="22">
        <f t="shared" si="19"/>
        <v>3.8419329939642921E-8</v>
      </c>
      <c r="V69" s="16">
        <f t="shared" si="28"/>
        <v>235.60234691227566</v>
      </c>
      <c r="W69" s="23">
        <f t="shared" si="20"/>
        <v>8.1683992902981117E-11</v>
      </c>
      <c r="X69" s="22">
        <f t="shared" si="21"/>
        <v>8.7724345121387159E-8</v>
      </c>
    </row>
    <row r="70" spans="1:24" x14ac:dyDescent="0.45">
      <c r="A70">
        <v>-42.515039999999999</v>
      </c>
      <c r="B70">
        <v>163.76437000000001</v>
      </c>
      <c r="C70">
        <v>14.842280000000001</v>
      </c>
      <c r="D70">
        <v>117.39413999999999</v>
      </c>
      <c r="E70" s="13">
        <v>7924499.6142119896</v>
      </c>
      <c r="F70" s="13">
        <v>-47.732584102967898</v>
      </c>
      <c r="G70" s="13">
        <f t="shared" si="22"/>
        <v>312.26741589703209</v>
      </c>
      <c r="H70" s="13">
        <v>-34.404535837845401</v>
      </c>
      <c r="I70" s="13">
        <f t="shared" si="23"/>
        <v>325.5954641621546</v>
      </c>
      <c r="J70" s="11">
        <v>7924499.6140000001</v>
      </c>
      <c r="K70" s="11">
        <v>312.26741600000003</v>
      </c>
      <c r="L70" s="12">
        <v>145.59546399999999</v>
      </c>
      <c r="M70" s="18">
        <f t="shared" si="24"/>
        <v>325.59546399999999</v>
      </c>
      <c r="N70" s="17">
        <f t="shared" si="15"/>
        <v>7924499.6141683413</v>
      </c>
      <c r="O70" s="14">
        <f t="shared" si="16"/>
        <v>5.5080190837821128E-12</v>
      </c>
      <c r="P70" s="24">
        <f t="shared" si="17"/>
        <v>4.3648295104503632E-5</v>
      </c>
      <c r="Q70" s="2">
        <f t="shared" si="25"/>
        <v>2.1243134604640137E-11</v>
      </c>
      <c r="R70" s="19">
        <f t="shared" si="26"/>
        <v>1.6834121197462082E-4</v>
      </c>
      <c r="S70" s="16">
        <f t="shared" si="27"/>
        <v>312.2674158969686</v>
      </c>
      <c r="T70" s="23">
        <f t="shared" si="18"/>
        <v>6.3494098867522553E-11</v>
      </c>
      <c r="U70" s="22">
        <f t="shared" si="19"/>
        <v>1.0303142516931985E-7</v>
      </c>
      <c r="V70" s="16">
        <f t="shared" si="28"/>
        <v>325.59546416211498</v>
      </c>
      <c r="W70" s="23">
        <f t="shared" si="20"/>
        <v>3.9619862945983186E-11</v>
      </c>
      <c r="X70" s="22">
        <f t="shared" si="21"/>
        <v>1.6211498632401344E-7</v>
      </c>
    </row>
    <row r="71" spans="1:24" x14ac:dyDescent="0.45">
      <c r="A71">
        <v>53.735129999999998</v>
      </c>
      <c r="B71">
        <v>-89.043620000000004</v>
      </c>
      <c r="C71">
        <v>67.825360000000003</v>
      </c>
      <c r="D71">
        <v>-152.99635000000001</v>
      </c>
      <c r="E71" s="13">
        <v>3610421.0933511299</v>
      </c>
      <c r="F71" s="13">
        <v>-39.340212603200797</v>
      </c>
      <c r="G71" s="13">
        <f t="shared" si="22"/>
        <v>320.65978739679917</v>
      </c>
      <c r="H71" s="13">
        <v>-96.875939144400405</v>
      </c>
      <c r="I71" s="13">
        <f t="shared" si="23"/>
        <v>263.12406085559962</v>
      </c>
      <c r="J71" s="9">
        <v>3610421.0929999999</v>
      </c>
      <c r="K71" s="9">
        <v>320.65978699999999</v>
      </c>
      <c r="L71" s="10">
        <v>83.124060999999998</v>
      </c>
      <c r="M71" s="18">
        <f t="shared" si="24"/>
        <v>263.12406099999998</v>
      </c>
      <c r="N71" s="17">
        <f t="shared" si="15"/>
        <v>3610421.0933479168</v>
      </c>
      <c r="O71" s="14">
        <f t="shared" si="16"/>
        <v>8.8994131137237844E-13</v>
      </c>
      <c r="P71" s="24">
        <f t="shared" si="17"/>
        <v>3.2130628824234009E-6</v>
      </c>
      <c r="Q71" s="2">
        <f t="shared" si="25"/>
        <v>9.6364650882796114E-11</v>
      </c>
      <c r="R71" s="19">
        <f t="shared" si="26"/>
        <v>3.4791696816682816E-4</v>
      </c>
      <c r="S71" s="16">
        <f t="shared" si="27"/>
        <v>320.65978739680418</v>
      </c>
      <c r="T71" s="23">
        <f t="shared" si="18"/>
        <v>5.0022208597511053E-12</v>
      </c>
      <c r="U71" s="22">
        <f t="shared" si="19"/>
        <v>3.9680418240095605E-7</v>
      </c>
      <c r="V71" s="16">
        <f t="shared" si="28"/>
        <v>263.12406085554824</v>
      </c>
      <c r="W71" s="23">
        <f t="shared" si="20"/>
        <v>5.1386450650170445E-11</v>
      </c>
      <c r="X71" s="22">
        <f t="shared" si="21"/>
        <v>1.4445174656430027E-7</v>
      </c>
    </row>
    <row r="72" spans="1:24" x14ac:dyDescent="0.45">
      <c r="A72">
        <v>33.103380000000001</v>
      </c>
      <c r="B72">
        <v>50.5702</v>
      </c>
      <c r="C72">
        <v>26.746690000000001</v>
      </c>
      <c r="D72">
        <v>114.93257</v>
      </c>
      <c r="E72" s="13">
        <v>6159231.5668900302</v>
      </c>
      <c r="F72" s="13">
        <v>78.312659144653395</v>
      </c>
      <c r="G72" s="13">
        <f t="shared" si="22"/>
        <v>78.312659144653395</v>
      </c>
      <c r="H72" s="13">
        <v>113.23414619277</v>
      </c>
      <c r="I72" s="13">
        <f t="shared" si="23"/>
        <v>113.23414619277</v>
      </c>
      <c r="J72" s="11">
        <v>6159231.5669999998</v>
      </c>
      <c r="K72" s="11">
        <v>78.312658999999996</v>
      </c>
      <c r="L72" s="12">
        <v>293.23414600000001</v>
      </c>
      <c r="M72" s="18">
        <f t="shared" si="24"/>
        <v>113.23414600000001</v>
      </c>
      <c r="N72" s="17">
        <f t="shared" si="15"/>
        <v>6159231.566899064</v>
      </c>
      <c r="O72" s="14">
        <f t="shared" si="16"/>
        <v>1.4667136436845443E-12</v>
      </c>
      <c r="P72" s="24">
        <f t="shared" si="17"/>
        <v>9.0338289737701416E-6</v>
      </c>
      <c r="Q72" s="2">
        <f t="shared" si="25"/>
        <v>1.638772762742774E-11</v>
      </c>
      <c r="R72" s="19">
        <f t="shared" si="26"/>
        <v>1.0093580931425095E-4</v>
      </c>
      <c r="S72" s="16">
        <f t="shared" si="27"/>
        <v>78.31265914446594</v>
      </c>
      <c r="T72" s="23">
        <f t="shared" si="18"/>
        <v>1.8745538454822963E-10</v>
      </c>
      <c r="U72" s="22">
        <f t="shared" si="19"/>
        <v>1.4446594320816075E-7</v>
      </c>
      <c r="V72" s="16">
        <f t="shared" si="28"/>
        <v>113.23414619286058</v>
      </c>
      <c r="W72" s="23">
        <f t="shared" si="20"/>
        <v>9.0579987954697572E-11</v>
      </c>
      <c r="X72" s="22">
        <f t="shared" si="21"/>
        <v>1.92860568404285E-7</v>
      </c>
    </row>
    <row r="73" spans="1:24" x14ac:dyDescent="0.45">
      <c r="A73">
        <v>-43.663649999999997</v>
      </c>
      <c r="B73">
        <v>132.49026000000001</v>
      </c>
      <c r="C73">
        <v>46.378810000000001</v>
      </c>
      <c r="D73">
        <v>168.42697999999999</v>
      </c>
      <c r="E73" s="13">
        <v>10584894.541978201</v>
      </c>
      <c r="F73" s="13">
        <v>24.0981030070771</v>
      </c>
      <c r="G73" s="13">
        <f t="shared" si="22"/>
        <v>24.0981030070771</v>
      </c>
      <c r="H73" s="13">
        <v>25.3450946552685</v>
      </c>
      <c r="I73" s="13">
        <f t="shared" si="23"/>
        <v>25.3450946552685</v>
      </c>
      <c r="J73" s="9">
        <v>10584894.541999999</v>
      </c>
      <c r="K73" s="9">
        <v>24.098102999999998</v>
      </c>
      <c r="L73" s="10">
        <v>205.34509499999999</v>
      </c>
      <c r="M73" s="18">
        <f t="shared" si="24"/>
        <v>25.345095000000015</v>
      </c>
      <c r="N73" s="17">
        <f t="shared" si="15"/>
        <v>10584894.541920075</v>
      </c>
      <c r="O73" s="14">
        <f t="shared" si="16"/>
        <v>5.4913824881658374E-12</v>
      </c>
      <c r="P73" s="24">
        <f t="shared" si="17"/>
        <v>5.8125704526901245E-5</v>
      </c>
      <c r="Q73" s="2">
        <f t="shared" si="25"/>
        <v>7.5507829002186329E-12</v>
      </c>
      <c r="R73" s="19">
        <f t="shared" si="26"/>
        <v>7.9924240708351135E-5</v>
      </c>
      <c r="S73" s="16">
        <f t="shared" si="27"/>
        <v>24.098103007117977</v>
      </c>
      <c r="T73" s="23">
        <f t="shared" si="18"/>
        <v>4.0877523588278564E-11</v>
      </c>
      <c r="U73" s="22">
        <f t="shared" si="19"/>
        <v>7.117979095028204E-9</v>
      </c>
      <c r="V73" s="16">
        <f t="shared" si="28"/>
        <v>25.34509465531179</v>
      </c>
      <c r="W73" s="23">
        <f t="shared" si="20"/>
        <v>4.3289816176184104E-11</v>
      </c>
      <c r="X73" s="22">
        <f t="shared" si="21"/>
        <v>3.4468822462940807E-7</v>
      </c>
    </row>
    <row r="74" spans="1:24" x14ac:dyDescent="0.45">
      <c r="A74">
        <v>-83.630170000000007</v>
      </c>
      <c r="B74">
        <v>15.75479</v>
      </c>
      <c r="C74">
        <v>-89.423559999999995</v>
      </c>
      <c r="D74">
        <v>-12.167199999999999</v>
      </c>
      <c r="E74" s="13">
        <v>655243.68049479497</v>
      </c>
      <c r="F74" s="13">
        <v>-177.35817172800699</v>
      </c>
      <c r="G74" s="13">
        <f t="shared" si="22"/>
        <v>182.64182827199301</v>
      </c>
      <c r="H74" s="13">
        <v>-149.45119804733801</v>
      </c>
      <c r="I74" s="13">
        <f t="shared" si="23"/>
        <v>210.54880195266199</v>
      </c>
      <c r="J74" s="11">
        <v>655243.68000000005</v>
      </c>
      <c r="K74" s="11">
        <v>182.641828</v>
      </c>
      <c r="L74" s="12">
        <v>30.548801999999998</v>
      </c>
      <c r="M74" s="18">
        <f t="shared" si="24"/>
        <v>210.54880199999999</v>
      </c>
      <c r="N74" s="17">
        <f t="shared" si="15"/>
        <v>655243.68049509695</v>
      </c>
      <c r="O74" s="14">
        <f t="shared" si="16"/>
        <v>4.6086876349731964E-13</v>
      </c>
      <c r="P74" s="24">
        <f t="shared" si="17"/>
        <v>3.0198134481906891E-7</v>
      </c>
      <c r="Q74" s="2">
        <f t="shared" si="25"/>
        <v>7.5559202865059258E-10</v>
      </c>
      <c r="R74" s="19">
        <f t="shared" si="26"/>
        <v>4.9509690143167973E-4</v>
      </c>
      <c r="S74" s="16">
        <f t="shared" si="27"/>
        <v>182.6418282719936</v>
      </c>
      <c r="T74" s="23">
        <f t="shared" si="18"/>
        <v>5.9685589803848416E-13</v>
      </c>
      <c r="U74" s="22">
        <f t="shared" si="19"/>
        <v>2.7199359919904964E-7</v>
      </c>
      <c r="V74" s="16">
        <f t="shared" si="28"/>
        <v>210.54880195266287</v>
      </c>
      <c r="W74" s="23">
        <f t="shared" si="20"/>
        <v>8.8107299234252423E-13</v>
      </c>
      <c r="X74" s="22">
        <f t="shared" si="21"/>
        <v>4.7337124442492495E-8</v>
      </c>
    </row>
    <row r="75" spans="1:24" x14ac:dyDescent="0.45">
      <c r="A75">
        <v>52.384459999999997</v>
      </c>
      <c r="B75">
        <v>175.12577999999999</v>
      </c>
      <c r="C75">
        <v>51.062179999999998</v>
      </c>
      <c r="D75">
        <v>133.12858</v>
      </c>
      <c r="E75" s="13">
        <v>2864739.0899358802</v>
      </c>
      <c r="F75" s="13">
        <v>-76.000582294052293</v>
      </c>
      <c r="G75" s="13">
        <f t="shared" si="22"/>
        <v>283.99941770594774</v>
      </c>
      <c r="H75" s="13">
        <v>-109.541535640329</v>
      </c>
      <c r="I75" s="13">
        <f t="shared" si="23"/>
        <v>250.45846435967098</v>
      </c>
      <c r="J75" s="9">
        <v>2864739.09</v>
      </c>
      <c r="K75" s="9">
        <v>283.99941799999999</v>
      </c>
      <c r="L75" s="10">
        <v>70.458464000000006</v>
      </c>
      <c r="M75" s="18">
        <f t="shared" si="24"/>
        <v>250.45846399999999</v>
      </c>
      <c r="N75" s="17">
        <f t="shared" si="15"/>
        <v>2864739.0899375491</v>
      </c>
      <c r="O75" s="14">
        <f t="shared" si="16"/>
        <v>5.8257663309515985E-13</v>
      </c>
      <c r="P75" s="24">
        <f t="shared" si="17"/>
        <v>1.6689300537109375E-6</v>
      </c>
      <c r="Q75" s="2">
        <f t="shared" si="25"/>
        <v>2.1799809546849702E-11</v>
      </c>
      <c r="R75" s="19">
        <f t="shared" si="26"/>
        <v>6.2450766563415527E-5</v>
      </c>
      <c r="S75" s="16">
        <f t="shared" si="27"/>
        <v>283.99941770601259</v>
      </c>
      <c r="T75" s="23">
        <f t="shared" si="18"/>
        <v>6.4858340920181945E-11</v>
      </c>
      <c r="U75" s="22">
        <f t="shared" si="19"/>
        <v>2.9398739798125462E-7</v>
      </c>
      <c r="V75" s="16">
        <f t="shared" si="28"/>
        <v>250.45846435962508</v>
      </c>
      <c r="W75" s="23">
        <f t="shared" si="20"/>
        <v>4.5901060730102472E-11</v>
      </c>
      <c r="X75" s="22">
        <f t="shared" si="21"/>
        <v>3.5962509059572767E-7</v>
      </c>
    </row>
    <row r="76" spans="1:24" x14ac:dyDescent="0.45">
      <c r="A76">
        <v>80.156049999999993</v>
      </c>
      <c r="B76">
        <v>20.961569999999998</v>
      </c>
      <c r="C76">
        <v>18.229130000000001</v>
      </c>
      <c r="D76">
        <v>6.37317</v>
      </c>
      <c r="E76" s="13">
        <v>6924158.0895025702</v>
      </c>
      <c r="F76" s="13">
        <v>-164.307067555515</v>
      </c>
      <c r="G76" s="13">
        <f t="shared" si="22"/>
        <v>195.692932444485</v>
      </c>
      <c r="H76" s="13">
        <v>-177.20116946418901</v>
      </c>
      <c r="I76" s="13">
        <f t="shared" si="23"/>
        <v>182.79883053581099</v>
      </c>
      <c r="J76" s="11">
        <v>6924158.0889999997</v>
      </c>
      <c r="K76" s="11">
        <v>195.69293200000001</v>
      </c>
      <c r="L76" s="12">
        <v>2.7988309999999998</v>
      </c>
      <c r="M76" s="18">
        <f t="shared" si="24"/>
        <v>182.79883100000001</v>
      </c>
      <c r="N76" s="17">
        <f t="shared" si="15"/>
        <v>6924158.0894780327</v>
      </c>
      <c r="O76" s="14">
        <f t="shared" si="16"/>
        <v>3.543760202499476E-12</v>
      </c>
      <c r="P76" s="24">
        <f t="shared" si="17"/>
        <v>2.4537555873394012E-5</v>
      </c>
      <c r="Q76" s="2">
        <f t="shared" si="25"/>
        <v>6.9038426079316989E-11</v>
      </c>
      <c r="R76" s="19">
        <f t="shared" si="26"/>
        <v>4.7803297638893127E-4</v>
      </c>
      <c r="S76" s="16">
        <f t="shared" si="27"/>
        <v>195.69293244449304</v>
      </c>
      <c r="T76" s="23">
        <f t="shared" si="18"/>
        <v>8.0433437688043341E-12</v>
      </c>
      <c r="U76" s="22">
        <f t="shared" si="19"/>
        <v>4.444930254976498E-7</v>
      </c>
      <c r="V76" s="16">
        <f t="shared" si="28"/>
        <v>182.7988305358123</v>
      </c>
      <c r="W76" s="23">
        <f t="shared" si="20"/>
        <v>1.3073986337985843E-12</v>
      </c>
      <c r="X76" s="22">
        <f t="shared" si="21"/>
        <v>4.641877069389011E-7</v>
      </c>
    </row>
    <row r="77" spans="1:24" x14ac:dyDescent="0.45">
      <c r="A77">
        <v>45.804580000000001</v>
      </c>
      <c r="B77">
        <v>-59.000880000000002</v>
      </c>
      <c r="C77">
        <v>85.703500000000005</v>
      </c>
      <c r="D77">
        <v>22.088180000000001</v>
      </c>
      <c r="E77" s="13">
        <v>4871626.5673586903</v>
      </c>
      <c r="F77" s="13">
        <v>6.1606160520073097</v>
      </c>
      <c r="G77" s="13">
        <f t="shared" si="22"/>
        <v>6.1606160520073097</v>
      </c>
      <c r="H77" s="13">
        <v>85.530710625348405</v>
      </c>
      <c r="I77" s="13">
        <f t="shared" si="23"/>
        <v>85.530710625348405</v>
      </c>
      <c r="J77" s="9">
        <v>4871626.5669999998</v>
      </c>
      <c r="K77" s="9">
        <v>6.1606160000000001</v>
      </c>
      <c r="L77" s="10">
        <v>265.530711</v>
      </c>
      <c r="M77" s="18">
        <f t="shared" si="24"/>
        <v>85.530710999999997</v>
      </c>
      <c r="N77" s="17">
        <f t="shared" si="15"/>
        <v>4871626.5673506204</v>
      </c>
      <c r="O77" s="14">
        <f t="shared" si="16"/>
        <v>1.6565124599479479E-12</v>
      </c>
      <c r="P77" s="24">
        <f t="shared" si="17"/>
        <v>8.0699101090431213E-6</v>
      </c>
      <c r="Q77" s="2">
        <f t="shared" si="25"/>
        <v>7.1971977486125925E-11</v>
      </c>
      <c r="R77" s="19">
        <f t="shared" si="26"/>
        <v>3.5062059760093689E-4</v>
      </c>
      <c r="S77" s="16">
        <f t="shared" si="27"/>
        <v>6.1606160520074242</v>
      </c>
      <c r="T77" s="23">
        <f t="shared" si="18"/>
        <v>1.1457501614131615E-13</v>
      </c>
      <c r="U77" s="22">
        <f t="shared" si="19"/>
        <v>5.2007424145017467E-8</v>
      </c>
      <c r="V77" s="16">
        <f t="shared" si="28"/>
        <v>85.53071062534687</v>
      </c>
      <c r="W77" s="23">
        <f t="shared" si="20"/>
        <v>1.5347723092418164E-12</v>
      </c>
      <c r="X77" s="22">
        <f t="shared" si="21"/>
        <v>3.7465312630047265E-7</v>
      </c>
    </row>
    <row r="78" spans="1:24" x14ac:dyDescent="0.45">
      <c r="A78">
        <v>56.180599999999998</v>
      </c>
      <c r="B78">
        <v>79.643960000000007</v>
      </c>
      <c r="C78">
        <v>-61.49727</v>
      </c>
      <c r="D78">
        <v>-72.038340000000005</v>
      </c>
      <c r="E78" s="13">
        <v>18288955.126983501</v>
      </c>
      <c r="F78" s="13">
        <v>-121.789345214335</v>
      </c>
      <c r="G78" s="13">
        <f t="shared" si="22"/>
        <v>238.21065478566499</v>
      </c>
      <c r="H78" s="13">
        <v>-82.351108331329797</v>
      </c>
      <c r="I78" s="13">
        <f t="shared" si="23"/>
        <v>277.64889166867022</v>
      </c>
      <c r="J78" s="11">
        <v>18288955.127</v>
      </c>
      <c r="K78" s="11">
        <v>238.210655</v>
      </c>
      <c r="L78" s="12">
        <v>97.648892000000004</v>
      </c>
      <c r="M78" s="18">
        <f t="shared" si="24"/>
        <v>277.64889199999999</v>
      </c>
      <c r="N78" s="17">
        <f t="shared" si="15"/>
        <v>18288955.12691465</v>
      </c>
      <c r="O78" s="14">
        <f t="shared" si="16"/>
        <v>3.7646117461675372E-12</v>
      </c>
      <c r="P78" s="24">
        <f t="shared" si="17"/>
        <v>6.8850815296173096E-5</v>
      </c>
      <c r="Q78" s="2">
        <f t="shared" si="25"/>
        <v>4.6667579112848521E-12</v>
      </c>
      <c r="R78" s="19">
        <f t="shared" si="26"/>
        <v>8.5350126028060913E-5</v>
      </c>
      <c r="S78" s="16">
        <f t="shared" si="27"/>
        <v>238.21065478559504</v>
      </c>
      <c r="T78" s="23">
        <f t="shared" si="18"/>
        <v>6.9945826908224262E-11</v>
      </c>
      <c r="U78" s="22">
        <f t="shared" si="19"/>
        <v>2.1440496311697643E-7</v>
      </c>
      <c r="V78" s="16">
        <f t="shared" si="28"/>
        <v>277.64889166899195</v>
      </c>
      <c r="W78" s="23">
        <f t="shared" si="20"/>
        <v>3.2173375075217336E-10</v>
      </c>
      <c r="X78" s="22">
        <f t="shared" si="21"/>
        <v>3.310080387564085E-7</v>
      </c>
    </row>
    <row r="79" spans="1:24" x14ac:dyDescent="0.45">
      <c r="A79">
        <v>47.967190000000002</v>
      </c>
      <c r="B79">
        <v>-62.155740000000002</v>
      </c>
      <c r="C79">
        <v>82.888900000000007</v>
      </c>
      <c r="D79">
        <v>69.656450000000007</v>
      </c>
      <c r="E79" s="13">
        <v>5243855.96425399</v>
      </c>
      <c r="F79" s="13">
        <v>7.2549717919675203</v>
      </c>
      <c r="G79" s="13">
        <f t="shared" si="22"/>
        <v>7.2549717919675203</v>
      </c>
      <c r="H79" s="13">
        <v>136.99701410497599</v>
      </c>
      <c r="I79" s="13">
        <f t="shared" si="23"/>
        <v>136.99701410497599</v>
      </c>
      <c r="J79" s="9">
        <v>5243855.9639999997</v>
      </c>
      <c r="K79" s="9">
        <v>7.2549720000000004</v>
      </c>
      <c r="L79" s="10">
        <v>316.99701399999998</v>
      </c>
      <c r="M79" s="18">
        <f t="shared" si="24"/>
        <v>136.99701399999998</v>
      </c>
      <c r="N79" s="17">
        <f t="shared" si="15"/>
        <v>5243855.9642471438</v>
      </c>
      <c r="O79" s="14">
        <f t="shared" si="16"/>
        <v>1.3055568826960221E-12</v>
      </c>
      <c r="P79" s="24">
        <f t="shared" si="17"/>
        <v>6.8461522459983826E-6</v>
      </c>
      <c r="Q79" s="2">
        <f t="shared" si="25"/>
        <v>4.7130230502100596E-11</v>
      </c>
      <c r="R79" s="19">
        <f t="shared" si="26"/>
        <v>2.4714414030313492E-4</v>
      </c>
      <c r="S79" s="16">
        <f t="shared" si="27"/>
        <v>7.2549717919657928</v>
      </c>
      <c r="T79" s="23">
        <f t="shared" si="18"/>
        <v>1.7275070263167436E-12</v>
      </c>
      <c r="U79" s="22">
        <f t="shared" si="19"/>
        <v>2.0803420763826352E-7</v>
      </c>
      <c r="V79" s="16">
        <f t="shared" si="28"/>
        <v>136.99701410498903</v>
      </c>
      <c r="W79" s="23">
        <f t="shared" si="20"/>
        <v>1.3045564628555439E-11</v>
      </c>
      <c r="X79" s="22">
        <f t="shared" si="21"/>
        <v>1.0498905567146721E-7</v>
      </c>
    </row>
    <row r="80" spans="1:24" x14ac:dyDescent="0.45">
      <c r="A80">
        <v>-24.099620000000002</v>
      </c>
      <c r="B80">
        <v>141.74152000000001</v>
      </c>
      <c r="C80">
        <v>-67.926839999999999</v>
      </c>
      <c r="D80">
        <v>-95.958380000000005</v>
      </c>
      <c r="E80" s="13">
        <v>8771186.4161026608</v>
      </c>
      <c r="F80" s="13">
        <v>161.07259321814499</v>
      </c>
      <c r="G80" s="13">
        <f t="shared" si="22"/>
        <v>161.07259321814499</v>
      </c>
      <c r="H80" s="13">
        <v>51.822705546526997</v>
      </c>
      <c r="I80" s="13">
        <f t="shared" si="23"/>
        <v>51.822705546526997</v>
      </c>
      <c r="J80" s="11">
        <v>8771186.4159999993</v>
      </c>
      <c r="K80" s="11">
        <v>161.07259300000001</v>
      </c>
      <c r="L80" s="12">
        <v>231.82270600000001</v>
      </c>
      <c r="M80" s="18">
        <f t="shared" si="24"/>
        <v>51.822706000000039</v>
      </c>
      <c r="N80" s="17">
        <f t="shared" si="15"/>
        <v>8771186.4160845745</v>
      </c>
      <c r="O80" s="14">
        <f t="shared" si="16"/>
        <v>2.0620111739762738E-12</v>
      </c>
      <c r="P80" s="24">
        <f t="shared" si="17"/>
        <v>1.8086284399032593E-5</v>
      </c>
      <c r="Q80" s="2">
        <f t="shared" si="25"/>
        <v>9.6423974630960393E-12</v>
      </c>
      <c r="R80" s="19">
        <f t="shared" si="26"/>
        <v>8.4575265645980835E-5</v>
      </c>
      <c r="S80" s="16">
        <f t="shared" si="27"/>
        <v>161.07259321817423</v>
      </c>
      <c r="T80" s="23">
        <f t="shared" si="18"/>
        <v>2.9245939003885724E-11</v>
      </c>
      <c r="U80" s="22">
        <f t="shared" si="19"/>
        <v>2.1817422179992718E-7</v>
      </c>
      <c r="V80" s="16">
        <f t="shared" si="28"/>
        <v>51.822705546416806</v>
      </c>
      <c r="W80" s="23">
        <f t="shared" si="20"/>
        <v>1.1019096746167634E-10</v>
      </c>
      <c r="X80" s="22">
        <f t="shared" si="21"/>
        <v>4.5358323319533156E-7</v>
      </c>
    </row>
    <row r="81" spans="1:24" x14ac:dyDescent="0.45">
      <c r="A81">
        <v>9.0889999999999999E-2</v>
      </c>
      <c r="B81">
        <v>-41.97739</v>
      </c>
      <c r="C81">
        <v>83.372619999999998</v>
      </c>
      <c r="D81">
        <v>61.270099999999999</v>
      </c>
      <c r="E81" s="13">
        <v>10161458.526116701</v>
      </c>
      <c r="F81" s="13">
        <v>6.4728754219795999</v>
      </c>
      <c r="G81" s="13">
        <f t="shared" si="22"/>
        <v>6.4728754219795999</v>
      </c>
      <c r="H81" s="13">
        <v>103.206025885394</v>
      </c>
      <c r="I81" s="13">
        <f t="shared" si="23"/>
        <v>103.206025885394</v>
      </c>
      <c r="J81" s="9">
        <v>10161458.526000001</v>
      </c>
      <c r="K81" s="9">
        <v>6.4728750000000002</v>
      </c>
      <c r="L81" s="10">
        <v>283.20602600000001</v>
      </c>
      <c r="M81" s="18">
        <f t="shared" si="24"/>
        <v>103.20602600000001</v>
      </c>
      <c r="N81" s="17">
        <f t="shared" si="15"/>
        <v>10161458.52608045</v>
      </c>
      <c r="O81" s="14">
        <f t="shared" si="16"/>
        <v>3.567479983425812E-12</v>
      </c>
      <c r="P81" s="24">
        <f t="shared" si="17"/>
        <v>3.6250799894332886E-5</v>
      </c>
      <c r="Q81" s="2">
        <f t="shared" si="25"/>
        <v>7.9171219795454645E-12</v>
      </c>
      <c r="R81" s="19">
        <f t="shared" si="26"/>
        <v>8.0449506640434265E-5</v>
      </c>
      <c r="S81" s="16">
        <f t="shared" si="27"/>
        <v>6.4728754219788565</v>
      </c>
      <c r="T81" s="23">
        <f t="shared" si="18"/>
        <v>7.4340533728900482E-13</v>
      </c>
      <c r="U81" s="22">
        <f t="shared" si="19"/>
        <v>4.2197885630201881E-7</v>
      </c>
      <c r="V81" s="16">
        <f t="shared" si="28"/>
        <v>103.20602588542503</v>
      </c>
      <c r="W81" s="23">
        <f t="shared" si="20"/>
        <v>3.1036506698001176E-11</v>
      </c>
      <c r="X81" s="22">
        <f t="shared" si="21"/>
        <v>1.1457497350875201E-7</v>
      </c>
    </row>
    <row r="82" spans="1:24" x14ac:dyDescent="0.45">
      <c r="A82">
        <v>-73.711309999999997</v>
      </c>
      <c r="B82">
        <v>22.66018</v>
      </c>
      <c r="C82">
        <v>-46.219499999999996</v>
      </c>
      <c r="D82">
        <v>5.2844899999999999</v>
      </c>
      <c r="E82" s="13">
        <v>3183285.9839629699</v>
      </c>
      <c r="F82" s="13">
        <v>-25.619661107647499</v>
      </c>
      <c r="G82" s="13">
        <f t="shared" si="22"/>
        <v>334.38033889235248</v>
      </c>
      <c r="H82" s="13">
        <v>-10.1087905026248</v>
      </c>
      <c r="I82" s="13">
        <f t="shared" si="23"/>
        <v>349.8912094973752</v>
      </c>
      <c r="J82" s="11">
        <v>3183285.9840000002</v>
      </c>
      <c r="K82" s="11">
        <v>334.38033899999999</v>
      </c>
      <c r="L82" s="12">
        <v>169.891209</v>
      </c>
      <c r="M82" s="18">
        <f t="shared" si="24"/>
        <v>349.891209</v>
      </c>
      <c r="N82" s="17">
        <f t="shared" si="15"/>
        <v>3183285.9839552343</v>
      </c>
      <c r="O82" s="14">
        <f t="shared" si="16"/>
        <v>2.4300566596049041E-12</v>
      </c>
      <c r="P82" s="24">
        <f t="shared" si="17"/>
        <v>7.7355653047561646E-6</v>
      </c>
      <c r="Q82" s="2">
        <f t="shared" si="25"/>
        <v>1.4062789965792216E-11</v>
      </c>
      <c r="R82" s="19">
        <f t="shared" si="26"/>
        <v>4.4765882194042206E-5</v>
      </c>
      <c r="S82" s="16">
        <f t="shared" si="27"/>
        <v>334.38033889234441</v>
      </c>
      <c r="T82" s="23">
        <f t="shared" si="18"/>
        <v>8.0717654782347381E-12</v>
      </c>
      <c r="U82" s="22">
        <f t="shared" si="19"/>
        <v>1.0765558045022772E-7</v>
      </c>
      <c r="V82" s="16">
        <f t="shared" si="28"/>
        <v>349.89120949737213</v>
      </c>
      <c r="W82" s="23">
        <f t="shared" si="20"/>
        <v>3.0695446184836328E-12</v>
      </c>
      <c r="X82" s="22">
        <f t="shared" si="21"/>
        <v>4.973721274836862E-7</v>
      </c>
    </row>
    <row r="83" spans="1:24" x14ac:dyDescent="0.45">
      <c r="A83">
        <v>-22.004090000000001</v>
      </c>
      <c r="B83">
        <v>-44.460140000000003</v>
      </c>
      <c r="C83">
        <v>29.549019999999999</v>
      </c>
      <c r="D83">
        <v>118.34869</v>
      </c>
      <c r="E83" s="13">
        <v>18112446.3237142</v>
      </c>
      <c r="F83" s="13">
        <v>60.0079786106539</v>
      </c>
      <c r="G83" s="13">
        <f t="shared" si="22"/>
        <v>60.0079786106539</v>
      </c>
      <c r="H83" s="13">
        <v>112.668896542382</v>
      </c>
      <c r="I83" s="13">
        <f t="shared" si="23"/>
        <v>112.668896542382</v>
      </c>
      <c r="J83" s="9">
        <v>18112446.324000001</v>
      </c>
      <c r="K83" s="9">
        <v>60.007978999999999</v>
      </c>
      <c r="L83" s="10">
        <v>292.66889700000002</v>
      </c>
      <c r="M83" s="18">
        <f t="shared" si="24"/>
        <v>112.66889700000002</v>
      </c>
      <c r="N83" s="17">
        <f t="shared" si="15"/>
        <v>18112446.323670369</v>
      </c>
      <c r="O83" s="14">
        <f t="shared" si="16"/>
        <v>2.4199804304907714E-12</v>
      </c>
      <c r="P83" s="24">
        <f t="shared" si="17"/>
        <v>4.3831765651702881E-5</v>
      </c>
      <c r="Q83" s="2">
        <f t="shared" si="25"/>
        <v>1.8199215399336823E-11</v>
      </c>
      <c r="R83" s="19">
        <f t="shared" si="26"/>
        <v>3.2963231205940247E-4</v>
      </c>
      <c r="S83" s="16">
        <f t="shared" si="27"/>
        <v>60.007978609851293</v>
      </c>
      <c r="T83" s="23">
        <f t="shared" si="18"/>
        <v>8.0260775803253637E-10</v>
      </c>
      <c r="U83" s="22">
        <f t="shared" si="19"/>
        <v>3.9014870623077513E-7</v>
      </c>
      <c r="V83" s="16">
        <f t="shared" si="28"/>
        <v>112.66889654349133</v>
      </c>
      <c r="W83" s="23">
        <f t="shared" si="20"/>
        <v>1.1093277407780988E-9</v>
      </c>
      <c r="X83" s="22">
        <f t="shared" si="21"/>
        <v>4.565086868524304E-7</v>
      </c>
    </row>
    <row r="84" spans="1:24" x14ac:dyDescent="0.45">
      <c r="A84">
        <v>51.163550000000001</v>
      </c>
      <c r="B84">
        <v>160.15751</v>
      </c>
      <c r="C84">
        <v>-16.799499999999998</v>
      </c>
      <c r="D84">
        <v>-174.80132</v>
      </c>
      <c r="E84" s="13">
        <v>7914420.6538154399</v>
      </c>
      <c r="F84" s="13">
        <v>154.59866990049099</v>
      </c>
      <c r="G84" s="13">
        <f t="shared" si="22"/>
        <v>154.59866990049099</v>
      </c>
      <c r="H84" s="13">
        <v>163.65121073214601</v>
      </c>
      <c r="I84" s="13">
        <f t="shared" si="23"/>
        <v>163.65121073214601</v>
      </c>
      <c r="J84" s="11">
        <v>7914420.6540000001</v>
      </c>
      <c r="K84" s="11">
        <v>154.59867</v>
      </c>
      <c r="L84" s="12">
        <v>343.65121099999999</v>
      </c>
      <c r="M84" s="18">
        <f t="shared" si="24"/>
        <v>163.65121099999999</v>
      </c>
      <c r="N84" s="17">
        <f t="shared" si="15"/>
        <v>7914420.6537720682</v>
      </c>
      <c r="O84" s="14">
        <f t="shared" si="16"/>
        <v>5.4800842913162445E-12</v>
      </c>
      <c r="P84" s="24">
        <f t="shared" si="17"/>
        <v>4.3371692299842834E-5</v>
      </c>
      <c r="Q84" s="2">
        <f t="shared" si="25"/>
        <v>2.8799566876217774E-11</v>
      </c>
      <c r="R84" s="19">
        <f t="shared" si="26"/>
        <v>2.2793188691139221E-4</v>
      </c>
      <c r="S84" s="16">
        <f t="shared" si="27"/>
        <v>154.59866990045887</v>
      </c>
      <c r="T84" s="23">
        <f t="shared" si="18"/>
        <v>3.2116531656356528E-11</v>
      </c>
      <c r="U84" s="22">
        <f t="shared" si="19"/>
        <v>9.9541125564428512E-8</v>
      </c>
      <c r="V84" s="16">
        <f t="shared" si="28"/>
        <v>163.65121073212586</v>
      </c>
      <c r="W84" s="23">
        <f t="shared" si="20"/>
        <v>2.0150991986156441E-11</v>
      </c>
      <c r="X84" s="22">
        <f t="shared" si="21"/>
        <v>2.6787412821249745E-7</v>
      </c>
    </row>
    <row r="85" spans="1:24" x14ac:dyDescent="0.45">
      <c r="A85">
        <v>-20.334299999999999</v>
      </c>
      <c r="B85">
        <v>-128.91397000000001</v>
      </c>
      <c r="C85">
        <v>-78.716210000000004</v>
      </c>
      <c r="D85">
        <v>33.715420000000002</v>
      </c>
      <c r="E85" s="13">
        <v>8958543.5518247802</v>
      </c>
      <c r="F85" s="13">
        <v>176.596898175657</v>
      </c>
      <c r="G85" s="13">
        <f t="shared" si="22"/>
        <v>176.596898175657</v>
      </c>
      <c r="H85" s="13">
        <v>16.478989154711599</v>
      </c>
      <c r="I85" s="13">
        <f t="shared" si="23"/>
        <v>16.478989154711599</v>
      </c>
      <c r="J85" s="9">
        <v>8958543.5519999992</v>
      </c>
      <c r="K85" s="9">
        <v>176.59689800000001</v>
      </c>
      <c r="L85" s="10">
        <v>196.47898900000001</v>
      </c>
      <c r="M85" s="18">
        <f t="shared" si="24"/>
        <v>16.478989000000013</v>
      </c>
      <c r="N85" s="17">
        <f t="shared" si="15"/>
        <v>8958543.5518025123</v>
      </c>
      <c r="O85" s="14">
        <f t="shared" si="16"/>
        <v>2.4856632811167506E-12</v>
      </c>
      <c r="P85" s="24">
        <f t="shared" si="17"/>
        <v>2.2267922759056091E-5</v>
      </c>
      <c r="Q85" s="2">
        <f t="shared" si="25"/>
        <v>2.2044537798013291E-11</v>
      </c>
      <c r="R85" s="19">
        <f t="shared" si="26"/>
        <v>1.9748695194721222E-4</v>
      </c>
      <c r="S85" s="16">
        <f t="shared" si="27"/>
        <v>176.59689817566209</v>
      </c>
      <c r="T85" s="23">
        <f t="shared" si="18"/>
        <v>5.0874859880423173E-12</v>
      </c>
      <c r="U85" s="22">
        <f t="shared" si="19"/>
        <v>1.7566208043717779E-7</v>
      </c>
      <c r="V85" s="16">
        <f t="shared" si="28"/>
        <v>16.478989154686271</v>
      </c>
      <c r="W85" s="23">
        <f t="shared" si="20"/>
        <v>2.5327295816168771E-11</v>
      </c>
      <c r="X85" s="22">
        <f t="shared" si="21"/>
        <v>1.5468625846892792E-7</v>
      </c>
    </row>
    <row r="86" spans="1:24" x14ac:dyDescent="0.45">
      <c r="A86">
        <v>58.311500000000002</v>
      </c>
      <c r="B86">
        <v>96.559979999999996</v>
      </c>
      <c r="C86">
        <v>68.625510000000006</v>
      </c>
      <c r="D86">
        <v>-2.8053499999999998</v>
      </c>
      <c r="E86" s="13">
        <v>4511895.8568567298</v>
      </c>
      <c r="F86" s="13">
        <v>-33.689959891284701</v>
      </c>
      <c r="G86" s="13">
        <f t="shared" si="22"/>
        <v>326.31004010871527</v>
      </c>
      <c r="H86" s="13">
        <v>-126.955328488761</v>
      </c>
      <c r="I86" s="13">
        <f t="shared" si="23"/>
        <v>233.04467151123902</v>
      </c>
      <c r="J86" s="11">
        <v>4511895.8569999998</v>
      </c>
      <c r="K86" s="11">
        <v>326.31004000000001</v>
      </c>
      <c r="L86" s="12">
        <v>53.044671999999998</v>
      </c>
      <c r="M86" s="18">
        <f t="shared" si="24"/>
        <v>233.04467199999999</v>
      </c>
      <c r="N86" s="17">
        <f t="shared" si="15"/>
        <v>4511895.8568540188</v>
      </c>
      <c r="O86" s="14">
        <f t="shared" si="16"/>
        <v>6.0087380132802233E-13</v>
      </c>
      <c r="P86" s="24">
        <f t="shared" si="17"/>
        <v>2.711080014705658E-6</v>
      </c>
      <c r="Q86" s="2">
        <f t="shared" si="25"/>
        <v>3.2354711391264678E-11</v>
      </c>
      <c r="R86" s="19">
        <f t="shared" si="26"/>
        <v>1.459810882806778E-4</v>
      </c>
      <c r="S86" s="16">
        <f t="shared" si="27"/>
        <v>326.31004010873477</v>
      </c>
      <c r="T86" s="23">
        <f t="shared" si="18"/>
        <v>1.9497292669257149E-11</v>
      </c>
      <c r="U86" s="22">
        <f t="shared" si="19"/>
        <v>1.0873475275730016E-7</v>
      </c>
      <c r="V86" s="16">
        <f t="shared" si="28"/>
        <v>233.04467151120042</v>
      </c>
      <c r="W86" s="23">
        <f t="shared" si="20"/>
        <v>3.8596681406488642E-11</v>
      </c>
      <c r="X86" s="22">
        <f t="shared" si="21"/>
        <v>4.8879957148528774E-7</v>
      </c>
    </row>
    <row r="87" spans="1:24" x14ac:dyDescent="0.45">
      <c r="A87">
        <v>-89.463369999999998</v>
      </c>
      <c r="B87">
        <v>112.70292999999999</v>
      </c>
      <c r="C87">
        <v>-81.786159999999995</v>
      </c>
      <c r="D87">
        <v>-166.90851000000001</v>
      </c>
      <c r="E87" s="13">
        <v>909274.86052937503</v>
      </c>
      <c r="F87" s="13">
        <v>84.089583881688995</v>
      </c>
      <c r="G87" s="13">
        <f t="shared" si="22"/>
        <v>84.089583881688995</v>
      </c>
      <c r="H87" s="13">
        <v>3.7390115547993199</v>
      </c>
      <c r="I87" s="13">
        <f t="shared" si="23"/>
        <v>3.7390115547993199</v>
      </c>
      <c r="J87" s="9">
        <v>909274.86100000003</v>
      </c>
      <c r="K87" s="9">
        <v>84.089584000000002</v>
      </c>
      <c r="L87" s="10">
        <v>183.739012</v>
      </c>
      <c r="M87" s="18">
        <f t="shared" si="24"/>
        <v>3.7390120000000024</v>
      </c>
      <c r="N87" s="17">
        <f t="shared" si="15"/>
        <v>909274.86052974011</v>
      </c>
      <c r="O87" s="14">
        <f t="shared" si="16"/>
        <v>4.0150505099934338E-13</v>
      </c>
      <c r="P87" s="24">
        <f t="shared" si="17"/>
        <v>3.6507844924926758E-7</v>
      </c>
      <c r="Q87" s="2">
        <f t="shared" si="25"/>
        <v>5.1718126775589678E-10</v>
      </c>
      <c r="R87" s="19">
        <f t="shared" si="26"/>
        <v>4.7025992535054684E-4</v>
      </c>
      <c r="S87" s="16">
        <f t="shared" si="27"/>
        <v>84.089583881690274</v>
      </c>
      <c r="T87" s="23">
        <f t="shared" si="18"/>
        <v>1.2789769243681803E-12</v>
      </c>
      <c r="U87" s="22">
        <f t="shared" si="19"/>
        <v>1.1830972823645425E-7</v>
      </c>
      <c r="V87" s="16">
        <f t="shared" si="28"/>
        <v>3.7390115547999265</v>
      </c>
      <c r="W87" s="23">
        <f t="shared" si="20"/>
        <v>6.0662586065518553E-13</v>
      </c>
      <c r="X87" s="22">
        <f t="shared" si="21"/>
        <v>4.4520007591586364E-7</v>
      </c>
    </row>
    <row r="88" spans="1:24" x14ac:dyDescent="0.45">
      <c r="A88">
        <v>76.639799999999994</v>
      </c>
      <c r="B88">
        <v>-84.536469999999994</v>
      </c>
      <c r="C88">
        <v>-1.82647</v>
      </c>
      <c r="D88">
        <v>75.829409999999996</v>
      </c>
      <c r="E88" s="13">
        <v>11607157.092438299</v>
      </c>
      <c r="F88" s="13">
        <v>20.261353797729299</v>
      </c>
      <c r="G88" s="13">
        <f t="shared" si="22"/>
        <v>20.261353797729299</v>
      </c>
      <c r="H88" s="13">
        <v>175.393256165938</v>
      </c>
      <c r="I88" s="13">
        <f t="shared" si="23"/>
        <v>175.393256165938</v>
      </c>
      <c r="J88" s="11">
        <v>11607157.092</v>
      </c>
      <c r="K88" s="11">
        <v>20.261354000000001</v>
      </c>
      <c r="L88" s="12">
        <v>355.39325600000001</v>
      </c>
      <c r="M88" s="18">
        <f t="shared" si="24"/>
        <v>175.39325600000006</v>
      </c>
      <c r="N88" s="17">
        <f t="shared" si="15"/>
        <v>11607157.092400923</v>
      </c>
      <c r="O88" s="14">
        <f t="shared" si="16"/>
        <v>3.2200682102267383E-12</v>
      </c>
      <c r="P88" s="24">
        <f t="shared" si="17"/>
        <v>3.7375837564468384E-5</v>
      </c>
      <c r="Q88" s="2">
        <f t="shared" si="25"/>
        <v>3.4541032685548505E-11</v>
      </c>
      <c r="R88" s="19">
        <f t="shared" si="26"/>
        <v>4.0092319250106812E-4</v>
      </c>
      <c r="S88" s="16">
        <f t="shared" si="27"/>
        <v>20.261353797702295</v>
      </c>
      <c r="T88" s="23">
        <f t="shared" si="18"/>
        <v>2.7004176672562608E-11</v>
      </c>
      <c r="U88" s="22">
        <f t="shared" si="19"/>
        <v>2.0229770569812899E-7</v>
      </c>
      <c r="V88" s="16">
        <f t="shared" si="28"/>
        <v>175.39325616594351</v>
      </c>
      <c r="W88" s="23">
        <f t="shared" si="20"/>
        <v>5.5138116294983774E-12</v>
      </c>
      <c r="X88" s="22">
        <f t="shared" si="21"/>
        <v>1.6594344742770772E-7</v>
      </c>
    </row>
    <row r="89" spans="1:24" x14ac:dyDescent="0.45">
      <c r="A89">
        <v>24.83473</v>
      </c>
      <c r="B89">
        <v>-104.82879</v>
      </c>
      <c r="C89">
        <v>27.559429999999999</v>
      </c>
      <c r="D89">
        <v>163.46987999999999</v>
      </c>
      <c r="E89" s="13">
        <v>8931844.8564209603</v>
      </c>
      <c r="F89" s="13">
        <v>-64.050988760283701</v>
      </c>
      <c r="G89" s="13">
        <f t="shared" si="22"/>
        <v>295.9490112397163</v>
      </c>
      <c r="H89" s="13">
        <v>-113.02139702358301</v>
      </c>
      <c r="I89" s="13">
        <f t="shared" si="23"/>
        <v>246.97860297641699</v>
      </c>
      <c r="J89" s="9">
        <v>8931844.8560000006</v>
      </c>
      <c r="K89" s="9">
        <v>295.94901099999998</v>
      </c>
      <c r="L89" s="10">
        <v>66.978603000000007</v>
      </c>
      <c r="M89" s="18">
        <f t="shared" si="24"/>
        <v>246.97860300000002</v>
      </c>
      <c r="N89" s="17">
        <f t="shared" si="15"/>
        <v>8931844.8564303853</v>
      </c>
      <c r="O89" s="14">
        <f t="shared" si="16"/>
        <v>1.0552113932356507E-12</v>
      </c>
      <c r="P89" s="24">
        <f t="shared" si="17"/>
        <v>9.4249844551086426E-6</v>
      </c>
      <c r="Q89" s="2">
        <f t="shared" si="25"/>
        <v>4.8185414969152942E-11</v>
      </c>
      <c r="R89" s="19">
        <f t="shared" si="26"/>
        <v>4.3038465082645416E-4</v>
      </c>
      <c r="S89" s="16">
        <f t="shared" si="27"/>
        <v>295.94901123992906</v>
      </c>
      <c r="T89" s="23">
        <f t="shared" si="18"/>
        <v>2.127649167960044E-10</v>
      </c>
      <c r="U89" s="22">
        <f t="shared" si="19"/>
        <v>2.3992907927095075E-7</v>
      </c>
      <c r="V89" s="16">
        <f t="shared" si="28"/>
        <v>246.97860297617365</v>
      </c>
      <c r="W89" s="23">
        <f t="shared" si="20"/>
        <v>2.4334667614311911E-10</v>
      </c>
      <c r="X89" s="22">
        <f t="shared" si="21"/>
        <v>2.3826373762858566E-8</v>
      </c>
    </row>
    <row r="90" spans="1:24" x14ac:dyDescent="0.45">
      <c r="A90">
        <v>73.392750000000007</v>
      </c>
      <c r="B90">
        <v>101.94213999999999</v>
      </c>
      <c r="C90">
        <v>12.9153</v>
      </c>
      <c r="D90">
        <v>154.44694000000001</v>
      </c>
      <c r="E90" s="13">
        <v>7496752.5366564197</v>
      </c>
      <c r="F90" s="13">
        <v>123.065146530543</v>
      </c>
      <c r="G90" s="13">
        <f t="shared" si="22"/>
        <v>123.065146530543</v>
      </c>
      <c r="H90" s="13">
        <v>165.73201976132901</v>
      </c>
      <c r="I90" s="13">
        <f t="shared" si="23"/>
        <v>165.73201976132901</v>
      </c>
      <c r="J90" s="11">
        <v>7496752.5369999995</v>
      </c>
      <c r="K90" s="11">
        <v>123.065147</v>
      </c>
      <c r="L90" s="12">
        <v>345.73201999999998</v>
      </c>
      <c r="M90" s="18">
        <f t="shared" si="24"/>
        <v>165.73201999999992</v>
      </c>
      <c r="N90" s="17">
        <f t="shared" si="15"/>
        <v>7496752.5366281047</v>
      </c>
      <c r="O90" s="14">
        <f t="shared" si="16"/>
        <v>3.7769687738236307E-12</v>
      </c>
      <c r="P90" s="24">
        <f t="shared" si="17"/>
        <v>2.8315000236034393E-5</v>
      </c>
      <c r="Q90" s="2">
        <f t="shared" si="25"/>
        <v>4.9607453005471703E-11</v>
      </c>
      <c r="R90" s="19">
        <f t="shared" si="26"/>
        <v>3.7189479917287827E-4</v>
      </c>
      <c r="S90" s="16">
        <f t="shared" si="27"/>
        <v>123.06514653051649</v>
      </c>
      <c r="T90" s="23">
        <f t="shared" si="18"/>
        <v>2.6517454898566939E-11</v>
      </c>
      <c r="U90" s="22">
        <f t="shared" si="19"/>
        <v>4.6948350984621356E-7</v>
      </c>
      <c r="V90" s="16">
        <f t="shared" si="28"/>
        <v>165.73201976132489</v>
      </c>
      <c r="W90" s="23">
        <f t="shared" si="20"/>
        <v>4.1211478674085811E-12</v>
      </c>
      <c r="X90" s="22">
        <f t="shared" si="21"/>
        <v>2.3867502818575304E-7</v>
      </c>
    </row>
    <row r="91" spans="1:24" x14ac:dyDescent="0.45">
      <c r="A91">
        <v>70.475589999999997</v>
      </c>
      <c r="B91">
        <v>-168.26902999999999</v>
      </c>
      <c r="C91">
        <v>-56.33708</v>
      </c>
      <c r="D91">
        <v>100.75642999999999</v>
      </c>
      <c r="E91" s="13">
        <v>15762230.514601</v>
      </c>
      <c r="F91" s="13">
        <v>-115.796681618527</v>
      </c>
      <c r="G91" s="13">
        <f t="shared" si="22"/>
        <v>244.203318381473</v>
      </c>
      <c r="H91" s="13">
        <v>-147.09805237010701</v>
      </c>
      <c r="I91" s="13">
        <f t="shared" si="23"/>
        <v>212.90194762989299</v>
      </c>
      <c r="J91" s="9">
        <v>15762230.515000001</v>
      </c>
      <c r="K91" s="9">
        <v>244.203318</v>
      </c>
      <c r="L91" s="10">
        <v>32.901947999999997</v>
      </c>
      <c r="M91" s="18">
        <f t="shared" si="24"/>
        <v>212.901948</v>
      </c>
      <c r="N91" s="17">
        <f t="shared" si="15"/>
        <v>15762230.514531359</v>
      </c>
      <c r="O91" s="14">
        <f t="shared" si="16"/>
        <v>4.4181930200130613E-12</v>
      </c>
      <c r="P91" s="24">
        <f t="shared" si="17"/>
        <v>6.9640576839447021E-5</v>
      </c>
      <c r="Q91" s="2">
        <f t="shared" si="25"/>
        <v>2.9731929062992058E-11</v>
      </c>
      <c r="R91" s="19">
        <f t="shared" si="26"/>
        <v>4.6864151954650879E-4</v>
      </c>
      <c r="S91" s="16">
        <f t="shared" si="27"/>
        <v>244.20331838156324</v>
      </c>
      <c r="T91" s="23">
        <f t="shared" si="18"/>
        <v>9.0238927441532724E-11</v>
      </c>
      <c r="U91" s="22">
        <f t="shared" si="19"/>
        <v>3.8156323967086792E-7</v>
      </c>
      <c r="V91" s="16">
        <f t="shared" si="28"/>
        <v>212.90194762992166</v>
      </c>
      <c r="W91" s="23">
        <f t="shared" si="20"/>
        <v>2.8677504815277644E-11</v>
      </c>
      <c r="X91" s="22">
        <f t="shared" si="21"/>
        <v>3.7007833952884539E-7</v>
      </c>
    </row>
    <row r="92" spans="1:24" x14ac:dyDescent="0.45">
      <c r="A92">
        <v>-23.364439999999998</v>
      </c>
      <c r="B92">
        <v>-58.086649999999999</v>
      </c>
      <c r="C92">
        <v>-80.319149999999993</v>
      </c>
      <c r="D92">
        <v>-108.47099</v>
      </c>
      <c r="E92" s="13">
        <v>6754537.30398193</v>
      </c>
      <c r="F92" s="13">
        <v>-171.43056758137499</v>
      </c>
      <c r="G92" s="13">
        <f t="shared" si="22"/>
        <v>188.56943241862501</v>
      </c>
      <c r="H92" s="13">
        <v>-125.78422240667101</v>
      </c>
      <c r="I92" s="13">
        <f t="shared" si="23"/>
        <v>234.21577759332899</v>
      </c>
      <c r="J92" s="11">
        <v>6754537.3039999995</v>
      </c>
      <c r="K92" s="11">
        <v>188.56943200000001</v>
      </c>
      <c r="L92" s="12">
        <v>54.215778</v>
      </c>
      <c r="M92" s="18">
        <f t="shared" si="24"/>
        <v>234.215778</v>
      </c>
      <c r="N92" s="17">
        <f t="shared" si="15"/>
        <v>6754537.3039613804</v>
      </c>
      <c r="O92" s="14">
        <f t="shared" si="16"/>
        <v>3.0423449725825228E-12</v>
      </c>
      <c r="P92" s="24">
        <f t="shared" si="17"/>
        <v>2.0549632608890533E-5</v>
      </c>
      <c r="Q92" s="2">
        <f t="shared" si="25"/>
        <v>5.717512756752413E-12</v>
      </c>
      <c r="R92" s="19">
        <f t="shared" si="26"/>
        <v>3.8619153201580048E-5</v>
      </c>
      <c r="S92" s="16">
        <f t="shared" si="27"/>
        <v>188.56943241862817</v>
      </c>
      <c r="T92" s="23">
        <f t="shared" si="18"/>
        <v>3.1548097467748448E-12</v>
      </c>
      <c r="U92" s="22">
        <f t="shared" si="19"/>
        <v>4.1862816146931436E-7</v>
      </c>
      <c r="V92" s="16">
        <f t="shared" si="28"/>
        <v>234.2157775933585</v>
      </c>
      <c r="W92" s="23">
        <f t="shared" si="20"/>
        <v>2.950173438875936E-11</v>
      </c>
      <c r="X92" s="22">
        <f t="shared" si="21"/>
        <v>4.0664150446900749E-7</v>
      </c>
    </row>
    <row r="93" spans="1:24" x14ac:dyDescent="0.45">
      <c r="A93">
        <v>28.44896</v>
      </c>
      <c r="B93">
        <v>-71.63758</v>
      </c>
      <c r="C93">
        <v>89.665139999999994</v>
      </c>
      <c r="D93">
        <v>-169.04756</v>
      </c>
      <c r="E93" s="13">
        <v>6858651.0723510599</v>
      </c>
      <c r="F93" s="13">
        <v>-0.37849600114167598</v>
      </c>
      <c r="G93" s="13">
        <f t="shared" si="22"/>
        <v>359.62150399885832</v>
      </c>
      <c r="H93" s="13">
        <v>-97.590892026651503</v>
      </c>
      <c r="I93" s="13">
        <f t="shared" si="23"/>
        <v>262.40910797334851</v>
      </c>
      <c r="J93" s="9">
        <v>6858651.0719999997</v>
      </c>
      <c r="K93" s="9">
        <v>359.62150400000002</v>
      </c>
      <c r="L93" s="10">
        <v>82.409108000000003</v>
      </c>
      <c r="M93" s="18">
        <f t="shared" si="24"/>
        <v>262.409108</v>
      </c>
      <c r="N93" s="17">
        <f t="shared" si="15"/>
        <v>6858651.0723340772</v>
      </c>
      <c r="O93" s="14">
        <f t="shared" si="16"/>
        <v>2.4760943469736542E-12</v>
      </c>
      <c r="P93" s="24">
        <f t="shared" si="17"/>
        <v>1.6982667148113251E-5</v>
      </c>
      <c r="Q93" s="2">
        <f t="shared" si="25"/>
        <v>4.8708924131144683E-11</v>
      </c>
      <c r="R93" s="19">
        <f t="shared" si="26"/>
        <v>3.3407751470804214E-4</v>
      </c>
      <c r="S93" s="16">
        <f t="shared" si="27"/>
        <v>359.6215039988582</v>
      </c>
      <c r="T93" s="23">
        <f t="shared" si="18"/>
        <v>1.1368683772161603E-13</v>
      </c>
      <c r="U93" s="22">
        <f t="shared" si="19"/>
        <v>1.1418137546570506E-9</v>
      </c>
      <c r="V93" s="16">
        <f t="shared" si="28"/>
        <v>262.4091079733472</v>
      </c>
      <c r="W93" s="23">
        <f t="shared" si="20"/>
        <v>1.3073986337985843E-12</v>
      </c>
      <c r="X93" s="22">
        <f t="shared" si="21"/>
        <v>2.6652799078874523E-8</v>
      </c>
    </row>
    <row r="94" spans="1:24" x14ac:dyDescent="0.45">
      <c r="A94">
        <v>8.6846800000000002</v>
      </c>
      <c r="B94">
        <v>-168.56728000000001</v>
      </c>
      <c r="C94">
        <v>-67.725549999999998</v>
      </c>
      <c r="D94">
        <v>31.960599999999999</v>
      </c>
      <c r="E94" s="13">
        <v>13273425.5839104</v>
      </c>
      <c r="F94" s="13">
        <v>-171.22172859398901</v>
      </c>
      <c r="G94" s="13">
        <f t="shared" si="22"/>
        <v>188.77827140601099</v>
      </c>
      <c r="H94" s="13">
        <v>-23.384084890681802</v>
      </c>
      <c r="I94" s="13">
        <f t="shared" si="23"/>
        <v>336.61591510931822</v>
      </c>
      <c r="J94" s="11">
        <v>13273425.584000001</v>
      </c>
      <c r="K94" s="11">
        <v>188.77827099999999</v>
      </c>
      <c r="L94" s="12">
        <v>156.615915</v>
      </c>
      <c r="M94" s="18">
        <f t="shared" si="24"/>
        <v>336.61591499999997</v>
      </c>
      <c r="N94" s="17">
        <f t="shared" si="15"/>
        <v>13273425.583867243</v>
      </c>
      <c r="O94" s="14">
        <f t="shared" si="16"/>
        <v>3.2514205044397378E-12</v>
      </c>
      <c r="P94" s="24">
        <f t="shared" si="17"/>
        <v>4.3157488107681274E-5</v>
      </c>
      <c r="Q94" s="2">
        <f t="shared" si="25"/>
        <v>1.0001801684586687E-11</v>
      </c>
      <c r="R94" s="19">
        <f t="shared" si="26"/>
        <v>1.3275817036628723E-4</v>
      </c>
      <c r="S94" s="16">
        <f t="shared" si="27"/>
        <v>188.77827140599086</v>
      </c>
      <c r="T94" s="23">
        <f t="shared" si="18"/>
        <v>2.0122570276726037E-11</v>
      </c>
      <c r="U94" s="22">
        <f t="shared" si="19"/>
        <v>4.0599087469672668E-7</v>
      </c>
      <c r="V94" s="16">
        <f t="shared" si="28"/>
        <v>336.61591510937467</v>
      </c>
      <c r="W94" s="23">
        <f t="shared" si="20"/>
        <v>5.6445514928782359E-11</v>
      </c>
      <c r="X94" s="22">
        <f t="shared" si="21"/>
        <v>1.0937469596683513E-7</v>
      </c>
    </row>
    <row r="95" spans="1:24" x14ac:dyDescent="0.45">
      <c r="A95">
        <v>-67.916240000000002</v>
      </c>
      <c r="B95">
        <v>-62.037520000000001</v>
      </c>
      <c r="C95">
        <v>-42.902639999999998</v>
      </c>
      <c r="D95">
        <v>-169.37137999999999</v>
      </c>
      <c r="E95" s="13">
        <v>6324868.2451032503</v>
      </c>
      <c r="F95" s="13">
        <v>-123.26923831720001</v>
      </c>
      <c r="G95" s="13">
        <f t="shared" si="22"/>
        <v>236.73076168279999</v>
      </c>
      <c r="H95" s="13">
        <v>-25.448526157089599</v>
      </c>
      <c r="I95" s="13">
        <f t="shared" si="23"/>
        <v>334.55147384291041</v>
      </c>
      <c r="J95" s="9">
        <v>6324868.2450000001</v>
      </c>
      <c r="K95" s="9">
        <v>236.730762</v>
      </c>
      <c r="L95" s="10">
        <v>154.55147400000001</v>
      </c>
      <c r="M95" s="18">
        <f t="shared" si="24"/>
        <v>334.55147399999998</v>
      </c>
      <c r="N95" s="17">
        <f t="shared" si="15"/>
        <v>6324868.2450951673</v>
      </c>
      <c r="O95" s="14">
        <f t="shared" si="16"/>
        <v>1.2779631625284216E-12</v>
      </c>
      <c r="P95" s="24">
        <f t="shared" si="17"/>
        <v>8.082948625087738E-6</v>
      </c>
      <c r="Q95" s="2">
        <f t="shared" si="25"/>
        <v>1.50465106308444E-11</v>
      </c>
      <c r="R95" s="19">
        <f t="shared" si="26"/>
        <v>9.5167197287082672E-5</v>
      </c>
      <c r="S95" s="16">
        <f t="shared" si="27"/>
        <v>236.73076168273568</v>
      </c>
      <c r="T95" s="23">
        <f t="shared" si="18"/>
        <v>6.4318328441004269E-11</v>
      </c>
      <c r="U95" s="22">
        <f t="shared" si="19"/>
        <v>3.1726432325740461E-7</v>
      </c>
      <c r="V95" s="16">
        <f t="shared" si="28"/>
        <v>334.55147384293031</v>
      </c>
      <c r="W95" s="23">
        <f t="shared" si="20"/>
        <v>1.9895196601282805E-11</v>
      </c>
      <c r="X95" s="22">
        <f t="shared" si="21"/>
        <v>1.5706967815276585E-7</v>
      </c>
    </row>
    <row r="96" spans="1:24" x14ac:dyDescent="0.45">
      <c r="A96">
        <v>8.7875099999999993</v>
      </c>
      <c r="B96">
        <v>12.072699999999999</v>
      </c>
      <c r="C96">
        <v>47.915790000000001</v>
      </c>
      <c r="D96">
        <v>178.19513000000001</v>
      </c>
      <c r="E96" s="13">
        <v>13576996.580401599</v>
      </c>
      <c r="F96" s="13">
        <v>10.901360160069601</v>
      </c>
      <c r="G96" s="13">
        <f t="shared" si="22"/>
        <v>10.901360160069601</v>
      </c>
      <c r="H96" s="13">
        <v>163.83716370245199</v>
      </c>
      <c r="I96" s="13">
        <f t="shared" si="23"/>
        <v>163.83716370245199</v>
      </c>
      <c r="J96" s="11">
        <v>13576996.58</v>
      </c>
      <c r="K96" s="11">
        <v>10.90136</v>
      </c>
      <c r="L96" s="12">
        <v>343.83716399999997</v>
      </c>
      <c r="M96" s="18">
        <f t="shared" si="24"/>
        <v>163.83716400000003</v>
      </c>
      <c r="N96" s="17">
        <f t="shared" si="15"/>
        <v>13576996.580363095</v>
      </c>
      <c r="O96" s="14">
        <f t="shared" si="16"/>
        <v>2.8360175460663923E-12</v>
      </c>
      <c r="P96" s="24">
        <f t="shared" si="17"/>
        <v>3.8504600524902344E-5</v>
      </c>
      <c r="Q96" s="2">
        <f t="shared" si="25"/>
        <v>2.6743376565344661E-11</v>
      </c>
      <c r="R96" s="19">
        <f t="shared" si="26"/>
        <v>3.6309473216533661E-4</v>
      </c>
      <c r="S96" s="16">
        <f t="shared" si="27"/>
        <v>10.901360160049823</v>
      </c>
      <c r="T96" s="23">
        <f t="shared" si="18"/>
        <v>1.9777957049882389E-11</v>
      </c>
      <c r="U96" s="22">
        <f t="shared" si="19"/>
        <v>1.6004982228423614E-7</v>
      </c>
      <c r="V96" s="16">
        <f t="shared" si="28"/>
        <v>163.83716370248172</v>
      </c>
      <c r="W96" s="23">
        <f t="shared" si="20"/>
        <v>2.9729108064202592E-11</v>
      </c>
      <c r="X96" s="22">
        <f t="shared" si="21"/>
        <v>2.97518312208922E-7</v>
      </c>
    </row>
    <row r="97" spans="1:24" x14ac:dyDescent="0.45">
      <c r="A97">
        <v>-1.9326099999999999</v>
      </c>
      <c r="B97">
        <v>-49.472799999999999</v>
      </c>
      <c r="C97">
        <v>52.702039999999997</v>
      </c>
      <c r="D97">
        <v>-178.83775</v>
      </c>
      <c r="E97" s="13">
        <v>12711428.208059199</v>
      </c>
      <c r="F97" s="13">
        <v>-30.937381632318001</v>
      </c>
      <c r="G97" s="13">
        <f t="shared" si="22"/>
        <v>329.06261836768198</v>
      </c>
      <c r="H97" s="13">
        <v>-122.206787601004</v>
      </c>
      <c r="I97" s="13">
        <f t="shared" si="23"/>
        <v>237.79321239899599</v>
      </c>
      <c r="J97" s="9">
        <v>12711428.208000001</v>
      </c>
      <c r="K97" s="9">
        <v>329.06261799999999</v>
      </c>
      <c r="L97" s="10">
        <v>57.793211999999997</v>
      </c>
      <c r="M97" s="18">
        <f t="shared" si="24"/>
        <v>237.79321199999998</v>
      </c>
      <c r="N97" s="17">
        <f t="shared" si="15"/>
        <v>12711428.208022941</v>
      </c>
      <c r="O97" s="14">
        <f t="shared" si="16"/>
        <v>2.852413582601335E-12</v>
      </c>
      <c r="P97" s="24">
        <f t="shared" si="17"/>
        <v>3.625825047492981E-5</v>
      </c>
      <c r="Q97" s="2">
        <f t="shared" si="25"/>
        <v>1.8047018228440178E-12</v>
      </c>
      <c r="R97" s="19">
        <f t="shared" si="26"/>
        <v>2.2940337657928467E-5</v>
      </c>
      <c r="S97" s="16">
        <f t="shared" si="27"/>
        <v>329.06261836777941</v>
      </c>
      <c r="T97" s="23">
        <f t="shared" si="18"/>
        <v>9.7429619927424937E-11</v>
      </c>
      <c r="U97" s="22">
        <f t="shared" si="19"/>
        <v>3.6777942113985773E-7</v>
      </c>
      <c r="V97" s="16">
        <f t="shared" si="28"/>
        <v>237.79321239873747</v>
      </c>
      <c r="W97" s="23">
        <f t="shared" si="20"/>
        <v>2.5852386897895485E-10</v>
      </c>
      <c r="X97" s="22">
        <f t="shared" si="21"/>
        <v>3.9873748391983099E-7</v>
      </c>
    </row>
    <row r="98" spans="1:24" x14ac:dyDescent="0.45">
      <c r="A98">
        <v>63.471769999999999</v>
      </c>
      <c r="B98">
        <v>15.390420000000001</v>
      </c>
      <c r="C98">
        <v>-25.440629999999999</v>
      </c>
      <c r="D98">
        <v>27.824259999999999</v>
      </c>
      <c r="E98" s="13">
        <v>9916507.9193755891</v>
      </c>
      <c r="F98" s="13">
        <v>168.75700336108901</v>
      </c>
      <c r="G98" s="13">
        <f t="shared" si="22"/>
        <v>168.75700336108901</v>
      </c>
      <c r="H98" s="13">
        <v>174.45474216808799</v>
      </c>
      <c r="I98" s="13">
        <f t="shared" si="23"/>
        <v>174.45474216808799</v>
      </c>
      <c r="J98" s="11">
        <v>9916507.9189999998</v>
      </c>
      <c r="K98" s="11">
        <v>168.757003</v>
      </c>
      <c r="L98" s="12">
        <v>354.45474200000001</v>
      </c>
      <c r="M98" s="18">
        <f t="shared" si="24"/>
        <v>174.45474200000001</v>
      </c>
      <c r="N98" s="17">
        <f t="shared" si="15"/>
        <v>9916507.9193239249</v>
      </c>
      <c r="O98" s="14">
        <f t="shared" si="16"/>
        <v>5.2099175359174406E-12</v>
      </c>
      <c r="P98" s="24">
        <f t="shared" si="17"/>
        <v>5.1664188504219055E-5</v>
      </c>
      <c r="Q98" s="2">
        <f t="shared" si="25"/>
        <v>3.266524566591826E-11</v>
      </c>
      <c r="R98" s="19">
        <f t="shared" si="26"/>
        <v>3.2392516732215881E-4</v>
      </c>
      <c r="S98" s="16">
        <f t="shared" si="27"/>
        <v>168.75700336107511</v>
      </c>
      <c r="T98" s="23">
        <f t="shared" si="18"/>
        <v>1.389821591146756E-11</v>
      </c>
      <c r="U98" s="22">
        <f t="shared" si="19"/>
        <v>3.6107510936744802E-7</v>
      </c>
      <c r="V98" s="16">
        <f t="shared" si="28"/>
        <v>174.45474216808137</v>
      </c>
      <c r="W98" s="23">
        <f t="shared" si="20"/>
        <v>6.6222582972841337E-12</v>
      </c>
      <c r="X98" s="22">
        <f t="shared" si="21"/>
        <v>1.6808135683277214E-7</v>
      </c>
    </row>
    <row r="99" spans="1:24" x14ac:dyDescent="0.45">
      <c r="A99">
        <v>-19.58109</v>
      </c>
      <c r="B99">
        <v>-91.320509999999999</v>
      </c>
      <c r="C99">
        <v>-64.3446</v>
      </c>
      <c r="D99">
        <v>-136.74340000000001</v>
      </c>
      <c r="E99" s="13">
        <v>5999956.6226570597</v>
      </c>
      <c r="F99" s="13">
        <v>-157.498869749769</v>
      </c>
      <c r="G99" s="13">
        <f t="shared" si="22"/>
        <v>202.501130250231</v>
      </c>
      <c r="H99" s="13">
        <v>-123.81389587339601</v>
      </c>
      <c r="I99" s="13">
        <f t="shared" si="23"/>
        <v>236.18610412660399</v>
      </c>
      <c r="J99" s="9">
        <v>5999956.6229999997</v>
      </c>
      <c r="K99" s="9">
        <v>202.50112999999999</v>
      </c>
      <c r="L99" s="10">
        <v>56.186104</v>
      </c>
      <c r="M99" s="18">
        <f t="shared" si="24"/>
        <v>236.186104</v>
      </c>
      <c r="N99" s="17">
        <f t="shared" si="15"/>
        <v>5999956.6226362148</v>
      </c>
      <c r="O99" s="14">
        <f t="shared" si="16"/>
        <v>3.4741687608755688E-12</v>
      </c>
      <c r="P99" s="24">
        <f t="shared" si="17"/>
        <v>2.084486186504364E-5</v>
      </c>
      <c r="Q99" s="2">
        <f t="shared" si="25"/>
        <v>6.0631245365776155E-11</v>
      </c>
      <c r="R99" s="19">
        <f t="shared" si="26"/>
        <v>3.6378484219312668E-4</v>
      </c>
      <c r="S99" s="16">
        <f t="shared" si="27"/>
        <v>202.50113025025436</v>
      </c>
      <c r="T99" s="23">
        <f t="shared" si="18"/>
        <v>2.3362645151792094E-11</v>
      </c>
      <c r="U99" s="22">
        <f t="shared" si="19"/>
        <v>2.5025437366821279E-7</v>
      </c>
      <c r="V99" s="16">
        <f t="shared" si="28"/>
        <v>236.1861041266863</v>
      </c>
      <c r="W99" s="23">
        <f t="shared" si="20"/>
        <v>8.2309270510450006E-11</v>
      </c>
      <c r="X99" s="22">
        <f t="shared" si="21"/>
        <v>1.2668630233747535E-7</v>
      </c>
    </row>
    <row r="100" spans="1:24" x14ac:dyDescent="0.45">
      <c r="A100">
        <v>-2.5715300000000001</v>
      </c>
      <c r="B100">
        <v>-1.34456</v>
      </c>
      <c r="C100">
        <v>-55.965530000000001</v>
      </c>
      <c r="D100">
        <v>-109.17691000000001</v>
      </c>
      <c r="E100" s="13">
        <v>10868721.9176831</v>
      </c>
      <c r="F100" s="13">
        <v>-147.41696673128399</v>
      </c>
      <c r="G100" s="13">
        <f t="shared" si="22"/>
        <v>212.58303326871601</v>
      </c>
      <c r="H100" s="13">
        <v>-73.536527532951993</v>
      </c>
      <c r="I100" s="13">
        <f t="shared" si="23"/>
        <v>286.46347246704801</v>
      </c>
      <c r="J100" s="11">
        <v>10868721.918</v>
      </c>
      <c r="K100" s="11">
        <v>212.583033</v>
      </c>
      <c r="L100" s="12">
        <v>106.463472</v>
      </c>
      <c r="M100" s="18">
        <f t="shared" si="24"/>
        <v>286.46347200000002</v>
      </c>
      <c r="N100" s="17">
        <f t="shared" si="15"/>
        <v>10868721.91765256</v>
      </c>
      <c r="O100" s="14">
        <f t="shared" si="16"/>
        <v>2.8098915491713132E-12</v>
      </c>
      <c r="P100" s="24">
        <f t="shared" si="17"/>
        <v>3.0539929866790771E-5</v>
      </c>
      <c r="Q100" s="2">
        <f t="shared" si="25"/>
        <v>3.1966886475460049E-11</v>
      </c>
      <c r="R100" s="19">
        <f t="shared" si="26"/>
        <v>3.4743919968605042E-4</v>
      </c>
      <c r="S100" s="16">
        <f t="shared" si="27"/>
        <v>212.58303326867406</v>
      </c>
      <c r="T100" s="23">
        <f t="shared" si="18"/>
        <v>4.1950443119276315E-11</v>
      </c>
      <c r="U100" s="22">
        <f t="shared" si="19"/>
        <v>2.6867405722441617E-7</v>
      </c>
      <c r="V100" s="16">
        <f t="shared" si="28"/>
        <v>286.46347246726816</v>
      </c>
      <c r="W100" s="23">
        <f t="shared" si="20"/>
        <v>2.2015456124790944E-10</v>
      </c>
      <c r="X100" s="22">
        <f t="shared" si="21"/>
        <v>4.6726813707209658E-7</v>
      </c>
    </row>
    <row r="101" spans="1:24" x14ac:dyDescent="0.45">
      <c r="A101">
        <v>-67.837190000000007</v>
      </c>
      <c r="B101">
        <v>-47.37088</v>
      </c>
      <c r="C101">
        <v>-5.5324999999999998</v>
      </c>
      <c r="D101">
        <v>-50.833849999999998</v>
      </c>
      <c r="E101" s="13">
        <v>6920914.5095706005</v>
      </c>
      <c r="F101" s="13">
        <v>-3.8997736050221001</v>
      </c>
      <c r="G101" s="13">
        <f t="shared" si="22"/>
        <v>356.10022639497788</v>
      </c>
      <c r="H101" s="13">
        <v>-1.4812709973287901</v>
      </c>
      <c r="I101" s="13">
        <f t="shared" si="23"/>
        <v>358.51872900267119</v>
      </c>
      <c r="J101" s="9">
        <v>6920914.5099999998</v>
      </c>
      <c r="K101" s="9">
        <v>356.10022600000002</v>
      </c>
      <c r="L101" s="10">
        <v>178.51872900000001</v>
      </c>
      <c r="M101" s="18">
        <f t="shared" si="24"/>
        <v>358.51872900000001</v>
      </c>
      <c r="N101" s="17">
        <f t="shared" si="15"/>
        <v>6920914.5095388582</v>
      </c>
      <c r="O101" s="14">
        <f t="shared" si="16"/>
        <v>4.5864267311385647E-12</v>
      </c>
      <c r="P101" s="24">
        <f t="shared" si="17"/>
        <v>3.1742267310619354E-5</v>
      </c>
      <c r="Q101" s="2">
        <f t="shared" si="25"/>
        <v>6.6630150999095397E-11</v>
      </c>
      <c r="R101" s="19">
        <f t="shared" si="26"/>
        <v>4.6114157885313034E-4</v>
      </c>
      <c r="S101" s="16">
        <f t="shared" si="27"/>
        <v>356.1002263949951</v>
      </c>
      <c r="T101" s="23">
        <f t="shared" si="18"/>
        <v>1.7223555914824829E-11</v>
      </c>
      <c r="U101" s="22">
        <f t="shared" si="19"/>
        <v>3.9499508375229198E-7</v>
      </c>
      <c r="V101" s="16">
        <f t="shared" si="28"/>
        <v>358.51872900267773</v>
      </c>
      <c r="W101" s="23">
        <f t="shared" si="20"/>
        <v>6.5369931689929217E-12</v>
      </c>
      <c r="X101" s="22">
        <f t="shared" si="21"/>
        <v>2.6777229322760832E-9</v>
      </c>
    </row>
    <row r="102" spans="1:24" x14ac:dyDescent="0.45">
      <c r="A102">
        <v>-43.765349999999998</v>
      </c>
      <c r="B102">
        <v>120.7183</v>
      </c>
      <c r="C102">
        <v>-13.83961</v>
      </c>
      <c r="D102">
        <v>139.33964</v>
      </c>
      <c r="E102" s="13">
        <v>3762439.14588576</v>
      </c>
      <c r="F102" s="13">
        <v>33.885840618494903</v>
      </c>
      <c r="G102" s="13">
        <f t="shared" si="22"/>
        <v>33.885840618494903</v>
      </c>
      <c r="H102" s="13">
        <v>24.5362078289292</v>
      </c>
      <c r="I102" s="13">
        <f t="shared" si="23"/>
        <v>24.5362078289292</v>
      </c>
      <c r="J102" s="11">
        <v>3762439.1460000002</v>
      </c>
      <c r="K102" s="11">
        <v>33.885840999999999</v>
      </c>
      <c r="L102" s="12">
        <v>204.53620799999999</v>
      </c>
      <c r="M102" s="18">
        <f t="shared" si="24"/>
        <v>24.536207999999988</v>
      </c>
      <c r="N102" s="17">
        <f t="shared" si="15"/>
        <v>3762439.1458674502</v>
      </c>
      <c r="O102" s="14">
        <f t="shared" si="16"/>
        <v>4.866471219065998E-12</v>
      </c>
      <c r="P102" s="24">
        <f t="shared" si="17"/>
        <v>1.8309801816940308E-5</v>
      </c>
      <c r="Q102" s="2">
        <f t="shared" si="25"/>
        <v>3.5229810935754244E-11</v>
      </c>
      <c r="R102" s="19">
        <f t="shared" si="26"/>
        <v>1.3255001977086067E-4</v>
      </c>
      <c r="S102" s="16">
        <f t="shared" si="27"/>
        <v>33.885840618573418</v>
      </c>
      <c r="T102" s="23">
        <f t="shared" si="18"/>
        <v>7.8514972301491071E-11</v>
      </c>
      <c r="U102" s="22">
        <f t="shared" si="19"/>
        <v>3.8142658098649918E-7</v>
      </c>
      <c r="V102" s="16">
        <f t="shared" si="28"/>
        <v>24.536207828982523</v>
      </c>
      <c r="W102" s="23">
        <f t="shared" si="20"/>
        <v>5.3322679605116718E-11</v>
      </c>
      <c r="X102" s="22">
        <f t="shared" si="21"/>
        <v>1.7101746507819371E-7</v>
      </c>
    </row>
    <row r="103" spans="1:24" x14ac:dyDescent="0.45">
      <c r="A103">
        <v>-46.864579999999997</v>
      </c>
      <c r="B103">
        <v>-124.83391</v>
      </c>
      <c r="C103">
        <v>-45.47589</v>
      </c>
      <c r="D103">
        <v>-124.42449000000001</v>
      </c>
      <c r="E103" s="13">
        <v>157563.53948582901</v>
      </c>
      <c r="F103" s="13">
        <v>11.7238519784151</v>
      </c>
      <c r="G103" s="13">
        <f t="shared" si="22"/>
        <v>11.7238519784151</v>
      </c>
      <c r="H103" s="13">
        <v>11.428473818809699</v>
      </c>
      <c r="I103" s="13">
        <f t="shared" si="23"/>
        <v>11.428473818809699</v>
      </c>
      <c r="J103" s="9">
        <v>157563.53899999999</v>
      </c>
      <c r="K103" s="9">
        <v>11.723852000000001</v>
      </c>
      <c r="L103" s="10">
        <v>191.42847399999999</v>
      </c>
      <c r="M103" s="18">
        <f t="shared" si="24"/>
        <v>11.428473999999994</v>
      </c>
      <c r="N103" s="17">
        <f t="shared" si="15"/>
        <v>157563.53948525776</v>
      </c>
      <c r="O103" s="14">
        <f t="shared" si="16"/>
        <v>3.6255213996138134E-12</v>
      </c>
      <c r="P103" s="24">
        <f t="shared" si="17"/>
        <v>5.7124998420476913E-7</v>
      </c>
      <c r="Q103" s="2">
        <f t="shared" si="25"/>
        <v>3.0797592675877366E-9</v>
      </c>
      <c r="R103" s="19">
        <f t="shared" si="26"/>
        <v>4.8525776946917176E-4</v>
      </c>
      <c r="S103" s="16">
        <f t="shared" si="27"/>
        <v>11.723851978357745</v>
      </c>
      <c r="T103" s="23">
        <f t="shared" si="18"/>
        <v>5.7355009630555287E-11</v>
      </c>
      <c r="U103" s="22">
        <f t="shared" si="19"/>
        <v>2.1642255987330827E-8</v>
      </c>
      <c r="V103" s="16">
        <f t="shared" si="28"/>
        <v>11.428473818753881</v>
      </c>
      <c r="W103" s="23">
        <f t="shared" si="20"/>
        <v>5.581846096447407E-11</v>
      </c>
      <c r="X103" s="22">
        <f t="shared" si="21"/>
        <v>1.812461132288945E-7</v>
      </c>
    </row>
    <row r="104" spans="1:24" x14ac:dyDescent="0.45">
      <c r="A104">
        <v>-51.325029999999998</v>
      </c>
      <c r="B104">
        <v>-26.173100000000002</v>
      </c>
      <c r="C104">
        <v>-43.870429999999999</v>
      </c>
      <c r="D104">
        <v>-21.44997</v>
      </c>
      <c r="E104" s="13">
        <v>901247.91021313099</v>
      </c>
      <c r="F104" s="13">
        <v>24.9717758323936</v>
      </c>
      <c r="G104" s="13">
        <f t="shared" si="22"/>
        <v>24.9717758323936</v>
      </c>
      <c r="H104" s="13">
        <v>21.475775290135601</v>
      </c>
      <c r="I104" s="13">
        <f t="shared" si="23"/>
        <v>21.475775290135601</v>
      </c>
      <c r="J104" s="11">
        <v>901247.91</v>
      </c>
      <c r="K104" s="11">
        <v>24.971775999999998</v>
      </c>
      <c r="L104" s="12">
        <v>201.475775</v>
      </c>
      <c r="M104" s="18">
        <f t="shared" si="24"/>
        <v>21.475774999999999</v>
      </c>
      <c r="N104" s="17">
        <f t="shared" si="15"/>
        <v>901247.91020958486</v>
      </c>
      <c r="O104" s="14">
        <f t="shared" si="16"/>
        <v>3.9346855376692727E-12</v>
      </c>
      <c r="P104" s="24">
        <f t="shared" si="17"/>
        <v>3.5461271181702614E-6</v>
      </c>
      <c r="Q104" s="2">
        <f t="shared" si="25"/>
        <v>2.3254959025809811E-10</v>
      </c>
      <c r="R104" s="19">
        <f t="shared" si="26"/>
        <v>2.0958483219146729E-4</v>
      </c>
      <c r="S104" s="16">
        <f t="shared" si="27"/>
        <v>24.971775832308644</v>
      </c>
      <c r="T104" s="23">
        <f t="shared" si="18"/>
        <v>8.4956042201156379E-11</v>
      </c>
      <c r="U104" s="22">
        <f t="shared" si="19"/>
        <v>1.6769135413596814E-7</v>
      </c>
      <c r="V104" s="16">
        <f t="shared" si="28"/>
        <v>21.475775290063922</v>
      </c>
      <c r="W104" s="23">
        <f t="shared" si="20"/>
        <v>7.1679551183478907E-11</v>
      </c>
      <c r="X104" s="22">
        <f t="shared" si="21"/>
        <v>2.900639231029345E-7</v>
      </c>
    </row>
    <row r="105" spans="1:24" x14ac:dyDescent="0.45">
      <c r="A105">
        <v>17.041810000000002</v>
      </c>
      <c r="B105">
        <v>-23.13026</v>
      </c>
      <c r="C105">
        <v>17.16122</v>
      </c>
      <c r="D105">
        <v>-31.748380000000001</v>
      </c>
      <c r="E105" s="13">
        <v>917232.23891029903</v>
      </c>
      <c r="F105" s="13">
        <v>-87.906760666756199</v>
      </c>
      <c r="G105" s="13">
        <f t="shared" si="22"/>
        <v>272.09323933324379</v>
      </c>
      <c r="H105" s="13">
        <v>-90.445455160614898</v>
      </c>
      <c r="I105" s="13">
        <f t="shared" si="23"/>
        <v>269.55454483938513</v>
      </c>
      <c r="J105" s="9">
        <v>917232.23899999994</v>
      </c>
      <c r="K105" s="9">
        <v>272.09323899999998</v>
      </c>
      <c r="L105" s="10">
        <v>89.554545000000005</v>
      </c>
      <c r="M105" s="18">
        <f t="shared" si="24"/>
        <v>269.55454500000002</v>
      </c>
      <c r="N105" s="17">
        <f t="shared" si="15"/>
        <v>917232.23890802509</v>
      </c>
      <c r="O105" s="14">
        <f t="shared" si="16"/>
        <v>2.4791327482634399E-12</v>
      </c>
      <c r="P105" s="24">
        <f t="shared" si="17"/>
        <v>2.2739404812455177E-6</v>
      </c>
      <c r="Q105" s="2">
        <f t="shared" si="25"/>
        <v>1.0027433884380123E-10</v>
      </c>
      <c r="R105" s="19">
        <f t="shared" si="26"/>
        <v>9.1974856331944466E-5</v>
      </c>
      <c r="S105" s="16">
        <f t="shared" si="27"/>
        <v>272.09323933324561</v>
      </c>
      <c r="T105" s="23">
        <f t="shared" si="18"/>
        <v>1.8189894035458565E-12</v>
      </c>
      <c r="U105" s="22">
        <f t="shared" si="19"/>
        <v>3.3324562309644534E-7</v>
      </c>
      <c r="V105" s="16">
        <f t="shared" si="28"/>
        <v>269.55454483937672</v>
      </c>
      <c r="W105" s="23">
        <f t="shared" si="20"/>
        <v>8.4128259913995862E-12</v>
      </c>
      <c r="X105" s="22">
        <f t="shared" si="21"/>
        <v>1.6062330132626812E-7</v>
      </c>
    </row>
    <row r="106" spans="1:24" x14ac:dyDescent="0.45">
      <c r="A106">
        <v>15.507440000000001</v>
      </c>
      <c r="B106">
        <v>-166.73916</v>
      </c>
      <c r="C106">
        <v>9.9468399999999892</v>
      </c>
      <c r="D106">
        <v>-157.50865999999999</v>
      </c>
      <c r="E106" s="13">
        <v>1175722.28779217</v>
      </c>
      <c r="F106" s="13">
        <v>120.450094224024</v>
      </c>
      <c r="G106" s="13">
        <f t="shared" si="22"/>
        <v>120.450094224024</v>
      </c>
      <c r="H106" s="13">
        <v>122.490282766329</v>
      </c>
      <c r="I106" s="13">
        <f t="shared" si="23"/>
        <v>122.490282766329</v>
      </c>
      <c r="J106" s="11">
        <v>1175722.2879999999</v>
      </c>
      <c r="K106" s="11">
        <v>120.45009400000001</v>
      </c>
      <c r="L106" s="12">
        <v>302.49028299999998</v>
      </c>
      <c r="M106" s="18">
        <f t="shared" si="24"/>
        <v>122.49028299999998</v>
      </c>
      <c r="N106" s="17">
        <f t="shared" si="15"/>
        <v>1175722.2877854879</v>
      </c>
      <c r="O106" s="14">
        <f t="shared" si="16"/>
        <v>5.6833205524837083E-12</v>
      </c>
      <c r="P106" s="24">
        <f t="shared" si="17"/>
        <v>6.6820066422224045E-6</v>
      </c>
      <c r="Q106" s="2">
        <f t="shared" si="25"/>
        <v>1.8245124419421611E-10</v>
      </c>
      <c r="R106" s="19">
        <f t="shared" si="26"/>
        <v>2.1451199427247047E-4</v>
      </c>
      <c r="S106" s="16">
        <f t="shared" si="27"/>
        <v>120.45009422398481</v>
      </c>
      <c r="T106" s="23">
        <f t="shared" si="18"/>
        <v>3.9193537304527126E-11</v>
      </c>
      <c r="U106" s="22">
        <f t="shared" si="19"/>
        <v>2.2398479870844312E-7</v>
      </c>
      <c r="V106" s="16">
        <f t="shared" si="28"/>
        <v>122.49028276629267</v>
      </c>
      <c r="W106" s="23">
        <f t="shared" si="20"/>
        <v>3.6337155506771524E-11</v>
      </c>
      <c r="X106" s="22">
        <f t="shared" si="21"/>
        <v>2.3370731128125044E-7</v>
      </c>
    </row>
    <row r="107" spans="1:24" x14ac:dyDescent="0.45">
      <c r="A107">
        <v>-51.038510000000002</v>
      </c>
      <c r="B107">
        <v>-144.04768000000001</v>
      </c>
      <c r="C107">
        <v>-47.693089999999998</v>
      </c>
      <c r="D107">
        <v>-147.16191000000001</v>
      </c>
      <c r="E107" s="13">
        <v>435337.99301334698</v>
      </c>
      <c r="F107" s="13">
        <v>-32.489816550976101</v>
      </c>
      <c r="G107" s="13">
        <f t="shared" si="22"/>
        <v>327.51018344902388</v>
      </c>
      <c r="H107" s="13">
        <v>-30.1252245078581</v>
      </c>
      <c r="I107" s="13">
        <f t="shared" si="23"/>
        <v>329.87477549214191</v>
      </c>
      <c r="J107" s="9">
        <v>435337.99300000002</v>
      </c>
      <c r="K107" s="9">
        <v>327.51018299999998</v>
      </c>
      <c r="L107" s="10">
        <v>149.874775</v>
      </c>
      <c r="M107" s="18">
        <f t="shared" si="24"/>
        <v>329.874775</v>
      </c>
      <c r="N107" s="17">
        <f t="shared" si="15"/>
        <v>435337.99301161367</v>
      </c>
      <c r="O107" s="14">
        <f t="shared" si="16"/>
        <v>3.9815218393495262E-12</v>
      </c>
      <c r="P107" s="24">
        <f t="shared" si="17"/>
        <v>1.7333077266812325E-6</v>
      </c>
      <c r="Q107" s="2">
        <f t="shared" si="25"/>
        <v>2.6677319461790992E-11</v>
      </c>
      <c r="R107" s="19">
        <f t="shared" si="26"/>
        <v>1.1613650713115931E-5</v>
      </c>
      <c r="S107" s="16">
        <f t="shared" si="27"/>
        <v>327.51018344909585</v>
      </c>
      <c r="T107" s="23">
        <f t="shared" si="18"/>
        <v>7.1963768277782947E-11</v>
      </c>
      <c r="U107" s="22">
        <f t="shared" si="19"/>
        <v>4.4909586449648486E-7</v>
      </c>
      <c r="V107" s="16">
        <f t="shared" si="28"/>
        <v>329.87477549220739</v>
      </c>
      <c r="W107" s="23">
        <f t="shared" si="20"/>
        <v>6.5483618527650833E-11</v>
      </c>
      <c r="X107" s="22">
        <f t="shared" si="21"/>
        <v>4.9220739128941204E-7</v>
      </c>
    </row>
    <row r="108" spans="1:24" x14ac:dyDescent="0.45">
      <c r="A108">
        <v>-12.569459999999999</v>
      </c>
      <c r="B108">
        <v>153.40758</v>
      </c>
      <c r="C108">
        <v>-21.151199999999999</v>
      </c>
      <c r="D108">
        <v>155.96993000000001</v>
      </c>
      <c r="E108" s="13">
        <v>988119.73769886605</v>
      </c>
      <c r="F108" s="13">
        <v>164.31579719067</v>
      </c>
      <c r="G108" s="13">
        <f t="shared" si="22"/>
        <v>164.31579719067</v>
      </c>
      <c r="H108" s="13">
        <v>163.57040219639799</v>
      </c>
      <c r="I108" s="13">
        <f t="shared" si="23"/>
        <v>163.57040219639799</v>
      </c>
      <c r="J108" s="11">
        <v>988119.73800000001</v>
      </c>
      <c r="K108" s="11">
        <v>164.315797</v>
      </c>
      <c r="L108" s="12">
        <v>343.570402</v>
      </c>
      <c r="M108" s="18">
        <f t="shared" si="24"/>
        <v>163.57040200000006</v>
      </c>
      <c r="N108" s="17">
        <f t="shared" si="15"/>
        <v>988119.73769252596</v>
      </c>
      <c r="O108" s="14">
        <f t="shared" si="16"/>
        <v>6.4163224355597979E-12</v>
      </c>
      <c r="P108" s="24">
        <f t="shared" si="17"/>
        <v>6.3400948420166969E-6</v>
      </c>
      <c r="Q108" s="2">
        <f t="shared" si="25"/>
        <v>3.111708436832251E-10</v>
      </c>
      <c r="R108" s="19">
        <f t="shared" si="26"/>
        <v>3.0747405253350735E-4</v>
      </c>
      <c r="S108" s="16">
        <f t="shared" si="27"/>
        <v>164.31579719064922</v>
      </c>
      <c r="T108" s="23">
        <f t="shared" si="18"/>
        <v>2.0776269593625329E-11</v>
      </c>
      <c r="U108" s="22">
        <f t="shared" si="19"/>
        <v>1.9064921730205242E-7</v>
      </c>
      <c r="V108" s="16">
        <f t="shared" si="28"/>
        <v>163.57040219637611</v>
      </c>
      <c r="W108" s="23">
        <f t="shared" si="20"/>
        <v>2.1884716261411086E-11</v>
      </c>
      <c r="X108" s="22">
        <f t="shared" si="21"/>
        <v>1.9637604964373168E-7</v>
      </c>
    </row>
    <row r="109" spans="1:24" x14ac:dyDescent="0.45">
      <c r="A109">
        <v>70.036860000000004</v>
      </c>
      <c r="B109">
        <v>88.461129999999997</v>
      </c>
      <c r="C109">
        <v>79.338890000000006</v>
      </c>
      <c r="D109">
        <v>96.5669800000001</v>
      </c>
      <c r="E109" s="13">
        <v>1062926.9684588499</v>
      </c>
      <c r="F109" s="13">
        <v>9.0768933419801296</v>
      </c>
      <c r="G109" s="13">
        <f t="shared" si="22"/>
        <v>9.0768933419801296</v>
      </c>
      <c r="H109" s="13">
        <v>16.921666578628901</v>
      </c>
      <c r="I109" s="13">
        <f t="shared" si="23"/>
        <v>16.921666578628901</v>
      </c>
      <c r="J109" s="9">
        <v>1062926.9680000001</v>
      </c>
      <c r="K109" s="9">
        <v>9.0768930000000001</v>
      </c>
      <c r="L109" s="10">
        <v>196.92166700000001</v>
      </c>
      <c r="M109" s="18">
        <f t="shared" si="24"/>
        <v>16.921667000000014</v>
      </c>
      <c r="N109" s="17">
        <f t="shared" si="15"/>
        <v>1062926.9684577854</v>
      </c>
      <c r="O109" s="14">
        <f t="shared" si="16"/>
        <v>1.0014815075479035E-12</v>
      </c>
      <c r="P109" s="24">
        <f t="shared" si="17"/>
        <v>1.0645017027854919E-6</v>
      </c>
      <c r="Q109" s="2">
        <f t="shared" si="25"/>
        <v>4.3068370537839224E-10</v>
      </c>
      <c r="R109" s="19">
        <f t="shared" si="26"/>
        <v>4.5778532512485981E-4</v>
      </c>
      <c r="S109" s="16">
        <f t="shared" si="27"/>
        <v>9.0768933419822879</v>
      </c>
      <c r="T109" s="23">
        <f t="shared" si="18"/>
        <v>2.1582735598713043E-12</v>
      </c>
      <c r="U109" s="22">
        <f t="shared" si="19"/>
        <v>3.4198228782145179E-7</v>
      </c>
      <c r="V109" s="16">
        <f t="shared" si="28"/>
        <v>16.921666578632927</v>
      </c>
      <c r="W109" s="23">
        <f t="shared" si="20"/>
        <v>4.0252245980809676E-12</v>
      </c>
      <c r="X109" s="22">
        <f t="shared" si="21"/>
        <v>4.2136708700013514E-7</v>
      </c>
    </row>
    <row r="110" spans="1:24" x14ac:dyDescent="0.45">
      <c r="A110">
        <v>-25.377770000000002</v>
      </c>
      <c r="B110">
        <v>162.96798999999999</v>
      </c>
      <c r="C110">
        <v>-18.867429999999999</v>
      </c>
      <c r="D110">
        <v>160.58103</v>
      </c>
      <c r="E110" s="13">
        <v>761747.22448313504</v>
      </c>
      <c r="F110" s="13">
        <v>-19.322819115863599</v>
      </c>
      <c r="G110" s="13">
        <f t="shared" si="22"/>
        <v>340.67718088413642</v>
      </c>
      <c r="H110" s="13">
        <v>-18.422343978554999</v>
      </c>
      <c r="I110" s="13">
        <f t="shared" si="23"/>
        <v>341.57765602144502</v>
      </c>
      <c r="J110" s="11">
        <v>761747.22400000005</v>
      </c>
      <c r="K110" s="11">
        <v>340.67718100000002</v>
      </c>
      <c r="L110" s="12">
        <v>161.57765599999999</v>
      </c>
      <c r="M110" s="18">
        <f t="shared" si="24"/>
        <v>341.57765599999999</v>
      </c>
      <c r="N110" s="17">
        <f t="shared" si="15"/>
        <v>761747.2244784768</v>
      </c>
      <c r="O110" s="14">
        <f t="shared" si="16"/>
        <v>6.1152079559511446E-12</v>
      </c>
      <c r="P110" s="24">
        <f t="shared" si="17"/>
        <v>4.6582426875829697E-6</v>
      </c>
      <c r="Q110" s="2">
        <f t="shared" si="25"/>
        <v>6.2813061409428327E-10</v>
      </c>
      <c r="R110" s="19">
        <f t="shared" si="26"/>
        <v>4.7847675159573555E-4</v>
      </c>
      <c r="S110" s="16">
        <f t="shared" si="27"/>
        <v>340.67718088408844</v>
      </c>
      <c r="T110" s="23">
        <f t="shared" si="18"/>
        <v>4.7975845518521965E-11</v>
      </c>
      <c r="U110" s="22">
        <f t="shared" si="19"/>
        <v>1.1591157544899033E-7</v>
      </c>
      <c r="V110" s="16">
        <f t="shared" si="28"/>
        <v>341.57765602139938</v>
      </c>
      <c r="W110" s="23">
        <f t="shared" si="20"/>
        <v>4.5645265345228836E-11</v>
      </c>
      <c r="X110" s="22">
        <f t="shared" si="21"/>
        <v>2.1399387151177507E-8</v>
      </c>
    </row>
    <row r="111" spans="1:24" x14ac:dyDescent="0.45">
      <c r="A111">
        <v>-24.747730000000001</v>
      </c>
      <c r="B111">
        <v>121.9104</v>
      </c>
      <c r="C111">
        <v>-16.02477</v>
      </c>
      <c r="D111">
        <v>125.33676</v>
      </c>
      <c r="E111" s="13">
        <v>1029662.38690791</v>
      </c>
      <c r="F111" s="13">
        <v>20.945191855311499</v>
      </c>
      <c r="G111" s="13">
        <f t="shared" si="22"/>
        <v>20.945191855311499</v>
      </c>
      <c r="H111" s="13">
        <v>19.7478340997788</v>
      </c>
      <c r="I111" s="13">
        <f t="shared" si="23"/>
        <v>19.7478340997788</v>
      </c>
      <c r="J111" s="9">
        <v>1029662.387</v>
      </c>
      <c r="K111" s="9">
        <v>20.945191999999999</v>
      </c>
      <c r="L111" s="10">
        <v>199.74783400000001</v>
      </c>
      <c r="M111" s="18">
        <f t="shared" si="24"/>
        <v>19.747834000000012</v>
      </c>
      <c r="N111" s="17">
        <f t="shared" si="15"/>
        <v>1029662.3869015459</v>
      </c>
      <c r="O111" s="14">
        <f t="shared" si="16"/>
        <v>6.1807408712135754E-12</v>
      </c>
      <c r="P111" s="24">
        <f t="shared" si="17"/>
        <v>6.3640763983130455E-6</v>
      </c>
      <c r="Q111" s="2">
        <f t="shared" si="25"/>
        <v>9.5617814855214623E-11</v>
      </c>
      <c r="R111" s="19">
        <f t="shared" si="26"/>
        <v>9.845406748354435E-5</v>
      </c>
      <c r="S111" s="16">
        <f t="shared" si="27"/>
        <v>20.945191855354881</v>
      </c>
      <c r="T111" s="23">
        <f t="shared" si="18"/>
        <v>4.3382186731832917E-11</v>
      </c>
      <c r="U111" s="22">
        <f t="shared" si="19"/>
        <v>1.446451172171237E-7</v>
      </c>
      <c r="V111" s="16">
        <f t="shared" si="28"/>
        <v>19.747834099819457</v>
      </c>
      <c r="W111" s="23">
        <f t="shared" si="20"/>
        <v>4.0657255340192933E-11</v>
      </c>
      <c r="X111" s="22">
        <f t="shared" si="21"/>
        <v>9.9819445154025743E-8</v>
      </c>
    </row>
    <row r="112" spans="1:24" x14ac:dyDescent="0.45">
      <c r="A112">
        <v>29.140930000000001</v>
      </c>
      <c r="B112">
        <v>173.23384999999999</v>
      </c>
      <c r="C112">
        <v>37.938650000000003</v>
      </c>
      <c r="D112">
        <v>169.67572000000001</v>
      </c>
      <c r="E112" s="13">
        <v>1029995.48665897</v>
      </c>
      <c r="F112" s="13">
        <v>-17.746221493736801</v>
      </c>
      <c r="G112" s="13">
        <f t="shared" si="22"/>
        <v>342.25377850626319</v>
      </c>
      <c r="H112" s="13">
        <v>-19.718412444725701</v>
      </c>
      <c r="I112" s="13">
        <f t="shared" si="23"/>
        <v>340.28158755527431</v>
      </c>
      <c r="J112" s="11">
        <v>1029995.487</v>
      </c>
      <c r="K112" s="11">
        <v>342.25377900000001</v>
      </c>
      <c r="L112" s="12">
        <v>160.281588</v>
      </c>
      <c r="M112" s="18">
        <f t="shared" si="24"/>
        <v>340.281588</v>
      </c>
      <c r="N112" s="17">
        <f t="shared" si="15"/>
        <v>1029995.4866540617</v>
      </c>
      <c r="O112" s="14">
        <f t="shared" si="16"/>
        <v>4.7653634044440793E-12</v>
      </c>
      <c r="P112" s="24">
        <f t="shared" si="17"/>
        <v>4.9083027988672256E-6</v>
      </c>
      <c r="Q112" s="2">
        <f t="shared" si="25"/>
        <v>3.3586385698574986E-10</v>
      </c>
      <c r="R112" s="19">
        <f t="shared" si="26"/>
        <v>3.4593825694173574E-4</v>
      </c>
      <c r="S112" s="16">
        <f t="shared" si="27"/>
        <v>342.25377850620907</v>
      </c>
      <c r="T112" s="23">
        <f t="shared" si="18"/>
        <v>5.411493475548923E-11</v>
      </c>
      <c r="U112" s="22">
        <f t="shared" si="19"/>
        <v>4.9379093525203643E-7</v>
      </c>
      <c r="V112" s="16">
        <f t="shared" si="28"/>
        <v>340.28158755521372</v>
      </c>
      <c r="W112" s="23">
        <f t="shared" si="20"/>
        <v>6.0595084505621344E-11</v>
      </c>
      <c r="X112" s="22">
        <f t="shared" si="21"/>
        <v>4.447862806955527E-7</v>
      </c>
    </row>
    <row r="113" spans="1:24" x14ac:dyDescent="0.45">
      <c r="A113">
        <v>-22.446539999999999</v>
      </c>
      <c r="B113">
        <v>123.52539</v>
      </c>
      <c r="C113">
        <v>-28.32085</v>
      </c>
      <c r="D113">
        <v>123.92205</v>
      </c>
      <c r="E113" s="13">
        <v>651973.01978631597</v>
      </c>
      <c r="F113" s="13">
        <v>176.57344005792299</v>
      </c>
      <c r="G113" s="13">
        <f t="shared" si="22"/>
        <v>176.57344005792299</v>
      </c>
      <c r="H113" s="13">
        <v>176.40317558302999</v>
      </c>
      <c r="I113" s="13">
        <f t="shared" si="23"/>
        <v>176.40317558302999</v>
      </c>
      <c r="J113" s="9">
        <v>651973.02</v>
      </c>
      <c r="K113" s="9">
        <v>176.57344000000001</v>
      </c>
      <c r="L113" s="10">
        <v>356.40317599999997</v>
      </c>
      <c r="M113" s="18">
        <f t="shared" si="24"/>
        <v>176.40317600000003</v>
      </c>
      <c r="N113" s="17">
        <f t="shared" si="15"/>
        <v>651973.01978210057</v>
      </c>
      <c r="O113" s="14">
        <f t="shared" si="16"/>
        <v>6.4656031391220851E-12</v>
      </c>
      <c r="P113" s="24">
        <f t="shared" si="17"/>
        <v>4.2153988033533096E-6</v>
      </c>
      <c r="Q113" s="2">
        <f t="shared" si="25"/>
        <v>3.3421543625684174E-10</v>
      </c>
      <c r="R113" s="19">
        <f t="shared" si="26"/>
        <v>2.1789944730699062E-4</v>
      </c>
      <c r="S113" s="16">
        <f t="shared" si="27"/>
        <v>176.57344005810251</v>
      </c>
      <c r="T113" s="23">
        <f t="shared" si="18"/>
        <v>1.7951151676243171E-10</v>
      </c>
      <c r="U113" s="22">
        <f t="shared" si="19"/>
        <v>5.8102500588574912E-8</v>
      </c>
      <c r="V113" s="16">
        <f t="shared" si="28"/>
        <v>176.40317558321831</v>
      </c>
      <c r="W113" s="23">
        <f t="shared" si="20"/>
        <v>1.8832224668585695E-10</v>
      </c>
      <c r="X113" s="22">
        <f t="shared" si="21"/>
        <v>4.1678171669445874E-7</v>
      </c>
    </row>
    <row r="114" spans="1:24" x14ac:dyDescent="0.45">
      <c r="A114">
        <v>-33.692309999999999</v>
      </c>
      <c r="B114">
        <v>35.293909999999997</v>
      </c>
      <c r="C114">
        <v>-27.457529999999998</v>
      </c>
      <c r="D114">
        <v>40.547409999999999</v>
      </c>
      <c r="E114" s="13">
        <v>855080.934465489</v>
      </c>
      <c r="F114" s="13">
        <v>37.4662324576773</v>
      </c>
      <c r="G114" s="13">
        <f t="shared" si="22"/>
        <v>37.4662324576773</v>
      </c>
      <c r="H114" s="13">
        <v>34.788593612891901</v>
      </c>
      <c r="I114" s="13">
        <f t="shared" si="23"/>
        <v>34.788593612891901</v>
      </c>
      <c r="J114" s="11">
        <v>855080.93400000001</v>
      </c>
      <c r="K114" s="11">
        <v>37.466231999999998</v>
      </c>
      <c r="L114" s="12">
        <v>214.78859399999999</v>
      </c>
      <c r="M114" s="18">
        <f t="shared" si="24"/>
        <v>34.788593999999989</v>
      </c>
      <c r="N114" s="17">
        <f t="shared" si="15"/>
        <v>855080.93446190725</v>
      </c>
      <c r="O114" s="14">
        <f t="shared" si="16"/>
        <v>4.1887850170443283E-12</v>
      </c>
      <c r="P114" s="24">
        <f t="shared" si="17"/>
        <v>3.5817502066493034E-6</v>
      </c>
      <c r="Q114" s="2">
        <f t="shared" si="25"/>
        <v>5.4019125448631048E-10</v>
      </c>
      <c r="R114" s="19">
        <f t="shared" si="26"/>
        <v>4.6190724242478609E-4</v>
      </c>
      <c r="S114" s="16">
        <f t="shared" si="27"/>
        <v>37.466232457770822</v>
      </c>
      <c r="T114" s="23">
        <f t="shared" si="18"/>
        <v>9.3521634880744386E-11</v>
      </c>
      <c r="U114" s="22">
        <f t="shared" si="19"/>
        <v>4.5777082391396107E-7</v>
      </c>
      <c r="V114" s="16">
        <f t="shared" si="28"/>
        <v>34.788593612976705</v>
      </c>
      <c r="W114" s="23">
        <f t="shared" si="20"/>
        <v>8.4803275512967957E-11</v>
      </c>
      <c r="X114" s="22">
        <f t="shared" si="21"/>
        <v>3.8702328453155133E-7</v>
      </c>
    </row>
    <row r="115" spans="1:24" x14ac:dyDescent="0.45">
      <c r="A115">
        <v>-20.674800000000001</v>
      </c>
      <c r="B115">
        <v>105.92502</v>
      </c>
      <c r="C115">
        <v>-17.067240000000002</v>
      </c>
      <c r="D115">
        <v>115.33927</v>
      </c>
      <c r="E115" s="13">
        <v>1069049.1970041599</v>
      </c>
      <c r="F115" s="13">
        <v>69.647649460764796</v>
      </c>
      <c r="G115" s="13">
        <f t="shared" si="22"/>
        <v>69.647649460764796</v>
      </c>
      <c r="H115" s="13">
        <v>66.595012320961303</v>
      </c>
      <c r="I115" s="13">
        <f t="shared" si="23"/>
        <v>66.595012320961303</v>
      </c>
      <c r="J115" s="9">
        <v>1069049.1969999999</v>
      </c>
      <c r="K115" s="9">
        <v>69.647649000000001</v>
      </c>
      <c r="L115" s="10">
        <v>246.595012</v>
      </c>
      <c r="M115" s="18">
        <f t="shared" si="24"/>
        <v>66.595011999999997</v>
      </c>
      <c r="N115" s="17">
        <f t="shared" si="15"/>
        <v>1069049.1970008055</v>
      </c>
      <c r="O115" s="14">
        <f t="shared" si="16"/>
        <v>3.1377331300761897E-12</v>
      </c>
      <c r="P115" s="24">
        <f t="shared" si="17"/>
        <v>3.3543910831212997E-6</v>
      </c>
      <c r="Q115" s="2">
        <f t="shared" si="25"/>
        <v>7.5356122927090039E-13</v>
      </c>
      <c r="R115" s="19">
        <f t="shared" si="26"/>
        <v>8.0559402704238892E-7</v>
      </c>
      <c r="S115" s="16">
        <f t="shared" si="27"/>
        <v>69.647649460845145</v>
      </c>
      <c r="T115" s="23">
        <f t="shared" si="18"/>
        <v>8.0348172559752129E-11</v>
      </c>
      <c r="U115" s="22">
        <f t="shared" si="19"/>
        <v>4.6084514337962901E-7</v>
      </c>
      <c r="V115" s="16">
        <f t="shared" si="28"/>
        <v>66.595012321030197</v>
      </c>
      <c r="W115" s="23">
        <f t="shared" si="20"/>
        <v>6.8894223659299314E-11</v>
      </c>
      <c r="X115" s="22">
        <f t="shared" si="21"/>
        <v>3.2103019975693314E-7</v>
      </c>
    </row>
    <row r="116" spans="1:24" x14ac:dyDescent="0.45">
      <c r="A116">
        <v>58.575870000000002</v>
      </c>
      <c r="B116">
        <v>35.059399999999997</v>
      </c>
      <c r="C116">
        <v>51.479590000000002</v>
      </c>
      <c r="D116">
        <v>25.970320000000001</v>
      </c>
      <c r="E116" s="13">
        <v>978958.29756683204</v>
      </c>
      <c r="F116" s="13">
        <v>-139.84755464080999</v>
      </c>
      <c r="G116" s="13">
        <f t="shared" si="22"/>
        <v>220.15244535919001</v>
      </c>
      <c r="H116" s="13">
        <v>-147.314851762442</v>
      </c>
      <c r="I116" s="13">
        <f t="shared" si="23"/>
        <v>212.685148237558</v>
      </c>
      <c r="J116" s="11">
        <v>978958.29799999995</v>
      </c>
      <c r="K116" s="11">
        <v>220.152445</v>
      </c>
      <c r="L116" s="12">
        <v>32.685147999999998</v>
      </c>
      <c r="M116" s="18">
        <f t="shared" si="24"/>
        <v>212.685148</v>
      </c>
      <c r="N116" s="17">
        <f t="shared" si="15"/>
        <v>978958.29756391724</v>
      </c>
      <c r="O116" s="14">
        <f t="shared" si="16"/>
        <v>2.9774576048310211E-12</v>
      </c>
      <c r="P116" s="24">
        <f t="shared" si="17"/>
        <v>2.9148068279027939E-6</v>
      </c>
      <c r="Q116" s="2">
        <f t="shared" si="25"/>
        <v>4.4545586472836181E-10</v>
      </c>
      <c r="R116" s="19">
        <f t="shared" si="26"/>
        <v>4.3608271516859531E-4</v>
      </c>
      <c r="S116" s="16">
        <f t="shared" si="27"/>
        <v>220.15244535917867</v>
      </c>
      <c r="T116" s="23">
        <f t="shared" si="18"/>
        <v>1.1340262062731199E-11</v>
      </c>
      <c r="U116" s="22">
        <f t="shared" si="19"/>
        <v>3.5917867080570431E-7</v>
      </c>
      <c r="V116" s="16">
        <f t="shared" si="28"/>
        <v>212.68514823754879</v>
      </c>
      <c r="W116" s="23">
        <f t="shared" si="20"/>
        <v>9.2086338554508984E-12</v>
      </c>
      <c r="X116" s="22">
        <f t="shared" si="21"/>
        <v>2.3754878952786385E-7</v>
      </c>
    </row>
    <row r="117" spans="1:24" x14ac:dyDescent="0.45">
      <c r="A117">
        <v>11.13489</v>
      </c>
      <c r="B117">
        <v>69.087900000000005</v>
      </c>
      <c r="C117">
        <v>20.037389999999998</v>
      </c>
      <c r="D117">
        <v>78.127560000000003</v>
      </c>
      <c r="E117" s="13">
        <v>1381289.96991873</v>
      </c>
      <c r="F117" s="13">
        <v>43.410696060606597</v>
      </c>
      <c r="G117" s="13">
        <f t="shared" si="22"/>
        <v>43.410696060606597</v>
      </c>
      <c r="H117" s="13">
        <v>45.851638337458503</v>
      </c>
      <c r="I117" s="13">
        <f t="shared" si="23"/>
        <v>45.851638337458503</v>
      </c>
      <c r="J117" s="9">
        <v>1381289.97</v>
      </c>
      <c r="K117" s="9">
        <v>43.410696000000002</v>
      </c>
      <c r="L117" s="10">
        <v>225.85163800000001</v>
      </c>
      <c r="M117" s="18">
        <f t="shared" si="24"/>
        <v>45.85163799999998</v>
      </c>
      <c r="N117" s="17">
        <f t="shared" si="15"/>
        <v>1381289.9699106738</v>
      </c>
      <c r="O117" s="14">
        <f t="shared" si="16"/>
        <v>5.8323547383331383E-12</v>
      </c>
      <c r="P117" s="24">
        <f t="shared" si="17"/>
        <v>8.056173101067543E-6</v>
      </c>
      <c r="Q117" s="2">
        <f t="shared" si="25"/>
        <v>6.4668662532703434E-11</v>
      </c>
      <c r="R117" s="19">
        <f t="shared" si="26"/>
        <v>8.9326174929738045E-5</v>
      </c>
      <c r="S117" s="16">
        <f t="shared" si="27"/>
        <v>43.410696060650636</v>
      </c>
      <c r="T117" s="23">
        <f t="shared" si="18"/>
        <v>4.403943876241101E-11</v>
      </c>
      <c r="U117" s="22">
        <f t="shared" si="19"/>
        <v>6.0650634736703068E-8</v>
      </c>
      <c r="V117" s="16">
        <f t="shared" si="28"/>
        <v>45.851638337506301</v>
      </c>
      <c r="W117" s="23">
        <f t="shared" si="20"/>
        <v>4.779820983458194E-11</v>
      </c>
      <c r="X117" s="22">
        <f t="shared" si="21"/>
        <v>3.3750632155715721E-7</v>
      </c>
    </row>
    <row r="118" spans="1:24" x14ac:dyDescent="0.45">
      <c r="A118">
        <v>12.228479999999999</v>
      </c>
      <c r="B118">
        <v>33.508319999999998</v>
      </c>
      <c r="C118">
        <v>4.2466499999999998</v>
      </c>
      <c r="D118">
        <v>33.878509999999999</v>
      </c>
      <c r="E118" s="13">
        <v>883720.90995340503</v>
      </c>
      <c r="F118" s="13">
        <v>177.32593825208099</v>
      </c>
      <c r="G118" s="13">
        <f t="shared" si="22"/>
        <v>177.32593825208099</v>
      </c>
      <c r="H118" s="13">
        <v>177.37910794724201</v>
      </c>
      <c r="I118" s="13">
        <f t="shared" si="23"/>
        <v>177.37910794724201</v>
      </c>
      <c r="J118" s="11">
        <v>883720.91</v>
      </c>
      <c r="K118" s="11">
        <v>177.32593800000001</v>
      </c>
      <c r="L118" s="12">
        <v>357.37910799999997</v>
      </c>
      <c r="M118" s="18">
        <f t="shared" si="24"/>
        <v>177.37910799999997</v>
      </c>
      <c r="N118" s="17">
        <f t="shared" si="15"/>
        <v>883720.90994789801</v>
      </c>
      <c r="O118" s="14">
        <f t="shared" si="16"/>
        <v>6.2316357313685312E-12</v>
      </c>
      <c r="P118" s="24">
        <f t="shared" si="17"/>
        <v>5.5070267990231514E-6</v>
      </c>
      <c r="Q118" s="2">
        <f t="shared" si="25"/>
        <v>5.8957557685955576E-11</v>
      </c>
      <c r="R118" s="19">
        <f t="shared" si="26"/>
        <v>5.2102026529610157E-5</v>
      </c>
      <c r="S118" s="16">
        <f t="shared" si="27"/>
        <v>177.32593825239223</v>
      </c>
      <c r="T118" s="23">
        <f t="shared" si="18"/>
        <v>3.1124613997235429E-10</v>
      </c>
      <c r="U118" s="22">
        <f t="shared" si="19"/>
        <v>2.5239222622985835E-7</v>
      </c>
      <c r="V118" s="16">
        <f t="shared" si="28"/>
        <v>177.37910794754683</v>
      </c>
      <c r="W118" s="23">
        <f t="shared" si="20"/>
        <v>3.0482283364108298E-10</v>
      </c>
      <c r="X118" s="22">
        <f t="shared" si="21"/>
        <v>5.2453145826802938E-8</v>
      </c>
    </row>
    <row r="119" spans="1:24" x14ac:dyDescent="0.45">
      <c r="A119">
        <v>-38.409080000000003</v>
      </c>
      <c r="B119">
        <v>56.485050000000001</v>
      </c>
      <c r="C119">
        <v>-34.310160000000003</v>
      </c>
      <c r="D119">
        <v>64.220190000000002</v>
      </c>
      <c r="E119" s="13">
        <v>829495.27785864705</v>
      </c>
      <c r="F119" s="13">
        <v>59.111134138473901</v>
      </c>
      <c r="G119" s="13">
        <f t="shared" si="22"/>
        <v>59.111134138473901</v>
      </c>
      <c r="H119" s="13">
        <v>54.517860769829099</v>
      </c>
      <c r="I119" s="13">
        <f t="shared" si="23"/>
        <v>54.517860769829099</v>
      </c>
      <c r="J119" s="9">
        <v>829495.27800000005</v>
      </c>
      <c r="K119" s="9">
        <v>59.111134</v>
      </c>
      <c r="L119" s="10">
        <v>234.51786100000001</v>
      </c>
      <c r="M119" s="18">
        <f t="shared" si="24"/>
        <v>54.517861000000039</v>
      </c>
      <c r="N119" s="17">
        <f t="shared" si="15"/>
        <v>829495.27785734879</v>
      </c>
      <c r="O119" s="14">
        <f t="shared" si="16"/>
        <v>1.5651248459972693E-12</v>
      </c>
      <c r="P119" s="24">
        <f t="shared" si="17"/>
        <v>1.2982636690139771E-6</v>
      </c>
      <c r="Q119" s="2">
        <f t="shared" si="25"/>
        <v>1.7197356587057266E-10</v>
      </c>
      <c r="R119" s="19">
        <f t="shared" si="26"/>
        <v>1.4265126083046198E-4</v>
      </c>
      <c r="S119" s="16">
        <f t="shared" si="27"/>
        <v>59.111134138599311</v>
      </c>
      <c r="T119" s="23">
        <f t="shared" si="18"/>
        <v>1.2541079286165768E-10</v>
      </c>
      <c r="U119" s="22">
        <f t="shared" si="19"/>
        <v>1.385993115832207E-7</v>
      </c>
      <c r="V119" s="16">
        <f t="shared" si="28"/>
        <v>54.517860769934288</v>
      </c>
      <c r="W119" s="23">
        <f t="shared" si="20"/>
        <v>1.0518874660192523E-10</v>
      </c>
      <c r="X119" s="22">
        <f t="shared" si="21"/>
        <v>2.300657513387705E-7</v>
      </c>
    </row>
    <row r="120" spans="1:24" x14ac:dyDescent="0.45">
      <c r="A120">
        <v>15.40639</v>
      </c>
      <c r="B120">
        <v>164.11287999999999</v>
      </c>
      <c r="C120">
        <v>13.30926</v>
      </c>
      <c r="D120">
        <v>162.2586</v>
      </c>
      <c r="E120" s="13">
        <v>306329.78677053499</v>
      </c>
      <c r="F120" s="13">
        <v>-139.00467822528299</v>
      </c>
      <c r="G120" s="13">
        <f t="shared" si="22"/>
        <v>220.99532177471701</v>
      </c>
      <c r="H120" s="13">
        <v>-139.46461199280199</v>
      </c>
      <c r="I120" s="13">
        <f t="shared" si="23"/>
        <v>220.53538800719801</v>
      </c>
      <c r="J120" s="11">
        <v>306329.78700000001</v>
      </c>
      <c r="K120" s="11">
        <v>220.99532199999999</v>
      </c>
      <c r="L120" s="12">
        <v>40.535387999999998</v>
      </c>
      <c r="M120" s="18">
        <f t="shared" si="24"/>
        <v>220.53538800000001</v>
      </c>
      <c r="N120" s="17">
        <f t="shared" si="15"/>
        <v>306329.78676863643</v>
      </c>
      <c r="O120" s="14">
        <f t="shared" si="16"/>
        <v>6.1977625356973076E-12</v>
      </c>
      <c r="P120" s="24">
        <f t="shared" si="17"/>
        <v>1.8985592760145664E-6</v>
      </c>
      <c r="Q120" s="2">
        <f t="shared" si="25"/>
        <v>7.5527613567728747E-10</v>
      </c>
      <c r="R120" s="19">
        <f t="shared" si="26"/>
        <v>2.313635777682066E-4</v>
      </c>
      <c r="S120" s="16">
        <f t="shared" si="27"/>
        <v>220.99532177475103</v>
      </c>
      <c r="T120" s="23">
        <f t="shared" si="18"/>
        <v>3.4020786188193597E-11</v>
      </c>
      <c r="U120" s="22">
        <f t="shared" si="19"/>
        <v>2.2524895371134335E-7</v>
      </c>
      <c r="V120" s="16">
        <f t="shared" si="28"/>
        <v>220.53538800723118</v>
      </c>
      <c r="W120" s="23">
        <f t="shared" si="20"/>
        <v>3.3168134905281477E-11</v>
      </c>
      <c r="X120" s="22">
        <f t="shared" si="21"/>
        <v>7.2311650001211092E-9</v>
      </c>
    </row>
    <row r="121" spans="1:24" x14ac:dyDescent="0.45">
      <c r="A121">
        <v>9.2408199999999994</v>
      </c>
      <c r="B121">
        <v>131.63160999999999</v>
      </c>
      <c r="C121">
        <v>12.18455</v>
      </c>
      <c r="D121">
        <v>138.36069000000001</v>
      </c>
      <c r="E121" s="13">
        <v>804814.54728179099</v>
      </c>
      <c r="F121" s="13">
        <v>65.538495356246401</v>
      </c>
      <c r="G121" s="13">
        <f t="shared" si="22"/>
        <v>65.538495356246401</v>
      </c>
      <c r="H121" s="13">
        <v>66.791138701138607</v>
      </c>
      <c r="I121" s="13">
        <f t="shared" si="23"/>
        <v>66.791138701138607</v>
      </c>
      <c r="J121" s="9">
        <v>804814.54700000002</v>
      </c>
      <c r="K121" s="9">
        <v>65.538494999999998</v>
      </c>
      <c r="L121" s="10">
        <v>246.79113899999999</v>
      </c>
      <c r="M121" s="18">
        <f t="shared" si="24"/>
        <v>66.791138999999987</v>
      </c>
      <c r="N121" s="17">
        <f t="shared" si="15"/>
        <v>804814.54727708641</v>
      </c>
      <c r="O121" s="14">
        <f t="shared" si="16"/>
        <v>5.8455404435214176E-12</v>
      </c>
      <c r="P121" s="24">
        <f t="shared" si="17"/>
        <v>4.7045759856700897E-6</v>
      </c>
      <c r="Q121" s="2">
        <f t="shared" si="25"/>
        <v>3.4428601587847071E-10</v>
      </c>
      <c r="R121" s="19">
        <f t="shared" si="26"/>
        <v>2.7708639390766621E-4</v>
      </c>
      <c r="S121" s="16">
        <f t="shared" si="27"/>
        <v>65.538495356271426</v>
      </c>
      <c r="T121" s="23">
        <f t="shared" si="18"/>
        <v>2.5025315153470729E-11</v>
      </c>
      <c r="U121" s="22">
        <f t="shared" si="19"/>
        <v>3.56271428358923E-7</v>
      </c>
      <c r="V121" s="16">
        <f t="shared" si="28"/>
        <v>66.791138701165167</v>
      </c>
      <c r="W121" s="23">
        <f t="shared" si="20"/>
        <v>2.6560087462712545E-11</v>
      </c>
      <c r="X121" s="22">
        <f t="shared" si="21"/>
        <v>2.9883482000059303E-7</v>
      </c>
    </row>
    <row r="122" spans="1:24" x14ac:dyDescent="0.45">
      <c r="A122">
        <v>41.121139999999997</v>
      </c>
      <c r="B122">
        <v>98.417580000000001</v>
      </c>
      <c r="C122">
        <v>36.025530000000003</v>
      </c>
      <c r="D122">
        <v>88.560149999999993</v>
      </c>
      <c r="E122" s="13">
        <v>1027495.9071954</v>
      </c>
      <c r="F122" s="13">
        <v>-120.209899487027</v>
      </c>
      <c r="G122" s="13">
        <f t="shared" si="22"/>
        <v>239.790100512973</v>
      </c>
      <c r="H122" s="13">
        <v>-126.371574793458</v>
      </c>
      <c r="I122" s="13">
        <f t="shared" si="23"/>
        <v>233.628425206542</v>
      </c>
      <c r="J122" s="11">
        <v>1027495.907</v>
      </c>
      <c r="K122" s="11">
        <v>239.79010099999999</v>
      </c>
      <c r="L122" s="12">
        <v>53.628425</v>
      </c>
      <c r="M122" s="18">
        <f t="shared" si="24"/>
        <v>233.62842499999999</v>
      </c>
      <c r="N122" s="17">
        <f t="shared" si="15"/>
        <v>1027495.9071938648</v>
      </c>
      <c r="O122" s="14">
        <f t="shared" si="16"/>
        <v>1.4940875561461918E-12</v>
      </c>
      <c r="P122" s="24">
        <f t="shared" si="17"/>
        <v>1.5351688489317894E-6</v>
      </c>
      <c r="Q122" s="2">
        <f t="shared" si="25"/>
        <v>1.8867696143911644E-10</v>
      </c>
      <c r="R122" s="19">
        <f t="shared" si="26"/>
        <v>1.9386480562388897E-4</v>
      </c>
      <c r="S122" s="16">
        <f t="shared" si="27"/>
        <v>239.79010051309496</v>
      </c>
      <c r="T122" s="23">
        <f t="shared" si="18"/>
        <v>1.219575551658636E-10</v>
      </c>
      <c r="U122" s="22">
        <f t="shared" si="19"/>
        <v>4.8690503717807587E-7</v>
      </c>
      <c r="V122" s="16">
        <f t="shared" si="28"/>
        <v>233.6284252066383</v>
      </c>
      <c r="W122" s="23">
        <f t="shared" si="20"/>
        <v>9.6292751550208777E-11</v>
      </c>
      <c r="X122" s="22">
        <f t="shared" si="21"/>
        <v>2.0663830468947708E-7</v>
      </c>
    </row>
    <row r="123" spans="1:24" x14ac:dyDescent="0.45">
      <c r="A123">
        <v>71.454030000000003</v>
      </c>
      <c r="B123">
        <v>-99.237170000000006</v>
      </c>
      <c r="C123">
        <v>61.921500000000002</v>
      </c>
      <c r="D123">
        <v>-107.97436</v>
      </c>
      <c r="E123" s="13">
        <v>1128214.53673154</v>
      </c>
      <c r="F123" s="13">
        <v>-155.9605449044</v>
      </c>
      <c r="G123" s="13">
        <f t="shared" si="22"/>
        <v>204.0394550956</v>
      </c>
      <c r="H123" s="13">
        <v>-164.014662284736</v>
      </c>
      <c r="I123" s="13">
        <f t="shared" si="23"/>
        <v>195.985337715264</v>
      </c>
      <c r="J123" s="9">
        <v>1128214.537</v>
      </c>
      <c r="K123" s="9">
        <v>204.039455</v>
      </c>
      <c r="L123" s="10">
        <v>15.985338</v>
      </c>
      <c r="M123" s="18">
        <f t="shared" si="24"/>
        <v>195.98533800000001</v>
      </c>
      <c r="N123" s="17">
        <f t="shared" si="15"/>
        <v>1128214.5367293104</v>
      </c>
      <c r="O123" s="14">
        <f t="shared" si="16"/>
        <v>1.9762076901513885E-12</v>
      </c>
      <c r="P123" s="24">
        <f t="shared" si="17"/>
        <v>2.2295862436294556E-6</v>
      </c>
      <c r="Q123" s="2">
        <f t="shared" si="25"/>
        <v>2.3992742153784162E-10</v>
      </c>
      <c r="R123" s="19">
        <f t="shared" si="26"/>
        <v>2.7068960480391979E-4</v>
      </c>
      <c r="S123" s="16">
        <f t="shared" si="27"/>
        <v>204.03945509560754</v>
      </c>
      <c r="T123" s="23">
        <f t="shared" si="18"/>
        <v>7.531752999057062E-12</v>
      </c>
      <c r="U123" s="22">
        <f t="shared" si="19"/>
        <v>9.5607532557551167E-8</v>
      </c>
      <c r="V123" s="16">
        <f t="shared" si="28"/>
        <v>195.98533771526829</v>
      </c>
      <c r="W123" s="23">
        <f t="shared" si="20"/>
        <v>4.2916781239910051E-12</v>
      </c>
      <c r="X123" s="22">
        <f t="shared" si="21"/>
        <v>2.847317261966964E-7</v>
      </c>
    </row>
    <row r="124" spans="1:24" x14ac:dyDescent="0.45">
      <c r="A124">
        <v>89.783550000000005</v>
      </c>
      <c r="B124">
        <v>66.103970000000004</v>
      </c>
      <c r="C124">
        <v>82.139790000000005</v>
      </c>
      <c r="D124">
        <v>59.496229999999997</v>
      </c>
      <c r="E124" s="13">
        <v>853871.61089836305</v>
      </c>
      <c r="F124" s="13">
        <v>-173.206741618493</v>
      </c>
      <c r="G124" s="13">
        <f t="shared" si="22"/>
        <v>186.793258381507</v>
      </c>
      <c r="H124" s="13">
        <v>-179.812770720803</v>
      </c>
      <c r="I124" s="13">
        <f t="shared" si="23"/>
        <v>180.187229279197</v>
      </c>
      <c r="J124" s="11">
        <v>853871.61100000003</v>
      </c>
      <c r="K124" s="11">
        <v>186.79325800000001</v>
      </c>
      <c r="L124" s="12">
        <v>0.18722900000000001</v>
      </c>
      <c r="M124" s="18">
        <f t="shared" si="24"/>
        <v>180.187229</v>
      </c>
      <c r="N124" s="17">
        <f t="shared" si="15"/>
        <v>853871.61089870625</v>
      </c>
      <c r="O124" s="14">
        <f t="shared" si="16"/>
        <v>4.019250252209805E-13</v>
      </c>
      <c r="P124" s="24">
        <f t="shared" si="17"/>
        <v>3.4319236874580383E-7</v>
      </c>
      <c r="Q124" s="2">
        <f t="shared" si="25"/>
        <v>1.1862882560323084E-10</v>
      </c>
      <c r="R124" s="19">
        <f t="shared" si="26"/>
        <v>1.0129378642886877E-4</v>
      </c>
      <c r="S124" s="16">
        <f t="shared" si="27"/>
        <v>186.79325838148685</v>
      </c>
      <c r="T124" s="23">
        <f t="shared" si="18"/>
        <v>2.0150991986156441E-11</v>
      </c>
      <c r="U124" s="22">
        <f t="shared" si="19"/>
        <v>3.8148684211591899E-7</v>
      </c>
      <c r="V124" s="16">
        <f t="shared" si="28"/>
        <v>180.18722927919691</v>
      </c>
      <c r="W124" s="23">
        <f t="shared" si="20"/>
        <v>8.5265128291212022E-14</v>
      </c>
      <c r="X124" s="22">
        <f t="shared" si="21"/>
        <v>2.7919691092392895E-7</v>
      </c>
    </row>
    <row r="125" spans="1:24" x14ac:dyDescent="0.45">
      <c r="A125">
        <v>-53.711570000000002</v>
      </c>
      <c r="B125">
        <v>136.44644</v>
      </c>
      <c r="C125">
        <v>-61.274990000000003</v>
      </c>
      <c r="D125">
        <v>132.93423999999999</v>
      </c>
      <c r="E125" s="13">
        <v>867936.53154360596</v>
      </c>
      <c r="F125" s="13">
        <v>-167.432506452317</v>
      </c>
      <c r="G125" s="13">
        <f t="shared" si="22"/>
        <v>192.567493547683</v>
      </c>
      <c r="H125" s="13">
        <v>-164.463830575358</v>
      </c>
      <c r="I125" s="13">
        <f t="shared" si="23"/>
        <v>195.536169424642</v>
      </c>
      <c r="J125" s="9">
        <v>867936.53200000001</v>
      </c>
      <c r="K125" s="9">
        <v>192.56749400000001</v>
      </c>
      <c r="L125" s="10">
        <v>15.536168999999999</v>
      </c>
      <c r="M125" s="18">
        <f t="shared" si="24"/>
        <v>195.536169</v>
      </c>
      <c r="N125" s="17">
        <f t="shared" si="15"/>
        <v>867936.53154121363</v>
      </c>
      <c r="O125" s="14">
        <f t="shared" si="16"/>
        <v>2.7563477012412366E-12</v>
      </c>
      <c r="P125" s="24">
        <f t="shared" si="17"/>
        <v>2.3923348635435104E-6</v>
      </c>
      <c r="Q125" s="2">
        <f t="shared" si="25"/>
        <v>5.2859438860127351E-10</v>
      </c>
      <c r="R125" s="19">
        <f t="shared" si="26"/>
        <v>4.5878638047724962E-4</v>
      </c>
      <c r="S125" s="16">
        <f t="shared" si="27"/>
        <v>192.56749354767967</v>
      </c>
      <c r="T125" s="23">
        <f t="shared" si="18"/>
        <v>3.3253400033572689E-12</v>
      </c>
      <c r="U125" s="22">
        <f t="shared" si="19"/>
        <v>4.5232033585307363E-7</v>
      </c>
      <c r="V125" s="16">
        <f t="shared" si="28"/>
        <v>195.5361694246379</v>
      </c>
      <c r="W125" s="23">
        <f t="shared" si="20"/>
        <v>4.0927261579781771E-12</v>
      </c>
      <c r="X125" s="22">
        <f t="shared" si="21"/>
        <v>4.2463790350666386E-7</v>
      </c>
    </row>
    <row r="126" spans="1:24" x14ac:dyDescent="0.45">
      <c r="A126">
        <v>65.371009999999998</v>
      </c>
      <c r="B126">
        <v>11.160589999999999</v>
      </c>
      <c r="C126">
        <v>64.106880000000004</v>
      </c>
      <c r="D126">
        <v>10.719329999999999</v>
      </c>
      <c r="E126" s="13">
        <v>142494.05520348001</v>
      </c>
      <c r="F126" s="13">
        <v>-171.31752739817699</v>
      </c>
      <c r="G126" s="13">
        <f t="shared" si="22"/>
        <v>188.68247260182301</v>
      </c>
      <c r="H126" s="13">
        <v>-171.716615613274</v>
      </c>
      <c r="I126" s="13">
        <f t="shared" si="23"/>
        <v>188.283384386726</v>
      </c>
      <c r="J126" s="11">
        <v>142494.05499999999</v>
      </c>
      <c r="K126" s="11">
        <v>188.68247299999999</v>
      </c>
      <c r="L126" s="12">
        <v>8.2833839999999999</v>
      </c>
      <c r="M126" s="18">
        <f t="shared" si="24"/>
        <v>188.28338400000001</v>
      </c>
      <c r="N126" s="17">
        <f t="shared" si="15"/>
        <v>142494.05520314962</v>
      </c>
      <c r="O126" s="14">
        <f t="shared" si="16"/>
        <v>2.3185997680608664E-12</v>
      </c>
      <c r="P126" s="24">
        <f t="shared" si="17"/>
        <v>3.30386683344841E-7</v>
      </c>
      <c r="Q126" s="2">
        <f t="shared" si="25"/>
        <v>1.425670888736502E-9</v>
      </c>
      <c r="R126" s="19">
        <f t="shared" si="26"/>
        <v>2.0314962603151798E-4</v>
      </c>
      <c r="S126" s="16">
        <f t="shared" si="27"/>
        <v>188.68247260182571</v>
      </c>
      <c r="T126" s="23">
        <f t="shared" si="18"/>
        <v>2.7000623958883807E-12</v>
      </c>
      <c r="U126" s="22">
        <f t="shared" si="19"/>
        <v>3.9817427932575811E-7</v>
      </c>
      <c r="V126" s="16">
        <f t="shared" si="28"/>
        <v>188.2833843867281</v>
      </c>
      <c r="W126" s="23">
        <f t="shared" si="20"/>
        <v>2.1032064978498966E-12</v>
      </c>
      <c r="X126" s="22">
        <f t="shared" si="21"/>
        <v>3.8672808955197979E-7</v>
      </c>
    </row>
    <row r="127" spans="1:24" x14ac:dyDescent="0.45">
      <c r="A127">
        <v>82.492410000000007</v>
      </c>
      <c r="B127">
        <v>173.25789</v>
      </c>
      <c r="C127">
        <v>87.595039999999997</v>
      </c>
      <c r="D127">
        <v>174.79836</v>
      </c>
      <c r="E127" s="13">
        <v>570028.86260307604</v>
      </c>
      <c r="F127" s="13">
        <v>0.726603886046568</v>
      </c>
      <c r="G127" s="13">
        <f t="shared" si="22"/>
        <v>0.726603886046568</v>
      </c>
      <c r="H127" s="13">
        <v>2.2628372757481099</v>
      </c>
      <c r="I127" s="13">
        <f t="shared" si="23"/>
        <v>2.2628372757481099</v>
      </c>
      <c r="J127" s="9">
        <v>570028.86300000001</v>
      </c>
      <c r="K127" s="9">
        <v>0.72660400000000003</v>
      </c>
      <c r="L127" s="10">
        <v>182.26283699999999</v>
      </c>
      <c r="M127" s="18">
        <f t="shared" si="24"/>
        <v>2.2628369999999904</v>
      </c>
      <c r="N127" s="17">
        <f t="shared" si="15"/>
        <v>570028.86260328069</v>
      </c>
      <c r="O127" s="14">
        <f t="shared" si="16"/>
        <v>3.5903118104786123E-13</v>
      </c>
      <c r="P127" s="24">
        <f t="shared" si="17"/>
        <v>2.046581357717514E-7</v>
      </c>
      <c r="Q127" s="2">
        <f t="shared" si="25"/>
        <v>6.9596356354077399E-10</v>
      </c>
      <c r="R127" s="19">
        <f t="shared" si="26"/>
        <v>3.9671931881457567E-4</v>
      </c>
      <c r="S127" s="16">
        <f t="shared" si="27"/>
        <v>0.72660388604660542</v>
      </c>
      <c r="T127" s="23">
        <f t="shared" si="18"/>
        <v>3.7414515929867775E-14</v>
      </c>
      <c r="U127" s="22">
        <f t="shared" si="19"/>
        <v>1.1395339460928966E-7</v>
      </c>
      <c r="V127" s="16">
        <f t="shared" si="28"/>
        <v>2.2628372757481841</v>
      </c>
      <c r="W127" s="23">
        <f t="shared" si="20"/>
        <v>7.4162898044960457E-14</v>
      </c>
      <c r="X127" s="22">
        <f t="shared" si="21"/>
        <v>2.7574819361220193E-7</v>
      </c>
    </row>
    <row r="128" spans="1:24" x14ac:dyDescent="0.45">
      <c r="A128">
        <v>-3.4873099999999999</v>
      </c>
      <c r="B128">
        <v>-153.85941</v>
      </c>
      <c r="C128">
        <v>2.7094800000000001</v>
      </c>
      <c r="D128">
        <v>-161.7517</v>
      </c>
      <c r="E128" s="13">
        <v>1113827.0793449599</v>
      </c>
      <c r="F128" s="13">
        <v>-52.1325020460297</v>
      </c>
      <c r="G128" s="13">
        <f t="shared" si="22"/>
        <v>307.86749795397031</v>
      </c>
      <c r="H128" s="13">
        <v>-52.078766462415203</v>
      </c>
      <c r="I128" s="13">
        <f t="shared" si="23"/>
        <v>307.92123353758478</v>
      </c>
      <c r="J128" s="11">
        <v>1113827.0789999999</v>
      </c>
      <c r="K128" s="11">
        <v>307.86749800000001</v>
      </c>
      <c r="L128" s="12">
        <v>127.921234</v>
      </c>
      <c r="M128" s="18">
        <f t="shared" si="24"/>
        <v>307.92123400000003</v>
      </c>
      <c r="N128" s="17">
        <f t="shared" si="15"/>
        <v>1113827.0793367326</v>
      </c>
      <c r="O128" s="14">
        <f t="shared" si="16"/>
        <v>7.3865178686368472E-12</v>
      </c>
      <c r="P128" s="24">
        <f t="shared" si="17"/>
        <v>8.2273036241531372E-6</v>
      </c>
      <c r="Q128" s="2">
        <f t="shared" si="25"/>
        <v>3.0232046043501778E-10</v>
      </c>
      <c r="R128" s="19">
        <f t="shared" si="26"/>
        <v>3.3673271536827087E-4</v>
      </c>
      <c r="S128" s="16">
        <f t="shared" si="27"/>
        <v>307.86749795398407</v>
      </c>
      <c r="T128" s="23">
        <f t="shared" si="18"/>
        <v>1.375610736431554E-11</v>
      </c>
      <c r="U128" s="22">
        <f t="shared" si="19"/>
        <v>4.6015941279620165E-8</v>
      </c>
      <c r="V128" s="16">
        <f t="shared" si="28"/>
        <v>307.9212335375986</v>
      </c>
      <c r="W128" s="23">
        <f t="shared" si="20"/>
        <v>1.3812950783176348E-11</v>
      </c>
      <c r="X128" s="22">
        <f t="shared" si="21"/>
        <v>4.6240143092290964E-7</v>
      </c>
    </row>
    <row r="129" spans="1:24" x14ac:dyDescent="0.45">
      <c r="A129">
        <v>-5.1490299999999998</v>
      </c>
      <c r="B129">
        <v>-176.71262999999999</v>
      </c>
      <c r="C129">
        <v>-8.3758099999999995</v>
      </c>
      <c r="D129">
        <v>-172.6439</v>
      </c>
      <c r="E129" s="13">
        <v>574111.40482354502</v>
      </c>
      <c r="F129" s="13">
        <v>128.651136719606</v>
      </c>
      <c r="G129" s="13">
        <f t="shared" si="22"/>
        <v>128.651136719606</v>
      </c>
      <c r="H129" s="13">
        <v>128.171642044972</v>
      </c>
      <c r="I129" s="13">
        <f t="shared" si="23"/>
        <v>128.171642044972</v>
      </c>
      <c r="J129" s="9">
        <v>574111.40500000003</v>
      </c>
      <c r="K129" s="9">
        <v>128.65113700000001</v>
      </c>
      <c r="L129" s="10">
        <v>308.17164200000002</v>
      </c>
      <c r="M129" s="18">
        <f t="shared" si="24"/>
        <v>128.17164200000002</v>
      </c>
      <c r="N129" s="17">
        <f t="shared" si="15"/>
        <v>574111.4048195387</v>
      </c>
      <c r="O129" s="14">
        <f t="shared" si="16"/>
        <v>6.9782917595644858E-12</v>
      </c>
      <c r="P129" s="24">
        <f t="shared" si="17"/>
        <v>4.0063168853521347E-6</v>
      </c>
      <c r="Q129" s="2">
        <f t="shared" si="25"/>
        <v>3.1433154954541412E-10</v>
      </c>
      <c r="R129" s="19">
        <f t="shared" si="26"/>
        <v>1.8046132754534483E-4</v>
      </c>
      <c r="S129" s="16">
        <f t="shared" si="27"/>
        <v>128.65113671960572</v>
      </c>
      <c r="T129" s="23">
        <f t="shared" si="18"/>
        <v>2.8421709430404007E-13</v>
      </c>
      <c r="U129" s="22">
        <f t="shared" si="19"/>
        <v>2.8039428912052244E-7</v>
      </c>
      <c r="V129" s="16">
        <f t="shared" si="28"/>
        <v>128.17164204497087</v>
      </c>
      <c r="W129" s="23">
        <f t="shared" si="20"/>
        <v>1.1368683772161603E-12</v>
      </c>
      <c r="X129" s="22">
        <f t="shared" si="21"/>
        <v>4.4970846602154779E-8</v>
      </c>
    </row>
    <row r="130" spans="1:24" x14ac:dyDescent="0.45">
      <c r="A130">
        <v>-17.81653</v>
      </c>
      <c r="B130">
        <v>-105.12562</v>
      </c>
      <c r="C130">
        <v>-21.096530000000001</v>
      </c>
      <c r="D130">
        <v>-101.88431</v>
      </c>
      <c r="E130" s="13">
        <v>497614.05855003803</v>
      </c>
      <c r="F130" s="13">
        <v>137.380741008196</v>
      </c>
      <c r="G130" s="13">
        <f t="shared" si="22"/>
        <v>137.380741008196</v>
      </c>
      <c r="H130" s="13">
        <v>136.30038605968801</v>
      </c>
      <c r="I130" s="13">
        <f t="shared" si="23"/>
        <v>136.30038605968801</v>
      </c>
      <c r="J130" s="11">
        <v>497614.05900000001</v>
      </c>
      <c r="K130" s="11">
        <v>137.380741</v>
      </c>
      <c r="L130" s="12">
        <v>316.300386</v>
      </c>
      <c r="M130" s="18">
        <f t="shared" si="24"/>
        <v>136.300386</v>
      </c>
      <c r="N130" s="17">
        <f t="shared" si="15"/>
        <v>497614.05854740622</v>
      </c>
      <c r="O130" s="14">
        <f t="shared" si="16"/>
        <v>5.2888400866529622E-12</v>
      </c>
      <c r="P130" s="24">
        <f t="shared" si="17"/>
        <v>2.6318011805415154E-6</v>
      </c>
      <c r="Q130" s="2">
        <f t="shared" si="25"/>
        <v>9.0952772668343689E-10</v>
      </c>
      <c r="R130" s="19">
        <f t="shared" si="26"/>
        <v>4.5259378384798765E-4</v>
      </c>
      <c r="S130" s="16">
        <f t="shared" si="27"/>
        <v>137.38074100812975</v>
      </c>
      <c r="T130" s="23">
        <f t="shared" si="18"/>
        <v>6.6251004682271741E-11</v>
      </c>
      <c r="U130" s="22">
        <f t="shared" si="19"/>
        <v>8.1297457654727623E-9</v>
      </c>
      <c r="V130" s="16">
        <f t="shared" si="28"/>
        <v>136.30038605962</v>
      </c>
      <c r="W130" s="23">
        <f t="shared" si="20"/>
        <v>6.801315066695679E-11</v>
      </c>
      <c r="X130" s="22">
        <f t="shared" si="21"/>
        <v>5.9619992498483043E-8</v>
      </c>
    </row>
    <row r="131" spans="1:24" x14ac:dyDescent="0.45">
      <c r="A131">
        <v>-70.740750000000006</v>
      </c>
      <c r="B131">
        <v>-12.84168</v>
      </c>
      <c r="C131">
        <v>-72.590199999999996</v>
      </c>
      <c r="D131">
        <v>-7.2013899999999502</v>
      </c>
      <c r="E131" s="13">
        <v>285845.26670333598</v>
      </c>
      <c r="F131" s="13">
        <v>138.82322774864701</v>
      </c>
      <c r="G131" s="13">
        <f t="shared" si="22"/>
        <v>138.82322774864701</v>
      </c>
      <c r="H131" s="13">
        <v>133.46813615627599</v>
      </c>
      <c r="I131" s="13">
        <f t="shared" si="23"/>
        <v>133.46813615627599</v>
      </c>
      <c r="J131" s="9">
        <v>285845.26699999999</v>
      </c>
      <c r="K131" s="9">
        <v>138.823228</v>
      </c>
      <c r="L131" s="10">
        <v>313.46813600000002</v>
      </c>
      <c r="M131" s="18">
        <f t="shared" si="24"/>
        <v>133.46813600000002</v>
      </c>
      <c r="N131" s="17">
        <f t="shared" ref="N131:N194" si="29">VincentyInvDistance($A131,$B131,$C131,$D131)</f>
        <v>285845.2667031099</v>
      </c>
      <c r="O131" s="14">
        <f t="shared" ref="O131:O194" si="30">ABS((E131-N131)/E131)</f>
        <v>7.9091236176578942E-13</v>
      </c>
      <c r="P131" s="24">
        <f t="shared" ref="P131:P194" si="31">ABS(E131-N131)</f>
        <v>2.2607855498790741E-7</v>
      </c>
      <c r="Q131" s="2">
        <f t="shared" si="25"/>
        <v>1.0386391856610683E-9</v>
      </c>
      <c r="R131" s="19">
        <f t="shared" si="26"/>
        <v>2.9689009534195065E-4</v>
      </c>
      <c r="S131" s="16">
        <f t="shared" si="27"/>
        <v>138.82322774863607</v>
      </c>
      <c r="T131" s="23">
        <f t="shared" ref="T131:T194" si="32">ABS(G131-S131)</f>
        <v>1.0942358130705543E-11</v>
      </c>
      <c r="U131" s="22">
        <f t="shared" ref="U131:U194" si="33">ABS(K131-S131)</f>
        <v>2.5136392878266633E-7</v>
      </c>
      <c r="V131" s="16">
        <f t="shared" si="28"/>
        <v>133.4681361562624</v>
      </c>
      <c r="W131" s="23">
        <f t="shared" ref="W131:W194" si="34">ABS(I131-V131)</f>
        <v>1.3585577107733116E-11</v>
      </c>
      <c r="X131" s="22">
        <f t="shared" ref="X131:X194" si="35">ABS(M131-V131)</f>
        <v>1.5626238791810465E-7</v>
      </c>
    </row>
    <row r="132" spans="1:24" x14ac:dyDescent="0.45">
      <c r="A132">
        <v>-83.232919999999993</v>
      </c>
      <c r="B132">
        <v>-152.45443</v>
      </c>
      <c r="C132">
        <v>-79.934169999999995</v>
      </c>
      <c r="D132">
        <v>-160.65608</v>
      </c>
      <c r="E132" s="13">
        <v>391097.70754434599</v>
      </c>
      <c r="F132" s="13">
        <v>-24.092101918128201</v>
      </c>
      <c r="G132" s="13">
        <f t="shared" ref="G132:G195" si="36">NormalizeAzimuth(F132, TRUE)</f>
        <v>335.90789808187179</v>
      </c>
      <c r="H132" s="13">
        <v>-15.9751322788424</v>
      </c>
      <c r="I132" s="13">
        <f t="shared" ref="I132:I195" si="37">NormalizeAzimuth(H132, TRUE)</f>
        <v>344.02486772115759</v>
      </c>
      <c r="J132" s="11">
        <v>391097.70799999998</v>
      </c>
      <c r="K132" s="11">
        <v>335.90789799999999</v>
      </c>
      <c r="L132" s="12">
        <v>164.024868</v>
      </c>
      <c r="M132" s="18">
        <f t="shared" ref="M132:M195" si="38">NormalizeAzimuth(L132+180, TRUE)</f>
        <v>344.02486799999997</v>
      </c>
      <c r="N132" s="17">
        <f t="shared" si="29"/>
        <v>391097.70754434861</v>
      </c>
      <c r="O132" s="14">
        <f t="shared" si="30"/>
        <v>6.6974177822533767E-15</v>
      </c>
      <c r="P132" s="24">
        <f t="shared" si="31"/>
        <v>2.6193447411060333E-9</v>
      </c>
      <c r="Q132" s="2">
        <f t="shared" ref="Q132:Q195" si="39">ABS((J132-N132)/J132)</f>
        <v>1.1650576435188703E-9</v>
      </c>
      <c r="R132" s="19">
        <f t="shared" ref="R132:R195" si="40">ABS(J132-N132)</f>
        <v>4.5565137406811118E-4</v>
      </c>
      <c r="S132" s="16">
        <f t="shared" ref="S132:S195" si="41">VincentyInvFwdAzimuth($A132,$B132,$C132,$D132)</f>
        <v>335.90789808187651</v>
      </c>
      <c r="T132" s="23">
        <f t="shared" si="32"/>
        <v>4.7180037654470652E-12</v>
      </c>
      <c r="U132" s="22">
        <f t="shared" si="33"/>
        <v>8.1876521562662674E-8</v>
      </c>
      <c r="V132" s="16">
        <f t="shared" ref="V132:V195" si="42">VincentyInvRevAzimuth($A132,$B132,$C132,$D132)</f>
        <v>344.02486772116049</v>
      </c>
      <c r="W132" s="23">
        <f t="shared" si="34"/>
        <v>2.8990143619012088E-12</v>
      </c>
      <c r="X132" s="22">
        <f t="shared" si="35"/>
        <v>2.7883947950613219E-7</v>
      </c>
    </row>
    <row r="133" spans="1:24" x14ac:dyDescent="0.45">
      <c r="A133">
        <v>87.3874</v>
      </c>
      <c r="B133">
        <v>114.24518</v>
      </c>
      <c r="C133">
        <v>89.519850000000005</v>
      </c>
      <c r="D133">
        <v>121.92308</v>
      </c>
      <c r="E133" s="13">
        <v>238768.05651611299</v>
      </c>
      <c r="F133" s="13">
        <v>1.7200186994547</v>
      </c>
      <c r="G133" s="13">
        <f t="shared" si="36"/>
        <v>1.7200186994547</v>
      </c>
      <c r="H133" s="13">
        <v>9.3964560088270801</v>
      </c>
      <c r="I133" s="13">
        <f t="shared" si="37"/>
        <v>9.3964560088270801</v>
      </c>
      <c r="J133" s="9">
        <v>238768.057</v>
      </c>
      <c r="K133" s="9">
        <v>1.720019</v>
      </c>
      <c r="L133" s="10">
        <v>189.396456</v>
      </c>
      <c r="M133" s="18">
        <f t="shared" si="38"/>
        <v>9.3964560000000006</v>
      </c>
      <c r="N133" s="17">
        <f t="shared" si="29"/>
        <v>238768.05651624582</v>
      </c>
      <c r="O133" s="14">
        <f t="shared" si="30"/>
        <v>5.5631345391283001E-13</v>
      </c>
      <c r="P133" s="24">
        <f t="shared" si="31"/>
        <v>1.3282988220453262E-7</v>
      </c>
      <c r="Q133" s="2">
        <f t="shared" si="39"/>
        <v>2.0260422786632869E-9</v>
      </c>
      <c r="R133" s="19">
        <f t="shared" si="40"/>
        <v>4.8375417827628553E-4</v>
      </c>
      <c r="S133" s="16">
        <f t="shared" si="41"/>
        <v>1.720018699452285</v>
      </c>
      <c r="T133" s="23">
        <f t="shared" si="32"/>
        <v>2.4149571231646405E-12</v>
      </c>
      <c r="U133" s="22">
        <f t="shared" si="33"/>
        <v>3.0054771493759347E-7</v>
      </c>
      <c r="V133" s="16">
        <f t="shared" si="42"/>
        <v>9.396456008812077</v>
      </c>
      <c r="W133" s="23">
        <f t="shared" si="34"/>
        <v>1.5003109865574515E-11</v>
      </c>
      <c r="X133" s="22">
        <f t="shared" si="35"/>
        <v>8.8120764019095077E-9</v>
      </c>
    </row>
    <row r="134" spans="1:24" x14ac:dyDescent="0.45">
      <c r="A134">
        <v>-30.748570000000001</v>
      </c>
      <c r="B134">
        <v>-83.262690000000006</v>
      </c>
      <c r="C134">
        <v>-27.838360000000002</v>
      </c>
      <c r="D134">
        <v>-79.415970000000002</v>
      </c>
      <c r="E134" s="13">
        <v>493633.80519018398</v>
      </c>
      <c r="F134" s="13">
        <v>50.159550383876699</v>
      </c>
      <c r="G134" s="13">
        <f t="shared" si="36"/>
        <v>50.159550383876699</v>
      </c>
      <c r="H134" s="13">
        <v>48.276265851883998</v>
      </c>
      <c r="I134" s="13">
        <f t="shared" si="37"/>
        <v>48.276265851883998</v>
      </c>
      <c r="J134" s="11">
        <v>493633.80499999999</v>
      </c>
      <c r="K134" s="11">
        <v>50.159550000000003</v>
      </c>
      <c r="L134" s="12">
        <v>228.27626599999999</v>
      </c>
      <c r="M134" s="18">
        <f t="shared" si="38"/>
        <v>48.276265999999964</v>
      </c>
      <c r="N134" s="17">
        <f t="shared" si="29"/>
        <v>493633.80518860836</v>
      </c>
      <c r="O134" s="14">
        <f t="shared" si="30"/>
        <v>3.191886691511339E-12</v>
      </c>
      <c r="P134" s="24">
        <f t="shared" si="31"/>
        <v>1.5756231732666492E-6</v>
      </c>
      <c r="Q134" s="2">
        <f t="shared" si="39"/>
        <v>3.8208153674786981E-10</v>
      </c>
      <c r="R134" s="19">
        <f t="shared" si="40"/>
        <v>1.886083628050983E-4</v>
      </c>
      <c r="S134" s="16">
        <f t="shared" si="41"/>
        <v>50.15955038398986</v>
      </c>
      <c r="T134" s="23">
        <f t="shared" si="32"/>
        <v>1.1316103609715356E-10</v>
      </c>
      <c r="U134" s="22">
        <f t="shared" si="33"/>
        <v>3.8398985680032638E-7</v>
      </c>
      <c r="V134" s="16">
        <f t="shared" si="42"/>
        <v>48.276265851989912</v>
      </c>
      <c r="W134" s="23">
        <f t="shared" si="34"/>
        <v>1.0591350019240053E-10</v>
      </c>
      <c r="X134" s="22">
        <f t="shared" si="35"/>
        <v>1.480100522144312E-7</v>
      </c>
    </row>
    <row r="135" spans="1:24" x14ac:dyDescent="0.45">
      <c r="A135">
        <v>-86.095039999999997</v>
      </c>
      <c r="B135">
        <v>-122.08154</v>
      </c>
      <c r="C135">
        <v>-79.958640000000003</v>
      </c>
      <c r="D135">
        <v>-123.32622000000001</v>
      </c>
      <c r="E135" s="13">
        <v>685458.12361158</v>
      </c>
      <c r="F135" s="13">
        <v>-2.0300968477552601</v>
      </c>
      <c r="G135" s="13">
        <f t="shared" si="36"/>
        <v>357.96990315224474</v>
      </c>
      <c r="H135" s="13">
        <v>-0.79284935234600795</v>
      </c>
      <c r="I135" s="13">
        <f t="shared" si="37"/>
        <v>359.20715064765398</v>
      </c>
      <c r="J135" s="9">
        <v>685458.12399999995</v>
      </c>
      <c r="K135" s="9">
        <v>357.96990299999999</v>
      </c>
      <c r="L135" s="10">
        <v>179.20715100000001</v>
      </c>
      <c r="M135" s="18">
        <f t="shared" si="38"/>
        <v>359.20715100000001</v>
      </c>
      <c r="N135" s="17">
        <f t="shared" si="29"/>
        <v>685458.12361168186</v>
      </c>
      <c r="O135" s="14">
        <f t="shared" si="30"/>
        <v>1.4860631611142686E-13</v>
      </c>
      <c r="P135" s="24">
        <f t="shared" si="31"/>
        <v>1.0186340659856796E-7</v>
      </c>
      <c r="Q135" s="2">
        <f t="shared" si="39"/>
        <v>5.665088458410526E-10</v>
      </c>
      <c r="R135" s="19">
        <f t="shared" si="40"/>
        <v>3.8831809069961309E-4</v>
      </c>
      <c r="S135" s="16">
        <f t="shared" si="41"/>
        <v>357.9699031522448</v>
      </c>
      <c r="T135" s="23">
        <f t="shared" si="32"/>
        <v>5.6843418860808015E-14</v>
      </c>
      <c r="U135" s="22">
        <f t="shared" si="33"/>
        <v>1.5224480875986046E-7</v>
      </c>
      <c r="V135" s="16">
        <f t="shared" si="42"/>
        <v>359.20715064765398</v>
      </c>
      <c r="W135" s="23">
        <f t="shared" si="34"/>
        <v>0</v>
      </c>
      <c r="X135" s="22">
        <f t="shared" si="35"/>
        <v>3.5234603501521633E-7</v>
      </c>
    </row>
    <row r="136" spans="1:24" x14ac:dyDescent="0.45">
      <c r="A136">
        <v>-81.759990000000002</v>
      </c>
      <c r="B136">
        <v>-91.060910000000007</v>
      </c>
      <c r="C136">
        <v>-79.229420000000005</v>
      </c>
      <c r="D136">
        <v>-93.854990000000001</v>
      </c>
      <c r="E136" s="13">
        <v>287149.49519985</v>
      </c>
      <c r="F136" s="13">
        <v>-11.7163493261795</v>
      </c>
      <c r="G136" s="13">
        <f t="shared" si="36"/>
        <v>348.28365067382049</v>
      </c>
      <c r="H136" s="13">
        <v>-8.9599442773654996</v>
      </c>
      <c r="I136" s="13">
        <f t="shared" si="37"/>
        <v>351.04005572263452</v>
      </c>
      <c r="J136" s="11">
        <v>287149.495</v>
      </c>
      <c r="K136" s="11">
        <v>348.28365100000002</v>
      </c>
      <c r="L136" s="12">
        <v>171.04005599999999</v>
      </c>
      <c r="M136" s="18">
        <f t="shared" si="38"/>
        <v>351.04005599999999</v>
      </c>
      <c r="N136" s="17">
        <f t="shared" si="29"/>
        <v>287149.49519980338</v>
      </c>
      <c r="O136" s="14">
        <f t="shared" si="30"/>
        <v>1.6236955722049184E-13</v>
      </c>
      <c r="P136" s="24">
        <f t="shared" si="31"/>
        <v>4.6624336391687393E-8</v>
      </c>
      <c r="Q136" s="2">
        <f t="shared" si="39"/>
        <v>6.9581659553649767E-10</v>
      </c>
      <c r="R136" s="19">
        <f t="shared" si="40"/>
        <v>1.9980338402092457E-4</v>
      </c>
      <c r="S136" s="16">
        <f t="shared" si="41"/>
        <v>348.2836506738272</v>
      </c>
      <c r="T136" s="23">
        <f t="shared" si="32"/>
        <v>6.7075234255753458E-12</v>
      </c>
      <c r="U136" s="22">
        <f t="shared" si="33"/>
        <v>3.2617282386127044E-7</v>
      </c>
      <c r="V136" s="16">
        <f t="shared" si="42"/>
        <v>351.04005572263964</v>
      </c>
      <c r="W136" s="23">
        <f t="shared" si="34"/>
        <v>5.1159076974727213E-12</v>
      </c>
      <c r="X136" s="22">
        <f t="shared" si="35"/>
        <v>2.7736035690395511E-7</v>
      </c>
    </row>
    <row r="137" spans="1:24" x14ac:dyDescent="0.45">
      <c r="A137">
        <v>26.217780000000001</v>
      </c>
      <c r="B137">
        <v>39.974699999999999</v>
      </c>
      <c r="C137">
        <v>31.688939999999999</v>
      </c>
      <c r="D137">
        <v>34.081009999999999</v>
      </c>
      <c r="E137" s="13">
        <v>835019.12040121399</v>
      </c>
      <c r="F137" s="13">
        <v>-42.061147482661099</v>
      </c>
      <c r="G137" s="13">
        <f t="shared" si="36"/>
        <v>317.93885251733889</v>
      </c>
      <c r="H137" s="13">
        <v>-44.919472539146099</v>
      </c>
      <c r="I137" s="13">
        <f t="shared" si="37"/>
        <v>315.08052746085389</v>
      </c>
      <c r="J137" s="9">
        <v>835019.12</v>
      </c>
      <c r="K137" s="9">
        <v>317.93885299999999</v>
      </c>
      <c r="L137" s="10">
        <v>135.08052699999999</v>
      </c>
      <c r="M137" s="18">
        <f t="shared" si="38"/>
        <v>315.08052699999996</v>
      </c>
      <c r="N137" s="17">
        <f t="shared" si="29"/>
        <v>835019.12039802666</v>
      </c>
      <c r="O137" s="14">
        <f t="shared" si="30"/>
        <v>3.8170803738819563E-12</v>
      </c>
      <c r="P137" s="24">
        <f t="shared" si="31"/>
        <v>3.1873350962996483E-6</v>
      </c>
      <c r="Q137" s="2">
        <f t="shared" si="39"/>
        <v>4.7666772334349924E-10</v>
      </c>
      <c r="R137" s="19">
        <f t="shared" si="40"/>
        <v>3.9802666287869215E-4</v>
      </c>
      <c r="S137" s="16">
        <f t="shared" si="41"/>
        <v>317.93885251724413</v>
      </c>
      <c r="T137" s="23">
        <f t="shared" si="32"/>
        <v>9.4757979240966961E-11</v>
      </c>
      <c r="U137" s="22">
        <f t="shared" si="33"/>
        <v>4.8275586550516891E-7</v>
      </c>
      <c r="V137" s="16">
        <f t="shared" si="42"/>
        <v>315.08052746074918</v>
      </c>
      <c r="W137" s="23">
        <f t="shared" si="34"/>
        <v>1.0470557754160836E-10</v>
      </c>
      <c r="X137" s="22">
        <f t="shared" si="35"/>
        <v>4.6074922011030139E-7</v>
      </c>
    </row>
    <row r="138" spans="1:24" x14ac:dyDescent="0.45">
      <c r="A138">
        <v>-45.80874</v>
      </c>
      <c r="B138">
        <v>121.35634</v>
      </c>
      <c r="C138">
        <v>-51.185450000000003</v>
      </c>
      <c r="D138">
        <v>125.66355</v>
      </c>
      <c r="E138" s="13">
        <v>677065.11909908697</v>
      </c>
      <c r="F138" s="13">
        <v>153.563745378737</v>
      </c>
      <c r="G138" s="13">
        <f t="shared" si="36"/>
        <v>153.563745378737</v>
      </c>
      <c r="H138" s="13">
        <v>150.333751503701</v>
      </c>
      <c r="I138" s="13">
        <f t="shared" si="37"/>
        <v>150.333751503701</v>
      </c>
      <c r="J138" s="11">
        <v>677065.11899999995</v>
      </c>
      <c r="K138" s="11">
        <v>153.56374500000001</v>
      </c>
      <c r="L138" s="12">
        <v>330.333752</v>
      </c>
      <c r="M138" s="18">
        <f t="shared" si="38"/>
        <v>150.333752</v>
      </c>
      <c r="N138" s="17">
        <f t="shared" si="29"/>
        <v>677065.11909637437</v>
      </c>
      <c r="O138" s="14">
        <f t="shared" si="30"/>
        <v>4.0063995875298162E-12</v>
      </c>
      <c r="P138" s="24">
        <f t="shared" si="31"/>
        <v>2.7125934138894081E-6</v>
      </c>
      <c r="Q138" s="2">
        <f t="shared" si="39"/>
        <v>1.4234144023955841E-10</v>
      </c>
      <c r="R138" s="19">
        <f t="shared" si="40"/>
        <v>9.6374424174427986E-5</v>
      </c>
      <c r="S138" s="16">
        <f t="shared" si="41"/>
        <v>153.56374537880774</v>
      </c>
      <c r="T138" s="23">
        <f t="shared" si="32"/>
        <v>7.0741634772275575E-11</v>
      </c>
      <c r="U138" s="22">
        <f t="shared" si="33"/>
        <v>3.7880772651988082E-7</v>
      </c>
      <c r="V138" s="16">
        <f t="shared" si="42"/>
        <v>150.33375150378237</v>
      </c>
      <c r="W138" s="23">
        <f t="shared" si="34"/>
        <v>8.1371354099246673E-11</v>
      </c>
      <c r="X138" s="22">
        <f t="shared" si="35"/>
        <v>4.9621763764662319E-7</v>
      </c>
    </row>
    <row r="139" spans="1:24" x14ac:dyDescent="0.45">
      <c r="A139">
        <v>59.462240000000001</v>
      </c>
      <c r="B139">
        <v>-93.417720000000003</v>
      </c>
      <c r="C139">
        <v>57.374740000000003</v>
      </c>
      <c r="D139">
        <v>-97.694940000000003</v>
      </c>
      <c r="E139" s="13">
        <v>341268.40704400401</v>
      </c>
      <c r="F139" s="13">
        <v>-131.091417236182</v>
      </c>
      <c r="G139" s="13">
        <f t="shared" si="36"/>
        <v>228.908582763818</v>
      </c>
      <c r="H139" s="13">
        <v>-134.736233828455</v>
      </c>
      <c r="I139" s="13">
        <f t="shared" si="37"/>
        <v>225.263766171545</v>
      </c>
      <c r="J139" s="9">
        <v>341268.40700000001</v>
      </c>
      <c r="K139" s="9">
        <v>228.90858299999999</v>
      </c>
      <c r="L139" s="10">
        <v>45.263765999999997</v>
      </c>
      <c r="M139" s="18">
        <f t="shared" si="38"/>
        <v>225.263766</v>
      </c>
      <c r="N139" s="17">
        <f t="shared" si="29"/>
        <v>341268.40704323794</v>
      </c>
      <c r="O139" s="14">
        <f t="shared" si="30"/>
        <v>2.2447756940576262E-12</v>
      </c>
      <c r="P139" s="24">
        <f t="shared" si="31"/>
        <v>7.6607102528214455E-7</v>
      </c>
      <c r="Q139" s="2">
        <f t="shared" si="39"/>
        <v>1.2669772591948041E-10</v>
      </c>
      <c r="R139" s="19">
        <f t="shared" si="40"/>
        <v>4.3237931095063686E-5</v>
      </c>
      <c r="S139" s="16">
        <f t="shared" si="41"/>
        <v>228.9085827638304</v>
      </c>
      <c r="T139" s="23">
        <f t="shared" si="32"/>
        <v>1.2391865311656147E-11</v>
      </c>
      <c r="U139" s="22">
        <f t="shared" si="33"/>
        <v>2.3616959765604406E-7</v>
      </c>
      <c r="V139" s="16">
        <f t="shared" si="42"/>
        <v>225.26376617155574</v>
      </c>
      <c r="W139" s="23">
        <f t="shared" si="34"/>
        <v>1.0743406164692715E-11</v>
      </c>
      <c r="X139" s="22">
        <f t="shared" si="35"/>
        <v>1.7155574028038245E-7</v>
      </c>
    </row>
    <row r="140" spans="1:24" x14ac:dyDescent="0.45">
      <c r="A140">
        <v>56.531010000000002</v>
      </c>
      <c r="B140">
        <v>134.18917999999999</v>
      </c>
      <c r="C140">
        <v>55.455730000000003</v>
      </c>
      <c r="D140">
        <v>128.55419000000001</v>
      </c>
      <c r="E140" s="13">
        <v>371335.85204770399</v>
      </c>
      <c r="F140" s="13">
        <v>-106.45145100908999</v>
      </c>
      <c r="G140" s="13">
        <f t="shared" si="36"/>
        <v>253.54854899091001</v>
      </c>
      <c r="H140" s="13">
        <v>-111.124090787768</v>
      </c>
      <c r="I140" s="13">
        <f t="shared" si="37"/>
        <v>248.87590921223199</v>
      </c>
      <c r="J140" s="11">
        <v>371335.85200000001</v>
      </c>
      <c r="K140" s="11">
        <v>253.54854900000001</v>
      </c>
      <c r="L140" s="12">
        <v>68.875908999999993</v>
      </c>
      <c r="M140" s="18">
        <f t="shared" si="38"/>
        <v>248.87590899999998</v>
      </c>
      <c r="N140" s="17">
        <f t="shared" si="29"/>
        <v>371335.85204723536</v>
      </c>
      <c r="O140" s="14">
        <f t="shared" si="30"/>
        <v>1.2620108600613204E-12</v>
      </c>
      <c r="P140" s="24">
        <f t="shared" si="31"/>
        <v>4.686298780143261E-7</v>
      </c>
      <c r="Q140" s="2">
        <f t="shared" si="39"/>
        <v>1.2720382897015842E-10</v>
      </c>
      <c r="R140" s="19">
        <f t="shared" si="40"/>
        <v>4.7235342208296061E-5</v>
      </c>
      <c r="S140" s="16">
        <f t="shared" si="41"/>
        <v>253.54854899093135</v>
      </c>
      <c r="T140" s="23">
        <f t="shared" si="32"/>
        <v>2.134470378223341E-11</v>
      </c>
      <c r="U140" s="22">
        <f t="shared" si="33"/>
        <v>9.0686569365061587E-9</v>
      </c>
      <c r="V140" s="16">
        <f t="shared" si="42"/>
        <v>248.87590921224847</v>
      </c>
      <c r="W140" s="23">
        <f t="shared" si="34"/>
        <v>1.6484591469634324E-11</v>
      </c>
      <c r="X140" s="22">
        <f t="shared" si="35"/>
        <v>2.1224849433565396E-7</v>
      </c>
    </row>
    <row r="141" spans="1:24" x14ac:dyDescent="0.45">
      <c r="A141">
        <v>-6.6466700000000003</v>
      </c>
      <c r="B141">
        <v>19.346540000000001</v>
      </c>
      <c r="C141">
        <v>0.74245999999999401</v>
      </c>
      <c r="D141">
        <v>16.248339999999999</v>
      </c>
      <c r="E141" s="13">
        <v>886618.26168242295</v>
      </c>
      <c r="F141" s="13">
        <v>-22.956680699554099</v>
      </c>
      <c r="G141" s="13">
        <f t="shared" si="36"/>
        <v>337.04331930044589</v>
      </c>
      <c r="H141" s="13">
        <v>-22.796746905308002</v>
      </c>
      <c r="I141" s="13">
        <f t="shared" si="37"/>
        <v>337.203253094692</v>
      </c>
      <c r="J141" s="9">
        <v>886618.26199999999</v>
      </c>
      <c r="K141" s="9">
        <v>337.043319</v>
      </c>
      <c r="L141" s="10">
        <v>157.20325299999999</v>
      </c>
      <c r="M141" s="18">
        <f t="shared" si="38"/>
        <v>337.20325300000002</v>
      </c>
      <c r="N141" s="17">
        <f t="shared" si="29"/>
        <v>886618.26167655329</v>
      </c>
      <c r="O141" s="14">
        <f t="shared" si="30"/>
        <v>6.620279301912802E-12</v>
      </c>
      <c r="P141" s="24">
        <f t="shared" si="31"/>
        <v>5.8696605265140533E-6</v>
      </c>
      <c r="Q141" s="2">
        <f t="shared" si="39"/>
        <v>3.6480942724981916E-10</v>
      </c>
      <c r="R141" s="19">
        <f t="shared" si="40"/>
        <v>3.2344670034945011E-4</v>
      </c>
      <c r="S141" s="16">
        <f t="shared" si="41"/>
        <v>337.0433193004759</v>
      </c>
      <c r="T141" s="23">
        <f t="shared" si="32"/>
        <v>3.0013325158506632E-11</v>
      </c>
      <c r="U141" s="22">
        <f t="shared" si="33"/>
        <v>3.0047590371395927E-7</v>
      </c>
      <c r="V141" s="16">
        <f t="shared" si="42"/>
        <v>337.20325309472179</v>
      </c>
      <c r="W141" s="23">
        <f t="shared" si="34"/>
        <v>2.97859514830634E-11</v>
      </c>
      <c r="X141" s="22">
        <f t="shared" si="35"/>
        <v>9.4721769983152626E-8</v>
      </c>
    </row>
    <row r="142" spans="1:24" x14ac:dyDescent="0.45">
      <c r="A142">
        <v>41.651290000000003</v>
      </c>
      <c r="B142">
        <v>-150.10507000000001</v>
      </c>
      <c r="C142">
        <v>40.65954</v>
      </c>
      <c r="D142">
        <v>-144.91209000000001</v>
      </c>
      <c r="E142" s="13">
        <v>449504.43119072099</v>
      </c>
      <c r="F142" s="13">
        <v>102.461854923361</v>
      </c>
      <c r="G142" s="13">
        <f t="shared" si="36"/>
        <v>102.461854923361</v>
      </c>
      <c r="H142" s="13">
        <v>105.880834601693</v>
      </c>
      <c r="I142" s="13">
        <f t="shared" si="37"/>
        <v>105.880834601693</v>
      </c>
      <c r="J142" s="11">
        <v>449504.43099999998</v>
      </c>
      <c r="K142" s="11">
        <v>102.461855</v>
      </c>
      <c r="L142" s="12">
        <v>285.88083499999999</v>
      </c>
      <c r="M142" s="18">
        <f t="shared" si="38"/>
        <v>105.88083499999999</v>
      </c>
      <c r="N142" s="17">
        <f t="shared" si="29"/>
        <v>449504.43119129329</v>
      </c>
      <c r="O142" s="14">
        <f t="shared" si="30"/>
        <v>1.2731748173988308E-12</v>
      </c>
      <c r="P142" s="24">
        <f t="shared" si="31"/>
        <v>5.7229772210121155E-7</v>
      </c>
      <c r="Q142" s="2">
        <f t="shared" si="39"/>
        <v>4.2556489855837219E-10</v>
      </c>
      <c r="R142" s="19">
        <f t="shared" si="40"/>
        <v>1.9129330758005381E-4</v>
      </c>
      <c r="S142" s="16">
        <f t="shared" si="41"/>
        <v>102.46185492327429</v>
      </c>
      <c r="T142" s="23">
        <f t="shared" si="32"/>
        <v>8.6714635472162627E-11</v>
      </c>
      <c r="U142" s="22">
        <f t="shared" si="33"/>
        <v>7.6725712006009417E-8</v>
      </c>
      <c r="V142" s="16">
        <f t="shared" si="42"/>
        <v>105.88083460162551</v>
      </c>
      <c r="W142" s="23">
        <f t="shared" si="34"/>
        <v>6.7487349042494316E-11</v>
      </c>
      <c r="X142" s="22">
        <f t="shared" si="35"/>
        <v>3.9837448184698587E-7</v>
      </c>
    </row>
    <row r="143" spans="1:24" x14ac:dyDescent="0.45">
      <c r="A143">
        <v>74.634600000000006</v>
      </c>
      <c r="B143">
        <v>-110.99214000000001</v>
      </c>
      <c r="C143">
        <v>70.51173</v>
      </c>
      <c r="D143">
        <v>-109.96983</v>
      </c>
      <c r="E143" s="13">
        <v>461332.05467058002</v>
      </c>
      <c r="F143" s="13">
        <v>175.26138437749299</v>
      </c>
      <c r="G143" s="13">
        <f t="shared" si="36"/>
        <v>175.26138437749299</v>
      </c>
      <c r="H143" s="13">
        <v>176.23740470944</v>
      </c>
      <c r="I143" s="13">
        <f t="shared" si="37"/>
        <v>176.23740470944</v>
      </c>
      <c r="J143" s="9">
        <v>461332.05499999999</v>
      </c>
      <c r="K143" s="9">
        <v>175.26138399999999</v>
      </c>
      <c r="L143" s="10">
        <v>356.23740500000002</v>
      </c>
      <c r="M143" s="18">
        <f t="shared" si="38"/>
        <v>176.23740500000008</v>
      </c>
      <c r="N143" s="17">
        <f t="shared" si="29"/>
        <v>461332.0546698785</v>
      </c>
      <c r="O143" s="14">
        <f t="shared" si="30"/>
        <v>1.5206372985073355E-12</v>
      </c>
      <c r="P143" s="24">
        <f t="shared" si="31"/>
        <v>7.0151872932910919E-7</v>
      </c>
      <c r="Q143" s="2">
        <f t="shared" si="39"/>
        <v>7.1558324565527811E-10</v>
      </c>
      <c r="R143" s="19">
        <f t="shared" si="40"/>
        <v>3.3012148924171925E-4</v>
      </c>
      <c r="S143" s="16">
        <f t="shared" si="41"/>
        <v>175.2613843776162</v>
      </c>
      <c r="T143" s="23">
        <f t="shared" si="32"/>
        <v>1.2320811038080137E-10</v>
      </c>
      <c r="U143" s="22">
        <f t="shared" si="33"/>
        <v>3.7761620319542999E-7</v>
      </c>
      <c r="V143" s="16">
        <f t="shared" si="42"/>
        <v>176.23740470953837</v>
      </c>
      <c r="W143" s="23">
        <f t="shared" si="34"/>
        <v>9.836753633862827E-11</v>
      </c>
      <c r="X143" s="22">
        <f t="shared" si="35"/>
        <v>2.9046171334812243E-7</v>
      </c>
    </row>
    <row r="144" spans="1:24" x14ac:dyDescent="0.45">
      <c r="A144">
        <v>-10.3453</v>
      </c>
      <c r="B144">
        <v>170.51176000000001</v>
      </c>
      <c r="C144">
        <v>-1.0983399999999901</v>
      </c>
      <c r="D144">
        <v>169.86117999999999</v>
      </c>
      <c r="E144" s="13">
        <v>1025130.22876218</v>
      </c>
      <c r="F144" s="13">
        <v>-4.0679496750470499</v>
      </c>
      <c r="G144" s="13">
        <f t="shared" si="36"/>
        <v>355.93205032495297</v>
      </c>
      <c r="H144" s="13">
        <v>-4.0028743167872998</v>
      </c>
      <c r="I144" s="13">
        <f t="shared" si="37"/>
        <v>355.99712568321269</v>
      </c>
      <c r="J144" s="11">
        <v>1025130.2290000001</v>
      </c>
      <c r="K144" s="11">
        <v>355.93205</v>
      </c>
      <c r="L144" s="12">
        <v>175.99712600000001</v>
      </c>
      <c r="M144" s="18">
        <f t="shared" si="38"/>
        <v>355.99712599999998</v>
      </c>
      <c r="N144" s="17">
        <f t="shared" si="29"/>
        <v>1025130.2287561676</v>
      </c>
      <c r="O144" s="14">
        <f t="shared" si="30"/>
        <v>5.8649969949024781E-12</v>
      </c>
      <c r="P144" s="24">
        <f t="shared" si="31"/>
        <v>6.0123857110738754E-6</v>
      </c>
      <c r="Q144" s="2">
        <f t="shared" si="39"/>
        <v>2.3785512000848829E-10</v>
      </c>
      <c r="R144" s="19">
        <f t="shared" si="40"/>
        <v>2.438324736431241E-4</v>
      </c>
      <c r="S144" s="16">
        <f t="shared" si="41"/>
        <v>355.93205032495985</v>
      </c>
      <c r="T144" s="23">
        <f t="shared" si="32"/>
        <v>6.8780536821577698E-12</v>
      </c>
      <c r="U144" s="22">
        <f t="shared" si="33"/>
        <v>3.2495984214619966E-7</v>
      </c>
      <c r="V144" s="16">
        <f t="shared" si="42"/>
        <v>355.99712568321951</v>
      </c>
      <c r="W144" s="23">
        <f t="shared" si="34"/>
        <v>6.8212102632969618E-12</v>
      </c>
      <c r="X144" s="22">
        <f t="shared" si="35"/>
        <v>3.1678047207606141E-7</v>
      </c>
    </row>
    <row r="145" spans="1:24" x14ac:dyDescent="0.45">
      <c r="A145">
        <v>-62.215910000000001</v>
      </c>
      <c r="B145">
        <v>-136.40989999999999</v>
      </c>
      <c r="C145">
        <v>-61.638330000000003</v>
      </c>
      <c r="D145">
        <v>-134.16086999999999</v>
      </c>
      <c r="E145" s="13">
        <v>134515.370374964</v>
      </c>
      <c r="F145" s="13">
        <v>62.4091627681047</v>
      </c>
      <c r="G145" s="13">
        <f t="shared" si="36"/>
        <v>62.4091627681047</v>
      </c>
      <c r="H145" s="13">
        <v>60.424650054779796</v>
      </c>
      <c r="I145" s="13">
        <f t="shared" si="37"/>
        <v>60.424650054779796</v>
      </c>
      <c r="J145" s="9">
        <v>134515.37</v>
      </c>
      <c r="K145" s="9">
        <v>62.409162999999999</v>
      </c>
      <c r="L145" s="10">
        <v>240.42465000000001</v>
      </c>
      <c r="M145" s="18">
        <f t="shared" si="38"/>
        <v>60.424650000000042</v>
      </c>
      <c r="N145" s="17">
        <f t="shared" si="29"/>
        <v>134515.37037482395</v>
      </c>
      <c r="O145" s="14">
        <f t="shared" si="30"/>
        <v>1.0411273579176663E-12</v>
      </c>
      <c r="P145" s="24">
        <f t="shared" si="31"/>
        <v>1.4004763215780258E-7</v>
      </c>
      <c r="Q145" s="2">
        <f t="shared" si="39"/>
        <v>2.7864767735404231E-9</v>
      </c>
      <c r="R145" s="19">
        <f t="shared" si="40"/>
        <v>3.7482395418919623E-4</v>
      </c>
      <c r="S145" s="16">
        <f t="shared" si="41"/>
        <v>62.409162768127899</v>
      </c>
      <c r="T145" s="23">
        <f t="shared" si="32"/>
        <v>2.3199220322567271E-11</v>
      </c>
      <c r="U145" s="22">
        <f t="shared" si="33"/>
        <v>2.3187210018704718E-7</v>
      </c>
      <c r="V145" s="16">
        <f t="shared" si="42"/>
        <v>60.424650054801141</v>
      </c>
      <c r="W145" s="23">
        <f t="shared" si="34"/>
        <v>2.134470378223341E-11</v>
      </c>
      <c r="X145" s="22">
        <f t="shared" si="35"/>
        <v>5.4801098769985401E-8</v>
      </c>
    </row>
    <row r="146" spans="1:24" x14ac:dyDescent="0.45">
      <c r="A146">
        <v>-61.219189999999998</v>
      </c>
      <c r="B146">
        <v>146.68601000000001</v>
      </c>
      <c r="C146">
        <v>-67.652640000000005</v>
      </c>
      <c r="D146">
        <v>145.70180999999999</v>
      </c>
      <c r="E146" s="13">
        <v>718764.12713635096</v>
      </c>
      <c r="F146" s="13">
        <v>-176.66101862009501</v>
      </c>
      <c r="G146" s="13">
        <f t="shared" si="36"/>
        <v>183.33898137990499</v>
      </c>
      <c r="H146" s="13">
        <v>-175.771762401731</v>
      </c>
      <c r="I146" s="13">
        <f t="shared" si="37"/>
        <v>184.228237598269</v>
      </c>
      <c r="J146" s="11">
        <v>718764.12699999998</v>
      </c>
      <c r="K146" s="11">
        <v>183.33898099999999</v>
      </c>
      <c r="L146" s="12">
        <v>4.2282380000000002</v>
      </c>
      <c r="M146" s="18">
        <f t="shared" si="38"/>
        <v>184.228238</v>
      </c>
      <c r="N146" s="17">
        <f t="shared" si="29"/>
        <v>718764.12713467178</v>
      </c>
      <c r="O146" s="14">
        <f t="shared" si="30"/>
        <v>2.33619700627208E-12</v>
      </c>
      <c r="P146" s="24">
        <f t="shared" si="31"/>
        <v>1.6791746020317078E-6</v>
      </c>
      <c r="Q146" s="2">
        <f t="shared" si="39"/>
        <v>1.8736578575307555E-10</v>
      </c>
      <c r="R146" s="19">
        <f t="shared" si="40"/>
        <v>1.3467180542647839E-4</v>
      </c>
      <c r="S146" s="16">
        <f t="shared" si="41"/>
        <v>183.33898137990599</v>
      </c>
      <c r="T146" s="23">
        <f t="shared" si="32"/>
        <v>9.9475983006414026E-13</v>
      </c>
      <c r="U146" s="22">
        <f t="shared" si="33"/>
        <v>3.7990599821569049E-7</v>
      </c>
      <c r="V146" s="16">
        <f t="shared" si="42"/>
        <v>184.22823759826986</v>
      </c>
      <c r="W146" s="23">
        <f t="shared" si="34"/>
        <v>8.5265128291212022E-13</v>
      </c>
      <c r="X146" s="22">
        <f t="shared" si="35"/>
        <v>4.0173014781430538E-7</v>
      </c>
    </row>
    <row r="147" spans="1:24" x14ac:dyDescent="0.45">
      <c r="A147">
        <v>-5.2584999999999997</v>
      </c>
      <c r="B147">
        <v>22.315850000000001</v>
      </c>
      <c r="C147">
        <v>-13.997019999999999</v>
      </c>
      <c r="D147">
        <v>12.334949999999999</v>
      </c>
      <c r="E147" s="13">
        <v>1460060.2163299799</v>
      </c>
      <c r="F147" s="13">
        <v>-132.160332431493</v>
      </c>
      <c r="G147" s="13">
        <f t="shared" si="36"/>
        <v>227.839667568507</v>
      </c>
      <c r="H147" s="13">
        <v>-130.48202239538699</v>
      </c>
      <c r="I147" s="13">
        <f t="shared" si="37"/>
        <v>229.51797760461301</v>
      </c>
      <c r="J147" s="9">
        <v>1460060.216</v>
      </c>
      <c r="K147" s="9">
        <v>227.83966799999999</v>
      </c>
      <c r="L147" s="10">
        <v>49.517977999999999</v>
      </c>
      <c r="M147" s="18">
        <f t="shared" si="38"/>
        <v>229.517978</v>
      </c>
      <c r="N147" s="17">
        <f t="shared" si="29"/>
        <v>1460060.2163203303</v>
      </c>
      <c r="O147" s="14">
        <f t="shared" si="30"/>
        <v>6.6090877063208469E-12</v>
      </c>
      <c r="P147" s="24">
        <f t="shared" si="31"/>
        <v>9.6496660262346268E-6</v>
      </c>
      <c r="Q147" s="2">
        <f t="shared" si="39"/>
        <v>2.1939524046598848E-10</v>
      </c>
      <c r="R147" s="19">
        <f t="shared" si="40"/>
        <v>3.2033026218414307E-4</v>
      </c>
      <c r="S147" s="16">
        <f t="shared" si="41"/>
        <v>227.83966756852081</v>
      </c>
      <c r="T147" s="23">
        <f t="shared" si="32"/>
        <v>1.3812950783176348E-11</v>
      </c>
      <c r="U147" s="22">
        <f t="shared" si="33"/>
        <v>4.3147917949681869E-7</v>
      </c>
      <c r="V147" s="16">
        <f t="shared" si="42"/>
        <v>229.51797760462782</v>
      </c>
      <c r="W147" s="23">
        <f t="shared" si="34"/>
        <v>1.4807710613240488E-11</v>
      </c>
      <c r="X147" s="22">
        <f t="shared" si="35"/>
        <v>3.9537218299301458E-7</v>
      </c>
    </row>
    <row r="148" spans="1:24" x14ac:dyDescent="0.45">
      <c r="A148">
        <v>-4.44231</v>
      </c>
      <c r="B148">
        <v>114.01277</v>
      </c>
      <c r="C148">
        <v>-13.062060000000001</v>
      </c>
      <c r="D148">
        <v>117.63001</v>
      </c>
      <c r="E148" s="13">
        <v>1032952.81590325</v>
      </c>
      <c r="F148" s="13">
        <v>157.59052845007901</v>
      </c>
      <c r="G148" s="13">
        <f t="shared" si="36"/>
        <v>157.59052845007901</v>
      </c>
      <c r="H148" s="13">
        <v>157.03837736846299</v>
      </c>
      <c r="I148" s="13">
        <f t="shared" si="37"/>
        <v>157.03837736846299</v>
      </c>
      <c r="J148" s="11">
        <v>1032952.816</v>
      </c>
      <c r="K148" s="11">
        <v>157.59052800000001</v>
      </c>
      <c r="L148" s="12">
        <v>337.03837700000003</v>
      </c>
      <c r="M148" s="18">
        <f t="shared" si="38"/>
        <v>157.03837700000008</v>
      </c>
      <c r="N148" s="17">
        <f t="shared" si="29"/>
        <v>1032952.8158964519</v>
      </c>
      <c r="O148" s="14">
        <f t="shared" si="30"/>
        <v>6.5812035297463089E-12</v>
      </c>
      <c r="P148" s="24">
        <f t="shared" si="31"/>
        <v>6.7980727180838585E-6</v>
      </c>
      <c r="Q148" s="2">
        <f t="shared" si="39"/>
        <v>1.0024470732526231E-10</v>
      </c>
      <c r="R148" s="19">
        <f t="shared" si="40"/>
        <v>1.0354805272072554E-4</v>
      </c>
      <c r="S148" s="16">
        <f t="shared" si="41"/>
        <v>157.59052845009023</v>
      </c>
      <c r="T148" s="23">
        <f t="shared" si="32"/>
        <v>1.1226575225009583E-11</v>
      </c>
      <c r="U148" s="22">
        <f t="shared" si="33"/>
        <v>4.5009022642261698E-7</v>
      </c>
      <c r="V148" s="16">
        <f t="shared" si="42"/>
        <v>157.03837736847379</v>
      </c>
      <c r="W148" s="23">
        <f t="shared" si="34"/>
        <v>1.0800249583553523E-11</v>
      </c>
      <c r="X148" s="22">
        <f t="shared" si="35"/>
        <v>3.6847370665782364E-7</v>
      </c>
    </row>
    <row r="149" spans="1:24" x14ac:dyDescent="0.45">
      <c r="A149">
        <v>39.652729999999998</v>
      </c>
      <c r="B149">
        <v>120.16179</v>
      </c>
      <c r="C149">
        <v>34.303220000000003</v>
      </c>
      <c r="D149">
        <v>113.30732</v>
      </c>
      <c r="E149" s="13">
        <v>850898.26533784799</v>
      </c>
      <c r="F149" s="13">
        <v>-132.09896266746901</v>
      </c>
      <c r="G149" s="13">
        <f t="shared" si="36"/>
        <v>227.90103733253099</v>
      </c>
      <c r="H149" s="13">
        <v>-136.229643935572</v>
      </c>
      <c r="I149" s="13">
        <f t="shared" si="37"/>
        <v>223.770356064428</v>
      </c>
      <c r="J149" s="9">
        <v>850898.26500000001</v>
      </c>
      <c r="K149" s="9">
        <v>227.901037</v>
      </c>
      <c r="L149" s="10">
        <v>43.770356</v>
      </c>
      <c r="M149" s="18">
        <f t="shared" si="38"/>
        <v>223.77035599999999</v>
      </c>
      <c r="N149" s="17">
        <f t="shared" si="29"/>
        <v>850898.26533546846</v>
      </c>
      <c r="O149" s="14">
        <f t="shared" si="30"/>
        <v>2.7964908086841132E-12</v>
      </c>
      <c r="P149" s="24">
        <f t="shared" si="31"/>
        <v>2.3795291781425476E-6</v>
      </c>
      <c r="Q149" s="2">
        <f t="shared" si="39"/>
        <v>3.9425212010889501E-10</v>
      </c>
      <c r="R149" s="19">
        <f t="shared" si="40"/>
        <v>3.3546844497323036E-4</v>
      </c>
      <c r="S149" s="16">
        <f t="shared" si="41"/>
        <v>227.9010373326351</v>
      </c>
      <c r="T149" s="23">
        <f t="shared" si="32"/>
        <v>1.0410872164356988E-10</v>
      </c>
      <c r="U149" s="22">
        <f t="shared" si="33"/>
        <v>3.3263509635617083E-7</v>
      </c>
      <c r="V149" s="16">
        <f t="shared" si="42"/>
        <v>223.77035606451807</v>
      </c>
      <c r="W149" s="23">
        <f t="shared" si="34"/>
        <v>9.00683971849503E-11</v>
      </c>
      <c r="X149" s="22">
        <f t="shared" si="35"/>
        <v>6.4518076214881148E-8</v>
      </c>
    </row>
    <row r="150" spans="1:24" x14ac:dyDescent="0.45">
      <c r="A150">
        <v>28.54571</v>
      </c>
      <c r="B150">
        <v>-104.90599</v>
      </c>
      <c r="C150">
        <v>26.677990000000001</v>
      </c>
      <c r="D150">
        <v>-106.61301</v>
      </c>
      <c r="E150" s="13">
        <v>266878.65594618302</v>
      </c>
      <c r="F150" s="13">
        <v>-140.450223809395</v>
      </c>
      <c r="G150" s="13">
        <f t="shared" si="36"/>
        <v>219.549776190605</v>
      </c>
      <c r="H150" s="13">
        <v>-141.24154393200399</v>
      </c>
      <c r="I150" s="13">
        <f t="shared" si="37"/>
        <v>218.75845606799601</v>
      </c>
      <c r="J150" s="11">
        <v>266878.65600000002</v>
      </c>
      <c r="K150" s="11">
        <v>219.54977600000001</v>
      </c>
      <c r="L150" s="12">
        <v>38.758456000000002</v>
      </c>
      <c r="M150" s="18">
        <f t="shared" si="38"/>
        <v>218.758456</v>
      </c>
      <c r="N150" s="17">
        <f t="shared" si="29"/>
        <v>266878.65594502137</v>
      </c>
      <c r="O150" s="14">
        <f t="shared" si="30"/>
        <v>4.3527283391457114E-12</v>
      </c>
      <c r="P150" s="24">
        <f t="shared" si="31"/>
        <v>1.161650288850069E-6</v>
      </c>
      <c r="Q150" s="2">
        <f t="shared" si="39"/>
        <v>2.0600616758184555E-10</v>
      </c>
      <c r="R150" s="19">
        <f t="shared" si="40"/>
        <v>5.4978649131953716E-5</v>
      </c>
      <c r="S150" s="16">
        <f t="shared" si="41"/>
        <v>219.5497761906976</v>
      </c>
      <c r="T150" s="23">
        <f t="shared" si="32"/>
        <v>9.2597929324256256E-11</v>
      </c>
      <c r="U150" s="22">
        <f t="shared" si="33"/>
        <v>1.9069759105150297E-7</v>
      </c>
      <c r="V150" s="16">
        <f t="shared" si="42"/>
        <v>218.75845606808585</v>
      </c>
      <c r="W150" s="23">
        <f t="shared" si="34"/>
        <v>8.9841023509507068E-11</v>
      </c>
      <c r="X150" s="22">
        <f t="shared" si="35"/>
        <v>6.8085853399679763E-8</v>
      </c>
    </row>
    <row r="151" spans="1:24" x14ac:dyDescent="0.45">
      <c r="A151">
        <v>83.346080000000001</v>
      </c>
      <c r="B151">
        <v>163.97327999999999</v>
      </c>
      <c r="C151">
        <v>78.22466</v>
      </c>
      <c r="D151">
        <v>162.52670000000001</v>
      </c>
      <c r="E151" s="13">
        <v>572419.94641002105</v>
      </c>
      <c r="F151" s="13">
        <v>-176.694153377455</v>
      </c>
      <c r="G151" s="13">
        <f t="shared" si="36"/>
        <v>183.305846622545</v>
      </c>
      <c r="H151" s="13">
        <v>-178.12349508303899</v>
      </c>
      <c r="I151" s="13">
        <f t="shared" si="37"/>
        <v>181.87650491696101</v>
      </c>
      <c r="J151" s="9">
        <v>572419.946</v>
      </c>
      <c r="K151" s="9">
        <v>183.305847</v>
      </c>
      <c r="L151" s="10">
        <v>1.8765050000000001</v>
      </c>
      <c r="M151" s="18">
        <f t="shared" si="38"/>
        <v>181.87650500000001</v>
      </c>
      <c r="N151" s="17">
        <f t="shared" si="29"/>
        <v>572419.94640994794</v>
      </c>
      <c r="O151" s="14">
        <f t="shared" si="30"/>
        <v>1.2771885844618637E-13</v>
      </c>
      <c r="P151" s="24">
        <f t="shared" si="31"/>
        <v>7.3108822107315063E-8</v>
      </c>
      <c r="Q151" s="2">
        <f t="shared" si="39"/>
        <v>7.1616641583578874E-10</v>
      </c>
      <c r="R151" s="19">
        <f t="shared" si="40"/>
        <v>4.0994794107973576E-4</v>
      </c>
      <c r="S151" s="16">
        <f t="shared" si="41"/>
        <v>183.30584662254333</v>
      </c>
      <c r="T151" s="23">
        <f t="shared" si="32"/>
        <v>1.6768808563938364E-12</v>
      </c>
      <c r="U151" s="22">
        <f t="shared" si="33"/>
        <v>3.7745667214039713E-7</v>
      </c>
      <c r="V151" s="16">
        <f t="shared" si="42"/>
        <v>181.87650491696024</v>
      </c>
      <c r="W151" s="23">
        <f t="shared" si="34"/>
        <v>7.673861546209082E-13</v>
      </c>
      <c r="X151" s="22">
        <f t="shared" si="35"/>
        <v>8.3039765286230249E-8</v>
      </c>
    </row>
    <row r="152" spans="1:24" x14ac:dyDescent="0.45">
      <c r="A152">
        <v>23.916180000000001</v>
      </c>
      <c r="B152">
        <v>60.610059999999997</v>
      </c>
      <c r="C152">
        <v>24.405830000000002</v>
      </c>
      <c r="D152">
        <v>50.715510000000002</v>
      </c>
      <c r="E152" s="13">
        <v>1006778.5685468999</v>
      </c>
      <c r="F152" s="13">
        <v>-84.891246711831698</v>
      </c>
      <c r="G152" s="13">
        <f t="shared" si="36"/>
        <v>275.10875328816832</v>
      </c>
      <c r="H152" s="13">
        <v>-88.949589135534197</v>
      </c>
      <c r="I152" s="13">
        <f t="shared" si="37"/>
        <v>271.05041086446579</v>
      </c>
      <c r="J152" s="11">
        <v>1006778.569</v>
      </c>
      <c r="K152" s="11">
        <v>275.10875299999998</v>
      </c>
      <c r="L152" s="12">
        <v>91.050410999999997</v>
      </c>
      <c r="M152" s="18">
        <f t="shared" si="38"/>
        <v>271.050411</v>
      </c>
      <c r="N152" s="17">
        <f t="shared" si="29"/>
        <v>1006778.5685472348</v>
      </c>
      <c r="O152" s="14">
        <f t="shared" si="30"/>
        <v>3.3255621050565465E-13</v>
      </c>
      <c r="P152" s="24">
        <f t="shared" si="31"/>
        <v>3.3481046557426453E-7</v>
      </c>
      <c r="Q152" s="2">
        <f t="shared" si="39"/>
        <v>4.497168270742548E-10</v>
      </c>
      <c r="R152" s="19">
        <f t="shared" si="40"/>
        <v>4.5276526361703873E-4</v>
      </c>
      <c r="S152" s="16">
        <f t="shared" si="41"/>
        <v>275.10875328816167</v>
      </c>
      <c r="T152" s="23">
        <f t="shared" si="32"/>
        <v>6.6506800067145377E-12</v>
      </c>
      <c r="U152" s="22">
        <f t="shared" si="33"/>
        <v>2.8816168651246699E-7</v>
      </c>
      <c r="V152" s="16">
        <f t="shared" si="42"/>
        <v>271.05041086443362</v>
      </c>
      <c r="W152" s="23">
        <f t="shared" si="34"/>
        <v>3.2173375075217336E-11</v>
      </c>
      <c r="X152" s="22">
        <f t="shared" si="35"/>
        <v>1.3556638123191078E-7</v>
      </c>
    </row>
    <row r="153" spans="1:24" x14ac:dyDescent="0.45">
      <c r="A153">
        <v>78.375900000000001</v>
      </c>
      <c r="B153">
        <v>47.253549999999997</v>
      </c>
      <c r="C153">
        <v>74.362870000000001</v>
      </c>
      <c r="D153">
        <v>55.257429999999999</v>
      </c>
      <c r="E153" s="13">
        <v>494006.02837814199</v>
      </c>
      <c r="F153" s="13">
        <v>150.885033778109</v>
      </c>
      <c r="G153" s="13">
        <f t="shared" si="36"/>
        <v>150.885033778109</v>
      </c>
      <c r="H153" s="13">
        <v>158.66894761406499</v>
      </c>
      <c r="I153" s="13">
        <f t="shared" si="37"/>
        <v>158.66894761406499</v>
      </c>
      <c r="J153" s="9">
        <v>494006.02799999999</v>
      </c>
      <c r="K153" s="9">
        <v>150.88503399999999</v>
      </c>
      <c r="L153" s="10">
        <v>338.668948</v>
      </c>
      <c r="M153" s="18">
        <f t="shared" si="38"/>
        <v>158.668948</v>
      </c>
      <c r="N153" s="17">
        <f t="shared" si="29"/>
        <v>494006.02837731462</v>
      </c>
      <c r="O153" s="14">
        <f t="shared" si="30"/>
        <v>1.6748048499333529E-12</v>
      </c>
      <c r="P153" s="24">
        <f t="shared" si="31"/>
        <v>8.2736369222402573E-7</v>
      </c>
      <c r="Q153" s="2">
        <f t="shared" si="39"/>
        <v>7.6378547934612058E-10</v>
      </c>
      <c r="R153" s="19">
        <f t="shared" si="40"/>
        <v>3.7731463089585304E-4</v>
      </c>
      <c r="S153" s="16">
        <f t="shared" si="41"/>
        <v>150.88503377825933</v>
      </c>
      <c r="T153" s="23">
        <f t="shared" si="32"/>
        <v>1.503224211774068E-10</v>
      </c>
      <c r="U153" s="22">
        <f t="shared" si="33"/>
        <v>2.2174066316438257E-7</v>
      </c>
      <c r="V153" s="16">
        <f t="shared" si="42"/>
        <v>158.66894761416967</v>
      </c>
      <c r="W153" s="23">
        <f t="shared" si="34"/>
        <v>1.0467715583217796E-10</v>
      </c>
      <c r="X153" s="22">
        <f t="shared" si="35"/>
        <v>3.8583033301620162E-7</v>
      </c>
    </row>
    <row r="154" spans="1:24" x14ac:dyDescent="0.45">
      <c r="A154">
        <v>28.515889999999999</v>
      </c>
      <c r="B154">
        <v>-44.689579999999999</v>
      </c>
      <c r="C154">
        <v>35.692520000000002</v>
      </c>
      <c r="D154">
        <v>-35.835720000000002</v>
      </c>
      <c r="E154" s="13">
        <v>1152949.1242573999</v>
      </c>
      <c r="F154" s="13">
        <v>44.1146589261391</v>
      </c>
      <c r="G154" s="13">
        <f t="shared" si="36"/>
        <v>44.1146589261391</v>
      </c>
      <c r="H154" s="13">
        <v>48.836174024630502</v>
      </c>
      <c r="I154" s="13">
        <f t="shared" si="37"/>
        <v>48.836174024630502</v>
      </c>
      <c r="J154" s="11">
        <v>1152949.1240000001</v>
      </c>
      <c r="K154" s="11">
        <v>44.114659000000003</v>
      </c>
      <c r="L154" s="12">
        <v>228.836174</v>
      </c>
      <c r="M154" s="18">
        <f t="shared" si="38"/>
        <v>48.836174000000028</v>
      </c>
      <c r="N154" s="17">
        <f t="shared" si="29"/>
        <v>1152949.1242537459</v>
      </c>
      <c r="O154" s="14">
        <f t="shared" si="30"/>
        <v>3.169302135388978E-12</v>
      </c>
      <c r="P154" s="24">
        <f t="shared" si="31"/>
        <v>3.65404412150383E-6</v>
      </c>
      <c r="Q154" s="2">
        <f t="shared" si="39"/>
        <v>2.2008414342946907E-10</v>
      </c>
      <c r="R154" s="19">
        <f t="shared" si="40"/>
        <v>2.5374582037329674E-4</v>
      </c>
      <c r="S154" s="16">
        <f t="shared" si="41"/>
        <v>44.11465892623572</v>
      </c>
      <c r="T154" s="23">
        <f t="shared" si="32"/>
        <v>9.6619601208658423E-11</v>
      </c>
      <c r="U154" s="22">
        <f t="shared" si="33"/>
        <v>7.3764283570199041E-8</v>
      </c>
      <c r="V154" s="16">
        <f t="shared" si="42"/>
        <v>48.836174024744359</v>
      </c>
      <c r="W154" s="23">
        <f t="shared" si="34"/>
        <v>1.1385736797819845E-10</v>
      </c>
      <c r="X154" s="22">
        <f t="shared" si="35"/>
        <v>2.4744331028614397E-8</v>
      </c>
    </row>
    <row r="155" spans="1:24" x14ac:dyDescent="0.45">
      <c r="A155">
        <v>11.04585</v>
      </c>
      <c r="B155">
        <v>-141.90440000000001</v>
      </c>
      <c r="C155">
        <v>6.7511800000000104</v>
      </c>
      <c r="D155">
        <v>-138.75908000000001</v>
      </c>
      <c r="E155" s="13">
        <v>587572.56992700603</v>
      </c>
      <c r="F155" s="13">
        <v>143.67670966705501</v>
      </c>
      <c r="G155" s="13">
        <f t="shared" si="36"/>
        <v>143.67670966705501</v>
      </c>
      <c r="H155" s="13">
        <v>144.16370634258001</v>
      </c>
      <c r="I155" s="13">
        <f t="shared" si="37"/>
        <v>144.16370634258001</v>
      </c>
      <c r="J155" s="9">
        <v>587572.56999999995</v>
      </c>
      <c r="K155" s="9">
        <v>143.67671000000001</v>
      </c>
      <c r="L155" s="10">
        <v>324.16370599999999</v>
      </c>
      <c r="M155" s="18">
        <f t="shared" si="38"/>
        <v>144.16370599999999</v>
      </c>
      <c r="N155" s="17">
        <f t="shared" si="29"/>
        <v>587572.569922984</v>
      </c>
      <c r="O155" s="14">
        <f t="shared" si="30"/>
        <v>6.8451680007772098E-12</v>
      </c>
      <c r="P155" s="24">
        <f t="shared" si="31"/>
        <v>4.0220329537987709E-6</v>
      </c>
      <c r="Q155" s="2">
        <f t="shared" si="39"/>
        <v>1.3107479326080634E-10</v>
      </c>
      <c r="R155" s="19">
        <f t="shared" si="40"/>
        <v>7.701595313847065E-5</v>
      </c>
      <c r="S155" s="16">
        <f t="shared" si="41"/>
        <v>143.67670966705666</v>
      </c>
      <c r="T155" s="23">
        <f t="shared" si="32"/>
        <v>1.6484591469634324E-12</v>
      </c>
      <c r="U155" s="22">
        <f t="shared" si="33"/>
        <v>3.32943358216653E-7</v>
      </c>
      <c r="V155" s="16">
        <f t="shared" si="42"/>
        <v>144.16370634258161</v>
      </c>
      <c r="W155" s="23">
        <f t="shared" si="34"/>
        <v>1.5916157281026244E-12</v>
      </c>
      <c r="X155" s="22">
        <f t="shared" si="35"/>
        <v>3.4258161463185388E-7</v>
      </c>
    </row>
    <row r="156" spans="1:24" x14ac:dyDescent="0.45">
      <c r="A156">
        <v>-60.367339999999999</v>
      </c>
      <c r="B156">
        <v>102.53055999999999</v>
      </c>
      <c r="C156">
        <v>-52.4024</v>
      </c>
      <c r="D156">
        <v>103.50996000000001</v>
      </c>
      <c r="E156" s="13">
        <v>888916.22724689206</v>
      </c>
      <c r="F156" s="13">
        <v>4.3142933503107201</v>
      </c>
      <c r="G156" s="13">
        <f t="shared" si="36"/>
        <v>4.3142933503107201</v>
      </c>
      <c r="H156" s="13">
        <v>3.4966905072999501</v>
      </c>
      <c r="I156" s="13">
        <f t="shared" si="37"/>
        <v>3.4966905072999501</v>
      </c>
      <c r="J156" s="11">
        <v>888916.22699999996</v>
      </c>
      <c r="K156" s="11">
        <v>4.3142930000000002</v>
      </c>
      <c r="L156" s="12">
        <v>183.496691</v>
      </c>
      <c r="M156" s="18">
        <f t="shared" si="38"/>
        <v>3.4966909999999984</v>
      </c>
      <c r="N156" s="17">
        <f t="shared" si="29"/>
        <v>888916.22724440985</v>
      </c>
      <c r="O156" s="14">
        <f t="shared" si="30"/>
        <v>2.7923975464838526E-12</v>
      </c>
      <c r="P156" s="24">
        <f t="shared" si="31"/>
        <v>2.4822074919939041E-6</v>
      </c>
      <c r="Q156" s="2">
        <f t="shared" si="39"/>
        <v>2.7495267407171061E-10</v>
      </c>
      <c r="R156" s="19">
        <f t="shared" si="40"/>
        <v>2.444098936393857E-4</v>
      </c>
      <c r="S156" s="16">
        <f t="shared" si="41"/>
        <v>4.3142933503088505</v>
      </c>
      <c r="T156" s="23">
        <f t="shared" si="32"/>
        <v>1.8696155734687636E-12</v>
      </c>
      <c r="U156" s="22">
        <f t="shared" si="33"/>
        <v>3.5030885037201642E-7</v>
      </c>
      <c r="V156" s="16">
        <f t="shared" si="42"/>
        <v>3.496690507298434</v>
      </c>
      <c r="W156" s="23">
        <f t="shared" si="34"/>
        <v>1.5161205624281138E-12</v>
      </c>
      <c r="X156" s="22">
        <f t="shared" si="35"/>
        <v>4.9270156443625979E-7</v>
      </c>
    </row>
    <row r="157" spans="1:24" x14ac:dyDescent="0.45">
      <c r="A157">
        <v>-69.816469999999995</v>
      </c>
      <c r="B157">
        <v>-55.597709999999999</v>
      </c>
      <c r="C157">
        <v>-71.182519999999997</v>
      </c>
      <c r="D157">
        <v>-49.149940000000001</v>
      </c>
      <c r="E157" s="13">
        <v>284354.54355432501</v>
      </c>
      <c r="F157" s="13">
        <v>125.394371413968</v>
      </c>
      <c r="G157" s="13">
        <f t="shared" si="36"/>
        <v>125.394371413968</v>
      </c>
      <c r="H157" s="13">
        <v>119.315308514427</v>
      </c>
      <c r="I157" s="13">
        <f t="shared" si="37"/>
        <v>119.315308514427</v>
      </c>
      <c r="J157" s="9">
        <v>284354.54399999999</v>
      </c>
      <c r="K157" s="9">
        <v>125.39437100000001</v>
      </c>
      <c r="L157" s="10">
        <v>299.31530900000001</v>
      </c>
      <c r="M157" s="18">
        <f t="shared" si="38"/>
        <v>119.31530900000001</v>
      </c>
      <c r="N157" s="17">
        <f t="shared" si="29"/>
        <v>284354.54355420027</v>
      </c>
      <c r="O157" s="14">
        <f t="shared" si="30"/>
        <v>4.3867425425445916E-13</v>
      </c>
      <c r="P157" s="24">
        <f t="shared" si="31"/>
        <v>1.2473901733756065E-7</v>
      </c>
      <c r="Q157" s="2">
        <f t="shared" si="39"/>
        <v>1.5677601672456721E-9</v>
      </c>
      <c r="R157" s="19">
        <f t="shared" si="40"/>
        <v>4.4579972745850682E-4</v>
      </c>
      <c r="S157" s="16">
        <f t="shared" si="41"/>
        <v>125.3943714139549</v>
      </c>
      <c r="T157" s="23">
        <f t="shared" si="32"/>
        <v>1.3102408047416247E-11</v>
      </c>
      <c r="U157" s="22">
        <f t="shared" si="33"/>
        <v>4.1395489347451075E-7</v>
      </c>
      <c r="V157" s="16">
        <f t="shared" si="42"/>
        <v>119.31530851441075</v>
      </c>
      <c r="W157" s="23">
        <f t="shared" si="34"/>
        <v>1.6257217794191092E-11</v>
      </c>
      <c r="X157" s="22">
        <f t="shared" si="35"/>
        <v>4.8558926835085003E-7</v>
      </c>
    </row>
    <row r="158" spans="1:24" x14ac:dyDescent="0.45">
      <c r="A158">
        <v>73.040459999999996</v>
      </c>
      <c r="B158">
        <v>109.00127999999999</v>
      </c>
      <c r="C158">
        <v>70.52713</v>
      </c>
      <c r="D158">
        <v>102.26978</v>
      </c>
      <c r="E158" s="13">
        <v>365437.730387257</v>
      </c>
      <c r="F158" s="13">
        <v>-136.81075732691099</v>
      </c>
      <c r="G158" s="13">
        <f t="shared" si="36"/>
        <v>223.18924267308901</v>
      </c>
      <c r="H158" s="13">
        <v>-143.20715406139701</v>
      </c>
      <c r="I158" s="13">
        <f t="shared" si="37"/>
        <v>216.79284593860299</v>
      </c>
      <c r="J158" s="11">
        <v>365437.73</v>
      </c>
      <c r="K158" s="11">
        <v>223.189243</v>
      </c>
      <c r="L158" s="12">
        <v>36.792845999999997</v>
      </c>
      <c r="M158" s="18">
        <f t="shared" si="38"/>
        <v>216.792846</v>
      </c>
      <c r="N158" s="17">
        <f t="shared" si="29"/>
        <v>365437.73038692976</v>
      </c>
      <c r="O158" s="14">
        <f t="shared" si="30"/>
        <v>8.9548353233458268E-13</v>
      </c>
      <c r="P158" s="24">
        <f t="shared" si="31"/>
        <v>3.2724346965551376E-7</v>
      </c>
      <c r="Q158" s="2">
        <f t="shared" si="39"/>
        <v>1.0588117975097043E-9</v>
      </c>
      <c r="R158" s="19">
        <f t="shared" si="40"/>
        <v>3.8692977977916598E-4</v>
      </c>
      <c r="S158" s="16">
        <f t="shared" si="41"/>
        <v>223.18924267310112</v>
      </c>
      <c r="T158" s="23">
        <f t="shared" si="32"/>
        <v>1.2107648217352107E-11</v>
      </c>
      <c r="U158" s="22">
        <f t="shared" si="33"/>
        <v>3.2689888485037955E-7</v>
      </c>
      <c r="V158" s="16">
        <f t="shared" si="42"/>
        <v>216.79284593861308</v>
      </c>
      <c r="W158" s="23">
        <f t="shared" si="34"/>
        <v>1.0089706847793423E-11</v>
      </c>
      <c r="X158" s="22">
        <f t="shared" si="35"/>
        <v>6.1386913330352399E-8</v>
      </c>
    </row>
    <row r="159" spans="1:24" x14ac:dyDescent="0.45">
      <c r="A159">
        <v>72.025949999999995</v>
      </c>
      <c r="B159">
        <v>-115.48669</v>
      </c>
      <c r="C159">
        <v>79.247150000000005</v>
      </c>
      <c r="D159">
        <v>-124.58986</v>
      </c>
      <c r="E159" s="13">
        <v>842173.91611456301</v>
      </c>
      <c r="F159" s="13">
        <v>-12.9986843897287</v>
      </c>
      <c r="G159" s="13">
        <f t="shared" si="36"/>
        <v>347.00131561027132</v>
      </c>
      <c r="H159" s="13">
        <v>-21.835921108133999</v>
      </c>
      <c r="I159" s="13">
        <f t="shared" si="37"/>
        <v>338.16407889186598</v>
      </c>
      <c r="J159" s="9">
        <v>842173.91599999997</v>
      </c>
      <c r="K159" s="9">
        <v>347.00131599999997</v>
      </c>
      <c r="L159" s="10">
        <v>158.16407899999999</v>
      </c>
      <c r="M159" s="18">
        <f t="shared" si="38"/>
        <v>338.16407900000002</v>
      </c>
      <c r="N159" s="17">
        <f t="shared" si="29"/>
        <v>842173.91611387499</v>
      </c>
      <c r="O159" s="14">
        <f t="shared" si="30"/>
        <v>8.1695067827723178E-13</v>
      </c>
      <c r="P159" s="24">
        <f t="shared" si="31"/>
        <v>6.8801455199718475E-7</v>
      </c>
      <c r="Q159" s="2">
        <f t="shared" si="39"/>
        <v>1.352155664357447E-10</v>
      </c>
      <c r="R159" s="19">
        <f t="shared" si="40"/>
        <v>1.1387502308934927E-4</v>
      </c>
      <c r="S159" s="16">
        <f t="shared" si="41"/>
        <v>347.00131561026842</v>
      </c>
      <c r="T159" s="23">
        <f t="shared" si="32"/>
        <v>2.8990143619012088E-12</v>
      </c>
      <c r="U159" s="22">
        <f t="shared" si="33"/>
        <v>3.8973155369603774E-7</v>
      </c>
      <c r="V159" s="16">
        <f t="shared" si="42"/>
        <v>338.16407889186098</v>
      </c>
      <c r="W159" s="23">
        <f t="shared" si="34"/>
        <v>5.0022208597511053E-12</v>
      </c>
      <c r="X159" s="22">
        <f t="shared" si="35"/>
        <v>1.0813903372763889E-7</v>
      </c>
    </row>
    <row r="160" spans="1:24" x14ac:dyDescent="0.45">
      <c r="A160">
        <v>-60.634509999999999</v>
      </c>
      <c r="B160">
        <v>-28.29419</v>
      </c>
      <c r="C160">
        <v>-53.699950000000001</v>
      </c>
      <c r="D160">
        <v>-29.58136</v>
      </c>
      <c r="E160" s="13">
        <v>776125.68007250002</v>
      </c>
      <c r="F160" s="13">
        <v>-6.3035486769775098</v>
      </c>
      <c r="G160" s="13">
        <f t="shared" si="36"/>
        <v>353.69645132302247</v>
      </c>
      <c r="H160" s="13">
        <v>-5.2199962324911304</v>
      </c>
      <c r="I160" s="13">
        <f t="shared" si="37"/>
        <v>354.78000376750884</v>
      </c>
      <c r="J160" s="11">
        <v>776125.68</v>
      </c>
      <c r="K160" s="11">
        <v>353.69645100000002</v>
      </c>
      <c r="L160" s="12">
        <v>174.78000399999999</v>
      </c>
      <c r="M160" s="18">
        <f t="shared" si="38"/>
        <v>354.78000399999996</v>
      </c>
      <c r="N160" s="17">
        <f t="shared" si="29"/>
        <v>776125.68007035484</v>
      </c>
      <c r="O160" s="14">
        <f t="shared" si="30"/>
        <v>2.763966185353563E-12</v>
      </c>
      <c r="P160" s="24">
        <f t="shared" si="31"/>
        <v>2.1451851353049278E-6</v>
      </c>
      <c r="Q160" s="2">
        <f t="shared" si="39"/>
        <v>9.0648701172798791E-11</v>
      </c>
      <c r="R160" s="19">
        <f t="shared" si="40"/>
        <v>7.0354784838855267E-5</v>
      </c>
      <c r="S160" s="16">
        <f t="shared" si="41"/>
        <v>353.6964513230248</v>
      </c>
      <c r="T160" s="23">
        <f t="shared" si="32"/>
        <v>2.3305801732931286E-12</v>
      </c>
      <c r="U160" s="22">
        <f t="shared" si="33"/>
        <v>3.2302477848134004E-7</v>
      </c>
      <c r="V160" s="16">
        <f t="shared" si="42"/>
        <v>354.78000376751078</v>
      </c>
      <c r="W160" s="23">
        <f t="shared" si="34"/>
        <v>1.9326762412674725E-12</v>
      </c>
      <c r="X160" s="22">
        <f t="shared" si="35"/>
        <v>2.3248918523677276E-7</v>
      </c>
    </row>
    <row r="161" spans="1:24" x14ac:dyDescent="0.45">
      <c r="A161">
        <v>-79.121949999999998</v>
      </c>
      <c r="B161">
        <v>-59.925660000000001</v>
      </c>
      <c r="C161">
        <v>-74.027010000000004</v>
      </c>
      <c r="D161">
        <v>-54.789369999999998</v>
      </c>
      <c r="E161" s="13">
        <v>583597.70348122704</v>
      </c>
      <c r="F161" s="13">
        <v>15.6914946509425</v>
      </c>
      <c r="G161" s="13">
        <f t="shared" si="36"/>
        <v>15.6914946509425</v>
      </c>
      <c r="H161" s="13">
        <v>10.6904487272976</v>
      </c>
      <c r="I161" s="13">
        <f t="shared" si="37"/>
        <v>10.6904487272976</v>
      </c>
      <c r="J161" s="9">
        <v>583597.70299999998</v>
      </c>
      <c r="K161" s="9">
        <v>15.691495</v>
      </c>
      <c r="L161" s="10">
        <v>190.690449</v>
      </c>
      <c r="M161" s="18">
        <f t="shared" si="38"/>
        <v>10.690449000000001</v>
      </c>
      <c r="N161" s="17">
        <f t="shared" si="29"/>
        <v>583597.70348065742</v>
      </c>
      <c r="O161" s="14">
        <f t="shared" si="30"/>
        <v>9.7604936808582799E-13</v>
      </c>
      <c r="P161" s="24">
        <f t="shared" si="31"/>
        <v>5.6962016969919205E-7</v>
      </c>
      <c r="Q161" s="2">
        <f t="shared" si="39"/>
        <v>8.2361092398644639E-10</v>
      </c>
      <c r="R161" s="19">
        <f t="shared" si="40"/>
        <v>4.8065744340419769E-4</v>
      </c>
      <c r="S161" s="16">
        <f t="shared" si="41"/>
        <v>15.691494650864717</v>
      </c>
      <c r="T161" s="23">
        <f t="shared" si="32"/>
        <v>7.7783113283658167E-11</v>
      </c>
      <c r="U161" s="22">
        <f t="shared" si="33"/>
        <v>3.4913528246249825E-7</v>
      </c>
      <c r="V161" s="16">
        <f t="shared" si="42"/>
        <v>10.690448727245355</v>
      </c>
      <c r="W161" s="23">
        <f t="shared" si="34"/>
        <v>5.2244431003600766E-11</v>
      </c>
      <c r="X161" s="22">
        <f t="shared" si="35"/>
        <v>2.7275464553611073E-7</v>
      </c>
    </row>
    <row r="162" spans="1:24" x14ac:dyDescent="0.45">
      <c r="A162">
        <v>-84.829350000000005</v>
      </c>
      <c r="B162">
        <v>-78.923730000000006</v>
      </c>
      <c r="C162">
        <v>-76.491799999999998</v>
      </c>
      <c r="D162">
        <v>-72.027289999999994</v>
      </c>
      <c r="E162" s="13">
        <v>937689.10064384597</v>
      </c>
      <c r="F162" s="13">
        <v>11.073793630290201</v>
      </c>
      <c r="G162" s="13">
        <f t="shared" si="36"/>
        <v>11.073793630290201</v>
      </c>
      <c r="H162" s="13">
        <v>4.25054273073314</v>
      </c>
      <c r="I162" s="13">
        <f t="shared" si="37"/>
        <v>4.25054273073314</v>
      </c>
      <c r="J162" s="11">
        <v>937689.10100000002</v>
      </c>
      <c r="K162" s="11">
        <v>11.073793999999999</v>
      </c>
      <c r="L162" s="12">
        <v>184.25054299999999</v>
      </c>
      <c r="M162" s="18">
        <f t="shared" si="38"/>
        <v>4.2505429999999933</v>
      </c>
      <c r="N162" s="17">
        <f t="shared" si="29"/>
        <v>937689.10064370104</v>
      </c>
      <c r="O162" s="14">
        <f t="shared" si="30"/>
        <v>1.5456836980937031E-13</v>
      </c>
      <c r="P162" s="24">
        <f t="shared" si="31"/>
        <v>1.4493707567453384E-7</v>
      </c>
      <c r="Q162" s="2">
        <f t="shared" si="39"/>
        <v>3.799756095850039E-10</v>
      </c>
      <c r="R162" s="19">
        <f t="shared" si="40"/>
        <v>3.5629898775368929E-4</v>
      </c>
      <c r="S162" s="16">
        <f t="shared" si="41"/>
        <v>11.07379363028747</v>
      </c>
      <c r="T162" s="23">
        <f t="shared" si="32"/>
        <v>2.730260462158185E-12</v>
      </c>
      <c r="U162" s="22">
        <f t="shared" si="33"/>
        <v>3.6971252903583718E-7</v>
      </c>
      <c r="V162" s="16">
        <f t="shared" si="42"/>
        <v>4.2505427307321622</v>
      </c>
      <c r="W162" s="23">
        <f t="shared" si="34"/>
        <v>9.7788444008983788E-13</v>
      </c>
      <c r="X162" s="22">
        <f t="shared" si="35"/>
        <v>2.692678311433383E-7</v>
      </c>
    </row>
    <row r="163" spans="1:24" x14ac:dyDescent="0.45">
      <c r="A163">
        <v>-54.324210000000001</v>
      </c>
      <c r="B163">
        <v>-8.8177500000000002</v>
      </c>
      <c r="C163">
        <v>-51.528910000000003</v>
      </c>
      <c r="D163">
        <v>-9.6635099999999703</v>
      </c>
      <c r="E163" s="13">
        <v>316225.25420697097</v>
      </c>
      <c r="F163" s="13">
        <v>-10.700414550064099</v>
      </c>
      <c r="G163" s="13">
        <f t="shared" si="36"/>
        <v>349.29958544993588</v>
      </c>
      <c r="H163" s="13">
        <v>-10.0254079389077</v>
      </c>
      <c r="I163" s="13">
        <f t="shared" si="37"/>
        <v>349.97459206109232</v>
      </c>
      <c r="J163" s="9">
        <v>316225.25400000002</v>
      </c>
      <c r="K163" s="9">
        <v>349.29958499999998</v>
      </c>
      <c r="L163" s="10">
        <v>169.974592</v>
      </c>
      <c r="M163" s="18">
        <f t="shared" si="38"/>
        <v>349.97459200000003</v>
      </c>
      <c r="N163" s="17">
        <f t="shared" si="29"/>
        <v>316225.25420602574</v>
      </c>
      <c r="O163" s="14">
        <f t="shared" si="30"/>
        <v>2.989116754587655E-12</v>
      </c>
      <c r="P163" s="24">
        <f t="shared" si="31"/>
        <v>9.4523420557379723E-7</v>
      </c>
      <c r="Q163" s="2">
        <f t="shared" si="39"/>
        <v>6.5151572228609333E-10</v>
      </c>
      <c r="R163" s="19">
        <f t="shared" si="40"/>
        <v>2.0602572476491332E-4</v>
      </c>
      <c r="S163" s="16">
        <f t="shared" si="41"/>
        <v>349.29958544994997</v>
      </c>
      <c r="T163" s="23">
        <f t="shared" si="32"/>
        <v>1.4097167877480388E-11</v>
      </c>
      <c r="U163" s="22">
        <f t="shared" si="33"/>
        <v>4.4994999370828737E-7</v>
      </c>
      <c r="V163" s="16">
        <f t="shared" si="42"/>
        <v>349.97459206110545</v>
      </c>
      <c r="W163" s="23">
        <f t="shared" si="34"/>
        <v>1.3130829756846651E-11</v>
      </c>
      <c r="X163" s="22">
        <f t="shared" si="35"/>
        <v>6.1105424720153678E-8</v>
      </c>
    </row>
    <row r="164" spans="1:24" x14ac:dyDescent="0.45">
      <c r="A164">
        <v>29.943909999999999</v>
      </c>
      <c r="B164">
        <v>94.465100000000007</v>
      </c>
      <c r="C164">
        <v>31.79965</v>
      </c>
      <c r="D164">
        <v>104.16052000000001</v>
      </c>
      <c r="E164" s="13">
        <v>949375.95216856594</v>
      </c>
      <c r="F164" s="13">
        <v>75.026319265135001</v>
      </c>
      <c r="G164" s="13">
        <f t="shared" si="36"/>
        <v>75.026319265135001</v>
      </c>
      <c r="H164" s="13">
        <v>80.0106784067044</v>
      </c>
      <c r="I164" s="13">
        <f t="shared" si="37"/>
        <v>80.0106784067044</v>
      </c>
      <c r="J164" s="11">
        <v>949375.95200000005</v>
      </c>
      <c r="K164" s="11">
        <v>75.026319000000001</v>
      </c>
      <c r="L164" s="12">
        <v>260.01067799999998</v>
      </c>
      <c r="M164" s="18">
        <f t="shared" si="38"/>
        <v>80.010677999999984</v>
      </c>
      <c r="N164" s="17">
        <f t="shared" si="29"/>
        <v>949375.952169689</v>
      </c>
      <c r="O164" s="14">
        <f t="shared" si="30"/>
        <v>1.1829440245449108E-12</v>
      </c>
      <c r="P164" s="24">
        <f t="shared" si="31"/>
        <v>1.1230586096644402E-6</v>
      </c>
      <c r="Q164" s="2">
        <f t="shared" si="39"/>
        <v>1.7873736089263321E-10</v>
      </c>
      <c r="R164" s="19">
        <f t="shared" si="40"/>
        <v>1.6968895215541124E-4</v>
      </c>
      <c r="S164" s="16">
        <f t="shared" si="41"/>
        <v>75.026319265200058</v>
      </c>
      <c r="T164" s="23">
        <f t="shared" si="32"/>
        <v>6.5057292886194773E-11</v>
      </c>
      <c r="U164" s="22">
        <f t="shared" si="33"/>
        <v>2.6520005746988318E-7</v>
      </c>
      <c r="V164" s="16">
        <f t="shared" si="42"/>
        <v>80.010678406803166</v>
      </c>
      <c r="W164" s="23">
        <f t="shared" si="34"/>
        <v>9.8765440270653926E-11</v>
      </c>
      <c r="X164" s="22">
        <f t="shared" si="35"/>
        <v>4.0680318136310234E-7</v>
      </c>
    </row>
    <row r="165" spans="1:24" x14ac:dyDescent="0.45">
      <c r="A165">
        <v>-77.133089999999996</v>
      </c>
      <c r="B165">
        <v>118.06853</v>
      </c>
      <c r="C165">
        <v>-84.163880000000006</v>
      </c>
      <c r="D165">
        <v>108.68982</v>
      </c>
      <c r="E165" s="13">
        <v>800748.69720425596</v>
      </c>
      <c r="F165" s="13">
        <v>-172.37022315487999</v>
      </c>
      <c r="G165" s="13">
        <f t="shared" si="36"/>
        <v>187.62977684512001</v>
      </c>
      <c r="H165" s="13">
        <v>-163.09823858935701</v>
      </c>
      <c r="I165" s="13">
        <f t="shared" si="37"/>
        <v>196.90176141064299</v>
      </c>
      <c r="J165" s="9">
        <v>800748.69700000004</v>
      </c>
      <c r="K165" s="9">
        <v>187.62977699999999</v>
      </c>
      <c r="L165" s="10">
        <v>16.901761</v>
      </c>
      <c r="M165" s="18">
        <f t="shared" si="38"/>
        <v>196.90176099999999</v>
      </c>
      <c r="N165" s="17">
        <f t="shared" si="29"/>
        <v>800748.69720413804</v>
      </c>
      <c r="O165" s="14">
        <f t="shared" si="30"/>
        <v>1.4727307259121716E-13</v>
      </c>
      <c r="P165" s="24">
        <f t="shared" si="31"/>
        <v>1.1792872101068497E-7</v>
      </c>
      <c r="Q165" s="2">
        <f t="shared" si="39"/>
        <v>2.5493390483010505E-10</v>
      </c>
      <c r="R165" s="19">
        <f t="shared" si="40"/>
        <v>2.0413799211382866E-4</v>
      </c>
      <c r="S165" s="16">
        <f t="shared" si="41"/>
        <v>187.62977684511773</v>
      </c>
      <c r="T165" s="23">
        <f t="shared" si="32"/>
        <v>2.2737367544323206E-12</v>
      </c>
      <c r="U165" s="22">
        <f t="shared" si="33"/>
        <v>1.5488225812987366E-7</v>
      </c>
      <c r="V165" s="16">
        <f t="shared" si="42"/>
        <v>196.90176141063799</v>
      </c>
      <c r="W165" s="23">
        <f t="shared" si="34"/>
        <v>5.0022208597511053E-12</v>
      </c>
      <c r="X165" s="22">
        <f t="shared" si="35"/>
        <v>4.1063799471885432E-7</v>
      </c>
    </row>
    <row r="166" spans="1:24" x14ac:dyDescent="0.45">
      <c r="A166">
        <v>15.557410000000001</v>
      </c>
      <c r="B166">
        <v>93.436459999999997</v>
      </c>
      <c r="C166">
        <v>12.54777</v>
      </c>
      <c r="D166">
        <v>99.414159999999995</v>
      </c>
      <c r="E166" s="13">
        <v>726364.393409524</v>
      </c>
      <c r="F166" s="13">
        <v>116.531417136294</v>
      </c>
      <c r="G166" s="13">
        <f t="shared" si="36"/>
        <v>116.531417136294</v>
      </c>
      <c r="H166" s="13">
        <v>117.98462809599199</v>
      </c>
      <c r="I166" s="13">
        <f t="shared" si="37"/>
        <v>117.98462809599199</v>
      </c>
      <c r="J166" s="11">
        <v>726364.39300000004</v>
      </c>
      <c r="K166" s="11">
        <v>116.531417</v>
      </c>
      <c r="L166" s="12">
        <v>297.98462799999999</v>
      </c>
      <c r="M166" s="18">
        <f t="shared" si="38"/>
        <v>117.98462799999999</v>
      </c>
      <c r="N166" s="17">
        <f t="shared" si="29"/>
        <v>726364.393405815</v>
      </c>
      <c r="O166" s="14">
        <f t="shared" si="30"/>
        <v>5.1062416977741564E-12</v>
      </c>
      <c r="P166" s="24">
        <f t="shared" si="31"/>
        <v>3.7089921534061432E-6</v>
      </c>
      <c r="Q166" s="2">
        <f t="shared" si="39"/>
        <v>5.5869336139696468E-10</v>
      </c>
      <c r="R166" s="19">
        <f t="shared" si="40"/>
        <v>4.0581496432423592E-4</v>
      </c>
      <c r="S166" s="16">
        <f t="shared" si="41"/>
        <v>116.53141713624591</v>
      </c>
      <c r="T166" s="23">
        <f t="shared" si="32"/>
        <v>4.8089532356243581E-11</v>
      </c>
      <c r="U166" s="22">
        <f t="shared" si="33"/>
        <v>1.362459016718276E-7</v>
      </c>
      <c r="V166" s="16">
        <f t="shared" si="42"/>
        <v>117.98462809594683</v>
      </c>
      <c r="W166" s="23">
        <f t="shared" si="34"/>
        <v>4.5162096284911968E-11</v>
      </c>
      <c r="X166" s="22">
        <f t="shared" si="35"/>
        <v>9.5946845135586045E-8</v>
      </c>
    </row>
    <row r="167" spans="1:24" x14ac:dyDescent="0.45">
      <c r="A167">
        <v>56.870820000000002</v>
      </c>
      <c r="B167">
        <v>93.770690000000002</v>
      </c>
      <c r="C167">
        <v>47.84957</v>
      </c>
      <c r="D167">
        <v>92.608779999999996</v>
      </c>
      <c r="E167" s="13">
        <v>1006904.09033713</v>
      </c>
      <c r="F167" s="13">
        <v>-175.02525262929299</v>
      </c>
      <c r="G167" s="13">
        <f t="shared" si="36"/>
        <v>184.97474737070701</v>
      </c>
      <c r="H167" s="13">
        <v>-175.948204111477</v>
      </c>
      <c r="I167" s="13">
        <f t="shared" si="37"/>
        <v>184.051795888523</v>
      </c>
      <c r="J167" s="9">
        <v>1006904.09</v>
      </c>
      <c r="K167" s="9">
        <v>184.97474700000001</v>
      </c>
      <c r="L167" s="10">
        <v>4.0517960000000004</v>
      </c>
      <c r="M167" s="18">
        <f t="shared" si="38"/>
        <v>184.051796</v>
      </c>
      <c r="N167" s="17">
        <f t="shared" si="29"/>
        <v>1006904.0903341232</v>
      </c>
      <c r="O167" s="14">
        <f t="shared" si="30"/>
        <v>2.9861582259928539E-12</v>
      </c>
      <c r="P167" s="24">
        <f t="shared" si="31"/>
        <v>3.0067749321460724E-6</v>
      </c>
      <c r="Q167" s="2">
        <f t="shared" si="39"/>
        <v>3.318322660994655E-10</v>
      </c>
      <c r="R167" s="19">
        <f t="shared" si="40"/>
        <v>3.3412326592952013E-4</v>
      </c>
      <c r="S167" s="16">
        <f t="shared" si="41"/>
        <v>184.97474737070007</v>
      </c>
      <c r="T167" s="23">
        <f t="shared" si="32"/>
        <v>6.9348971010185778E-12</v>
      </c>
      <c r="U167" s="22">
        <f t="shared" si="33"/>
        <v>3.7070006442263548E-7</v>
      </c>
      <c r="V167" s="16">
        <f t="shared" si="42"/>
        <v>184.05179588851718</v>
      </c>
      <c r="W167" s="23">
        <f t="shared" si="34"/>
        <v>5.8264504332328215E-12</v>
      </c>
      <c r="X167" s="22">
        <f t="shared" si="35"/>
        <v>1.1148281942041649E-7</v>
      </c>
    </row>
    <row r="168" spans="1:24" x14ac:dyDescent="0.45">
      <c r="A168">
        <v>-32.130249999999997</v>
      </c>
      <c r="B168">
        <v>25.546700000000001</v>
      </c>
      <c r="C168">
        <v>-30.509679999999999</v>
      </c>
      <c r="D168">
        <v>19.60276</v>
      </c>
      <c r="E168" s="13">
        <v>593510.87353283504</v>
      </c>
      <c r="F168" s="13">
        <v>-73.942266649534105</v>
      </c>
      <c r="G168" s="13">
        <f t="shared" si="36"/>
        <v>286.05773335046592</v>
      </c>
      <c r="H168" s="13">
        <v>-70.850163046321796</v>
      </c>
      <c r="I168" s="13">
        <f t="shared" si="37"/>
        <v>289.14983695367823</v>
      </c>
      <c r="J168" s="11">
        <v>593510.87399999995</v>
      </c>
      <c r="K168" s="11">
        <v>286.05773299999998</v>
      </c>
      <c r="L168" s="12">
        <v>109.14983700000001</v>
      </c>
      <c r="M168" s="18">
        <f t="shared" si="38"/>
        <v>289.14983699999999</v>
      </c>
      <c r="N168" s="17">
        <f t="shared" si="29"/>
        <v>593510.87353314599</v>
      </c>
      <c r="O168" s="14">
        <f t="shared" si="30"/>
        <v>5.2390838730360742E-13</v>
      </c>
      <c r="P168" s="24">
        <f t="shared" si="31"/>
        <v>3.1094532459974289E-7</v>
      </c>
      <c r="Q168" s="2">
        <f t="shared" si="39"/>
        <v>7.8659715050116544E-10</v>
      </c>
      <c r="R168" s="19">
        <f t="shared" si="40"/>
        <v>4.668539622798562E-4</v>
      </c>
      <c r="S168" s="16">
        <f t="shared" si="41"/>
        <v>286.05773335035212</v>
      </c>
      <c r="T168" s="23">
        <f t="shared" si="32"/>
        <v>1.1380052455933765E-10</v>
      </c>
      <c r="U168" s="22">
        <f t="shared" si="33"/>
        <v>3.5035213841183577E-7</v>
      </c>
      <c r="V168" s="16">
        <f t="shared" si="42"/>
        <v>289.14983695358387</v>
      </c>
      <c r="W168" s="23">
        <f t="shared" si="34"/>
        <v>9.4360075308941305E-11</v>
      </c>
      <c r="X168" s="22">
        <f t="shared" si="35"/>
        <v>4.6416118948400253E-8</v>
      </c>
    </row>
    <row r="169" spans="1:24" x14ac:dyDescent="0.45">
      <c r="A169">
        <v>14.0237</v>
      </c>
      <c r="B169">
        <v>105.60254999999999</v>
      </c>
      <c r="C169">
        <v>15.25897</v>
      </c>
      <c r="D169">
        <v>96.285849999999996</v>
      </c>
      <c r="E169" s="13">
        <v>1012836.4110346</v>
      </c>
      <c r="F169" s="13">
        <v>-81.082437452571199</v>
      </c>
      <c r="G169" s="13">
        <f t="shared" si="36"/>
        <v>278.91756254742882</v>
      </c>
      <c r="H169" s="13">
        <v>-83.442433268492806</v>
      </c>
      <c r="I169" s="13">
        <f t="shared" si="37"/>
        <v>276.55756673150722</v>
      </c>
      <c r="J169" s="9">
        <v>1012836.411</v>
      </c>
      <c r="K169" s="9">
        <v>278.91756299999997</v>
      </c>
      <c r="L169" s="10">
        <v>96.557567000000006</v>
      </c>
      <c r="M169" s="18">
        <f t="shared" si="38"/>
        <v>276.55756700000001</v>
      </c>
      <c r="N169" s="17">
        <f t="shared" si="29"/>
        <v>1012836.4110308342</v>
      </c>
      <c r="O169" s="14">
        <f t="shared" si="30"/>
        <v>3.7180760776668428E-12</v>
      </c>
      <c r="P169" s="24">
        <f t="shared" si="31"/>
        <v>3.7658028304576874E-6</v>
      </c>
      <c r="Q169" s="2">
        <f t="shared" si="39"/>
        <v>3.0443443250550026E-11</v>
      </c>
      <c r="R169" s="19">
        <f t="shared" si="40"/>
        <v>3.0834227800369263E-5</v>
      </c>
      <c r="S169" s="16">
        <f t="shared" si="41"/>
        <v>278.91756254740937</v>
      </c>
      <c r="T169" s="23">
        <f t="shared" si="32"/>
        <v>1.9440449250396341E-11</v>
      </c>
      <c r="U169" s="22">
        <f t="shared" si="33"/>
        <v>4.5259059788804734E-7</v>
      </c>
      <c r="V169" s="16">
        <f t="shared" si="42"/>
        <v>276.55756673148073</v>
      </c>
      <c r="W169" s="23">
        <f t="shared" si="34"/>
        <v>2.6489033189136535E-11</v>
      </c>
      <c r="X169" s="22">
        <f t="shared" si="35"/>
        <v>2.6851927259485819E-7</v>
      </c>
    </row>
    <row r="170" spans="1:24" x14ac:dyDescent="0.45">
      <c r="A170">
        <v>16.594080000000002</v>
      </c>
      <c r="B170">
        <v>-168.68613999999999</v>
      </c>
      <c r="C170">
        <v>15.421989999999999</v>
      </c>
      <c r="D170">
        <v>-161.33268000000001</v>
      </c>
      <c r="E170" s="13">
        <v>797599.85035614402</v>
      </c>
      <c r="F170" s="13">
        <v>98.329918788292304</v>
      </c>
      <c r="G170" s="13">
        <f t="shared" si="36"/>
        <v>98.329918788292304</v>
      </c>
      <c r="H170" s="13">
        <v>100.360496631312</v>
      </c>
      <c r="I170" s="13">
        <f t="shared" si="37"/>
        <v>100.360496631312</v>
      </c>
      <c r="J170" s="11">
        <v>797599.85</v>
      </c>
      <c r="K170" s="11">
        <v>98.329919000000004</v>
      </c>
      <c r="L170" s="12">
        <v>280.36049700000001</v>
      </c>
      <c r="M170" s="18">
        <f t="shared" si="38"/>
        <v>100.36049700000001</v>
      </c>
      <c r="N170" s="17">
        <f t="shared" si="29"/>
        <v>797599.85035357892</v>
      </c>
      <c r="O170" s="14">
        <f t="shared" si="30"/>
        <v>3.2160176559578295E-12</v>
      </c>
      <c r="P170" s="24">
        <f t="shared" si="31"/>
        <v>2.5650952011346817E-6</v>
      </c>
      <c r="Q170" s="2">
        <f t="shared" si="39"/>
        <v>4.4330367383996242E-10</v>
      </c>
      <c r="R170" s="19">
        <f t="shared" si="40"/>
        <v>3.5357894375920296E-4</v>
      </c>
      <c r="S170" s="16">
        <f t="shared" si="41"/>
        <v>98.329918788257046</v>
      </c>
      <c r="T170" s="23">
        <f t="shared" si="32"/>
        <v>3.5257130548416171E-11</v>
      </c>
      <c r="U170" s="22">
        <f t="shared" si="33"/>
        <v>2.1174295739001536E-7</v>
      </c>
      <c r="V170" s="16">
        <f t="shared" si="42"/>
        <v>100.36049663128395</v>
      </c>
      <c r="W170" s="23">
        <f t="shared" si="34"/>
        <v>2.8052227207808755E-11</v>
      </c>
      <c r="X170" s="22">
        <f t="shared" si="35"/>
        <v>3.687160585741367E-7</v>
      </c>
    </row>
    <row r="171" spans="1:24" x14ac:dyDescent="0.45">
      <c r="A171">
        <v>25.162299999999998</v>
      </c>
      <c r="B171">
        <v>32.969709999999999</v>
      </c>
      <c r="C171">
        <v>15.16952</v>
      </c>
      <c r="D171">
        <v>42.552950000000003</v>
      </c>
      <c r="E171" s="13">
        <v>1491183.78536745</v>
      </c>
      <c r="F171" s="13">
        <v>136.07319245975901</v>
      </c>
      <c r="G171" s="13">
        <f t="shared" si="36"/>
        <v>136.07319245975901</v>
      </c>
      <c r="H171" s="13">
        <v>139.39642865089701</v>
      </c>
      <c r="I171" s="13">
        <f t="shared" si="37"/>
        <v>139.39642865089701</v>
      </c>
      <c r="J171" s="9">
        <v>1491183.7849999999</v>
      </c>
      <c r="K171" s="9">
        <v>136.07319200000001</v>
      </c>
      <c r="L171" s="10">
        <v>319.39642900000001</v>
      </c>
      <c r="M171" s="18">
        <f t="shared" si="38"/>
        <v>139.39642900000001</v>
      </c>
      <c r="N171" s="17">
        <f t="shared" si="29"/>
        <v>1491183.7853596543</v>
      </c>
      <c r="O171" s="14">
        <f t="shared" si="30"/>
        <v>5.2278167770566941E-12</v>
      </c>
      <c r="P171" s="24">
        <f t="shared" si="31"/>
        <v>7.7956356108188629E-6</v>
      </c>
      <c r="Q171" s="2">
        <f t="shared" si="39"/>
        <v>2.4118718979680098E-10</v>
      </c>
      <c r="R171" s="19">
        <f t="shared" si="40"/>
        <v>3.5965442657470703E-4</v>
      </c>
      <c r="S171" s="16">
        <f t="shared" si="41"/>
        <v>136.07319245968566</v>
      </c>
      <c r="T171" s="23">
        <f t="shared" si="32"/>
        <v>7.3356432039872743E-11</v>
      </c>
      <c r="U171" s="22">
        <f t="shared" si="33"/>
        <v>4.5968565132170625E-7</v>
      </c>
      <c r="V171" s="16">
        <f t="shared" si="42"/>
        <v>139.39642865083167</v>
      </c>
      <c r="W171" s="23">
        <f t="shared" si="34"/>
        <v>6.5341509980498813E-11</v>
      </c>
      <c r="X171" s="22">
        <f t="shared" si="35"/>
        <v>3.4916834579235001E-7</v>
      </c>
    </row>
    <row r="172" spans="1:24" x14ac:dyDescent="0.45">
      <c r="A172">
        <v>-8.4285999999999994</v>
      </c>
      <c r="B172">
        <v>-81.495249999999999</v>
      </c>
      <c r="C172">
        <v>-8.9944799999999994</v>
      </c>
      <c r="D172">
        <v>-91.008920000000003</v>
      </c>
      <c r="E172" s="13">
        <v>1048756.3107733801</v>
      </c>
      <c r="F172" s="13">
        <v>-94.135345556127504</v>
      </c>
      <c r="G172" s="13">
        <f t="shared" si="36"/>
        <v>265.8646544438725</v>
      </c>
      <c r="H172" s="13">
        <v>-92.691123496754201</v>
      </c>
      <c r="I172" s="13">
        <f t="shared" si="37"/>
        <v>267.30887650324581</v>
      </c>
      <c r="J172" s="11">
        <v>1048756.311</v>
      </c>
      <c r="K172" s="11">
        <v>265.86465399999997</v>
      </c>
      <c r="L172" s="12">
        <v>87.308876999999995</v>
      </c>
      <c r="M172" s="18">
        <f t="shared" si="38"/>
        <v>267.308877</v>
      </c>
      <c r="N172" s="17">
        <f t="shared" si="29"/>
        <v>1048756.3107671267</v>
      </c>
      <c r="O172" s="14">
        <f t="shared" si="30"/>
        <v>5.9626486754050966E-12</v>
      </c>
      <c r="P172" s="24">
        <f t="shared" si="31"/>
        <v>6.2533654272556305E-6</v>
      </c>
      <c r="Q172" s="2">
        <f t="shared" si="39"/>
        <v>2.2204705632675643E-10</v>
      </c>
      <c r="R172" s="19">
        <f t="shared" si="40"/>
        <v>2.3287325166165829E-4</v>
      </c>
      <c r="S172" s="16">
        <f t="shared" si="41"/>
        <v>265.86465444387517</v>
      </c>
      <c r="T172" s="23">
        <f t="shared" si="32"/>
        <v>2.6716406864579767E-12</v>
      </c>
      <c r="U172" s="22">
        <f t="shared" si="33"/>
        <v>4.4387519437805167E-7</v>
      </c>
      <c r="V172" s="16">
        <f t="shared" si="42"/>
        <v>267.30887650324985</v>
      </c>
      <c r="W172" s="23">
        <f t="shared" si="34"/>
        <v>4.0358827391173691E-12</v>
      </c>
      <c r="X172" s="22">
        <f t="shared" si="35"/>
        <v>4.9675014679451124E-7</v>
      </c>
    </row>
    <row r="173" spans="1:24" x14ac:dyDescent="0.45">
      <c r="A173">
        <v>-24.050809999999998</v>
      </c>
      <c r="B173">
        <v>79.369389999999996</v>
      </c>
      <c r="C173">
        <v>-15.2516</v>
      </c>
      <c r="D173">
        <v>87.076659999999904</v>
      </c>
      <c r="E173" s="13">
        <v>1265036.8791334101</v>
      </c>
      <c r="F173" s="13">
        <v>41.057758784523699</v>
      </c>
      <c r="G173" s="13">
        <f t="shared" si="36"/>
        <v>41.057758784523699</v>
      </c>
      <c r="H173" s="13">
        <v>38.454664753895301</v>
      </c>
      <c r="I173" s="13">
        <f t="shared" si="37"/>
        <v>38.454664753895301</v>
      </c>
      <c r="J173" s="9">
        <v>1265036.879</v>
      </c>
      <c r="K173" s="9">
        <v>41.057758999999997</v>
      </c>
      <c r="L173" s="10">
        <v>218.45466500000001</v>
      </c>
      <c r="M173" s="18">
        <f t="shared" si="38"/>
        <v>38.454664999999977</v>
      </c>
      <c r="N173" s="17">
        <f t="shared" si="29"/>
        <v>1265036.8791265045</v>
      </c>
      <c r="O173" s="14">
        <f t="shared" si="30"/>
        <v>5.4587531589281567E-12</v>
      </c>
      <c r="P173" s="24">
        <f t="shared" si="31"/>
        <v>6.9055240601301193E-6</v>
      </c>
      <c r="Q173" s="2">
        <f t="shared" si="39"/>
        <v>1.0000069895858582E-10</v>
      </c>
      <c r="R173" s="19">
        <f t="shared" si="40"/>
        <v>1.2650457210838795E-4</v>
      </c>
      <c r="S173" s="16">
        <f t="shared" si="41"/>
        <v>41.057758784590042</v>
      </c>
      <c r="T173" s="23">
        <f t="shared" si="32"/>
        <v>6.6343375237920554E-11</v>
      </c>
      <c r="U173" s="22">
        <f t="shared" si="33"/>
        <v>2.1540995476243552E-7</v>
      </c>
      <c r="V173" s="16">
        <f t="shared" si="42"/>
        <v>38.45466475395579</v>
      </c>
      <c r="W173" s="23">
        <f t="shared" si="34"/>
        <v>6.0488503095257329E-11</v>
      </c>
      <c r="X173" s="22">
        <f t="shared" si="35"/>
        <v>2.4604418769058611E-7</v>
      </c>
    </row>
    <row r="174" spans="1:24" x14ac:dyDescent="0.45">
      <c r="A174">
        <v>-53.169400000000003</v>
      </c>
      <c r="B174">
        <v>69.629019999999997</v>
      </c>
      <c r="C174">
        <v>-52.353729999999999</v>
      </c>
      <c r="D174">
        <v>70.885260000000002</v>
      </c>
      <c r="E174" s="13">
        <v>124217.11630321899</v>
      </c>
      <c r="F174" s="13">
        <v>43.555672763220201</v>
      </c>
      <c r="G174" s="13">
        <f t="shared" si="36"/>
        <v>43.555672763220201</v>
      </c>
      <c r="H174" s="13">
        <v>42.555509658871003</v>
      </c>
      <c r="I174" s="13">
        <f t="shared" si="37"/>
        <v>42.555509658871003</v>
      </c>
      <c r="J174" s="11">
        <v>124217.11599999999</v>
      </c>
      <c r="K174" s="11">
        <v>43.555672999999999</v>
      </c>
      <c r="L174" s="12">
        <v>222.55551</v>
      </c>
      <c r="M174" s="18">
        <f t="shared" si="38"/>
        <v>42.555510000000027</v>
      </c>
      <c r="N174" s="17">
        <f t="shared" si="29"/>
        <v>124217.11630279524</v>
      </c>
      <c r="O174" s="14">
        <f t="shared" si="30"/>
        <v>3.4113798811401123E-12</v>
      </c>
      <c r="P174" s="24">
        <f t="shared" si="31"/>
        <v>4.2375177145004272E-7</v>
      </c>
      <c r="Q174" s="2">
        <f t="shared" si="39"/>
        <v>2.4376290300420973E-9</v>
      </c>
      <c r="R174" s="19">
        <f t="shared" si="40"/>
        <v>3.027952479897067E-4</v>
      </c>
      <c r="S174" s="16">
        <f t="shared" si="41"/>
        <v>43.555672763194984</v>
      </c>
      <c r="T174" s="23">
        <f t="shared" si="32"/>
        <v>2.5217161692125956E-11</v>
      </c>
      <c r="U174" s="22">
        <f t="shared" si="33"/>
        <v>2.3680501470835225E-7</v>
      </c>
      <c r="V174" s="16">
        <f t="shared" si="42"/>
        <v>42.555509658846574</v>
      </c>
      <c r="W174" s="23">
        <f t="shared" si="34"/>
        <v>2.4428459255432244E-11</v>
      </c>
      <c r="X174" s="22">
        <f t="shared" si="35"/>
        <v>3.4115345215468551E-7</v>
      </c>
    </row>
    <row r="175" spans="1:24" x14ac:dyDescent="0.45">
      <c r="A175">
        <v>-50.51388</v>
      </c>
      <c r="B175">
        <v>63.461190000000002</v>
      </c>
      <c r="C175">
        <v>-45.359879999999997</v>
      </c>
      <c r="D175">
        <v>67.691640000000007</v>
      </c>
      <c r="E175" s="13">
        <v>654197.86435915204</v>
      </c>
      <c r="F175" s="13">
        <v>30.470718123653199</v>
      </c>
      <c r="G175" s="13">
        <f t="shared" si="36"/>
        <v>30.470718123653199</v>
      </c>
      <c r="H175" s="13">
        <v>27.3261742304934</v>
      </c>
      <c r="I175" s="13">
        <f t="shared" si="37"/>
        <v>27.3261742304934</v>
      </c>
      <c r="J175" s="9">
        <v>654197.86399999994</v>
      </c>
      <c r="K175" s="9">
        <v>30.470718000000002</v>
      </c>
      <c r="L175" s="10">
        <v>207.32617400000001</v>
      </c>
      <c r="M175" s="18">
        <f t="shared" si="38"/>
        <v>27.326174000000037</v>
      </c>
      <c r="N175" s="17">
        <f t="shared" si="29"/>
        <v>654197.86435641756</v>
      </c>
      <c r="O175" s="14">
        <f t="shared" si="30"/>
        <v>4.1798967000168212E-12</v>
      </c>
      <c r="P175" s="24">
        <f t="shared" si="31"/>
        <v>2.7344794943928719E-6</v>
      </c>
      <c r="Q175" s="2">
        <f t="shared" si="39"/>
        <v>5.4481623157154023E-10</v>
      </c>
      <c r="R175" s="19">
        <f t="shared" si="40"/>
        <v>3.5641761496663094E-4</v>
      </c>
      <c r="S175" s="16">
        <f t="shared" si="41"/>
        <v>30.470718123561056</v>
      </c>
      <c r="T175" s="23">
        <f t="shared" si="32"/>
        <v>9.2143181973369792E-11</v>
      </c>
      <c r="U175" s="22">
        <f t="shared" si="33"/>
        <v>1.2356105472122181E-7</v>
      </c>
      <c r="V175" s="16">
        <f t="shared" si="42"/>
        <v>27.326174230412519</v>
      </c>
      <c r="W175" s="23">
        <f t="shared" si="34"/>
        <v>8.0881079611572204E-11</v>
      </c>
      <c r="X175" s="22">
        <f t="shared" si="35"/>
        <v>2.3041248198296671E-7</v>
      </c>
    </row>
    <row r="176" spans="1:24" x14ac:dyDescent="0.45">
      <c r="A176">
        <v>55.772359999999999</v>
      </c>
      <c r="B176">
        <v>95.447220000000002</v>
      </c>
      <c r="C176">
        <v>60.043750000000003</v>
      </c>
      <c r="D176">
        <v>98.932230000000004</v>
      </c>
      <c r="E176" s="13">
        <v>518482.88902502501</v>
      </c>
      <c r="F176" s="13">
        <v>22.008718598981499</v>
      </c>
      <c r="G176" s="13">
        <f t="shared" si="36"/>
        <v>22.008718598981499</v>
      </c>
      <c r="H176" s="13">
        <v>24.963518866523302</v>
      </c>
      <c r="I176" s="13">
        <f t="shared" si="37"/>
        <v>24.963518866523302</v>
      </c>
      <c r="J176" s="11">
        <v>518482.88900000002</v>
      </c>
      <c r="K176" s="11">
        <v>22.008718999999999</v>
      </c>
      <c r="L176" s="12">
        <v>204.96351899999999</v>
      </c>
      <c r="M176" s="18">
        <f t="shared" si="38"/>
        <v>24.963519000000019</v>
      </c>
      <c r="N176" s="17">
        <f t="shared" si="29"/>
        <v>518482.88902360667</v>
      </c>
      <c r="O176" s="14">
        <f t="shared" si="30"/>
        <v>2.7355696851357474E-12</v>
      </c>
      <c r="P176" s="24">
        <f t="shared" si="31"/>
        <v>1.4183460734784603E-6</v>
      </c>
      <c r="Q176" s="2">
        <f t="shared" si="39"/>
        <v>4.5530221446526708E-11</v>
      </c>
      <c r="R176" s="19">
        <f t="shared" si="40"/>
        <v>2.3606640752404928E-5</v>
      </c>
      <c r="S176" s="16">
        <f t="shared" si="41"/>
        <v>22.008718598978074</v>
      </c>
      <c r="T176" s="23">
        <f t="shared" si="32"/>
        <v>3.4248159863636829E-12</v>
      </c>
      <c r="U176" s="22">
        <f t="shared" si="33"/>
        <v>4.0102192500057754E-7</v>
      </c>
      <c r="V176" s="16">
        <f t="shared" si="42"/>
        <v>24.963518866519443</v>
      </c>
      <c r="W176" s="23">
        <f t="shared" si="34"/>
        <v>3.858247055177344E-12</v>
      </c>
      <c r="X176" s="22">
        <f t="shared" si="35"/>
        <v>1.3348057592565965E-7</v>
      </c>
    </row>
    <row r="177" spans="1:24" x14ac:dyDescent="0.45">
      <c r="A177">
        <v>-88.577579999999998</v>
      </c>
      <c r="B177">
        <v>-27.12125</v>
      </c>
      <c r="C177">
        <v>-89.046329999999998</v>
      </c>
      <c r="D177">
        <v>-36.98312</v>
      </c>
      <c r="E177" s="13">
        <v>56931.964174022803</v>
      </c>
      <c r="F177" s="13">
        <v>-161.31044666728801</v>
      </c>
      <c r="G177" s="13">
        <f t="shared" si="36"/>
        <v>198.68955333271199</v>
      </c>
      <c r="H177" s="13">
        <v>-151.45060412381699</v>
      </c>
      <c r="I177" s="13">
        <f t="shared" si="37"/>
        <v>208.54939587618301</v>
      </c>
      <c r="J177" s="9">
        <v>56931.964</v>
      </c>
      <c r="K177" s="9">
        <v>198.68955299999999</v>
      </c>
      <c r="L177" s="10">
        <v>28.549396000000002</v>
      </c>
      <c r="M177" s="18">
        <f t="shared" si="38"/>
        <v>208.549396</v>
      </c>
      <c r="N177" s="17">
        <f t="shared" si="29"/>
        <v>56931.9641740402</v>
      </c>
      <c r="O177" s="14">
        <f t="shared" si="30"/>
        <v>3.0557200876358446E-13</v>
      </c>
      <c r="P177" s="24">
        <f t="shared" si="31"/>
        <v>1.7396814655512571E-8</v>
      </c>
      <c r="Q177" s="2">
        <f t="shared" si="39"/>
        <v>3.0569857095282886E-9</v>
      </c>
      <c r="R177" s="19">
        <f t="shared" si="40"/>
        <v>1.7404020036337897E-4</v>
      </c>
      <c r="S177" s="16">
        <f t="shared" si="41"/>
        <v>198.68955333268306</v>
      </c>
      <c r="T177" s="23">
        <f t="shared" si="32"/>
        <v>2.893330020015128E-11</v>
      </c>
      <c r="U177" s="22">
        <f t="shared" si="33"/>
        <v>3.3268307220168936E-7</v>
      </c>
      <c r="V177" s="16">
        <f t="shared" si="42"/>
        <v>208.54939587613478</v>
      </c>
      <c r="W177" s="23">
        <f t="shared" si="34"/>
        <v>4.8231640903395601E-11</v>
      </c>
      <c r="X177" s="22">
        <f t="shared" si="35"/>
        <v>1.2386522030283231E-7</v>
      </c>
    </row>
    <row r="178" spans="1:24" x14ac:dyDescent="0.45">
      <c r="A178">
        <v>-77.384259999999998</v>
      </c>
      <c r="B178">
        <v>13.02515</v>
      </c>
      <c r="C178">
        <v>-77.269189999999995</v>
      </c>
      <c r="D178">
        <v>5.4575899999999802</v>
      </c>
      <c r="E178" s="13">
        <v>185725.16845586</v>
      </c>
      <c r="F178" s="13">
        <v>-89.734133326559601</v>
      </c>
      <c r="G178" s="13">
        <f t="shared" si="36"/>
        <v>270.26586667344043</v>
      </c>
      <c r="H178" s="13">
        <v>-82.350421811262294</v>
      </c>
      <c r="I178" s="13">
        <f t="shared" si="37"/>
        <v>277.64957818873768</v>
      </c>
      <c r="J178" s="11">
        <v>185725.16800000001</v>
      </c>
      <c r="K178" s="11">
        <v>270.26586700000001</v>
      </c>
      <c r="L178" s="12">
        <v>97.649578000000005</v>
      </c>
      <c r="M178" s="18">
        <f t="shared" si="38"/>
        <v>277.64957800000002</v>
      </c>
      <c r="N178" s="17">
        <f t="shared" si="29"/>
        <v>185725.16845517204</v>
      </c>
      <c r="O178" s="14">
        <f t="shared" si="30"/>
        <v>3.704163253995234E-12</v>
      </c>
      <c r="P178" s="24">
        <f t="shared" si="31"/>
        <v>6.8795634433627129E-7</v>
      </c>
      <c r="Q178" s="2">
        <f t="shared" si="39"/>
        <v>2.4507827284909968E-9</v>
      </c>
      <c r="R178" s="19">
        <f t="shared" si="40"/>
        <v>4.5517203398048878E-4</v>
      </c>
      <c r="S178" s="16">
        <f t="shared" si="41"/>
        <v>270.26586667347016</v>
      </c>
      <c r="T178" s="23">
        <f t="shared" si="32"/>
        <v>2.9729108064202592E-11</v>
      </c>
      <c r="U178" s="22">
        <f t="shared" si="33"/>
        <v>3.2652985737513518E-7</v>
      </c>
      <c r="V178" s="16">
        <f t="shared" si="42"/>
        <v>277.6495781887387</v>
      </c>
      <c r="W178" s="23">
        <f t="shared" si="34"/>
        <v>1.0231815394945443E-12</v>
      </c>
      <c r="X178" s="22">
        <f t="shared" si="35"/>
        <v>1.8873868157243123E-7</v>
      </c>
    </row>
    <row r="179" spans="1:24" x14ac:dyDescent="0.45">
      <c r="A179">
        <v>25.873139999999999</v>
      </c>
      <c r="B179">
        <v>152.13650000000001</v>
      </c>
      <c r="C179">
        <v>16.34149</v>
      </c>
      <c r="D179">
        <v>142.54756</v>
      </c>
      <c r="E179" s="13">
        <v>1450056.56904085</v>
      </c>
      <c r="F179" s="13">
        <v>-134.81405971946401</v>
      </c>
      <c r="G179" s="13">
        <f t="shared" si="36"/>
        <v>225.18594028053599</v>
      </c>
      <c r="H179" s="13">
        <v>-138.28630517451501</v>
      </c>
      <c r="I179" s="13">
        <f t="shared" si="37"/>
        <v>221.71369482548499</v>
      </c>
      <c r="J179" s="9">
        <v>1450056.5689999999</v>
      </c>
      <c r="K179" s="9">
        <v>225.18593999999999</v>
      </c>
      <c r="L179" s="10">
        <v>41.713695000000001</v>
      </c>
      <c r="M179" s="18">
        <f t="shared" si="38"/>
        <v>221.713695</v>
      </c>
      <c r="N179" s="17">
        <f t="shared" si="29"/>
        <v>1450056.569033603</v>
      </c>
      <c r="O179" s="14">
        <f t="shared" si="30"/>
        <v>4.9977957888663489E-12</v>
      </c>
      <c r="P179" s="24">
        <f t="shared" si="31"/>
        <v>7.2470866143703461E-6</v>
      </c>
      <c r="Q179" s="2">
        <f t="shared" si="39"/>
        <v>2.3173613039024191E-11</v>
      </c>
      <c r="R179" s="19">
        <f t="shared" si="40"/>
        <v>3.360304981470108E-5</v>
      </c>
      <c r="S179" s="16">
        <f t="shared" si="41"/>
        <v>225.18594028061591</v>
      </c>
      <c r="T179" s="23">
        <f t="shared" si="32"/>
        <v>7.9921846918296069E-11</v>
      </c>
      <c r="U179" s="22">
        <f t="shared" si="33"/>
        <v>2.8061592161066073E-7</v>
      </c>
      <c r="V179" s="16">
        <f t="shared" si="42"/>
        <v>221.71369482555636</v>
      </c>
      <c r="W179" s="23">
        <f t="shared" si="34"/>
        <v>7.1366912379744463E-11</v>
      </c>
      <c r="X179" s="22">
        <f t="shared" si="35"/>
        <v>1.7444364175389637E-7</v>
      </c>
    </row>
    <row r="180" spans="1:24" x14ac:dyDescent="0.45">
      <c r="A180">
        <v>60.635190000000001</v>
      </c>
      <c r="B180">
        <v>-18.58577</v>
      </c>
      <c r="C180">
        <v>56.199249999999999</v>
      </c>
      <c r="D180">
        <v>-21.83446</v>
      </c>
      <c r="E180" s="13">
        <v>529160.87919562205</v>
      </c>
      <c r="F180" s="13">
        <v>-157.58526967570299</v>
      </c>
      <c r="G180" s="13">
        <f t="shared" si="36"/>
        <v>202.41473032429701</v>
      </c>
      <c r="H180" s="13">
        <v>-160.355058453911</v>
      </c>
      <c r="I180" s="13">
        <f t="shared" si="37"/>
        <v>199.644941546089</v>
      </c>
      <c r="J180" s="11">
        <v>529160.87899999996</v>
      </c>
      <c r="K180" s="11">
        <v>202.41472999999999</v>
      </c>
      <c r="L180" s="12">
        <v>19.644942</v>
      </c>
      <c r="M180" s="18">
        <f t="shared" si="38"/>
        <v>199.64494200000001</v>
      </c>
      <c r="N180" s="17">
        <f t="shared" si="29"/>
        <v>529160.87919418991</v>
      </c>
      <c r="O180" s="14">
        <f t="shared" si="30"/>
        <v>2.7064383355246355E-12</v>
      </c>
      <c r="P180" s="24">
        <f t="shared" si="31"/>
        <v>1.4321412891149521E-6</v>
      </c>
      <c r="Q180" s="2">
        <f t="shared" si="39"/>
        <v>3.6697715444257477E-10</v>
      </c>
      <c r="R180" s="19">
        <f t="shared" si="40"/>
        <v>1.941899536177516E-4</v>
      </c>
      <c r="S180" s="16">
        <f t="shared" si="41"/>
        <v>202.41473032429386</v>
      </c>
      <c r="T180" s="23">
        <f t="shared" si="32"/>
        <v>3.1548097467748448E-12</v>
      </c>
      <c r="U180" s="22">
        <f t="shared" si="33"/>
        <v>3.2429386465082644E-7</v>
      </c>
      <c r="V180" s="16">
        <f t="shared" si="42"/>
        <v>199.64494154608695</v>
      </c>
      <c r="W180" s="23">
        <f t="shared" si="34"/>
        <v>2.0463630789890885E-12</v>
      </c>
      <c r="X180" s="22">
        <f t="shared" si="35"/>
        <v>4.5391306002784404E-7</v>
      </c>
    </row>
    <row r="181" spans="1:24" x14ac:dyDescent="0.45">
      <c r="A181">
        <v>69.062250000000006</v>
      </c>
      <c r="B181">
        <v>176.82598999999999</v>
      </c>
      <c r="C181">
        <v>63.586129999999997</v>
      </c>
      <c r="D181">
        <v>-174.95089999999999</v>
      </c>
      <c r="E181" s="13">
        <v>711943.01044042897</v>
      </c>
      <c r="F181" s="13">
        <v>145.05892981727101</v>
      </c>
      <c r="G181" s="13">
        <f t="shared" si="36"/>
        <v>145.05892981727101</v>
      </c>
      <c r="H181" s="13">
        <v>152.60059559976901</v>
      </c>
      <c r="I181" s="13">
        <f t="shared" si="37"/>
        <v>152.60059559976901</v>
      </c>
      <c r="J181" s="9">
        <v>711943.01</v>
      </c>
      <c r="K181" s="9">
        <v>145.05893</v>
      </c>
      <c r="L181" s="10">
        <v>332.600596</v>
      </c>
      <c r="M181" s="18">
        <f t="shared" si="38"/>
        <v>152.600596</v>
      </c>
      <c r="N181" s="17">
        <f t="shared" si="29"/>
        <v>711943.01043914806</v>
      </c>
      <c r="O181" s="14">
        <f t="shared" si="30"/>
        <v>1.7991858439193753E-12</v>
      </c>
      <c r="P181" s="24">
        <f t="shared" si="31"/>
        <v>1.2809177860617638E-6</v>
      </c>
      <c r="Q181" s="2">
        <f t="shared" si="39"/>
        <v>6.1683033731537074E-10</v>
      </c>
      <c r="R181" s="19">
        <f t="shared" si="40"/>
        <v>4.3914804700762033E-4</v>
      </c>
      <c r="S181" s="16">
        <f t="shared" si="41"/>
        <v>145.05892981725742</v>
      </c>
      <c r="T181" s="23">
        <f t="shared" si="32"/>
        <v>1.3585577107733116E-11</v>
      </c>
      <c r="U181" s="22">
        <f t="shared" si="33"/>
        <v>1.8274258195560833E-7</v>
      </c>
      <c r="V181" s="16">
        <f t="shared" si="42"/>
        <v>152.60059559975895</v>
      </c>
      <c r="W181" s="23">
        <f t="shared" si="34"/>
        <v>1.0061285138363019E-11</v>
      </c>
      <c r="X181" s="22">
        <f t="shared" si="35"/>
        <v>4.0024104919211823E-7</v>
      </c>
    </row>
    <row r="182" spans="1:24" x14ac:dyDescent="0.45">
      <c r="A182">
        <v>-26.066759999999999</v>
      </c>
      <c r="B182">
        <v>-120.9024</v>
      </c>
      <c r="C182">
        <v>-17.47777</v>
      </c>
      <c r="D182">
        <v>-113.44262999999999</v>
      </c>
      <c r="E182" s="13">
        <v>1223926.8209575999</v>
      </c>
      <c r="F182" s="13">
        <v>40.505452443526103</v>
      </c>
      <c r="G182" s="13">
        <f t="shared" si="36"/>
        <v>40.505452443526103</v>
      </c>
      <c r="H182" s="13">
        <v>37.727264878288302</v>
      </c>
      <c r="I182" s="13">
        <f t="shared" si="37"/>
        <v>37.727264878288302</v>
      </c>
      <c r="J182" s="11">
        <v>1223926.821</v>
      </c>
      <c r="K182" s="11">
        <v>40.505451999999998</v>
      </c>
      <c r="L182" s="12">
        <v>217.72726499999999</v>
      </c>
      <c r="M182" s="18">
        <f t="shared" si="38"/>
        <v>37.727264999999989</v>
      </c>
      <c r="N182" s="17">
        <f t="shared" si="29"/>
        <v>1223926.8209512529</v>
      </c>
      <c r="O182" s="14">
        <f t="shared" si="30"/>
        <v>5.1857376089189912E-12</v>
      </c>
      <c r="P182" s="24">
        <f t="shared" si="31"/>
        <v>6.3469633460044861E-6</v>
      </c>
      <c r="Q182" s="2">
        <f t="shared" si="39"/>
        <v>3.9828405206490463E-11</v>
      </c>
      <c r="R182" s="19">
        <f t="shared" si="40"/>
        <v>4.8747053369879723E-5</v>
      </c>
      <c r="S182" s="16">
        <f t="shared" si="41"/>
        <v>40.505452443602742</v>
      </c>
      <c r="T182" s="23">
        <f t="shared" si="32"/>
        <v>7.6639139479084406E-11</v>
      </c>
      <c r="U182" s="22">
        <f t="shared" si="33"/>
        <v>4.4360274387145182E-7</v>
      </c>
      <c r="V182" s="16">
        <f t="shared" si="42"/>
        <v>37.72726487835768</v>
      </c>
      <c r="W182" s="23">
        <f t="shared" si="34"/>
        <v>6.9377392719616182E-11</v>
      </c>
      <c r="X182" s="22">
        <f t="shared" si="35"/>
        <v>1.2164230867028891E-7</v>
      </c>
    </row>
    <row r="183" spans="1:24" x14ac:dyDescent="0.45">
      <c r="A183">
        <v>-89.244209999999995</v>
      </c>
      <c r="B183">
        <v>76.12988</v>
      </c>
      <c r="C183">
        <v>-82.444220000000001</v>
      </c>
      <c r="D183">
        <v>85.384739999999994</v>
      </c>
      <c r="E183" s="13">
        <v>760688.05545319698</v>
      </c>
      <c r="F183" s="13">
        <v>10.271869436806201</v>
      </c>
      <c r="G183" s="13">
        <f t="shared" si="36"/>
        <v>10.271869436806201</v>
      </c>
      <c r="H183" s="13">
        <v>1.02503226799985</v>
      </c>
      <c r="I183" s="13">
        <f t="shared" si="37"/>
        <v>1.02503226799985</v>
      </c>
      <c r="J183" s="9">
        <v>760688.05500000005</v>
      </c>
      <c r="K183" s="9">
        <v>10.271869000000001</v>
      </c>
      <c r="L183" s="10">
        <v>181.02503200000001</v>
      </c>
      <c r="M183" s="18">
        <f t="shared" si="38"/>
        <v>1.0250320000000102</v>
      </c>
      <c r="N183" s="17">
        <f t="shared" si="29"/>
        <v>760688.05545350467</v>
      </c>
      <c r="O183" s="14">
        <f t="shared" si="30"/>
        <v>4.0448340602019581E-13</v>
      </c>
      <c r="P183" s="24">
        <f t="shared" si="31"/>
        <v>3.0768569558858871E-7</v>
      </c>
      <c r="Q183" s="2">
        <f t="shared" si="39"/>
        <v>5.9617686165186539E-10</v>
      </c>
      <c r="R183" s="19">
        <f t="shared" si="40"/>
        <v>4.5350461732596159E-4</v>
      </c>
      <c r="S183" s="16">
        <f t="shared" si="41"/>
        <v>10.271869436806476</v>
      </c>
      <c r="T183" s="23">
        <f t="shared" si="32"/>
        <v>2.7533531010703882E-13</v>
      </c>
      <c r="U183" s="22">
        <f t="shared" si="33"/>
        <v>4.3680647543453688E-7</v>
      </c>
      <c r="V183" s="16">
        <f t="shared" si="42"/>
        <v>1.0250322679999744</v>
      </c>
      <c r="W183" s="23">
        <f t="shared" si="34"/>
        <v>1.2434497875801753E-13</v>
      </c>
      <c r="X183" s="22">
        <f t="shared" si="35"/>
        <v>2.6799996422077754E-7</v>
      </c>
    </row>
    <row r="184" spans="1:24" x14ac:dyDescent="0.45">
      <c r="A184">
        <v>45.356070000000003</v>
      </c>
      <c r="B184">
        <v>-62.408720000000002</v>
      </c>
      <c r="C184">
        <v>54.447510000000001</v>
      </c>
      <c r="D184">
        <v>-53.787410000000001</v>
      </c>
      <c r="E184" s="13">
        <v>1183858.36108521</v>
      </c>
      <c r="F184" s="13">
        <v>28.2512473879627</v>
      </c>
      <c r="G184" s="13">
        <f t="shared" si="36"/>
        <v>28.2512473879627</v>
      </c>
      <c r="H184" s="13">
        <v>34.872041322627403</v>
      </c>
      <c r="I184" s="13">
        <f t="shared" si="37"/>
        <v>34.872041322627403</v>
      </c>
      <c r="J184" s="11">
        <v>1183858.361</v>
      </c>
      <c r="K184" s="11">
        <v>28.251246999999999</v>
      </c>
      <c r="L184" s="12">
        <v>214.872041</v>
      </c>
      <c r="M184" s="18">
        <f t="shared" si="38"/>
        <v>34.872040999999967</v>
      </c>
      <c r="N184" s="17">
        <f t="shared" si="29"/>
        <v>1183858.3610807068</v>
      </c>
      <c r="O184" s="14">
        <f t="shared" si="30"/>
        <v>3.803814397848705E-12</v>
      </c>
      <c r="P184" s="24">
        <f t="shared" si="31"/>
        <v>4.5031774789094925E-6</v>
      </c>
      <c r="Q184" s="2">
        <f t="shared" si="39"/>
        <v>6.817266926551848E-11</v>
      </c>
      <c r="R184" s="19">
        <f t="shared" si="40"/>
        <v>8.0706784501671791E-5</v>
      </c>
      <c r="S184" s="16">
        <f t="shared" si="41"/>
        <v>28.251247387913754</v>
      </c>
      <c r="T184" s="23">
        <f t="shared" si="32"/>
        <v>4.8945736352834501E-11</v>
      </c>
      <c r="U184" s="22">
        <f t="shared" si="33"/>
        <v>3.8791375445157428E-7</v>
      </c>
      <c r="V184" s="16">
        <f t="shared" si="42"/>
        <v>34.872041322563945</v>
      </c>
      <c r="W184" s="23">
        <f t="shared" si="34"/>
        <v>6.3458571730734548E-11</v>
      </c>
      <c r="X184" s="22">
        <f t="shared" si="35"/>
        <v>3.225639773063449E-7</v>
      </c>
    </row>
    <row r="185" spans="1:24" x14ac:dyDescent="0.45">
      <c r="A185">
        <v>-9.5659500000000008</v>
      </c>
      <c r="B185">
        <v>20.890779999999999</v>
      </c>
      <c r="C185">
        <v>-9.6598999999999897</v>
      </c>
      <c r="D185">
        <v>12.4132499999999</v>
      </c>
      <c r="E185" s="13">
        <v>930584.10287087597</v>
      </c>
      <c r="F185" s="13">
        <v>-91.347717700177398</v>
      </c>
      <c r="G185" s="13">
        <f t="shared" si="36"/>
        <v>268.65228229982262</v>
      </c>
      <c r="H185" s="13">
        <v>-89.929512112664199</v>
      </c>
      <c r="I185" s="13">
        <f t="shared" si="37"/>
        <v>270.07048788733579</v>
      </c>
      <c r="J185" s="9">
        <v>930584.103</v>
      </c>
      <c r="K185" s="9">
        <v>268.65228200000001</v>
      </c>
      <c r="L185" s="10">
        <v>90.070487999999997</v>
      </c>
      <c r="M185" s="18">
        <f t="shared" si="38"/>
        <v>270.07048800000001</v>
      </c>
      <c r="N185" s="17">
        <f t="shared" si="29"/>
        <v>930584.10286563192</v>
      </c>
      <c r="O185" s="14">
        <f t="shared" si="30"/>
        <v>5.6352183223827837E-12</v>
      </c>
      <c r="P185" s="24">
        <f t="shared" si="31"/>
        <v>5.2440445870161057E-6</v>
      </c>
      <c r="Q185" s="2">
        <f t="shared" si="39"/>
        <v>1.4439111673910886E-10</v>
      </c>
      <c r="R185" s="19">
        <f t="shared" si="40"/>
        <v>1.3436807785183191E-4</v>
      </c>
      <c r="S185" s="16">
        <f t="shared" si="41"/>
        <v>268.6522822998225</v>
      </c>
      <c r="T185" s="23">
        <f t="shared" si="32"/>
        <v>1.1368683772161603E-13</v>
      </c>
      <c r="U185" s="22">
        <f t="shared" si="33"/>
        <v>2.9982248861415428E-7</v>
      </c>
      <c r="V185" s="16">
        <f t="shared" si="42"/>
        <v>270.07048788733755</v>
      </c>
      <c r="W185" s="23">
        <f t="shared" si="34"/>
        <v>1.7621459846850485E-12</v>
      </c>
      <c r="X185" s="22">
        <f t="shared" si="35"/>
        <v>1.1266246247032541E-7</v>
      </c>
    </row>
    <row r="186" spans="1:24" x14ac:dyDescent="0.45">
      <c r="A186">
        <v>-68.512829999999994</v>
      </c>
      <c r="B186">
        <v>88.405010000000004</v>
      </c>
      <c r="C186">
        <v>-61.031010000000002</v>
      </c>
      <c r="D186">
        <v>83.634289999999993</v>
      </c>
      <c r="E186" s="13">
        <v>863834.62731647398</v>
      </c>
      <c r="F186" s="13">
        <v>-17.403198498877501</v>
      </c>
      <c r="G186" s="13">
        <f t="shared" si="36"/>
        <v>342.59680150112251</v>
      </c>
      <c r="H186" s="13">
        <v>-13.077849895633699</v>
      </c>
      <c r="I186" s="13">
        <f t="shared" si="37"/>
        <v>346.92215010436632</v>
      </c>
      <c r="J186" s="11">
        <v>863834.62699999998</v>
      </c>
      <c r="K186" s="11">
        <v>342.59680200000003</v>
      </c>
      <c r="L186" s="12">
        <v>166.92214999999999</v>
      </c>
      <c r="M186" s="18">
        <f t="shared" si="38"/>
        <v>346.92214999999999</v>
      </c>
      <c r="N186" s="17">
        <f t="shared" si="29"/>
        <v>863834.62731454044</v>
      </c>
      <c r="O186" s="14">
        <f t="shared" si="30"/>
        <v>2.238324349453508E-12</v>
      </c>
      <c r="P186" s="24">
        <f t="shared" si="31"/>
        <v>1.9335420802235603E-6</v>
      </c>
      <c r="Q186" s="2">
        <f t="shared" si="39"/>
        <v>3.6412115552807345E-10</v>
      </c>
      <c r="R186" s="19">
        <f t="shared" si="40"/>
        <v>3.1454046256840229E-4</v>
      </c>
      <c r="S186" s="16">
        <f t="shared" si="41"/>
        <v>342.59680150111819</v>
      </c>
      <c r="T186" s="23">
        <f t="shared" si="32"/>
        <v>4.3200998334214091E-12</v>
      </c>
      <c r="U186" s="22">
        <f t="shared" si="33"/>
        <v>4.988818318452104E-7</v>
      </c>
      <c r="V186" s="16">
        <f t="shared" si="42"/>
        <v>346.92215010436308</v>
      </c>
      <c r="W186" s="23">
        <f t="shared" si="34"/>
        <v>3.2400748750660568E-12</v>
      </c>
      <c r="X186" s="22">
        <f t="shared" si="35"/>
        <v>1.04363095942972E-7</v>
      </c>
    </row>
    <row r="187" spans="1:24" x14ac:dyDescent="0.45">
      <c r="A187">
        <v>67.756069999999994</v>
      </c>
      <c r="B187">
        <v>-7.8779000000000003</v>
      </c>
      <c r="C187">
        <v>61.467379999999999</v>
      </c>
      <c r="D187">
        <v>-6.8839799999999496</v>
      </c>
      <c r="E187" s="13">
        <v>702689.67756565905</v>
      </c>
      <c r="F187" s="13">
        <v>175.666966413598</v>
      </c>
      <c r="G187" s="13">
        <f t="shared" si="36"/>
        <v>175.666966413598</v>
      </c>
      <c r="H187" s="13">
        <v>176.56625570563901</v>
      </c>
      <c r="I187" s="13">
        <f t="shared" si="37"/>
        <v>176.56625570563901</v>
      </c>
      <c r="J187" s="9">
        <v>702689.67799999996</v>
      </c>
      <c r="K187" s="9">
        <v>175.666966</v>
      </c>
      <c r="L187" s="10">
        <v>356.56625600000001</v>
      </c>
      <c r="M187" s="18">
        <f t="shared" si="38"/>
        <v>176.56625600000007</v>
      </c>
      <c r="N187" s="17">
        <f t="shared" si="29"/>
        <v>702689.67756402621</v>
      </c>
      <c r="O187" s="14">
        <f t="shared" si="30"/>
        <v>2.3237018502979443E-12</v>
      </c>
      <c r="P187" s="24">
        <f t="shared" si="31"/>
        <v>1.6328413039445877E-6</v>
      </c>
      <c r="Q187" s="2">
        <f t="shared" si="39"/>
        <v>6.2043568317132069E-10</v>
      </c>
      <c r="R187" s="19">
        <f t="shared" si="40"/>
        <v>4.359737504273653E-4</v>
      </c>
      <c r="S187" s="16">
        <f t="shared" si="41"/>
        <v>175.66696641359749</v>
      </c>
      <c r="T187" s="23">
        <f t="shared" si="32"/>
        <v>5.1159076974727213E-13</v>
      </c>
      <c r="U187" s="22">
        <f t="shared" si="33"/>
        <v>4.1359749047842342E-7</v>
      </c>
      <c r="V187" s="16">
        <f t="shared" si="42"/>
        <v>176.5662557056381</v>
      </c>
      <c r="W187" s="23">
        <f t="shared" si="34"/>
        <v>9.0949470177292824E-13</v>
      </c>
      <c r="X187" s="22">
        <f t="shared" si="35"/>
        <v>2.9436196768983791E-7</v>
      </c>
    </row>
    <row r="188" spans="1:24" x14ac:dyDescent="0.45">
      <c r="A188">
        <v>-52.442160000000001</v>
      </c>
      <c r="B188">
        <v>20.656749999999999</v>
      </c>
      <c r="C188">
        <v>-60.026859999999999</v>
      </c>
      <c r="D188">
        <v>14.25952</v>
      </c>
      <c r="E188" s="13">
        <v>932048.79506023403</v>
      </c>
      <c r="F188" s="13">
        <v>-157.46525979281401</v>
      </c>
      <c r="G188" s="13">
        <f t="shared" si="36"/>
        <v>202.53474020718599</v>
      </c>
      <c r="H188" s="13">
        <v>-152.13373491370601</v>
      </c>
      <c r="I188" s="13">
        <f t="shared" si="37"/>
        <v>207.86626508629399</v>
      </c>
      <c r="J188" s="11">
        <v>932048.79500000004</v>
      </c>
      <c r="K188" s="11">
        <v>202.53474</v>
      </c>
      <c r="L188" s="12">
        <v>27.866264999999999</v>
      </c>
      <c r="M188" s="18">
        <f t="shared" si="38"/>
        <v>207.866265</v>
      </c>
      <c r="N188" s="17">
        <f t="shared" si="29"/>
        <v>932048.79505756358</v>
      </c>
      <c r="O188" s="14">
        <f t="shared" si="30"/>
        <v>2.8651408397727491E-12</v>
      </c>
      <c r="P188" s="24">
        <f t="shared" si="31"/>
        <v>2.6704510673880577E-6</v>
      </c>
      <c r="Q188" s="2">
        <f t="shared" si="39"/>
        <v>6.1760216038688165E-11</v>
      </c>
      <c r="R188" s="19">
        <f t="shared" si="40"/>
        <v>5.7563534937798977E-5</v>
      </c>
      <c r="S188" s="16">
        <f t="shared" si="41"/>
        <v>202.53474020717914</v>
      </c>
      <c r="T188" s="23">
        <f t="shared" si="32"/>
        <v>6.8496319727273658E-12</v>
      </c>
      <c r="U188" s="22">
        <f t="shared" si="33"/>
        <v>2.0717914139822824E-7</v>
      </c>
      <c r="V188" s="16">
        <f t="shared" si="42"/>
        <v>207.86626508628524</v>
      </c>
      <c r="W188" s="23">
        <f t="shared" si="34"/>
        <v>8.7538865045644343E-12</v>
      </c>
      <c r="X188" s="22">
        <f t="shared" si="35"/>
        <v>8.6285240286088083E-8</v>
      </c>
    </row>
    <row r="189" spans="1:24" x14ac:dyDescent="0.45">
      <c r="A189">
        <v>16.623619999999999</v>
      </c>
      <c r="B189">
        <v>176.03188</v>
      </c>
      <c r="C189">
        <v>12.38795</v>
      </c>
      <c r="D189">
        <v>-177.78276</v>
      </c>
      <c r="E189" s="13">
        <v>814807.42281449097</v>
      </c>
      <c r="F189" s="13">
        <v>124.295097776272</v>
      </c>
      <c r="G189" s="13">
        <f t="shared" si="36"/>
        <v>124.295097776272</v>
      </c>
      <c r="H189" s="13">
        <v>125.846877783257</v>
      </c>
      <c r="I189" s="13">
        <f t="shared" si="37"/>
        <v>125.846877783257</v>
      </c>
      <c r="J189" s="9">
        <v>814807.42299999995</v>
      </c>
      <c r="K189" s="9">
        <v>124.295098</v>
      </c>
      <c r="L189" s="10">
        <v>305.846878</v>
      </c>
      <c r="M189" s="18">
        <f t="shared" si="38"/>
        <v>125.846878</v>
      </c>
      <c r="N189" s="17">
        <f t="shared" si="29"/>
        <v>814807.42281005683</v>
      </c>
      <c r="O189" s="14">
        <f t="shared" si="30"/>
        <v>5.4419523790662022E-12</v>
      </c>
      <c r="P189" s="24">
        <f t="shared" si="31"/>
        <v>4.4341431930661201E-6</v>
      </c>
      <c r="Q189" s="2">
        <f t="shared" si="39"/>
        <v>2.3311412895351719E-10</v>
      </c>
      <c r="R189" s="19">
        <f t="shared" si="40"/>
        <v>1.8994312267750502E-4</v>
      </c>
      <c r="S189" s="16">
        <f t="shared" si="41"/>
        <v>124.29509777622079</v>
      </c>
      <c r="T189" s="23">
        <f t="shared" si="32"/>
        <v>5.1215920393588021E-11</v>
      </c>
      <c r="U189" s="22">
        <f t="shared" si="33"/>
        <v>2.237792102732783E-7</v>
      </c>
      <c r="V189" s="16">
        <f t="shared" si="42"/>
        <v>125.84687778320917</v>
      </c>
      <c r="W189" s="23">
        <f t="shared" si="34"/>
        <v>4.7833736971369945E-11</v>
      </c>
      <c r="X189" s="22">
        <f t="shared" si="35"/>
        <v>2.1679083772596641E-7</v>
      </c>
    </row>
    <row r="190" spans="1:24" x14ac:dyDescent="0.45">
      <c r="A190">
        <v>-25.84301</v>
      </c>
      <c r="B190">
        <v>-14.817640000000001</v>
      </c>
      <c r="C190">
        <v>-26.60894</v>
      </c>
      <c r="D190">
        <v>-6.6561299999999601</v>
      </c>
      <c r="E190" s="13">
        <v>819800.46231509803</v>
      </c>
      <c r="F190" s="13">
        <v>97.736130050214697</v>
      </c>
      <c r="G190" s="13">
        <f t="shared" si="36"/>
        <v>97.736130050214697</v>
      </c>
      <c r="H190" s="13">
        <v>94.124433955199706</v>
      </c>
      <c r="I190" s="13">
        <f t="shared" si="37"/>
        <v>94.124433955199706</v>
      </c>
      <c r="J190" s="11">
        <v>819800.46200000006</v>
      </c>
      <c r="K190" s="11">
        <v>97.736130000000003</v>
      </c>
      <c r="L190" s="12">
        <v>274.12443400000001</v>
      </c>
      <c r="M190" s="18">
        <f t="shared" si="38"/>
        <v>94.124434000000008</v>
      </c>
      <c r="N190" s="17">
        <f t="shared" si="29"/>
        <v>819800.46231578221</v>
      </c>
      <c r="O190" s="14">
        <f t="shared" si="30"/>
        <v>8.3456021047464065E-13</v>
      </c>
      <c r="P190" s="24">
        <f t="shared" si="31"/>
        <v>6.841728463768959E-7</v>
      </c>
      <c r="Q190" s="2">
        <f t="shared" si="39"/>
        <v>3.8519391367579924E-10</v>
      </c>
      <c r="R190" s="19">
        <f t="shared" si="40"/>
        <v>3.1578214839100838E-4</v>
      </c>
      <c r="S190" s="16">
        <f t="shared" si="41"/>
        <v>97.736130050187569</v>
      </c>
      <c r="T190" s="23">
        <f t="shared" si="32"/>
        <v>2.7128521651320625E-11</v>
      </c>
      <c r="U190" s="22">
        <f t="shared" si="33"/>
        <v>5.0187566102977144E-8</v>
      </c>
      <c r="V190" s="16">
        <f t="shared" si="42"/>
        <v>94.124433955148518</v>
      </c>
      <c r="W190" s="23">
        <f t="shared" si="34"/>
        <v>5.1187498684157617E-11</v>
      </c>
      <c r="X190" s="22">
        <f t="shared" si="35"/>
        <v>4.4851489633401798E-8</v>
      </c>
    </row>
    <row r="191" spans="1:24" x14ac:dyDescent="0.45">
      <c r="A191">
        <v>-30.38682</v>
      </c>
      <c r="B191">
        <v>-76.668790000000001</v>
      </c>
      <c r="C191">
        <v>-23.240179999999999</v>
      </c>
      <c r="D191">
        <v>-75.047179999999997</v>
      </c>
      <c r="E191" s="13">
        <v>808065.87718291802</v>
      </c>
      <c r="F191" s="13">
        <v>11.8821510133207</v>
      </c>
      <c r="G191" s="13">
        <f t="shared" si="36"/>
        <v>11.8821510133207</v>
      </c>
      <c r="H191" s="13">
        <v>11.1491933771217</v>
      </c>
      <c r="I191" s="13">
        <f t="shared" si="37"/>
        <v>11.1491933771217</v>
      </c>
      <c r="J191" s="9">
        <v>808065.87699999998</v>
      </c>
      <c r="K191" s="9">
        <v>11.882151</v>
      </c>
      <c r="L191" s="10">
        <v>191.149193</v>
      </c>
      <c r="M191" s="18">
        <f t="shared" si="38"/>
        <v>11.149192999999968</v>
      </c>
      <c r="N191" s="17">
        <f t="shared" si="29"/>
        <v>808065.87717811915</v>
      </c>
      <c r="O191" s="14">
        <f t="shared" si="30"/>
        <v>5.9387143200251843E-12</v>
      </c>
      <c r="P191" s="24">
        <f t="shared" si="31"/>
        <v>4.7988723963499069E-6</v>
      </c>
      <c r="Q191" s="2">
        <f t="shared" si="39"/>
        <v>2.2042654287889048E-10</v>
      </c>
      <c r="R191" s="19">
        <f t="shared" si="40"/>
        <v>1.7811916768550873E-4</v>
      </c>
      <c r="S191" s="16">
        <f t="shared" si="41"/>
        <v>11.882151013360897</v>
      </c>
      <c r="T191" s="23">
        <f t="shared" si="32"/>
        <v>4.0197178918788268E-11</v>
      </c>
      <c r="U191" s="22">
        <f t="shared" si="33"/>
        <v>1.3360896389258414E-8</v>
      </c>
      <c r="V191" s="16">
        <f t="shared" si="42"/>
        <v>11.149193377159353</v>
      </c>
      <c r="W191" s="23">
        <f t="shared" si="34"/>
        <v>3.7653435924767109E-11</v>
      </c>
      <c r="X191" s="22">
        <f t="shared" si="35"/>
        <v>3.7715938461246878E-7</v>
      </c>
    </row>
    <row r="192" spans="1:24" x14ac:dyDescent="0.45">
      <c r="A192">
        <v>55.910029999999999</v>
      </c>
      <c r="B192">
        <v>165.71516</v>
      </c>
      <c r="C192">
        <v>55.677230000000002</v>
      </c>
      <c r="D192">
        <v>161.47691</v>
      </c>
      <c r="E192" s="13">
        <v>267061.474830158</v>
      </c>
      <c r="F192" s="13">
        <v>-93.813345383600506</v>
      </c>
      <c r="G192" s="13">
        <f t="shared" si="36"/>
        <v>266.18665461639949</v>
      </c>
      <c r="H192" s="13">
        <v>-97.318968178122901</v>
      </c>
      <c r="I192" s="13">
        <f t="shared" si="37"/>
        <v>262.68103182187713</v>
      </c>
      <c r="J192" s="11">
        <v>267061.47499999998</v>
      </c>
      <c r="K192" s="11">
        <v>266.18665499999997</v>
      </c>
      <c r="L192" s="12">
        <v>82.681032000000002</v>
      </c>
      <c r="M192" s="18">
        <f t="shared" si="38"/>
        <v>262.68103200000002</v>
      </c>
      <c r="N192" s="17">
        <f t="shared" si="29"/>
        <v>267061.474829969</v>
      </c>
      <c r="O192" s="14">
        <f t="shared" si="30"/>
        <v>7.0770325486379652E-13</v>
      </c>
      <c r="P192" s="24">
        <f t="shared" si="31"/>
        <v>1.8900027498602867E-7</v>
      </c>
      <c r="Q192" s="2">
        <f t="shared" si="39"/>
        <v>6.366735612874856E-10</v>
      </c>
      <c r="R192" s="19">
        <f t="shared" si="40"/>
        <v>1.7003098037093878E-4</v>
      </c>
      <c r="S192" s="16">
        <f t="shared" si="41"/>
        <v>266.18665461640961</v>
      </c>
      <c r="T192" s="23">
        <f t="shared" si="32"/>
        <v>1.0118128557223827E-11</v>
      </c>
      <c r="U192" s="22">
        <f t="shared" si="33"/>
        <v>3.8359036125257262E-7</v>
      </c>
      <c r="V192" s="16">
        <f t="shared" si="42"/>
        <v>262.68103182188224</v>
      </c>
      <c r="W192" s="23">
        <f t="shared" si="34"/>
        <v>5.1159076974727213E-12</v>
      </c>
      <c r="X192" s="22">
        <f t="shared" si="35"/>
        <v>1.7811777297538356E-7</v>
      </c>
    </row>
    <row r="193" spans="1:24" x14ac:dyDescent="0.45">
      <c r="A193">
        <v>-59.095149999999997</v>
      </c>
      <c r="B193">
        <v>129.89176</v>
      </c>
      <c r="C193">
        <v>-50.128189999999996</v>
      </c>
      <c r="D193">
        <v>136.99707000000001</v>
      </c>
      <c r="E193" s="13">
        <v>1097226.77395969</v>
      </c>
      <c r="F193" s="13">
        <v>27.6544821818811</v>
      </c>
      <c r="G193" s="13">
        <f t="shared" si="36"/>
        <v>27.6544821818811</v>
      </c>
      <c r="H193" s="13">
        <v>21.841629450921499</v>
      </c>
      <c r="I193" s="13">
        <f t="shared" si="37"/>
        <v>21.841629450921499</v>
      </c>
      <c r="J193" s="9">
        <v>1097226.774</v>
      </c>
      <c r="K193" s="9">
        <v>27.654482000000002</v>
      </c>
      <c r="L193" s="10">
        <v>201.84162900000001</v>
      </c>
      <c r="M193" s="18">
        <f t="shared" si="38"/>
        <v>21.841629000000012</v>
      </c>
      <c r="N193" s="17">
        <f t="shared" si="29"/>
        <v>1097226.7739563882</v>
      </c>
      <c r="O193" s="14">
        <f t="shared" si="30"/>
        <v>3.0091968552134746E-12</v>
      </c>
      <c r="P193" s="24">
        <f t="shared" si="31"/>
        <v>3.3017713576555252E-6</v>
      </c>
      <c r="Q193" s="2">
        <f t="shared" si="39"/>
        <v>3.9747244349917746E-11</v>
      </c>
      <c r="R193" s="19">
        <f t="shared" si="40"/>
        <v>4.3611740693449974E-5</v>
      </c>
      <c r="S193" s="16">
        <f t="shared" si="41"/>
        <v>27.654482181864548</v>
      </c>
      <c r="T193" s="23">
        <f t="shared" si="32"/>
        <v>1.6552093029531534E-11</v>
      </c>
      <c r="U193" s="22">
        <f t="shared" si="33"/>
        <v>1.8186454653346118E-7</v>
      </c>
      <c r="V193" s="16">
        <f t="shared" si="42"/>
        <v>21.841629450908865</v>
      </c>
      <c r="W193" s="23">
        <f t="shared" si="34"/>
        <v>1.2633449841814581E-11</v>
      </c>
      <c r="X193" s="22">
        <f t="shared" si="35"/>
        <v>4.5090885336662723E-7</v>
      </c>
    </row>
    <row r="194" spans="1:24" x14ac:dyDescent="0.45">
      <c r="A194">
        <v>-77.110870000000006</v>
      </c>
      <c r="B194">
        <v>-3.8794200000000001</v>
      </c>
      <c r="C194">
        <v>-81.100620000000006</v>
      </c>
      <c r="D194">
        <v>-2.6490800000000299</v>
      </c>
      <c r="E194" s="13">
        <v>446199.73015740199</v>
      </c>
      <c r="F194" s="13">
        <v>177.26733709244201</v>
      </c>
      <c r="G194" s="13">
        <f t="shared" si="36"/>
        <v>177.26733709244201</v>
      </c>
      <c r="H194" s="13">
        <v>176.05843630955499</v>
      </c>
      <c r="I194" s="13">
        <f t="shared" si="37"/>
        <v>176.05843630955499</v>
      </c>
      <c r="J194" s="11">
        <v>446199.73</v>
      </c>
      <c r="K194" s="11">
        <v>177.267337</v>
      </c>
      <c r="L194" s="12">
        <v>356.05843599999997</v>
      </c>
      <c r="M194" s="18">
        <f t="shared" si="38"/>
        <v>176.05843600000003</v>
      </c>
      <c r="N194" s="17">
        <f t="shared" si="29"/>
        <v>446199.73015723855</v>
      </c>
      <c r="O194" s="14">
        <f t="shared" si="30"/>
        <v>3.6630930231033234E-13</v>
      </c>
      <c r="P194" s="24">
        <f t="shared" si="31"/>
        <v>1.6344711184501648E-7</v>
      </c>
      <c r="Q194" s="2">
        <f t="shared" si="39"/>
        <v>3.5239502793214202E-10</v>
      </c>
      <c r="R194" s="19">
        <f t="shared" si="40"/>
        <v>1.5723856631666422E-4</v>
      </c>
      <c r="S194" s="16">
        <f t="shared" si="41"/>
        <v>177.26733709244604</v>
      </c>
      <c r="T194" s="23">
        <f t="shared" si="32"/>
        <v>4.0358827391173691E-12</v>
      </c>
      <c r="U194" s="22">
        <f t="shared" si="33"/>
        <v>9.2446043709060177E-8</v>
      </c>
      <c r="V194" s="16">
        <f t="shared" si="42"/>
        <v>176.05843630956016</v>
      </c>
      <c r="W194" s="23">
        <f t="shared" si="34"/>
        <v>5.1727511163335294E-12</v>
      </c>
      <c r="X194" s="22">
        <f t="shared" si="35"/>
        <v>3.0956013574723329E-7</v>
      </c>
    </row>
    <row r="195" spans="1:24" x14ac:dyDescent="0.45">
      <c r="A195">
        <v>-54.169440000000002</v>
      </c>
      <c r="B195">
        <v>71.150040000000004</v>
      </c>
      <c r="C195">
        <v>-54.498989999999999</v>
      </c>
      <c r="D195">
        <v>78.353459999999998</v>
      </c>
      <c r="E195" s="13">
        <v>469804.15710875299</v>
      </c>
      <c r="F195" s="13">
        <v>97.397853195514202</v>
      </c>
      <c r="G195" s="13">
        <f t="shared" si="36"/>
        <v>97.397853195514202</v>
      </c>
      <c r="H195" s="13">
        <v>91.542914522146205</v>
      </c>
      <c r="I195" s="13">
        <f t="shared" si="37"/>
        <v>91.542914522146205</v>
      </c>
      <c r="J195" s="9">
        <v>469804.15700000001</v>
      </c>
      <c r="K195" s="9">
        <v>97.397852999999998</v>
      </c>
      <c r="L195" s="10">
        <v>271.54291499999999</v>
      </c>
      <c r="M195" s="18">
        <f t="shared" si="38"/>
        <v>91.542914999999994</v>
      </c>
      <c r="N195" s="17">
        <f t="shared" ref="N195:N258" si="43">VincentyInvDistance($A195,$B195,$C195,$D195)</f>
        <v>469804.15710829484</v>
      </c>
      <c r="O195" s="14">
        <f t="shared" ref="O195:O258" si="44">ABS((E195-N195)/E195)</f>
        <v>9.7519890387825195E-13</v>
      </c>
      <c r="P195" s="24">
        <f t="shared" ref="P195:P258" si="45">ABS(E195-N195)</f>
        <v>4.5815249904990196E-7</v>
      </c>
      <c r="Q195" s="2">
        <f t="shared" si="39"/>
        <v>2.3051058115809283E-10</v>
      </c>
      <c r="R195" s="19">
        <f t="shared" si="40"/>
        <v>1.0829482926055789E-4</v>
      </c>
      <c r="S195" s="16">
        <f t="shared" si="41"/>
        <v>97.397853195512241</v>
      </c>
      <c r="T195" s="23">
        <f t="shared" ref="T195:T258" si="46">ABS(G195-S195)</f>
        <v>1.9610979506978765E-12</v>
      </c>
      <c r="U195" s="22">
        <f t="shared" ref="U195:U258" si="47">ABS(K195-S195)</f>
        <v>1.9551224283986812E-7</v>
      </c>
      <c r="V195" s="16">
        <f t="shared" si="42"/>
        <v>91.54291452213657</v>
      </c>
      <c r="W195" s="23">
        <f t="shared" ref="W195:W258" si="48">ABS(I195-V195)</f>
        <v>9.6349594969069585E-12</v>
      </c>
      <c r="X195" s="22">
        <f t="shared" ref="X195:X258" si="49">ABS(M195-V195)</f>
        <v>4.7786342349809274E-7</v>
      </c>
    </row>
    <row r="196" spans="1:24" x14ac:dyDescent="0.45">
      <c r="A196">
        <v>-63.899839999999998</v>
      </c>
      <c r="B196">
        <v>41.559040000000003</v>
      </c>
      <c r="C196">
        <v>-67.119910000000004</v>
      </c>
      <c r="D196">
        <v>33.256219999999999</v>
      </c>
      <c r="E196" s="13">
        <v>525080.65008331195</v>
      </c>
      <c r="F196" s="13">
        <v>-136.787284897098</v>
      </c>
      <c r="G196" s="13">
        <f t="shared" ref="G196:G259" si="50">NormalizeAzimuth(F196, TRUE)</f>
        <v>223.212715102902</v>
      </c>
      <c r="H196" s="13">
        <v>-129.22619469106999</v>
      </c>
      <c r="I196" s="13">
        <f t="shared" ref="I196:I259" si="51">NormalizeAzimuth(H196, TRUE)</f>
        <v>230.77380530893001</v>
      </c>
      <c r="J196" s="11">
        <v>525080.65</v>
      </c>
      <c r="K196" s="11">
        <v>223.212715</v>
      </c>
      <c r="L196" s="12">
        <v>50.773805000000003</v>
      </c>
      <c r="M196" s="18">
        <f t="shared" ref="M196:M259" si="52">NormalizeAzimuth(L196+180, TRUE)</f>
        <v>230.77380500000001</v>
      </c>
      <c r="N196" s="17">
        <f t="shared" si="43"/>
        <v>525080.6500825875</v>
      </c>
      <c r="O196" s="14">
        <f t="shared" si="44"/>
        <v>1.3796976666614357E-12</v>
      </c>
      <c r="P196" s="24">
        <f t="shared" si="45"/>
        <v>7.2445254772901535E-7</v>
      </c>
      <c r="Q196" s="2">
        <f t="shared" ref="Q196:Q259" si="53">ABS((J196-N196)/J196)</f>
        <v>1.5728531231494802E-10</v>
      </c>
      <c r="R196" s="19">
        <f t="shared" ref="R196:R259" si="54">ABS(J196-N196)</f>
        <v>8.2587474025785923E-5</v>
      </c>
      <c r="S196" s="16">
        <f t="shared" ref="S196:S259" si="55">VincentyInvFwdAzimuth($A196,$B196,$C196,$D196)</f>
        <v>223.212715102917</v>
      </c>
      <c r="T196" s="23">
        <f t="shared" si="46"/>
        <v>1.5006662579253316E-11</v>
      </c>
      <c r="U196" s="22">
        <f t="shared" si="47"/>
        <v>1.0291699936715304E-7</v>
      </c>
      <c r="V196" s="16">
        <f t="shared" ref="V196:V259" si="56">VincentyInvRevAzimuth($A196,$B196,$C196,$D196)</f>
        <v>230.77380530894902</v>
      </c>
      <c r="W196" s="23">
        <f t="shared" si="48"/>
        <v>1.9014123608940281E-11</v>
      </c>
      <c r="X196" s="22">
        <f t="shared" si="49"/>
        <v>3.0894901215106074E-7</v>
      </c>
    </row>
    <row r="197" spans="1:24" x14ac:dyDescent="0.45">
      <c r="A197">
        <v>73.514179999999996</v>
      </c>
      <c r="B197">
        <v>-130.86909</v>
      </c>
      <c r="C197">
        <v>76.489549999999994</v>
      </c>
      <c r="D197">
        <v>-123.54300000000001</v>
      </c>
      <c r="E197" s="13">
        <v>393228.41527393903</v>
      </c>
      <c r="F197" s="13">
        <v>29.0154036260849</v>
      </c>
      <c r="G197" s="13">
        <f t="shared" si="50"/>
        <v>29.0154036260849</v>
      </c>
      <c r="H197" s="13">
        <v>36.094951392555899</v>
      </c>
      <c r="I197" s="13">
        <f t="shared" si="51"/>
        <v>36.094951392555899</v>
      </c>
      <c r="J197" s="9">
        <v>393228.41499999998</v>
      </c>
      <c r="K197" s="9">
        <v>29.015404</v>
      </c>
      <c r="L197" s="10">
        <v>216.09495100000001</v>
      </c>
      <c r="M197" s="18">
        <f t="shared" si="52"/>
        <v>36.094951000000037</v>
      </c>
      <c r="N197" s="17">
        <f t="shared" si="43"/>
        <v>393228.4152736757</v>
      </c>
      <c r="O197" s="14">
        <f t="shared" si="44"/>
        <v>6.6966538465710592E-13</v>
      </c>
      <c r="P197" s="24">
        <f t="shared" si="45"/>
        <v>2.6333145797252655E-7</v>
      </c>
      <c r="Q197" s="2">
        <f t="shared" si="53"/>
        <v>6.9597136314892603E-10</v>
      </c>
      <c r="R197" s="19">
        <f t="shared" si="54"/>
        <v>2.7367571601644158E-4</v>
      </c>
      <c r="S197" s="16">
        <f t="shared" si="55"/>
        <v>29.015403626091658</v>
      </c>
      <c r="T197" s="23">
        <f t="shared" si="46"/>
        <v>6.7572614170785528E-12</v>
      </c>
      <c r="U197" s="22">
        <f t="shared" si="47"/>
        <v>3.7390834251027627E-7</v>
      </c>
      <c r="V197" s="16">
        <f t="shared" si="56"/>
        <v>36.094951392564731</v>
      </c>
      <c r="W197" s="23">
        <f t="shared" si="48"/>
        <v>8.8320462054980453E-12</v>
      </c>
      <c r="X197" s="22">
        <f t="shared" si="49"/>
        <v>3.9256469364090663E-7</v>
      </c>
    </row>
    <row r="198" spans="1:24" x14ac:dyDescent="0.45">
      <c r="A198">
        <v>45.187750000000001</v>
      </c>
      <c r="B198">
        <v>-103.866</v>
      </c>
      <c r="C198">
        <v>50.50656</v>
      </c>
      <c r="D198">
        <v>-101.60581999999999</v>
      </c>
      <c r="E198" s="13">
        <v>615023.21762822499</v>
      </c>
      <c r="F198" s="13">
        <v>15.1315409819719</v>
      </c>
      <c r="G198" s="13">
        <f t="shared" si="50"/>
        <v>15.1315409819719</v>
      </c>
      <c r="H198" s="13">
        <v>16.809049856468601</v>
      </c>
      <c r="I198" s="13">
        <f t="shared" si="51"/>
        <v>16.809049856468601</v>
      </c>
      <c r="J198" s="11">
        <v>615023.21799999999</v>
      </c>
      <c r="K198" s="11">
        <v>15.131541</v>
      </c>
      <c r="L198" s="12">
        <v>196.80905000000001</v>
      </c>
      <c r="M198" s="18">
        <f t="shared" si="52"/>
        <v>16.809050000000013</v>
      </c>
      <c r="N198" s="17">
        <f t="shared" si="43"/>
        <v>615023.21762602672</v>
      </c>
      <c r="O198" s="14">
        <f t="shared" si="44"/>
        <v>3.574288675694909E-12</v>
      </c>
      <c r="P198" s="24">
        <f t="shared" si="45"/>
        <v>2.1982705220580101E-6</v>
      </c>
      <c r="Q198" s="2">
        <f t="shared" si="53"/>
        <v>6.0806367529489981E-10</v>
      </c>
      <c r="R198" s="19">
        <f t="shared" si="54"/>
        <v>3.7397327832877636E-4</v>
      </c>
      <c r="S198" s="16">
        <f t="shared" si="55"/>
        <v>15.131540981919109</v>
      </c>
      <c r="T198" s="23">
        <f t="shared" si="46"/>
        <v>5.2791548910136044E-11</v>
      </c>
      <c r="U198" s="22">
        <f t="shared" si="47"/>
        <v>1.8080891450722447E-8</v>
      </c>
      <c r="V198" s="16">
        <f t="shared" si="56"/>
        <v>16.809049856409601</v>
      </c>
      <c r="W198" s="23">
        <f t="shared" si="48"/>
        <v>5.8999916063839919E-11</v>
      </c>
      <c r="X198" s="22">
        <f t="shared" si="49"/>
        <v>1.4359041244915716E-7</v>
      </c>
    </row>
    <row r="199" spans="1:24" x14ac:dyDescent="0.45">
      <c r="A199">
        <v>-71.405919999999995</v>
      </c>
      <c r="B199">
        <v>178.10623000000001</v>
      </c>
      <c r="C199">
        <v>-64.210269999999994</v>
      </c>
      <c r="D199">
        <v>175.41218000000001</v>
      </c>
      <c r="E199" s="13">
        <v>810345.09178813105</v>
      </c>
      <c r="F199" s="13">
        <v>-9.3129536148601897</v>
      </c>
      <c r="G199" s="13">
        <f t="shared" si="50"/>
        <v>350.68704638513981</v>
      </c>
      <c r="H199" s="13">
        <v>-6.8134748479468703</v>
      </c>
      <c r="I199" s="13">
        <f t="shared" si="51"/>
        <v>353.18652515205315</v>
      </c>
      <c r="J199" s="9">
        <v>810345.09199999995</v>
      </c>
      <c r="K199" s="9">
        <v>350.68704600000001</v>
      </c>
      <c r="L199" s="10">
        <v>173.18652499999999</v>
      </c>
      <c r="M199" s="18">
        <f t="shared" si="52"/>
        <v>353.18652499999996</v>
      </c>
      <c r="N199" s="17">
        <f t="shared" si="43"/>
        <v>810345.09178652451</v>
      </c>
      <c r="O199" s="14">
        <f t="shared" si="44"/>
        <v>1.9825275151191222E-12</v>
      </c>
      <c r="P199" s="24">
        <f t="shared" si="45"/>
        <v>1.6065314412117004E-6</v>
      </c>
      <c r="Q199" s="2">
        <f t="shared" si="53"/>
        <v>2.6343768149449526E-10</v>
      </c>
      <c r="R199" s="19">
        <f t="shared" si="54"/>
        <v>2.1347543224692345E-4</v>
      </c>
      <c r="S199" s="16">
        <f t="shared" si="55"/>
        <v>350.68704638513702</v>
      </c>
      <c r="T199" s="23">
        <f t="shared" si="46"/>
        <v>2.7853275241795927E-12</v>
      </c>
      <c r="U199" s="22">
        <f t="shared" si="47"/>
        <v>3.8513701383635635E-7</v>
      </c>
      <c r="V199" s="16">
        <f t="shared" si="56"/>
        <v>353.1865251520511</v>
      </c>
      <c r="W199" s="23">
        <f t="shared" si="48"/>
        <v>2.0463630789890885E-12</v>
      </c>
      <c r="X199" s="22">
        <f t="shared" si="49"/>
        <v>1.5205114323180169E-7</v>
      </c>
    </row>
    <row r="200" spans="1:24" x14ac:dyDescent="0.45">
      <c r="A200">
        <v>-30.221109999999999</v>
      </c>
      <c r="B200">
        <v>29.884509999999999</v>
      </c>
      <c r="C200">
        <v>-34.161929999999998</v>
      </c>
      <c r="D200">
        <v>33.612780000000001</v>
      </c>
      <c r="E200" s="13">
        <v>560753.58530337305</v>
      </c>
      <c r="F200" s="13">
        <v>142.16229359076999</v>
      </c>
      <c r="G200" s="13">
        <f t="shared" si="50"/>
        <v>142.16229359076999</v>
      </c>
      <c r="H200" s="13">
        <v>140.17437049256799</v>
      </c>
      <c r="I200" s="13">
        <f t="shared" si="51"/>
        <v>140.17437049256799</v>
      </c>
      <c r="J200" s="11">
        <v>560753.58499999996</v>
      </c>
      <c r="K200" s="11">
        <v>142.162294</v>
      </c>
      <c r="L200" s="12">
        <v>320.17437000000001</v>
      </c>
      <c r="M200" s="18">
        <f t="shared" si="52"/>
        <v>140.17437000000001</v>
      </c>
      <c r="N200" s="17">
        <f t="shared" si="43"/>
        <v>560753.58530124195</v>
      </c>
      <c r="O200" s="14">
        <f t="shared" si="44"/>
        <v>3.8004195375958651E-12</v>
      </c>
      <c r="P200" s="24">
        <f t="shared" si="45"/>
        <v>2.1310988813638687E-6</v>
      </c>
      <c r="Q200" s="2">
        <f t="shared" si="53"/>
        <v>5.3720921126192363E-10</v>
      </c>
      <c r="R200" s="19">
        <f t="shared" si="54"/>
        <v>3.0124199111014605E-4</v>
      </c>
      <c r="S200" s="16">
        <f t="shared" si="55"/>
        <v>142.16229359068024</v>
      </c>
      <c r="T200" s="23">
        <f t="shared" si="46"/>
        <v>8.9755758381215855E-11</v>
      </c>
      <c r="U200" s="22">
        <f t="shared" si="47"/>
        <v>4.0931976741376275E-7</v>
      </c>
      <c r="V200" s="16">
        <f t="shared" si="56"/>
        <v>140.17437049247201</v>
      </c>
      <c r="W200" s="23">
        <f t="shared" si="48"/>
        <v>9.5980112746474333E-11</v>
      </c>
      <c r="X200" s="22">
        <f t="shared" si="49"/>
        <v>4.9247199740420911E-7</v>
      </c>
    </row>
    <row r="201" spans="1:24" x14ac:dyDescent="0.45">
      <c r="A201">
        <v>41.050429999999999</v>
      </c>
      <c r="B201">
        <v>104.37965</v>
      </c>
      <c r="C201">
        <v>38.301870000000001</v>
      </c>
      <c r="D201">
        <v>107.03959999999999</v>
      </c>
      <c r="E201" s="13">
        <v>381017.52154715703</v>
      </c>
      <c r="F201" s="13">
        <v>142.352948364165</v>
      </c>
      <c r="G201" s="13">
        <f t="shared" si="50"/>
        <v>142.352948364165</v>
      </c>
      <c r="H201" s="13">
        <v>144.051858091996</v>
      </c>
      <c r="I201" s="13">
        <f t="shared" si="51"/>
        <v>144.051858091996</v>
      </c>
      <c r="J201" s="9">
        <v>381017.522</v>
      </c>
      <c r="K201" s="9">
        <v>142.352948</v>
      </c>
      <c r="L201" s="10">
        <v>324.05185799999998</v>
      </c>
      <c r="M201" s="18">
        <f t="shared" si="52"/>
        <v>144.05185799999998</v>
      </c>
      <c r="N201" s="17">
        <f t="shared" si="43"/>
        <v>381017.52154380037</v>
      </c>
      <c r="O201" s="14">
        <f t="shared" si="44"/>
        <v>8.8097291911062011E-12</v>
      </c>
      <c r="P201" s="24">
        <f t="shared" si="45"/>
        <v>3.356661181896925E-6</v>
      </c>
      <c r="Q201" s="2">
        <f t="shared" si="53"/>
        <v>1.1973192981562017E-9</v>
      </c>
      <c r="R201" s="19">
        <f t="shared" si="54"/>
        <v>4.5619963202625513E-4</v>
      </c>
      <c r="S201" s="16">
        <f t="shared" si="55"/>
        <v>142.35294836453045</v>
      </c>
      <c r="T201" s="23">
        <f t="shared" si="46"/>
        <v>3.6544633985613473E-10</v>
      </c>
      <c r="U201" s="22">
        <f t="shared" si="47"/>
        <v>3.6453045026973996E-7</v>
      </c>
      <c r="V201" s="16">
        <f t="shared" si="56"/>
        <v>144.05185809233879</v>
      </c>
      <c r="W201" s="23">
        <f t="shared" si="48"/>
        <v>3.4279423744010273E-10</v>
      </c>
      <c r="X201" s="22">
        <f t="shared" si="49"/>
        <v>9.2338808599379263E-8</v>
      </c>
    </row>
    <row r="202" spans="1:24" x14ac:dyDescent="0.45">
      <c r="A202">
        <v>67.756069999999994</v>
      </c>
      <c r="B202">
        <v>-7.8779000000000003</v>
      </c>
      <c r="C202">
        <v>61.467379999999999</v>
      </c>
      <c r="D202">
        <v>-6.8839799999999496</v>
      </c>
      <c r="E202" s="13">
        <v>702689.67756565905</v>
      </c>
      <c r="F202" s="13">
        <v>175.666966413598</v>
      </c>
      <c r="G202" s="13">
        <f t="shared" si="50"/>
        <v>175.666966413598</v>
      </c>
      <c r="H202" s="13">
        <v>176.56625570563901</v>
      </c>
      <c r="I202" s="13">
        <f t="shared" si="51"/>
        <v>176.56625570563901</v>
      </c>
      <c r="J202" s="11">
        <v>702689.67799999996</v>
      </c>
      <c r="K202" s="11">
        <v>175.666966</v>
      </c>
      <c r="L202" s="12">
        <v>356.56625600000001</v>
      </c>
      <c r="M202" s="18">
        <f t="shared" si="52"/>
        <v>176.56625600000007</v>
      </c>
      <c r="N202" s="17">
        <f t="shared" si="43"/>
        <v>702689.67756402621</v>
      </c>
      <c r="O202" s="14">
        <f t="shared" si="44"/>
        <v>2.3237018502979443E-12</v>
      </c>
      <c r="P202" s="24">
        <f t="shared" si="45"/>
        <v>1.6328413039445877E-6</v>
      </c>
      <c r="Q202" s="2">
        <f t="shared" si="53"/>
        <v>6.2043568317132069E-10</v>
      </c>
      <c r="R202" s="19">
        <f t="shared" si="54"/>
        <v>4.359737504273653E-4</v>
      </c>
      <c r="S202" s="16">
        <f t="shared" si="55"/>
        <v>175.66696641359749</v>
      </c>
      <c r="T202" s="23">
        <f t="shared" si="46"/>
        <v>5.1159076974727213E-13</v>
      </c>
      <c r="U202" s="22">
        <f t="shared" si="47"/>
        <v>4.1359749047842342E-7</v>
      </c>
      <c r="V202" s="16">
        <f t="shared" si="56"/>
        <v>176.5662557056381</v>
      </c>
      <c r="W202" s="23">
        <f t="shared" si="48"/>
        <v>9.0949470177292824E-13</v>
      </c>
      <c r="X202" s="22">
        <f t="shared" si="49"/>
        <v>2.9436196768983791E-7</v>
      </c>
    </row>
    <row r="203" spans="1:24" x14ac:dyDescent="0.45">
      <c r="A203">
        <v>11.42489</v>
      </c>
      <c r="B203">
        <v>128.47219000000001</v>
      </c>
      <c r="C203">
        <v>11.38719</v>
      </c>
      <c r="D203">
        <v>128.92492999999999</v>
      </c>
      <c r="E203" s="13">
        <v>49585.567222701102</v>
      </c>
      <c r="F203" s="13">
        <v>94.779644478184906</v>
      </c>
      <c r="G203" s="13">
        <f t="shared" si="50"/>
        <v>94.779644478184906</v>
      </c>
      <c r="H203" s="13">
        <v>94.869179102682494</v>
      </c>
      <c r="I203" s="13">
        <f t="shared" si="51"/>
        <v>94.869179102682494</v>
      </c>
      <c r="J203" s="9">
        <v>49585.567000000003</v>
      </c>
      <c r="K203" s="9">
        <v>94.779644000000005</v>
      </c>
      <c r="L203" s="10">
        <v>274.86917899999997</v>
      </c>
      <c r="M203" s="18">
        <f t="shared" si="52"/>
        <v>94.869178999999974</v>
      </c>
      <c r="N203" s="17">
        <f t="shared" si="43"/>
        <v>49585.567217159798</v>
      </c>
      <c r="O203" s="14">
        <f t="shared" si="44"/>
        <v>1.1175235347124694E-10</v>
      </c>
      <c r="P203" s="24">
        <f t="shared" si="45"/>
        <v>5.5413038353435695E-6</v>
      </c>
      <c r="Q203" s="2">
        <f t="shared" si="53"/>
        <v>4.3794960594845183E-9</v>
      </c>
      <c r="R203" s="19">
        <f t="shared" si="54"/>
        <v>2.1715979528380558E-4</v>
      </c>
      <c r="S203" s="16">
        <f t="shared" si="55"/>
        <v>94.779644478697975</v>
      </c>
      <c r="T203" s="23">
        <f t="shared" si="46"/>
        <v>5.1306869863765314E-10</v>
      </c>
      <c r="U203" s="22">
        <f t="shared" si="47"/>
        <v>4.786979701520977E-7</v>
      </c>
      <c r="V203" s="16">
        <f t="shared" si="56"/>
        <v>94.869179103186028</v>
      </c>
      <c r="W203" s="23">
        <f t="shared" si="48"/>
        <v>5.035332151237526E-10</v>
      </c>
      <c r="X203" s="22">
        <f t="shared" si="49"/>
        <v>1.0318605347947596E-7</v>
      </c>
    </row>
    <row r="204" spans="1:24" x14ac:dyDescent="0.45">
      <c r="A204">
        <v>-45.949910000000003</v>
      </c>
      <c r="B204">
        <v>-123.24057999999999</v>
      </c>
      <c r="C204">
        <v>-46.72401</v>
      </c>
      <c r="D204">
        <v>-123.55916000000001</v>
      </c>
      <c r="E204" s="13">
        <v>89474.727406190097</v>
      </c>
      <c r="F204" s="13">
        <v>-164.204739986856</v>
      </c>
      <c r="G204" s="13">
        <f t="shared" si="50"/>
        <v>195.795260013144</v>
      </c>
      <c r="H204" s="13">
        <v>-163.97426962609401</v>
      </c>
      <c r="I204" s="13">
        <f t="shared" si="51"/>
        <v>196.02573037390599</v>
      </c>
      <c r="J204" s="11">
        <v>89474.726999999999</v>
      </c>
      <c r="K204" s="11">
        <v>195.79526000000001</v>
      </c>
      <c r="L204" s="12">
        <v>16.025729999999999</v>
      </c>
      <c r="M204" s="18">
        <f t="shared" si="52"/>
        <v>196.02573000000001</v>
      </c>
      <c r="N204" s="17">
        <f t="shared" si="43"/>
        <v>89474.727405850615</v>
      </c>
      <c r="O204" s="14">
        <f t="shared" si="44"/>
        <v>3.7941622199240596E-12</v>
      </c>
      <c r="P204" s="24">
        <f t="shared" si="45"/>
        <v>3.3948163036257029E-7</v>
      </c>
      <c r="Q204" s="2">
        <f t="shared" si="53"/>
        <v>4.5359246138470523E-9</v>
      </c>
      <c r="R204" s="19">
        <f t="shared" si="54"/>
        <v>4.0585061651654541E-4</v>
      </c>
      <c r="S204" s="16">
        <f t="shared" si="55"/>
        <v>195.79526001306985</v>
      </c>
      <c r="T204" s="23">
        <f t="shared" si="46"/>
        <v>7.4152239903924055E-11</v>
      </c>
      <c r="U204" s="22">
        <f t="shared" si="47"/>
        <v>1.3069836768409004E-8</v>
      </c>
      <c r="V204" s="16">
        <f t="shared" si="56"/>
        <v>196.02573037383124</v>
      </c>
      <c r="W204" s="23">
        <f t="shared" si="48"/>
        <v>7.474909580196254E-11</v>
      </c>
      <c r="X204" s="22">
        <f t="shared" si="49"/>
        <v>3.7383122730716423E-7</v>
      </c>
    </row>
    <row r="205" spans="1:24" x14ac:dyDescent="0.45">
      <c r="A205">
        <v>32.244869999999999</v>
      </c>
      <c r="B205">
        <v>174.98697000000001</v>
      </c>
      <c r="C205">
        <v>32.430430000000001</v>
      </c>
      <c r="D205">
        <v>175.33143000000001</v>
      </c>
      <c r="E205" s="13">
        <v>38406.738006959502</v>
      </c>
      <c r="F205" s="13">
        <v>57.511714212152299</v>
      </c>
      <c r="G205" s="13">
        <f t="shared" si="50"/>
        <v>57.511714212152299</v>
      </c>
      <c r="H205" s="13">
        <v>57.695969148401403</v>
      </c>
      <c r="I205" s="13">
        <f t="shared" si="51"/>
        <v>57.695969148401403</v>
      </c>
      <c r="J205" s="9">
        <v>38406.737999999998</v>
      </c>
      <c r="K205" s="9">
        <v>57.511713999999998</v>
      </c>
      <c r="L205" s="10">
        <v>237.69596899999999</v>
      </c>
      <c r="M205" s="18">
        <f t="shared" si="52"/>
        <v>57.695968999999991</v>
      </c>
      <c r="N205" s="17">
        <f t="shared" si="43"/>
        <v>38406.738005995532</v>
      </c>
      <c r="O205" s="14">
        <f t="shared" si="44"/>
        <v>2.5098976024874678E-11</v>
      </c>
      <c r="P205" s="24">
        <f t="shared" si="45"/>
        <v>9.6396979643031955E-7</v>
      </c>
      <c r="Q205" s="2">
        <f t="shared" si="53"/>
        <v>1.5610632158449454E-10</v>
      </c>
      <c r="R205" s="19">
        <f t="shared" si="54"/>
        <v>5.9955345932394266E-6</v>
      </c>
      <c r="S205" s="16">
        <f t="shared" si="55"/>
        <v>57.511714211427218</v>
      </c>
      <c r="T205" s="23">
        <f t="shared" si="46"/>
        <v>7.2508044013375184E-10</v>
      </c>
      <c r="U205" s="22">
        <f t="shared" si="47"/>
        <v>2.11427220619953E-7</v>
      </c>
      <c r="V205" s="16">
        <f t="shared" si="56"/>
        <v>57.695969147670759</v>
      </c>
      <c r="W205" s="23">
        <f t="shared" si="48"/>
        <v>7.3064398975475342E-10</v>
      </c>
      <c r="X205" s="22">
        <f t="shared" si="49"/>
        <v>1.4767076805810575E-7</v>
      </c>
    </row>
    <row r="206" spans="1:24" x14ac:dyDescent="0.45">
      <c r="A206">
        <v>-8.2000799999999998</v>
      </c>
      <c r="B206">
        <v>-141.29650000000001</v>
      </c>
      <c r="C206">
        <v>-7.3658700000000001</v>
      </c>
      <c r="D206">
        <v>-142.11833999999999</v>
      </c>
      <c r="E206" s="13">
        <v>129340.448001482</v>
      </c>
      <c r="F206" s="13">
        <v>-44.552216310158499</v>
      </c>
      <c r="G206" s="13">
        <f t="shared" si="50"/>
        <v>315.44778368984151</v>
      </c>
      <c r="H206" s="13">
        <v>-44.440916925290402</v>
      </c>
      <c r="I206" s="13">
        <f t="shared" si="51"/>
        <v>315.55908307470958</v>
      </c>
      <c r="J206" s="11">
        <v>129340.448</v>
      </c>
      <c r="K206" s="11">
        <v>315.44778400000001</v>
      </c>
      <c r="L206" s="12">
        <v>135.55908299999999</v>
      </c>
      <c r="M206" s="18">
        <f t="shared" si="52"/>
        <v>315.55908299999999</v>
      </c>
      <c r="N206" s="17">
        <f t="shared" si="43"/>
        <v>129340.44800058422</v>
      </c>
      <c r="O206" s="14">
        <f t="shared" si="44"/>
        <v>6.9412192696580581E-12</v>
      </c>
      <c r="P206" s="24">
        <f t="shared" si="45"/>
        <v>8.9778041001409292E-7</v>
      </c>
      <c r="Q206" s="2">
        <f t="shared" si="53"/>
        <v>4.5168835403542437E-12</v>
      </c>
      <c r="R206" s="19">
        <f t="shared" si="54"/>
        <v>5.84215740673244E-7</v>
      </c>
      <c r="S206" s="16">
        <f t="shared" si="55"/>
        <v>315.44778368984174</v>
      </c>
      <c r="T206" s="23">
        <f t="shared" si="46"/>
        <v>2.2737367544323206E-13</v>
      </c>
      <c r="U206" s="22">
        <f t="shared" si="47"/>
        <v>3.1015827062219614E-7</v>
      </c>
      <c r="V206" s="16">
        <f t="shared" si="56"/>
        <v>315.55908307470986</v>
      </c>
      <c r="W206" s="23">
        <f t="shared" si="48"/>
        <v>2.8421709430404007E-13</v>
      </c>
      <c r="X206" s="22">
        <f t="shared" si="49"/>
        <v>7.4709873842948582E-8</v>
      </c>
    </row>
    <row r="207" spans="1:24" x14ac:dyDescent="0.45">
      <c r="A207">
        <v>-89.186030000000002</v>
      </c>
      <c r="B207">
        <v>75.02243</v>
      </c>
      <c r="C207">
        <v>-89.675690000000003</v>
      </c>
      <c r="D207">
        <v>74.230509999999995</v>
      </c>
      <c r="E207" s="13">
        <v>54697.767200501301</v>
      </c>
      <c r="F207" s="13">
        <v>-179.47555859038701</v>
      </c>
      <c r="G207" s="13">
        <f t="shared" si="50"/>
        <v>180.52444140961299</v>
      </c>
      <c r="H207" s="13">
        <v>-178.68367042947801</v>
      </c>
      <c r="I207" s="13">
        <f t="shared" si="51"/>
        <v>181.31632957052199</v>
      </c>
      <c r="J207" s="9">
        <v>54697.767</v>
      </c>
      <c r="K207" s="9">
        <v>180.524441</v>
      </c>
      <c r="L207" s="10">
        <v>1.31633</v>
      </c>
      <c r="M207" s="18">
        <f t="shared" si="52"/>
        <v>181.31632999999999</v>
      </c>
      <c r="N207" s="17">
        <f t="shared" si="43"/>
        <v>54697.767200533286</v>
      </c>
      <c r="O207" s="14">
        <f t="shared" si="44"/>
        <v>5.8476079205765458E-13</v>
      </c>
      <c r="P207" s="24">
        <f t="shared" si="45"/>
        <v>3.198510967195034E-8</v>
      </c>
      <c r="Q207" s="2">
        <f t="shared" si="53"/>
        <v>3.6662060859066989E-9</v>
      </c>
      <c r="R207" s="19">
        <f t="shared" si="54"/>
        <v>2.0053328626090661E-4</v>
      </c>
      <c r="S207" s="16">
        <f t="shared" si="55"/>
        <v>180.5244414096133</v>
      </c>
      <c r="T207" s="23">
        <f t="shared" si="46"/>
        <v>3.1263880373444408E-13</v>
      </c>
      <c r="U207" s="22">
        <f t="shared" si="47"/>
        <v>4.0961330682875996E-7</v>
      </c>
      <c r="V207" s="16">
        <f t="shared" si="56"/>
        <v>181.31632957052227</v>
      </c>
      <c r="W207" s="23">
        <f t="shared" si="48"/>
        <v>2.8421709430404007E-13</v>
      </c>
      <c r="X207" s="22">
        <f t="shared" si="49"/>
        <v>4.2947772271872964E-7</v>
      </c>
    </row>
    <row r="208" spans="1:24" x14ac:dyDescent="0.45">
      <c r="A208">
        <v>35.686369999999997</v>
      </c>
      <c r="B208">
        <v>19.52291</v>
      </c>
      <c r="C208">
        <v>35.268470000000001</v>
      </c>
      <c r="D208">
        <v>20.41056</v>
      </c>
      <c r="E208" s="13">
        <v>92948.011055926298</v>
      </c>
      <c r="F208" s="13">
        <v>119.66459546441099</v>
      </c>
      <c r="G208" s="13">
        <f t="shared" si="50"/>
        <v>119.66459546441099</v>
      </c>
      <c r="H208" s="13">
        <v>120.179781910069</v>
      </c>
      <c r="I208" s="13">
        <f t="shared" si="51"/>
        <v>120.179781910069</v>
      </c>
      <c r="J208" s="11">
        <v>92948.010999999999</v>
      </c>
      <c r="K208" s="11">
        <v>119.66459500000001</v>
      </c>
      <c r="L208" s="12">
        <v>300.17978199999999</v>
      </c>
      <c r="M208" s="18">
        <f t="shared" si="52"/>
        <v>120.17978199999999</v>
      </c>
      <c r="N208" s="17">
        <f t="shared" si="43"/>
        <v>92948.011054105838</v>
      </c>
      <c r="O208" s="14">
        <f t="shared" si="44"/>
        <v>1.9585778397006918E-11</v>
      </c>
      <c r="P208" s="24">
        <f t="shared" si="45"/>
        <v>1.8204591469839215E-6</v>
      </c>
      <c r="Q208" s="2">
        <f t="shared" si="53"/>
        <v>5.8210863499243139E-10</v>
      </c>
      <c r="R208" s="19">
        <f t="shared" si="54"/>
        <v>5.4105839808471501E-5</v>
      </c>
      <c r="S208" s="16">
        <f t="shared" si="55"/>
        <v>119.66459546490542</v>
      </c>
      <c r="T208" s="23">
        <f t="shared" si="46"/>
        <v>4.9442405725130811E-10</v>
      </c>
      <c r="U208" s="22">
        <f t="shared" si="47"/>
        <v>4.6490541194543766E-7</v>
      </c>
      <c r="V208" s="16">
        <f t="shared" si="56"/>
        <v>120.17978191055371</v>
      </c>
      <c r="W208" s="23">
        <f t="shared" si="48"/>
        <v>4.8471804348082514E-10</v>
      </c>
      <c r="X208" s="22">
        <f t="shared" si="49"/>
        <v>8.9446274387228186E-8</v>
      </c>
    </row>
    <row r="209" spans="1:24" x14ac:dyDescent="0.45">
      <c r="A209">
        <v>32.76258</v>
      </c>
      <c r="B209">
        <v>169.84358</v>
      </c>
      <c r="C209">
        <v>32.44265</v>
      </c>
      <c r="D209">
        <v>170.60256999999999</v>
      </c>
      <c r="E209" s="13">
        <v>79591.296758495504</v>
      </c>
      <c r="F209" s="13">
        <v>116.26765304908299</v>
      </c>
      <c r="G209" s="13">
        <f t="shared" si="50"/>
        <v>116.26765304908299</v>
      </c>
      <c r="H209" s="13">
        <v>116.676609733123</v>
      </c>
      <c r="I209" s="13">
        <f t="shared" si="51"/>
        <v>116.676609733123</v>
      </c>
      <c r="J209" s="9">
        <v>79591.297000000006</v>
      </c>
      <c r="K209" s="9">
        <v>116.267653</v>
      </c>
      <c r="L209" s="10">
        <v>296.67660999999998</v>
      </c>
      <c r="M209" s="18">
        <f t="shared" si="52"/>
        <v>116.67660999999998</v>
      </c>
      <c r="N209" s="17">
        <f t="shared" si="43"/>
        <v>79591.296756380383</v>
      </c>
      <c r="O209" s="14">
        <f t="shared" si="44"/>
        <v>2.6574775943920724E-11</v>
      </c>
      <c r="P209" s="24">
        <f t="shared" si="45"/>
        <v>2.1151208784431219E-6</v>
      </c>
      <c r="Q209" s="2">
        <f t="shared" si="53"/>
        <v>3.0608826839331287E-9</v>
      </c>
      <c r="R209" s="19">
        <f t="shared" si="54"/>
        <v>2.4361962277907878E-4</v>
      </c>
      <c r="S209" s="16">
        <f t="shared" si="55"/>
        <v>116.26765304970262</v>
      </c>
      <c r="T209" s="23">
        <f t="shared" si="46"/>
        <v>6.1962168729223777E-10</v>
      </c>
      <c r="U209" s="22">
        <f t="shared" si="47"/>
        <v>4.9702620685820875E-8</v>
      </c>
      <c r="V209" s="16">
        <f t="shared" si="56"/>
        <v>116.67660973373141</v>
      </c>
      <c r="W209" s="23">
        <f t="shared" si="48"/>
        <v>6.0840932292194339E-10</v>
      </c>
      <c r="X209" s="22">
        <f t="shared" si="49"/>
        <v>2.6626857163591922E-7</v>
      </c>
    </row>
    <row r="210" spans="1:24" x14ac:dyDescent="0.45">
      <c r="A210">
        <v>-24.03978</v>
      </c>
      <c r="B210">
        <v>157.28172000000001</v>
      </c>
      <c r="C210">
        <v>-24.547260000000001</v>
      </c>
      <c r="D210">
        <v>157.38636</v>
      </c>
      <c r="E210" s="13">
        <v>57204.743579145703</v>
      </c>
      <c r="F210" s="13">
        <v>169.319445767107</v>
      </c>
      <c r="G210" s="13">
        <f t="shared" si="50"/>
        <v>169.319445767107</v>
      </c>
      <c r="H210" s="13">
        <v>169.27639525717899</v>
      </c>
      <c r="I210" s="13">
        <f t="shared" si="51"/>
        <v>169.27639525717899</v>
      </c>
      <c r="J210" s="11">
        <v>57204.743999999999</v>
      </c>
      <c r="K210" s="11">
        <v>169.319446</v>
      </c>
      <c r="L210" s="12">
        <v>349.27639499999998</v>
      </c>
      <c r="M210" s="18">
        <f t="shared" si="52"/>
        <v>169.27639499999998</v>
      </c>
      <c r="N210" s="17">
        <f t="shared" si="43"/>
        <v>57204.743578672351</v>
      </c>
      <c r="O210" s="14">
        <f t="shared" si="44"/>
        <v>8.2746979514211855E-12</v>
      </c>
      <c r="P210" s="24">
        <f t="shared" si="45"/>
        <v>4.7335197450593114E-7</v>
      </c>
      <c r="Q210" s="2">
        <f t="shared" si="53"/>
        <v>7.3652571179705453E-9</v>
      </c>
      <c r="R210" s="19">
        <f t="shared" si="54"/>
        <v>4.2132764792768285E-4</v>
      </c>
      <c r="S210" s="16">
        <f t="shared" si="55"/>
        <v>169.31944576769985</v>
      </c>
      <c r="T210" s="23">
        <f t="shared" si="46"/>
        <v>5.9284843700879719E-10</v>
      </c>
      <c r="U210" s="22">
        <f t="shared" si="47"/>
        <v>2.3230015244735114E-7</v>
      </c>
      <c r="V210" s="16">
        <f t="shared" si="56"/>
        <v>169.27639525777394</v>
      </c>
      <c r="W210" s="23">
        <f t="shared" si="48"/>
        <v>5.9495164350664709E-10</v>
      </c>
      <c r="X210" s="22">
        <f t="shared" si="49"/>
        <v>2.5777396217563364E-7</v>
      </c>
    </row>
    <row r="211" spans="1:24" x14ac:dyDescent="0.45">
      <c r="A211">
        <v>40.904859999999999</v>
      </c>
      <c r="B211">
        <v>38.922049999999999</v>
      </c>
      <c r="C211">
        <v>41.676940000000002</v>
      </c>
      <c r="D211">
        <v>39.731079999999999</v>
      </c>
      <c r="E211" s="13">
        <v>109291.923072472</v>
      </c>
      <c r="F211" s="13">
        <v>38.053870168041598</v>
      </c>
      <c r="G211" s="13">
        <f t="shared" si="50"/>
        <v>38.053870168041598</v>
      </c>
      <c r="H211" s="13">
        <v>38.587751952990303</v>
      </c>
      <c r="I211" s="13">
        <f t="shared" si="51"/>
        <v>38.587751952990303</v>
      </c>
      <c r="J211" s="9">
        <v>109291.923</v>
      </c>
      <c r="K211" s="9">
        <v>38.053870000000003</v>
      </c>
      <c r="L211" s="10">
        <v>218.58775199999999</v>
      </c>
      <c r="M211" s="18">
        <f t="shared" si="52"/>
        <v>38.587752000000023</v>
      </c>
      <c r="N211" s="17">
        <f t="shared" si="43"/>
        <v>109291.92307159577</v>
      </c>
      <c r="O211" s="14">
        <f t="shared" si="44"/>
        <v>8.0173264311567656E-12</v>
      </c>
      <c r="P211" s="24">
        <f t="shared" si="45"/>
        <v>8.7622902356088161E-7</v>
      </c>
      <c r="Q211" s="2">
        <f t="shared" si="53"/>
        <v>6.5508749598568596E-10</v>
      </c>
      <c r="R211" s="19">
        <f t="shared" si="54"/>
        <v>7.1595772169530392E-5</v>
      </c>
      <c r="S211" s="16">
        <f t="shared" si="55"/>
        <v>38.053870167754845</v>
      </c>
      <c r="T211" s="23">
        <f t="shared" si="46"/>
        <v>2.8675373187070363E-10</v>
      </c>
      <c r="U211" s="22">
        <f t="shared" si="47"/>
        <v>1.6775484112940831E-7</v>
      </c>
      <c r="V211" s="16">
        <f t="shared" si="56"/>
        <v>38.587751952697964</v>
      </c>
      <c r="W211" s="23">
        <f t="shared" si="48"/>
        <v>2.9233859777377802E-10</v>
      </c>
      <c r="X211" s="22">
        <f t="shared" si="49"/>
        <v>4.7302059158482734E-8</v>
      </c>
    </row>
    <row r="212" spans="1:24" x14ac:dyDescent="0.45">
      <c r="A212">
        <v>85.995159999999998</v>
      </c>
      <c r="B212">
        <v>51.500729999999997</v>
      </c>
      <c r="C212">
        <v>85.496619999999993</v>
      </c>
      <c r="D212">
        <v>51.227809999999998</v>
      </c>
      <c r="E212" s="13">
        <v>55726.554171427997</v>
      </c>
      <c r="F212" s="13">
        <v>-177.53837032158401</v>
      </c>
      <c r="G212" s="13">
        <f t="shared" si="50"/>
        <v>182.46162967841599</v>
      </c>
      <c r="H212" s="13">
        <v>-177.81054096919601</v>
      </c>
      <c r="I212" s="13">
        <f t="shared" si="51"/>
        <v>182.18945903080399</v>
      </c>
      <c r="J212" s="11">
        <v>55726.553999999996</v>
      </c>
      <c r="K212" s="11">
        <v>182.46163000000001</v>
      </c>
      <c r="L212" s="12">
        <v>2.1894589999999998</v>
      </c>
      <c r="M212" s="18">
        <f t="shared" si="52"/>
        <v>182.189459</v>
      </c>
      <c r="N212" s="17">
        <f t="shared" si="43"/>
        <v>55726.554171453899</v>
      </c>
      <c r="O212" s="14">
        <f t="shared" si="44"/>
        <v>4.6481268206196799E-13</v>
      </c>
      <c r="P212" s="24">
        <f t="shared" si="45"/>
        <v>2.5902409106492996E-8</v>
      </c>
      <c r="Q212" s="2">
        <f t="shared" si="53"/>
        <v>3.0767002571477248E-9</v>
      </c>
      <c r="R212" s="19">
        <f t="shared" si="54"/>
        <v>1.7145390302175656E-4</v>
      </c>
      <c r="S212" s="16">
        <f t="shared" si="55"/>
        <v>182.4616296784163</v>
      </c>
      <c r="T212" s="23">
        <f t="shared" si="46"/>
        <v>3.1263880373444408E-13</v>
      </c>
      <c r="U212" s="22">
        <f t="shared" si="47"/>
        <v>3.2158371254809026E-7</v>
      </c>
      <c r="V212" s="16">
        <f t="shared" si="56"/>
        <v>182.18945903080368</v>
      </c>
      <c r="W212" s="23">
        <f t="shared" si="48"/>
        <v>3.1263880373444408E-13</v>
      </c>
      <c r="X212" s="22">
        <f t="shared" si="49"/>
        <v>3.0803676054347306E-8</v>
      </c>
    </row>
    <row r="213" spans="1:24" x14ac:dyDescent="0.45">
      <c r="A213">
        <v>-39.606439999999999</v>
      </c>
      <c r="B213">
        <v>-121.12639</v>
      </c>
      <c r="C213">
        <v>-39.582459999999998</v>
      </c>
      <c r="D213">
        <v>-120.40260000000001</v>
      </c>
      <c r="E213" s="13">
        <v>62228.119848258299</v>
      </c>
      <c r="F213" s="13">
        <v>87.778552030737799</v>
      </c>
      <c r="G213" s="13">
        <f t="shared" si="50"/>
        <v>87.778552030737799</v>
      </c>
      <c r="H213" s="13">
        <v>87.317241277026696</v>
      </c>
      <c r="I213" s="13">
        <f t="shared" si="51"/>
        <v>87.317241277026696</v>
      </c>
      <c r="J213" s="9">
        <v>62228.12</v>
      </c>
      <c r="K213" s="9">
        <v>87.778552000000005</v>
      </c>
      <c r="L213" s="10">
        <v>267.31724100000002</v>
      </c>
      <c r="M213" s="18">
        <f t="shared" si="52"/>
        <v>87.317241000000024</v>
      </c>
      <c r="N213" s="17">
        <f t="shared" si="43"/>
        <v>62228.119847420145</v>
      </c>
      <c r="O213" s="14">
        <f t="shared" si="44"/>
        <v>1.346905449513302E-11</v>
      </c>
      <c r="P213" s="24">
        <f t="shared" si="45"/>
        <v>8.3815393736585975E-7</v>
      </c>
      <c r="Q213" s="2">
        <f t="shared" si="53"/>
        <v>2.4519438795161085E-9</v>
      </c>
      <c r="R213" s="19">
        <f t="shared" si="54"/>
        <v>1.5257985796779394E-4</v>
      </c>
      <c r="S213" s="16">
        <f t="shared" si="55"/>
        <v>87.778552030711708</v>
      </c>
      <c r="T213" s="23">
        <f t="shared" si="46"/>
        <v>2.6091129257110879E-11</v>
      </c>
      <c r="U213" s="22">
        <f t="shared" si="47"/>
        <v>3.0711703402630519E-8</v>
      </c>
      <c r="V213" s="16">
        <f t="shared" si="56"/>
        <v>87.317241277005024</v>
      </c>
      <c r="W213" s="23">
        <f t="shared" si="48"/>
        <v>2.1671553440683056E-11</v>
      </c>
      <c r="X213" s="22">
        <f t="shared" si="49"/>
        <v>2.7700500027094677E-7</v>
      </c>
    </row>
    <row r="214" spans="1:24" x14ac:dyDescent="0.45">
      <c r="A214">
        <v>41.62415</v>
      </c>
      <c r="B214">
        <v>-92.772999999999996</v>
      </c>
      <c r="C214">
        <v>41.090009999999999</v>
      </c>
      <c r="D214">
        <v>-92.116820000000004</v>
      </c>
      <c r="E214" s="13">
        <v>80833.111807137204</v>
      </c>
      <c r="F214" s="13">
        <v>136.99527776943299</v>
      </c>
      <c r="G214" s="13">
        <f t="shared" si="50"/>
        <v>136.99527776943299</v>
      </c>
      <c r="H214" s="13">
        <v>137.42885595904801</v>
      </c>
      <c r="I214" s="13">
        <f t="shared" si="51"/>
        <v>137.42885595904801</v>
      </c>
      <c r="J214" s="11">
        <v>80833.111999999994</v>
      </c>
      <c r="K214" s="11">
        <v>136.99527800000001</v>
      </c>
      <c r="L214" s="12">
        <v>317.428856</v>
      </c>
      <c r="M214" s="18">
        <f t="shared" si="52"/>
        <v>137.428856</v>
      </c>
      <c r="N214" s="17">
        <f t="shared" si="43"/>
        <v>80833.111806437228</v>
      </c>
      <c r="O214" s="14">
        <f t="shared" si="44"/>
        <v>8.6595234386745147E-12</v>
      </c>
      <c r="P214" s="24">
        <f t="shared" si="45"/>
        <v>6.9997622631490231E-7</v>
      </c>
      <c r="Q214" s="2">
        <f t="shared" si="53"/>
        <v>2.3945974772245439E-9</v>
      </c>
      <c r="R214" s="19">
        <f t="shared" si="54"/>
        <v>1.9356276607140899E-4</v>
      </c>
      <c r="S214" s="16">
        <f t="shared" si="55"/>
        <v>136.99527776972278</v>
      </c>
      <c r="T214" s="23">
        <f t="shared" si="46"/>
        <v>2.8978774935239926E-10</v>
      </c>
      <c r="U214" s="22">
        <f t="shared" si="47"/>
        <v>2.3027723727864213E-7</v>
      </c>
      <c r="V214" s="16">
        <f t="shared" si="56"/>
        <v>137.42885595933279</v>
      </c>
      <c r="W214" s="23">
        <f t="shared" si="48"/>
        <v>2.8478552849264815E-10</v>
      </c>
      <c r="X214" s="22">
        <f t="shared" si="49"/>
        <v>4.0667202938493574E-8</v>
      </c>
    </row>
    <row r="215" spans="1:24" x14ac:dyDescent="0.45">
      <c r="A215">
        <v>48.275149999999996</v>
      </c>
      <c r="B215">
        <v>97.923240000000007</v>
      </c>
      <c r="C215">
        <v>47.432580000000002</v>
      </c>
      <c r="D215">
        <v>98.715130000000002</v>
      </c>
      <c r="E215" s="13">
        <v>110852.05970318901</v>
      </c>
      <c r="F215" s="13">
        <v>147.389319283205</v>
      </c>
      <c r="G215" s="13">
        <f t="shared" si="50"/>
        <v>147.389319283205</v>
      </c>
      <c r="H215" s="13">
        <v>147.976474978201</v>
      </c>
      <c r="I215" s="13">
        <f t="shared" si="51"/>
        <v>147.976474978201</v>
      </c>
      <c r="J215" s="9">
        <v>110852.06</v>
      </c>
      <c r="K215" s="9">
        <v>147.389319</v>
      </c>
      <c r="L215" s="10">
        <v>327.97647499999999</v>
      </c>
      <c r="M215" s="18">
        <f t="shared" si="52"/>
        <v>147.97647499999999</v>
      </c>
      <c r="N215" s="17">
        <f t="shared" si="43"/>
        <v>110852.05970269667</v>
      </c>
      <c r="O215" s="14">
        <f t="shared" si="44"/>
        <v>4.4413694183002371E-12</v>
      </c>
      <c r="P215" s="24">
        <f t="shared" si="45"/>
        <v>4.923349479213357E-7</v>
      </c>
      <c r="Q215" s="2">
        <f t="shared" si="53"/>
        <v>2.6819828704914512E-9</v>
      </c>
      <c r="R215" s="19">
        <f t="shared" si="54"/>
        <v>2.9730332607869059E-4</v>
      </c>
      <c r="S215" s="16">
        <f t="shared" si="55"/>
        <v>147.38931928330172</v>
      </c>
      <c r="T215" s="23">
        <f t="shared" si="46"/>
        <v>9.6719077191664837E-11</v>
      </c>
      <c r="U215" s="22">
        <f t="shared" si="47"/>
        <v>2.8330171630841505E-7</v>
      </c>
      <c r="V215" s="16">
        <f t="shared" si="56"/>
        <v>147.97647497829541</v>
      </c>
      <c r="W215" s="23">
        <f t="shared" si="48"/>
        <v>9.4416918727802113E-11</v>
      </c>
      <c r="X215" s="22">
        <f t="shared" si="49"/>
        <v>2.1704579467041185E-8</v>
      </c>
    </row>
    <row r="216" spans="1:24" x14ac:dyDescent="0.45">
      <c r="A216">
        <v>84.244709999999998</v>
      </c>
      <c r="B216">
        <v>166.67049</v>
      </c>
      <c r="C216">
        <v>84.114059999999995</v>
      </c>
      <c r="D216">
        <v>166.69189</v>
      </c>
      <c r="E216" s="13">
        <v>14593.314265052701</v>
      </c>
      <c r="F216" s="13">
        <v>179.03761976938199</v>
      </c>
      <c r="G216" s="13">
        <f t="shared" si="50"/>
        <v>179.03761976938199</v>
      </c>
      <c r="H216" s="13">
        <v>179.058909450909</v>
      </c>
      <c r="I216" s="13">
        <f t="shared" si="51"/>
        <v>179.058909450909</v>
      </c>
      <c r="J216" s="11">
        <v>14593.314</v>
      </c>
      <c r="K216" s="11">
        <v>179.03762</v>
      </c>
      <c r="L216" s="12">
        <v>359.05890900000003</v>
      </c>
      <c r="M216" s="18">
        <f t="shared" si="52"/>
        <v>179.05890900000009</v>
      </c>
      <c r="N216" s="17">
        <f t="shared" si="43"/>
        <v>14593.314265052142</v>
      </c>
      <c r="O216" s="14">
        <f t="shared" si="44"/>
        <v>3.8266135899360167E-14</v>
      </c>
      <c r="P216" s="24">
        <f t="shared" si="45"/>
        <v>5.5842974688857794E-10</v>
      </c>
      <c r="Q216" s="2">
        <f t="shared" si="53"/>
        <v>1.8162573758965725E-8</v>
      </c>
      <c r="R216" s="19">
        <f t="shared" si="54"/>
        <v>2.6505214191274717E-4</v>
      </c>
      <c r="S216" s="16">
        <f t="shared" si="55"/>
        <v>179.03761977053978</v>
      </c>
      <c r="T216" s="23">
        <f t="shared" si="46"/>
        <v>1.1577867553569376E-9</v>
      </c>
      <c r="U216" s="22">
        <f t="shared" si="47"/>
        <v>2.2946022681935574E-7</v>
      </c>
      <c r="V216" s="16">
        <f t="shared" si="56"/>
        <v>179.05890945204123</v>
      </c>
      <c r="W216" s="23">
        <f t="shared" si="48"/>
        <v>1.1322356385790044E-9</v>
      </c>
      <c r="X216" s="22">
        <f t="shared" si="49"/>
        <v>4.5204114940133877E-7</v>
      </c>
    </row>
    <row r="217" spans="1:24" x14ac:dyDescent="0.45">
      <c r="A217">
        <v>67.498949999999994</v>
      </c>
      <c r="B217">
        <v>-48.581899999999997</v>
      </c>
      <c r="C217">
        <v>66.75609</v>
      </c>
      <c r="D217">
        <v>-48.06288</v>
      </c>
      <c r="E217" s="13">
        <v>85852.158114296602</v>
      </c>
      <c r="F217" s="13">
        <v>164.55291790479501</v>
      </c>
      <c r="G217" s="13">
        <f t="shared" si="50"/>
        <v>164.55291790479501</v>
      </c>
      <c r="H217" s="13">
        <v>165.03113905450201</v>
      </c>
      <c r="I217" s="13">
        <f t="shared" si="51"/>
        <v>165.03113905450201</v>
      </c>
      <c r="J217" s="9">
        <v>85852.157999999996</v>
      </c>
      <c r="K217" s="9">
        <v>164.55291800000001</v>
      </c>
      <c r="L217" s="10">
        <v>345.031139</v>
      </c>
      <c r="M217" s="18">
        <f t="shared" si="52"/>
        <v>165.03113899999994</v>
      </c>
      <c r="N217" s="17">
        <f t="shared" si="43"/>
        <v>85852.15811412425</v>
      </c>
      <c r="O217" s="14">
        <f t="shared" si="44"/>
        <v>2.0075544721347639E-12</v>
      </c>
      <c r="P217" s="24">
        <f t="shared" si="45"/>
        <v>1.7235288396477699E-7</v>
      </c>
      <c r="Q217" s="2">
        <f t="shared" si="53"/>
        <v>1.3293114162775677E-9</v>
      </c>
      <c r="R217" s="19">
        <f t="shared" si="54"/>
        <v>1.1412425374146551E-4</v>
      </c>
      <c r="S217" s="16">
        <f t="shared" si="55"/>
        <v>164.55291790479095</v>
      </c>
      <c r="T217" s="23">
        <f t="shared" si="46"/>
        <v>4.0643044485477731E-12</v>
      </c>
      <c r="U217" s="22">
        <f t="shared" si="47"/>
        <v>9.5209060191336903E-8</v>
      </c>
      <c r="V217" s="16">
        <f t="shared" si="56"/>
        <v>165.03113905449729</v>
      </c>
      <c r="W217" s="23">
        <f t="shared" si="48"/>
        <v>4.7180037654470652E-12</v>
      </c>
      <c r="X217" s="22">
        <f t="shared" si="49"/>
        <v>5.4497348855875316E-8</v>
      </c>
    </row>
    <row r="218" spans="1:24" x14ac:dyDescent="0.45">
      <c r="A218">
        <v>82.545299999999997</v>
      </c>
      <c r="B218">
        <v>16.224409999999999</v>
      </c>
      <c r="C218">
        <v>82.524640000000005</v>
      </c>
      <c r="D218">
        <v>16.640619999999998</v>
      </c>
      <c r="E218" s="13">
        <v>6465.1270997984702</v>
      </c>
      <c r="F218" s="13">
        <v>110.701554281192</v>
      </c>
      <c r="G218" s="13">
        <f t="shared" si="50"/>
        <v>110.701554281192</v>
      </c>
      <c r="H218" s="13">
        <v>111.114236665033</v>
      </c>
      <c r="I218" s="13">
        <f t="shared" si="51"/>
        <v>111.114236665033</v>
      </c>
      <c r="J218" s="11">
        <v>6465.1270000000004</v>
      </c>
      <c r="K218" s="11">
        <v>110.701554</v>
      </c>
      <c r="L218" s="12">
        <v>291.114237</v>
      </c>
      <c r="M218" s="18">
        <f t="shared" si="52"/>
        <v>111.114237</v>
      </c>
      <c r="N218" s="17">
        <f t="shared" si="43"/>
        <v>6465.1270998007376</v>
      </c>
      <c r="O218" s="14">
        <f t="shared" si="44"/>
        <v>3.5070776746068735E-13</v>
      </c>
      <c r="P218" s="24">
        <f t="shared" si="45"/>
        <v>2.2673702915199101E-9</v>
      </c>
      <c r="Q218" s="2">
        <f t="shared" si="53"/>
        <v>1.5436779074729819E-8</v>
      </c>
      <c r="R218" s="19">
        <f t="shared" si="54"/>
        <v>9.9800737189070787E-5</v>
      </c>
      <c r="S218" s="16">
        <f t="shared" si="55"/>
        <v>110.70155428120104</v>
      </c>
      <c r="T218" s="23">
        <f t="shared" si="46"/>
        <v>9.0381035988684744E-12</v>
      </c>
      <c r="U218" s="22">
        <f t="shared" si="47"/>
        <v>2.8120103934270446E-7</v>
      </c>
      <c r="V218" s="16">
        <f t="shared" si="56"/>
        <v>111.11423666504189</v>
      </c>
      <c r="W218" s="23">
        <f t="shared" si="48"/>
        <v>8.8817841970012523E-12</v>
      </c>
      <c r="X218" s="22">
        <f t="shared" si="49"/>
        <v>3.3495811635475548E-7</v>
      </c>
    </row>
    <row r="219" spans="1:24" x14ac:dyDescent="0.45">
      <c r="A219">
        <v>-13.70762</v>
      </c>
      <c r="B219">
        <v>1.4645900000000001</v>
      </c>
      <c r="C219">
        <v>-14.509539999999999</v>
      </c>
      <c r="D219">
        <v>1.2748599999999899</v>
      </c>
      <c r="E219" s="13">
        <v>91059.330935247403</v>
      </c>
      <c r="F219" s="13">
        <v>-167.02060552703099</v>
      </c>
      <c r="G219" s="13">
        <f t="shared" si="50"/>
        <v>192.97939447296901</v>
      </c>
      <c r="H219" s="13">
        <v>-166.97435571818301</v>
      </c>
      <c r="I219" s="13">
        <f t="shared" si="51"/>
        <v>193.02564428181699</v>
      </c>
      <c r="J219" s="9">
        <v>91059.331000000006</v>
      </c>
      <c r="K219" s="9">
        <v>192.97939400000001</v>
      </c>
      <c r="L219" s="10">
        <v>13.025644</v>
      </c>
      <c r="M219" s="18">
        <f t="shared" si="52"/>
        <v>193.025644</v>
      </c>
      <c r="N219" s="17">
        <f t="shared" si="43"/>
        <v>91059.330934206373</v>
      </c>
      <c r="O219" s="14">
        <f t="shared" si="44"/>
        <v>1.1432430403671819E-11</v>
      </c>
      <c r="P219" s="24">
        <f t="shared" si="45"/>
        <v>1.0410294635221362E-6</v>
      </c>
      <c r="Q219" s="2">
        <f t="shared" si="53"/>
        <v>7.2253586543125336E-10</v>
      </c>
      <c r="R219" s="19">
        <f t="shared" si="54"/>
        <v>6.5793632529675961E-5</v>
      </c>
      <c r="S219" s="16">
        <f t="shared" si="55"/>
        <v>192.97939447173869</v>
      </c>
      <c r="T219" s="23">
        <f t="shared" si="46"/>
        <v>1.2303189578233287E-9</v>
      </c>
      <c r="U219" s="22">
        <f t="shared" si="47"/>
        <v>4.7173867301353312E-7</v>
      </c>
      <c r="V219" s="16">
        <f t="shared" si="56"/>
        <v>193.0256442805825</v>
      </c>
      <c r="W219" s="23">
        <f t="shared" si="48"/>
        <v>1.2344969491095981E-9</v>
      </c>
      <c r="X219" s="22">
        <f t="shared" si="49"/>
        <v>2.8058249768037058E-7</v>
      </c>
    </row>
    <row r="220" spans="1:24" x14ac:dyDescent="0.45">
      <c r="A220">
        <v>38.62106</v>
      </c>
      <c r="B220">
        <v>-27.553789999999999</v>
      </c>
      <c r="C220">
        <v>38.606610000000003</v>
      </c>
      <c r="D220">
        <v>-27.997340000000001</v>
      </c>
      <c r="E220" s="13">
        <v>38664.370840576201</v>
      </c>
      <c r="F220" s="13">
        <v>-92.239292989279207</v>
      </c>
      <c r="G220" s="13">
        <f t="shared" si="50"/>
        <v>267.76070701072081</v>
      </c>
      <c r="H220" s="13">
        <v>-92.516099328722703</v>
      </c>
      <c r="I220" s="13">
        <f t="shared" si="51"/>
        <v>267.4839006712773</v>
      </c>
      <c r="J220" s="11">
        <v>38664.370999999999</v>
      </c>
      <c r="K220" s="11">
        <v>267.76070700000002</v>
      </c>
      <c r="L220" s="12">
        <v>87.483901000000003</v>
      </c>
      <c r="M220" s="18">
        <f t="shared" si="52"/>
        <v>267.483901</v>
      </c>
      <c r="N220" s="17">
        <f t="shared" si="43"/>
        <v>38664.370839985015</v>
      </c>
      <c r="O220" s="14">
        <f t="shared" si="44"/>
        <v>1.5290203751284459E-11</v>
      </c>
      <c r="P220" s="24">
        <f t="shared" si="45"/>
        <v>5.9118610806763172E-7</v>
      </c>
      <c r="Q220" s="2">
        <f t="shared" si="53"/>
        <v>4.1385642722791287E-9</v>
      </c>
      <c r="R220" s="19">
        <f t="shared" si="54"/>
        <v>1.6001498443074524E-4</v>
      </c>
      <c r="S220" s="16">
        <f t="shared" si="55"/>
        <v>267.76070701069534</v>
      </c>
      <c r="T220" s="23">
        <f t="shared" si="46"/>
        <v>2.5465851649641991E-11</v>
      </c>
      <c r="U220" s="22">
        <f t="shared" si="47"/>
        <v>1.0695316632336471E-8</v>
      </c>
      <c r="V220" s="16">
        <f t="shared" si="56"/>
        <v>267.48390067125473</v>
      </c>
      <c r="W220" s="23">
        <f t="shared" si="48"/>
        <v>2.2566837287740782E-11</v>
      </c>
      <c r="X220" s="22">
        <f t="shared" si="49"/>
        <v>3.2874527278181631E-7</v>
      </c>
    </row>
    <row r="221" spans="1:24" x14ac:dyDescent="0.45">
      <c r="A221">
        <v>78.790859999999995</v>
      </c>
      <c r="B221">
        <v>129.01781</v>
      </c>
      <c r="C221">
        <v>77.978809999999996</v>
      </c>
      <c r="D221">
        <v>129.25568000000001</v>
      </c>
      <c r="E221" s="13">
        <v>90821.361211679206</v>
      </c>
      <c r="F221" s="13">
        <v>176.50733605917199</v>
      </c>
      <c r="G221" s="13">
        <f t="shared" si="50"/>
        <v>176.50733605917199</v>
      </c>
      <c r="H221" s="13">
        <v>176.740340821042</v>
      </c>
      <c r="I221" s="13">
        <f t="shared" si="51"/>
        <v>176.740340821042</v>
      </c>
      <c r="J221" s="9">
        <v>90821.361000000004</v>
      </c>
      <c r="K221" s="9">
        <v>176.50733600000001</v>
      </c>
      <c r="L221" s="10">
        <v>356.740341</v>
      </c>
      <c r="M221" s="18">
        <f t="shared" si="52"/>
        <v>176.74034099999994</v>
      </c>
      <c r="N221" s="17">
        <f t="shared" si="43"/>
        <v>90821.361211636569</v>
      </c>
      <c r="O221" s="14">
        <f t="shared" si="44"/>
        <v>4.6946127045750488E-13</v>
      </c>
      <c r="P221" s="24">
        <f t="shared" si="45"/>
        <v>4.2637111619114876E-8</v>
      </c>
      <c r="Q221" s="2">
        <f t="shared" si="53"/>
        <v>2.3302509739660873E-9</v>
      </c>
      <c r="R221" s="19">
        <f t="shared" si="54"/>
        <v>2.1163656492717564E-4</v>
      </c>
      <c r="S221" s="16">
        <f t="shared" si="55"/>
        <v>176.50733605918026</v>
      </c>
      <c r="T221" s="23">
        <f t="shared" si="46"/>
        <v>8.2707174442475662E-12</v>
      </c>
      <c r="U221" s="22">
        <f t="shared" si="47"/>
        <v>5.9180251810175832E-8</v>
      </c>
      <c r="V221" s="16">
        <f t="shared" si="56"/>
        <v>176.74034082104924</v>
      </c>
      <c r="W221" s="23">
        <f t="shared" si="48"/>
        <v>7.2475359047530219E-12</v>
      </c>
      <c r="X221" s="22">
        <f t="shared" si="49"/>
        <v>1.7895069959195098E-7</v>
      </c>
    </row>
    <row r="222" spans="1:24" x14ac:dyDescent="0.45">
      <c r="A222">
        <v>-4.1792499999999997</v>
      </c>
      <c r="B222">
        <v>-154.75997000000001</v>
      </c>
      <c r="C222">
        <v>-3.9343599999999999</v>
      </c>
      <c r="D222">
        <v>-153.95267000000001</v>
      </c>
      <c r="E222" s="13">
        <v>93645.360946283807</v>
      </c>
      <c r="F222" s="13">
        <v>73.220275938274995</v>
      </c>
      <c r="G222" s="13">
        <f t="shared" si="50"/>
        <v>73.220275938274995</v>
      </c>
      <c r="H222" s="13">
        <v>73.163162052155798</v>
      </c>
      <c r="I222" s="13">
        <f t="shared" si="51"/>
        <v>73.163162052155798</v>
      </c>
      <c r="J222" s="11">
        <v>93645.361000000004</v>
      </c>
      <c r="K222" s="11">
        <v>73.220275999999998</v>
      </c>
      <c r="L222" s="12">
        <v>253.163162</v>
      </c>
      <c r="M222" s="18">
        <f t="shared" si="52"/>
        <v>73.163162</v>
      </c>
      <c r="N222" s="17">
        <f t="shared" si="43"/>
        <v>93645.360945609296</v>
      </c>
      <c r="O222" s="14">
        <f t="shared" si="44"/>
        <v>7.2028167530067853E-12</v>
      </c>
      <c r="P222" s="24">
        <f t="shared" si="45"/>
        <v>6.7451037466526031E-7</v>
      </c>
      <c r="Q222" s="2">
        <f t="shared" si="53"/>
        <v>5.8081583027889666E-10</v>
      </c>
      <c r="R222" s="19">
        <f t="shared" si="54"/>
        <v>5.439070810098201E-5</v>
      </c>
      <c r="S222" s="16">
        <f t="shared" si="55"/>
        <v>73.220275938272891</v>
      </c>
      <c r="T222" s="23">
        <f t="shared" si="46"/>
        <v>2.1032064978498966E-12</v>
      </c>
      <c r="U222" s="22">
        <f t="shared" si="47"/>
        <v>6.172710698137962E-8</v>
      </c>
      <c r="V222" s="16">
        <f t="shared" si="56"/>
        <v>73.163162052153695</v>
      </c>
      <c r="W222" s="23">
        <f t="shared" si="48"/>
        <v>2.1032064978498966E-12</v>
      </c>
      <c r="X222" s="22">
        <f t="shared" si="49"/>
        <v>5.2153694696244202E-8</v>
      </c>
    </row>
    <row r="223" spans="1:24" x14ac:dyDescent="0.45">
      <c r="A223">
        <v>-51.931759999999997</v>
      </c>
      <c r="B223">
        <v>64.643339999999995</v>
      </c>
      <c r="C223">
        <v>-52.138080000000002</v>
      </c>
      <c r="D223">
        <v>64.524100000000004</v>
      </c>
      <c r="E223" s="13">
        <v>24371.563599268498</v>
      </c>
      <c r="F223" s="13">
        <v>-160.42874237019399</v>
      </c>
      <c r="G223" s="13">
        <f t="shared" si="50"/>
        <v>199.57125762980601</v>
      </c>
      <c r="H223" s="13">
        <v>-160.33473507786701</v>
      </c>
      <c r="I223" s="13">
        <f t="shared" si="51"/>
        <v>199.66526492213299</v>
      </c>
      <c r="J223" s="9">
        <v>24371.563999999998</v>
      </c>
      <c r="K223" s="9">
        <v>199.571258</v>
      </c>
      <c r="L223" s="10">
        <v>19.665265000000002</v>
      </c>
      <c r="M223" s="18">
        <f t="shared" si="52"/>
        <v>199.66526500000001</v>
      </c>
      <c r="N223" s="17">
        <f t="shared" si="43"/>
        <v>24371.563599189245</v>
      </c>
      <c r="O223" s="14">
        <f t="shared" si="44"/>
        <v>3.251878690084198E-12</v>
      </c>
      <c r="P223" s="24">
        <f t="shared" si="45"/>
        <v>7.9253368312492967E-8</v>
      </c>
      <c r="Q223" s="2">
        <f t="shared" si="53"/>
        <v>1.6445836364464643E-8</v>
      </c>
      <c r="R223" s="19">
        <f t="shared" si="54"/>
        <v>4.0081075349007733E-4</v>
      </c>
      <c r="S223" s="16">
        <f t="shared" si="55"/>
        <v>199.57125762977336</v>
      </c>
      <c r="T223" s="23">
        <f t="shared" si="46"/>
        <v>3.2656544135534205E-11</v>
      </c>
      <c r="U223" s="22">
        <f t="shared" si="47"/>
        <v>3.7022664400865324E-7</v>
      </c>
      <c r="V223" s="16">
        <f t="shared" si="56"/>
        <v>199.66526492209996</v>
      </c>
      <c r="W223" s="23">
        <f t="shared" si="48"/>
        <v>3.3026026358129457E-11</v>
      </c>
      <c r="X223" s="22">
        <f t="shared" si="49"/>
        <v>7.7900040196254849E-8</v>
      </c>
    </row>
    <row r="224" spans="1:24" x14ac:dyDescent="0.45">
      <c r="A224">
        <v>-58.657209999999999</v>
      </c>
      <c r="B224">
        <v>154.32174000000001</v>
      </c>
      <c r="C224">
        <v>-59.519649999999999</v>
      </c>
      <c r="D224">
        <v>154.82140000000001</v>
      </c>
      <c r="E224" s="13">
        <v>100251.49142465901</v>
      </c>
      <c r="F224" s="13">
        <v>163.61199824569701</v>
      </c>
      <c r="G224" s="13">
        <f t="shared" si="50"/>
        <v>163.61199824569701</v>
      </c>
      <c r="H224" s="13">
        <v>163.183296485152</v>
      </c>
      <c r="I224" s="13">
        <f t="shared" si="51"/>
        <v>163.183296485152</v>
      </c>
      <c r="J224" s="11">
        <v>100251.49099999999</v>
      </c>
      <c r="K224" s="11">
        <v>163.611998</v>
      </c>
      <c r="L224" s="12">
        <v>343.18329599999998</v>
      </c>
      <c r="M224" s="18">
        <f t="shared" si="52"/>
        <v>163.18329599999993</v>
      </c>
      <c r="N224" s="17">
        <f t="shared" si="43"/>
        <v>100251.49142439043</v>
      </c>
      <c r="O224" s="14">
        <f t="shared" si="44"/>
        <v>2.6789641095421953E-12</v>
      </c>
      <c r="P224" s="24">
        <f t="shared" si="45"/>
        <v>2.6857014745473862E-7</v>
      </c>
      <c r="Q224" s="2">
        <f t="shared" si="53"/>
        <v>4.233258141342761E-9</v>
      </c>
      <c r="R224" s="19">
        <f t="shared" si="54"/>
        <v>4.2439044045750052E-4</v>
      </c>
      <c r="S224" s="16">
        <f t="shared" si="55"/>
        <v>163.61199824569931</v>
      </c>
      <c r="T224" s="23">
        <f t="shared" si="46"/>
        <v>2.3021584638627246E-12</v>
      </c>
      <c r="U224" s="22">
        <f t="shared" si="47"/>
        <v>2.4569931156293023E-7</v>
      </c>
      <c r="V224" s="16">
        <f t="shared" si="56"/>
        <v>163.18329648515402</v>
      </c>
      <c r="W224" s="23">
        <f t="shared" si="48"/>
        <v>2.0179413695586845E-12</v>
      </c>
      <c r="X224" s="22">
        <f t="shared" si="49"/>
        <v>4.851540893469064E-7</v>
      </c>
    </row>
    <row r="225" spans="1:24" x14ac:dyDescent="0.45">
      <c r="A225">
        <v>17.8642</v>
      </c>
      <c r="B225">
        <v>-179.96003999999999</v>
      </c>
      <c r="C225">
        <v>18.489709999999999</v>
      </c>
      <c r="D225">
        <v>-179.89852999999999</v>
      </c>
      <c r="E225" s="13">
        <v>69538.138404050507</v>
      </c>
      <c r="F225" s="13">
        <v>5.3602828895005503</v>
      </c>
      <c r="G225" s="13">
        <f t="shared" si="50"/>
        <v>5.3602828895005503</v>
      </c>
      <c r="H225" s="13">
        <v>5.3794713951694701</v>
      </c>
      <c r="I225" s="13">
        <f t="shared" si="51"/>
        <v>5.3794713951694701</v>
      </c>
      <c r="J225" s="9">
        <v>69538.138000000006</v>
      </c>
      <c r="K225" s="9">
        <v>5.3602829999999999</v>
      </c>
      <c r="L225" s="10">
        <v>185.379471</v>
      </c>
      <c r="M225" s="18">
        <f t="shared" si="52"/>
        <v>5.3794709999999668</v>
      </c>
      <c r="N225" s="17">
        <f t="shared" si="43"/>
        <v>69538.138403545992</v>
      </c>
      <c r="O225" s="14">
        <f t="shared" si="44"/>
        <v>7.2552258738363261E-12</v>
      </c>
      <c r="P225" s="24">
        <f t="shared" si="45"/>
        <v>5.0451490096747875E-7</v>
      </c>
      <c r="Q225" s="2">
        <f t="shared" si="53"/>
        <v>5.8032325519858361E-9</v>
      </c>
      <c r="R225" s="19">
        <f t="shared" si="54"/>
        <v>4.0354598604608327E-4</v>
      </c>
      <c r="S225" s="16">
        <f t="shared" si="55"/>
        <v>5.3602828890635683</v>
      </c>
      <c r="T225" s="23">
        <f t="shared" si="46"/>
        <v>4.3698200613562221E-10</v>
      </c>
      <c r="U225" s="22">
        <f t="shared" si="47"/>
        <v>1.1093643159654221E-7</v>
      </c>
      <c r="V225" s="16">
        <f t="shared" si="56"/>
        <v>5.3794713947309125</v>
      </c>
      <c r="W225" s="23">
        <f t="shared" si="48"/>
        <v>4.3855763465217024E-10</v>
      </c>
      <c r="X225" s="22">
        <f t="shared" si="49"/>
        <v>3.947309457075221E-7</v>
      </c>
    </row>
    <row r="226" spans="1:24" x14ac:dyDescent="0.45">
      <c r="A226">
        <v>-6.0758099999999997</v>
      </c>
      <c r="B226">
        <v>159.59649999999999</v>
      </c>
      <c r="C226">
        <v>-5.4396100000000001</v>
      </c>
      <c r="D226">
        <v>160.45665</v>
      </c>
      <c r="E226" s="13">
        <v>118432.822164012</v>
      </c>
      <c r="F226" s="13">
        <v>53.5993416407388</v>
      </c>
      <c r="G226" s="13">
        <f t="shared" si="50"/>
        <v>53.5993416407388</v>
      </c>
      <c r="H226" s="13">
        <v>53.513046765795004</v>
      </c>
      <c r="I226" s="13">
        <f t="shared" si="51"/>
        <v>53.513046765795004</v>
      </c>
      <c r="J226" s="11">
        <v>118432.822</v>
      </c>
      <c r="K226" s="11">
        <v>53.599342</v>
      </c>
      <c r="L226" s="12">
        <v>233.513047</v>
      </c>
      <c r="M226" s="18">
        <f t="shared" si="52"/>
        <v>53.513047000000029</v>
      </c>
      <c r="N226" s="17">
        <f t="shared" si="43"/>
        <v>118432.82216317505</v>
      </c>
      <c r="O226" s="14">
        <f t="shared" si="44"/>
        <v>7.0669041661479817E-12</v>
      </c>
      <c r="P226" s="24">
        <f t="shared" si="45"/>
        <v>8.3695340435951948E-7</v>
      </c>
      <c r="Q226" s="2">
        <f t="shared" si="53"/>
        <v>1.3777857057050193E-9</v>
      </c>
      <c r="R226" s="19">
        <f t="shared" si="54"/>
        <v>1.6317504923790693E-4</v>
      </c>
      <c r="S226" s="16">
        <f t="shared" si="55"/>
        <v>53.599341640736867</v>
      </c>
      <c r="T226" s="23">
        <f t="shared" si="46"/>
        <v>1.9326762412674725E-12</v>
      </c>
      <c r="U226" s="22">
        <f t="shared" si="47"/>
        <v>3.5926313302070412E-7</v>
      </c>
      <c r="V226" s="16">
        <f t="shared" si="56"/>
        <v>53.513046765793128</v>
      </c>
      <c r="W226" s="23">
        <f t="shared" si="48"/>
        <v>1.8758328224066645E-12</v>
      </c>
      <c r="X226" s="22">
        <f t="shared" si="49"/>
        <v>2.3420690098419072E-7</v>
      </c>
    </row>
    <row r="227" spans="1:24" x14ac:dyDescent="0.45">
      <c r="A227">
        <v>3.3902800000000002</v>
      </c>
      <c r="B227">
        <v>81.671620000000004</v>
      </c>
      <c r="C227">
        <v>4.2435</v>
      </c>
      <c r="D227">
        <v>81.713329999999999</v>
      </c>
      <c r="E227" s="13">
        <v>94462.076222587406</v>
      </c>
      <c r="F227" s="13">
        <v>2.8098447808570102</v>
      </c>
      <c r="G227" s="13">
        <f t="shared" si="50"/>
        <v>2.8098447808570102</v>
      </c>
      <c r="H227" s="13">
        <v>2.8126214110505399</v>
      </c>
      <c r="I227" s="13">
        <f t="shared" si="51"/>
        <v>2.8126214110505399</v>
      </c>
      <c r="J227" s="9">
        <v>94462.076000000001</v>
      </c>
      <c r="K227" s="9">
        <v>2.8098450000000001</v>
      </c>
      <c r="L227" s="10">
        <v>182.81262100000001</v>
      </c>
      <c r="M227" s="18">
        <f t="shared" si="52"/>
        <v>2.8126210000000356</v>
      </c>
      <c r="N227" s="17">
        <f t="shared" si="43"/>
        <v>94462.076222016723</v>
      </c>
      <c r="O227" s="14">
        <f t="shared" si="44"/>
        <v>6.0413922955295307E-12</v>
      </c>
      <c r="P227" s="24">
        <f t="shared" si="45"/>
        <v>5.7068245951086283E-7</v>
      </c>
      <c r="Q227" s="2">
        <f t="shared" si="53"/>
        <v>2.3503265219997818E-9</v>
      </c>
      <c r="R227" s="19">
        <f t="shared" si="54"/>
        <v>2.2201672254595906E-4</v>
      </c>
      <c r="S227" s="16">
        <f t="shared" si="55"/>
        <v>2.8098447805010496</v>
      </c>
      <c r="T227" s="23">
        <f t="shared" si="46"/>
        <v>3.5596059433373739E-10</v>
      </c>
      <c r="U227" s="22">
        <f t="shared" si="47"/>
        <v>2.1949895057105095E-7</v>
      </c>
      <c r="V227" s="16">
        <f t="shared" si="56"/>
        <v>2.8126214106942204</v>
      </c>
      <c r="W227" s="23">
        <f t="shared" si="48"/>
        <v>3.5631941841529624E-10</v>
      </c>
      <c r="X227" s="22">
        <f t="shared" si="49"/>
        <v>4.1069418488248743E-7</v>
      </c>
    </row>
    <row r="228" spans="1:24" x14ac:dyDescent="0.45">
      <c r="A228">
        <v>-42.749899999999997</v>
      </c>
      <c r="B228">
        <v>7.3643099999999997</v>
      </c>
      <c r="C228">
        <v>-43.262270000000001</v>
      </c>
      <c r="D228">
        <v>8.0227499999999701</v>
      </c>
      <c r="E228" s="13">
        <v>78242.604898730599</v>
      </c>
      <c r="F228" s="13">
        <v>136.90004299341399</v>
      </c>
      <c r="G228" s="13">
        <f t="shared" si="50"/>
        <v>136.90004299341399</v>
      </c>
      <c r="H228" s="13">
        <v>136.450929700497</v>
      </c>
      <c r="I228" s="13">
        <f t="shared" si="51"/>
        <v>136.450929700497</v>
      </c>
      <c r="J228" s="11">
        <v>78242.604999999996</v>
      </c>
      <c r="K228" s="11">
        <v>136.90004300000001</v>
      </c>
      <c r="L228" s="12">
        <v>316.45093000000003</v>
      </c>
      <c r="M228" s="18">
        <f t="shared" si="52"/>
        <v>136.45093000000003</v>
      </c>
      <c r="N228" s="17">
        <f t="shared" si="43"/>
        <v>78242.604898139209</v>
      </c>
      <c r="O228" s="14">
        <f t="shared" si="44"/>
        <v>7.5584118862896334E-12</v>
      </c>
      <c r="P228" s="24">
        <f t="shared" si="45"/>
        <v>5.9138983488082886E-7</v>
      </c>
      <c r="Q228" s="2">
        <f t="shared" si="53"/>
        <v>1.3018583322197269E-9</v>
      </c>
      <c r="R228" s="19">
        <f t="shared" si="54"/>
        <v>1.0186078725382686E-4</v>
      </c>
      <c r="S228" s="16">
        <f t="shared" si="55"/>
        <v>136.90004299363656</v>
      </c>
      <c r="T228" s="23">
        <f t="shared" si="46"/>
        <v>2.2257040654949378E-10</v>
      </c>
      <c r="U228" s="22">
        <f t="shared" si="47"/>
        <v>6.3634502112108748E-9</v>
      </c>
      <c r="V228" s="16">
        <f t="shared" si="56"/>
        <v>136.45092970072253</v>
      </c>
      <c r="W228" s="23">
        <f t="shared" si="48"/>
        <v>2.255262643302558E-10</v>
      </c>
      <c r="X228" s="22">
        <f t="shared" si="49"/>
        <v>2.9927750233582628E-7</v>
      </c>
    </row>
    <row r="229" spans="1:24" x14ac:dyDescent="0.45">
      <c r="A229">
        <v>-47.722679999999997</v>
      </c>
      <c r="B229">
        <v>-0.36753000000000002</v>
      </c>
      <c r="C229">
        <v>-48.639560000000003</v>
      </c>
      <c r="D229">
        <v>0.60074999999994805</v>
      </c>
      <c r="E229" s="13">
        <v>124812.69354903301</v>
      </c>
      <c r="F229" s="13">
        <v>145.12758954330999</v>
      </c>
      <c r="G229" s="13">
        <f t="shared" si="50"/>
        <v>145.12758954330999</v>
      </c>
      <c r="H229" s="13">
        <v>144.40594194531201</v>
      </c>
      <c r="I229" s="13">
        <f t="shared" si="51"/>
        <v>144.40594194531201</v>
      </c>
      <c r="J229" s="9">
        <v>124812.694</v>
      </c>
      <c r="K229" s="9">
        <v>145.12759</v>
      </c>
      <c r="L229" s="10">
        <v>324.40594199999998</v>
      </c>
      <c r="M229" s="18">
        <f t="shared" si="52"/>
        <v>144.40594199999998</v>
      </c>
      <c r="N229" s="17">
        <f t="shared" si="43"/>
        <v>124812.69354847354</v>
      </c>
      <c r="O229" s="14">
        <f t="shared" si="44"/>
        <v>4.4824201526426109E-12</v>
      </c>
      <c r="P229" s="24">
        <f t="shared" si="45"/>
        <v>5.5946293286979198E-7</v>
      </c>
      <c r="Q229" s="2">
        <f t="shared" si="53"/>
        <v>3.6176325067837078E-9</v>
      </c>
      <c r="R229" s="19">
        <f t="shared" si="54"/>
        <v>4.5152645907364786E-4</v>
      </c>
      <c r="S229" s="16">
        <f t="shared" si="55"/>
        <v>145.12758954339944</v>
      </c>
      <c r="T229" s="23">
        <f t="shared" si="46"/>
        <v>8.9443119577481411E-11</v>
      </c>
      <c r="U229" s="22">
        <f t="shared" si="47"/>
        <v>4.5660056002816418E-7</v>
      </c>
      <c r="V229" s="16">
        <f t="shared" si="56"/>
        <v>144.40594194540347</v>
      </c>
      <c r="W229" s="23">
        <f t="shared" si="48"/>
        <v>9.1461060947040096E-11</v>
      </c>
      <c r="X229" s="22">
        <f t="shared" si="49"/>
        <v>5.4596512200077996E-8</v>
      </c>
    </row>
    <row r="230" spans="1:24" x14ac:dyDescent="0.45">
      <c r="A230">
        <v>89.179730000000006</v>
      </c>
      <c r="B230">
        <v>136.39581999999999</v>
      </c>
      <c r="C230">
        <v>88.978059999999999</v>
      </c>
      <c r="D230">
        <v>137.01364000000001</v>
      </c>
      <c r="E230" s="13">
        <v>22552.238115319102</v>
      </c>
      <c r="F230" s="13">
        <v>176.87167208683999</v>
      </c>
      <c r="G230" s="13">
        <f t="shared" si="50"/>
        <v>176.87167208683999</v>
      </c>
      <c r="H230" s="13">
        <v>177.48941320959801</v>
      </c>
      <c r="I230" s="13">
        <f t="shared" si="51"/>
        <v>177.48941320959801</v>
      </c>
      <c r="J230" s="11">
        <v>22552.238000000001</v>
      </c>
      <c r="K230" s="11">
        <v>176.87167199999999</v>
      </c>
      <c r="L230" s="12">
        <v>357.48941300000001</v>
      </c>
      <c r="M230" s="18">
        <f t="shared" si="52"/>
        <v>177.48941300000001</v>
      </c>
      <c r="N230" s="17">
        <f t="shared" si="43"/>
        <v>22552.238115331522</v>
      </c>
      <c r="O230" s="14">
        <f t="shared" si="44"/>
        <v>5.5072403829287837E-13</v>
      </c>
      <c r="P230" s="24">
        <f t="shared" si="45"/>
        <v>1.2420059647411108E-8</v>
      </c>
      <c r="Q230" s="2">
        <f t="shared" si="53"/>
        <v>5.1139723093813438E-9</v>
      </c>
      <c r="R230" s="19">
        <f t="shared" si="54"/>
        <v>1.153315206465777E-4</v>
      </c>
      <c r="S230" s="16">
        <f t="shared" si="55"/>
        <v>176.87167208684181</v>
      </c>
      <c r="T230" s="23">
        <f t="shared" si="46"/>
        <v>1.8189894035458565E-12</v>
      </c>
      <c r="U230" s="22">
        <f t="shared" si="47"/>
        <v>8.6841822621863685E-8</v>
      </c>
      <c r="V230" s="16">
        <f t="shared" si="56"/>
        <v>177.4894132095996</v>
      </c>
      <c r="W230" s="23">
        <f t="shared" si="48"/>
        <v>1.5916157281026244E-12</v>
      </c>
      <c r="X230" s="22">
        <f t="shared" si="49"/>
        <v>2.0959959101674031E-7</v>
      </c>
    </row>
    <row r="231" spans="1:24" x14ac:dyDescent="0.45">
      <c r="A231">
        <v>-27.42296</v>
      </c>
      <c r="B231">
        <v>-154.84023999999999</v>
      </c>
      <c r="C231">
        <v>-27.38842</v>
      </c>
      <c r="D231">
        <v>-153.98864</v>
      </c>
      <c r="E231" s="13">
        <v>84306.782231313904</v>
      </c>
      <c r="F231" s="13">
        <v>87.594027788629305</v>
      </c>
      <c r="G231" s="13">
        <f t="shared" si="50"/>
        <v>87.594027788629305</v>
      </c>
      <c r="H231" s="13">
        <v>87.202040834220398</v>
      </c>
      <c r="I231" s="13">
        <f t="shared" si="51"/>
        <v>87.202040834220398</v>
      </c>
      <c r="J231" s="9">
        <v>84306.782000000007</v>
      </c>
      <c r="K231" s="9">
        <v>87.594027999999994</v>
      </c>
      <c r="L231" s="10">
        <v>267.20204100000001</v>
      </c>
      <c r="M231" s="18">
        <f t="shared" si="52"/>
        <v>87.202041000000008</v>
      </c>
      <c r="N231" s="17">
        <f t="shared" si="43"/>
        <v>84306.782227317308</v>
      </c>
      <c r="O231" s="14">
        <f t="shared" si="44"/>
        <v>4.74053937323104E-11</v>
      </c>
      <c r="P231" s="24">
        <f t="shared" si="45"/>
        <v>3.9965962059795856E-6</v>
      </c>
      <c r="Q231" s="2">
        <f t="shared" si="53"/>
        <v>2.696310972035884E-9</v>
      </c>
      <c r="R231" s="19">
        <f t="shared" si="54"/>
        <v>2.2731730132363737E-4</v>
      </c>
      <c r="S231" s="16">
        <f t="shared" si="55"/>
        <v>87.594027788512477</v>
      </c>
      <c r="T231" s="23">
        <f t="shared" si="46"/>
        <v>1.1682743661367567E-10</v>
      </c>
      <c r="U231" s="22">
        <f t="shared" si="47"/>
        <v>2.1148751727650961E-7</v>
      </c>
      <c r="V231" s="16">
        <f t="shared" si="56"/>
        <v>87.202040834120055</v>
      </c>
      <c r="W231" s="23">
        <f t="shared" si="48"/>
        <v>1.0034284514404135E-10</v>
      </c>
      <c r="X231" s="22">
        <f t="shared" si="49"/>
        <v>1.658799533288402E-7</v>
      </c>
    </row>
    <row r="232" spans="1:24" x14ac:dyDescent="0.45">
      <c r="A232">
        <v>-72.035470000000004</v>
      </c>
      <c r="B232">
        <v>-171.25653</v>
      </c>
      <c r="C232">
        <v>-72.718109999999996</v>
      </c>
      <c r="D232">
        <v>-170.98632000000001</v>
      </c>
      <c r="E232" s="13">
        <v>76721.704175408406</v>
      </c>
      <c r="F232" s="13">
        <v>173.29078797711699</v>
      </c>
      <c r="G232" s="13">
        <f t="shared" si="50"/>
        <v>173.29078797711699</v>
      </c>
      <c r="H232" s="13">
        <v>173.03325482993401</v>
      </c>
      <c r="I232" s="13">
        <f t="shared" si="51"/>
        <v>173.03325482993401</v>
      </c>
      <c r="J232" s="11">
        <v>76721.703999999998</v>
      </c>
      <c r="K232" s="11">
        <v>173.29078799999999</v>
      </c>
      <c r="L232" s="12">
        <v>353.033255</v>
      </c>
      <c r="M232" s="18">
        <f t="shared" si="52"/>
        <v>173.03325500000005</v>
      </c>
      <c r="N232" s="17">
        <f t="shared" si="43"/>
        <v>76721.704175268955</v>
      </c>
      <c r="O232" s="14">
        <f t="shared" si="44"/>
        <v>1.817621299373297E-12</v>
      </c>
      <c r="P232" s="24">
        <f t="shared" si="45"/>
        <v>1.3945100363343954E-7</v>
      </c>
      <c r="Q232" s="2">
        <f t="shared" si="53"/>
        <v>2.2844768516781726E-9</v>
      </c>
      <c r="R232" s="19">
        <f t="shared" si="54"/>
        <v>1.7526895680930465E-4</v>
      </c>
      <c r="S232" s="16">
        <f t="shared" si="55"/>
        <v>173.2907879773106</v>
      </c>
      <c r="T232" s="23">
        <f t="shared" si="46"/>
        <v>1.936086846399121E-10</v>
      </c>
      <c r="U232" s="22">
        <f t="shared" si="47"/>
        <v>2.2689391698804684E-8</v>
      </c>
      <c r="V232" s="16">
        <f t="shared" si="56"/>
        <v>173.03325483013583</v>
      </c>
      <c r="W232" s="23">
        <f t="shared" si="48"/>
        <v>2.0182255866529886E-10</v>
      </c>
      <c r="X232" s="22">
        <f t="shared" si="49"/>
        <v>1.6986422224363196E-7</v>
      </c>
    </row>
    <row r="233" spans="1:24" x14ac:dyDescent="0.45">
      <c r="A233">
        <v>-74.594399999999993</v>
      </c>
      <c r="B233">
        <v>-43.516910000000003</v>
      </c>
      <c r="C233">
        <v>-75.581559999999996</v>
      </c>
      <c r="D233">
        <v>-42.921320000000001</v>
      </c>
      <c r="E233" s="13">
        <v>111505.93188881699</v>
      </c>
      <c r="F233" s="13">
        <v>171.45843864875101</v>
      </c>
      <c r="G233" s="13">
        <f t="shared" si="50"/>
        <v>171.45843864875101</v>
      </c>
      <c r="H233" s="13">
        <v>170.88288515508199</v>
      </c>
      <c r="I233" s="13">
        <f t="shared" si="51"/>
        <v>170.88288515508199</v>
      </c>
      <c r="J233" s="9">
        <v>111505.932</v>
      </c>
      <c r="K233" s="9">
        <v>171.458439</v>
      </c>
      <c r="L233" s="10">
        <v>350.88288499999999</v>
      </c>
      <c r="M233" s="18">
        <f t="shared" si="52"/>
        <v>170.88288499999999</v>
      </c>
      <c r="N233" s="17">
        <f t="shared" si="43"/>
        <v>111505.93188867858</v>
      </c>
      <c r="O233" s="14">
        <f t="shared" si="44"/>
        <v>1.2413493641777052E-12</v>
      </c>
      <c r="P233" s="24">
        <f t="shared" si="45"/>
        <v>1.3841781765222549E-7</v>
      </c>
      <c r="Q233" s="2">
        <f t="shared" si="53"/>
        <v>9.9834530687788884E-10</v>
      </c>
      <c r="R233" s="19">
        <f t="shared" si="54"/>
        <v>1.11321423901245E-4</v>
      </c>
      <c r="S233" s="16">
        <f t="shared" si="55"/>
        <v>171.45843864884151</v>
      </c>
      <c r="T233" s="23">
        <f t="shared" si="46"/>
        <v>9.049472282640636E-11</v>
      </c>
      <c r="U233" s="22">
        <f t="shared" si="47"/>
        <v>3.5115849073008576E-7</v>
      </c>
      <c r="V233" s="16">
        <f t="shared" si="56"/>
        <v>170.88288515517971</v>
      </c>
      <c r="W233" s="23">
        <f t="shared" si="48"/>
        <v>9.7713837021728978E-11</v>
      </c>
      <c r="X233" s="22">
        <f t="shared" si="49"/>
        <v>1.5517971974077227E-7</v>
      </c>
    </row>
    <row r="234" spans="1:24" x14ac:dyDescent="0.45">
      <c r="A234">
        <v>53.191809999999997</v>
      </c>
      <c r="B234">
        <v>-174.81004999999999</v>
      </c>
      <c r="C234">
        <v>52.33128</v>
      </c>
      <c r="D234">
        <v>-175.39552</v>
      </c>
      <c r="E234" s="13">
        <v>103595.884558823</v>
      </c>
      <c r="F234" s="13">
        <v>-157.33943565261001</v>
      </c>
      <c r="G234" s="13">
        <f t="shared" si="50"/>
        <v>202.66056434738999</v>
      </c>
      <c r="H234" s="13">
        <v>-157.80555699603801</v>
      </c>
      <c r="I234" s="13">
        <f t="shared" si="51"/>
        <v>202.19444300396199</v>
      </c>
      <c r="J234" s="11">
        <v>103595.88499999999</v>
      </c>
      <c r="K234" s="11">
        <v>202.66056399999999</v>
      </c>
      <c r="L234" s="12">
        <v>22.194443</v>
      </c>
      <c r="M234" s="18">
        <f t="shared" si="52"/>
        <v>202.19444300000001</v>
      </c>
      <c r="N234" s="17">
        <f t="shared" si="43"/>
        <v>103595.88455849062</v>
      </c>
      <c r="O234" s="14">
        <f t="shared" si="44"/>
        <v>3.2084314656572837E-12</v>
      </c>
      <c r="P234" s="24">
        <f t="shared" si="45"/>
        <v>3.3238029573112726E-7</v>
      </c>
      <c r="Q234" s="2">
        <f t="shared" si="53"/>
        <v>4.261842753115263E-9</v>
      </c>
      <c r="R234" s="19">
        <f t="shared" si="54"/>
        <v>4.415093717398122E-4</v>
      </c>
      <c r="S234" s="16">
        <f t="shared" si="55"/>
        <v>202.66056434736171</v>
      </c>
      <c r="T234" s="23">
        <f t="shared" si="46"/>
        <v>2.8279600883251987E-11</v>
      </c>
      <c r="U234" s="22">
        <f t="shared" si="47"/>
        <v>3.4736171983240638E-7</v>
      </c>
      <c r="V234" s="16">
        <f t="shared" si="56"/>
        <v>202.19444300393445</v>
      </c>
      <c r="W234" s="23">
        <f t="shared" si="48"/>
        <v>2.7540636438061483E-11</v>
      </c>
      <c r="X234" s="22">
        <f t="shared" si="49"/>
        <v>3.9344456581602572E-9</v>
      </c>
    </row>
    <row r="235" spans="1:24" x14ac:dyDescent="0.45">
      <c r="A235">
        <v>-76.043800000000005</v>
      </c>
      <c r="B235">
        <v>-61.64893</v>
      </c>
      <c r="C235">
        <v>-76.523560000000003</v>
      </c>
      <c r="D235">
        <v>-61.125309999999999</v>
      </c>
      <c r="E235" s="13">
        <v>55320.9862932584</v>
      </c>
      <c r="F235" s="13">
        <v>165.73957378076801</v>
      </c>
      <c r="G235" s="13">
        <f t="shared" si="50"/>
        <v>165.73957378076801</v>
      </c>
      <c r="H235" s="13">
        <v>165.23088191635401</v>
      </c>
      <c r="I235" s="13">
        <f t="shared" si="51"/>
        <v>165.23088191635401</v>
      </c>
      <c r="J235" s="9">
        <v>55320.985999999997</v>
      </c>
      <c r="K235" s="9">
        <v>165.739574</v>
      </c>
      <c r="L235" s="10">
        <v>345.23088200000001</v>
      </c>
      <c r="M235" s="18">
        <f t="shared" si="52"/>
        <v>165.23088200000007</v>
      </c>
      <c r="N235" s="17">
        <f t="shared" si="43"/>
        <v>55320.98629319451</v>
      </c>
      <c r="O235" s="14">
        <f t="shared" si="44"/>
        <v>1.1548995795458284E-12</v>
      </c>
      <c r="P235" s="24">
        <f t="shared" si="45"/>
        <v>6.3890183810144663E-8</v>
      </c>
      <c r="Q235" s="2">
        <f t="shared" si="53"/>
        <v>5.299878653255158E-9</v>
      </c>
      <c r="R235" s="19">
        <f t="shared" si="54"/>
        <v>2.9319451277842745E-4</v>
      </c>
      <c r="S235" s="16">
        <f t="shared" si="55"/>
        <v>165.73957378085731</v>
      </c>
      <c r="T235" s="23">
        <f t="shared" si="46"/>
        <v>8.9301011030329391E-11</v>
      </c>
      <c r="U235" s="22">
        <f t="shared" si="47"/>
        <v>2.191426915487682E-7</v>
      </c>
      <c r="V235" s="16">
        <f t="shared" si="56"/>
        <v>165.23088191644661</v>
      </c>
      <c r="W235" s="23">
        <f t="shared" si="48"/>
        <v>9.2597929324256256E-11</v>
      </c>
      <c r="X235" s="22">
        <f t="shared" si="49"/>
        <v>8.3553459262475371E-8</v>
      </c>
    </row>
    <row r="236" spans="1:24" x14ac:dyDescent="0.45">
      <c r="A236">
        <v>-27.30219</v>
      </c>
      <c r="B236">
        <v>108.43069</v>
      </c>
      <c r="C236">
        <v>-26.87274</v>
      </c>
      <c r="D236">
        <v>108.60153</v>
      </c>
      <c r="E236" s="13">
        <v>50511.6809294989</v>
      </c>
      <c r="F236" s="13">
        <v>19.638151814812201</v>
      </c>
      <c r="G236" s="13">
        <f t="shared" si="50"/>
        <v>19.638151814812201</v>
      </c>
      <c r="H236" s="13">
        <v>19.560359203037802</v>
      </c>
      <c r="I236" s="13">
        <f t="shared" si="51"/>
        <v>19.560359203037802</v>
      </c>
      <c r="J236" s="11">
        <v>50511.680999999997</v>
      </c>
      <c r="K236" s="11">
        <v>19.638152000000002</v>
      </c>
      <c r="L236" s="12">
        <v>199.56035900000001</v>
      </c>
      <c r="M236" s="18">
        <f t="shared" si="52"/>
        <v>19.560359000000005</v>
      </c>
      <c r="N236" s="17">
        <f t="shared" si="43"/>
        <v>50511.680928931441</v>
      </c>
      <c r="O236" s="14">
        <f t="shared" si="44"/>
        <v>1.1234217508615567E-11</v>
      </c>
      <c r="P236" s="24">
        <f t="shared" si="45"/>
        <v>5.6745921028777957E-7</v>
      </c>
      <c r="Q236" s="2">
        <f t="shared" si="53"/>
        <v>1.4069727016372049E-9</v>
      </c>
      <c r="R236" s="19">
        <f t="shared" si="54"/>
        <v>7.1068556280806661E-5</v>
      </c>
      <c r="S236" s="16">
        <f t="shared" si="55"/>
        <v>19.638151813963361</v>
      </c>
      <c r="T236" s="23">
        <f t="shared" si="46"/>
        <v>8.4883922113476729E-10</v>
      </c>
      <c r="U236" s="22">
        <f t="shared" si="47"/>
        <v>1.8603664031502376E-7</v>
      </c>
      <c r="V236" s="16">
        <f t="shared" si="56"/>
        <v>19.560359202192458</v>
      </c>
      <c r="W236" s="23">
        <f t="shared" si="48"/>
        <v>8.4534335087482759E-10</v>
      </c>
      <c r="X236" s="22">
        <f t="shared" si="49"/>
        <v>2.0219245300268085E-7</v>
      </c>
    </row>
    <row r="237" spans="1:24" x14ac:dyDescent="0.45">
      <c r="A237">
        <v>-27.56935</v>
      </c>
      <c r="B237">
        <v>160.24204</v>
      </c>
      <c r="C237">
        <v>-27.67482</v>
      </c>
      <c r="D237">
        <v>160.91743</v>
      </c>
      <c r="E237" s="13">
        <v>67679.627983006299</v>
      </c>
      <c r="F237" s="13">
        <v>100.100606387901</v>
      </c>
      <c r="G237" s="13">
        <f t="shared" si="50"/>
        <v>100.100606387901</v>
      </c>
      <c r="H237" s="13">
        <v>99.787467199197494</v>
      </c>
      <c r="I237" s="13">
        <f t="shared" si="51"/>
        <v>99.787467199197494</v>
      </c>
      <c r="J237" s="9">
        <v>67679.627999999997</v>
      </c>
      <c r="K237" s="9">
        <v>100.100606</v>
      </c>
      <c r="L237" s="10">
        <v>279.78746699999999</v>
      </c>
      <c r="M237" s="18">
        <f t="shared" si="52"/>
        <v>99.787466999999992</v>
      </c>
      <c r="N237" s="17">
        <f t="shared" si="43"/>
        <v>67679.627979910991</v>
      </c>
      <c r="O237" s="14">
        <f t="shared" si="44"/>
        <v>4.573471924480227E-11</v>
      </c>
      <c r="P237" s="24">
        <f t="shared" si="45"/>
        <v>3.0953087843954563E-6</v>
      </c>
      <c r="Q237" s="2">
        <f t="shared" si="53"/>
        <v>2.96825010389416E-10</v>
      </c>
      <c r="R237" s="19">
        <f t="shared" si="54"/>
        <v>2.0089006284251809E-5</v>
      </c>
      <c r="S237" s="16">
        <f t="shared" si="55"/>
        <v>100.10060638829775</v>
      </c>
      <c r="T237" s="23">
        <f t="shared" si="46"/>
        <v>3.9675285279372474E-10</v>
      </c>
      <c r="U237" s="22">
        <f t="shared" si="47"/>
        <v>3.8829774950954743E-7</v>
      </c>
      <c r="V237" s="16">
        <f t="shared" si="56"/>
        <v>99.787467199607462</v>
      </c>
      <c r="W237" s="23">
        <f t="shared" si="48"/>
        <v>4.0996894767886261E-10</v>
      </c>
      <c r="X237" s="22">
        <f t="shared" si="49"/>
        <v>1.9960747010827617E-7</v>
      </c>
    </row>
    <row r="238" spans="1:24" x14ac:dyDescent="0.45">
      <c r="A238">
        <v>-67.435599999999994</v>
      </c>
      <c r="B238">
        <v>-128.18227999999999</v>
      </c>
      <c r="C238">
        <v>-66.869159999999994</v>
      </c>
      <c r="D238">
        <v>-128.90196</v>
      </c>
      <c r="E238" s="13">
        <v>70453.369151874198</v>
      </c>
      <c r="F238" s="13">
        <v>-26.613329763623401</v>
      </c>
      <c r="G238" s="13">
        <f t="shared" si="50"/>
        <v>333.38667023637657</v>
      </c>
      <c r="H238" s="13">
        <v>-25.950105886175599</v>
      </c>
      <c r="I238" s="13">
        <f t="shared" si="51"/>
        <v>334.04989411382439</v>
      </c>
      <c r="J238" s="11">
        <v>70453.369000000006</v>
      </c>
      <c r="K238" s="11">
        <v>333.38666999999998</v>
      </c>
      <c r="L238" s="12">
        <v>154.04989399999999</v>
      </c>
      <c r="M238" s="18">
        <f t="shared" si="52"/>
        <v>334.04989399999999</v>
      </c>
      <c r="N238" s="17">
        <f t="shared" si="43"/>
        <v>70453.369151743842</v>
      </c>
      <c r="O238" s="14">
        <f t="shared" si="44"/>
        <v>1.8502458886629773E-12</v>
      </c>
      <c r="P238" s="24">
        <f t="shared" si="45"/>
        <v>1.3035605661571026E-7</v>
      </c>
      <c r="Q238" s="2">
        <f t="shared" si="53"/>
        <v>2.1538194417077345E-9</v>
      </c>
      <c r="R238" s="19">
        <f t="shared" si="54"/>
        <v>1.5174383588600904E-4</v>
      </c>
      <c r="S238" s="16">
        <f t="shared" si="55"/>
        <v>333.38667023636896</v>
      </c>
      <c r="T238" s="23">
        <f t="shared" si="46"/>
        <v>7.617018127348274E-12</v>
      </c>
      <c r="U238" s="22">
        <f t="shared" si="47"/>
        <v>2.3636897594769835E-7</v>
      </c>
      <c r="V238" s="16">
        <f t="shared" si="56"/>
        <v>334.04989411381706</v>
      </c>
      <c r="W238" s="23">
        <f t="shared" si="48"/>
        <v>7.3328010330442339E-12</v>
      </c>
      <c r="X238" s="22">
        <f t="shared" si="49"/>
        <v>1.1381706599422614E-7</v>
      </c>
    </row>
    <row r="239" spans="1:24" x14ac:dyDescent="0.45">
      <c r="A239">
        <v>56.44482</v>
      </c>
      <c r="B239">
        <v>-57.208320000000001</v>
      </c>
      <c r="C239">
        <v>56.372999999999998</v>
      </c>
      <c r="D239">
        <v>-57.456090000000003</v>
      </c>
      <c r="E239" s="13">
        <v>17259.880973748099</v>
      </c>
      <c r="F239" s="13">
        <v>-117.499242051357</v>
      </c>
      <c r="G239" s="13">
        <f t="shared" si="50"/>
        <v>242.50075794864301</v>
      </c>
      <c r="H239" s="13">
        <v>-117.705636406332</v>
      </c>
      <c r="I239" s="13">
        <f t="shared" si="51"/>
        <v>242.29436359366798</v>
      </c>
      <c r="J239" s="9">
        <v>17259.881000000001</v>
      </c>
      <c r="K239" s="9">
        <v>242.50075799999999</v>
      </c>
      <c r="L239" s="10">
        <v>62.294364000000002</v>
      </c>
      <c r="M239" s="18">
        <f t="shared" si="52"/>
        <v>242.294364</v>
      </c>
      <c r="N239" s="17">
        <f t="shared" si="43"/>
        <v>17259.880973716728</v>
      </c>
      <c r="O239" s="14">
        <f t="shared" si="44"/>
        <v>1.8175265114090512E-12</v>
      </c>
      <c r="P239" s="24">
        <f t="shared" si="45"/>
        <v>3.1370291253551841E-8</v>
      </c>
      <c r="Q239" s="2">
        <f t="shared" si="53"/>
        <v>1.5227957102245509E-9</v>
      </c>
      <c r="R239" s="19">
        <f t="shared" si="54"/>
        <v>2.6283272745786235E-5</v>
      </c>
      <c r="S239" s="16">
        <f t="shared" si="55"/>
        <v>242.50075794866058</v>
      </c>
      <c r="T239" s="23">
        <f t="shared" si="46"/>
        <v>1.7564616427989677E-11</v>
      </c>
      <c r="U239" s="22">
        <f t="shared" si="47"/>
        <v>5.1339412721063127E-8</v>
      </c>
      <c r="V239" s="16">
        <f t="shared" si="56"/>
        <v>242.29436359368441</v>
      </c>
      <c r="W239" s="23">
        <f t="shared" si="48"/>
        <v>1.6427748050773516E-11</v>
      </c>
      <c r="X239" s="22">
        <f t="shared" si="49"/>
        <v>4.0631559272696904E-7</v>
      </c>
    </row>
    <row r="240" spans="1:24" x14ac:dyDescent="0.45">
      <c r="A240">
        <v>-72.437510000000003</v>
      </c>
      <c r="B240">
        <v>32.01849</v>
      </c>
      <c r="C240">
        <v>-71.582530000000006</v>
      </c>
      <c r="D240">
        <v>32.245840000000001</v>
      </c>
      <c r="E240" s="13">
        <v>95725.531558490999</v>
      </c>
      <c r="F240" s="13">
        <v>4.8061839541179401</v>
      </c>
      <c r="G240" s="13">
        <f t="shared" si="50"/>
        <v>4.8061839541179401</v>
      </c>
      <c r="H240" s="13">
        <v>4.5899429236256202</v>
      </c>
      <c r="I240" s="13">
        <f t="shared" si="51"/>
        <v>4.5899429236256202</v>
      </c>
      <c r="J240" s="11">
        <v>95725.532000000007</v>
      </c>
      <c r="K240" s="11">
        <v>4.806184</v>
      </c>
      <c r="L240" s="12">
        <v>184.58994300000001</v>
      </c>
      <c r="M240" s="18">
        <f t="shared" si="52"/>
        <v>4.5899430000000052</v>
      </c>
      <c r="N240" s="17">
        <f t="shared" si="43"/>
        <v>95725.531558329269</v>
      </c>
      <c r="O240" s="14">
        <f t="shared" si="44"/>
        <v>1.6895177620324585E-12</v>
      </c>
      <c r="P240" s="24">
        <f t="shared" si="45"/>
        <v>1.6172998584806919E-7</v>
      </c>
      <c r="Q240" s="2">
        <f t="shared" si="53"/>
        <v>4.6139282665755202E-9</v>
      </c>
      <c r="R240" s="19">
        <f t="shared" si="54"/>
        <v>4.4167073792777956E-4</v>
      </c>
      <c r="S240" s="16">
        <f t="shared" si="55"/>
        <v>4.8061839539600673</v>
      </c>
      <c r="T240" s="23">
        <f t="shared" si="46"/>
        <v>1.5787282592327756E-10</v>
      </c>
      <c r="U240" s="22">
        <f t="shared" si="47"/>
        <v>4.6039932755093105E-8</v>
      </c>
      <c r="V240" s="16">
        <f t="shared" si="56"/>
        <v>4.589942923474875</v>
      </c>
      <c r="W240" s="23">
        <f t="shared" si="48"/>
        <v>1.5074519410518405E-10</v>
      </c>
      <c r="X240" s="22">
        <f t="shared" si="49"/>
        <v>7.6525130232596439E-8</v>
      </c>
    </row>
    <row r="241" spans="1:24" x14ac:dyDescent="0.45">
      <c r="A241">
        <v>-38.648069999999997</v>
      </c>
      <c r="B241">
        <v>174.66364999999999</v>
      </c>
      <c r="C241">
        <v>-38.215649999999997</v>
      </c>
      <c r="D241">
        <v>174.68594999999999</v>
      </c>
      <c r="E241" s="13">
        <v>48040.112753703303</v>
      </c>
      <c r="F241" s="13">
        <v>2.3298373187968502</v>
      </c>
      <c r="G241" s="13">
        <f t="shared" si="50"/>
        <v>2.3298373187968502</v>
      </c>
      <c r="H241" s="13">
        <v>2.3159759084272999</v>
      </c>
      <c r="I241" s="13">
        <f t="shared" si="51"/>
        <v>2.3159759084272999</v>
      </c>
      <c r="J241" s="9">
        <v>48040.112999999998</v>
      </c>
      <c r="K241" s="9">
        <v>2.3298369999999999</v>
      </c>
      <c r="L241" s="10">
        <v>182.31597600000001</v>
      </c>
      <c r="M241" s="18">
        <f t="shared" si="52"/>
        <v>2.3159759999999778</v>
      </c>
      <c r="N241" s="17">
        <f t="shared" si="43"/>
        <v>48040.112753488051</v>
      </c>
      <c r="O241" s="14">
        <f t="shared" si="44"/>
        <v>4.4806707919603955E-12</v>
      </c>
      <c r="P241" s="24">
        <f t="shared" si="45"/>
        <v>2.1525193005800247E-7</v>
      </c>
      <c r="Q241" s="2">
        <f t="shared" si="53"/>
        <v>5.1313773324795E-9</v>
      </c>
      <c r="R241" s="19">
        <f t="shared" si="54"/>
        <v>2.4651194689795375E-4</v>
      </c>
      <c r="S241" s="16">
        <f t="shared" si="55"/>
        <v>2.3298373187562387</v>
      </c>
      <c r="T241" s="23">
        <f t="shared" si="46"/>
        <v>4.0611514151578376E-11</v>
      </c>
      <c r="U241" s="22">
        <f t="shared" si="47"/>
        <v>3.1875623873744985E-7</v>
      </c>
      <c r="V241" s="16">
        <f t="shared" si="56"/>
        <v>2.3159759083869216</v>
      </c>
      <c r="W241" s="23">
        <f t="shared" si="48"/>
        <v>4.0378367316407093E-11</v>
      </c>
      <c r="X241" s="22">
        <f t="shared" si="49"/>
        <v>9.1613056252271008E-8</v>
      </c>
    </row>
    <row r="242" spans="1:24" x14ac:dyDescent="0.45">
      <c r="A242">
        <v>-63.26831</v>
      </c>
      <c r="B242">
        <v>-75.278710000000004</v>
      </c>
      <c r="C242">
        <v>-63.911479999999997</v>
      </c>
      <c r="D242">
        <v>-74.852509999999995</v>
      </c>
      <c r="E242" s="13">
        <v>74751.687998965601</v>
      </c>
      <c r="F242" s="13">
        <v>163.74740454932501</v>
      </c>
      <c r="G242" s="13">
        <f t="shared" si="50"/>
        <v>163.74740454932501</v>
      </c>
      <c r="H242" s="13">
        <v>163.36567925829999</v>
      </c>
      <c r="I242" s="13">
        <f t="shared" si="51"/>
        <v>163.36567925829999</v>
      </c>
      <c r="J242" s="11">
        <v>74751.687999999995</v>
      </c>
      <c r="K242" s="11">
        <v>163.74740499999999</v>
      </c>
      <c r="L242" s="12">
        <v>343.365679</v>
      </c>
      <c r="M242" s="18">
        <f t="shared" si="52"/>
        <v>163.365679</v>
      </c>
      <c r="N242" s="17">
        <f t="shared" si="43"/>
        <v>74751.687998788722</v>
      </c>
      <c r="O242" s="14">
        <f t="shared" si="44"/>
        <v>2.3662145208446223E-12</v>
      </c>
      <c r="P242" s="24">
        <f t="shared" si="45"/>
        <v>1.7687852960079908E-7</v>
      </c>
      <c r="Q242" s="2">
        <f t="shared" si="53"/>
        <v>1.6203946053750655E-11</v>
      </c>
      <c r="R242" s="19">
        <f t="shared" si="54"/>
        <v>1.2112723197788E-6</v>
      </c>
      <c r="S242" s="16">
        <f t="shared" si="55"/>
        <v>163.74740454932174</v>
      </c>
      <c r="T242" s="23">
        <f t="shared" si="46"/>
        <v>3.2684965844964609E-12</v>
      </c>
      <c r="U242" s="22">
        <f t="shared" si="47"/>
        <v>4.5067824316902261E-7</v>
      </c>
      <c r="V242" s="16">
        <f t="shared" si="56"/>
        <v>163.36567925829678</v>
      </c>
      <c r="W242" s="23">
        <f t="shared" si="48"/>
        <v>3.2116531656356528E-12</v>
      </c>
      <c r="X242" s="22">
        <f t="shared" si="49"/>
        <v>2.5829677952060592E-7</v>
      </c>
    </row>
    <row r="243" spans="1:24" x14ac:dyDescent="0.45">
      <c r="A243">
        <v>-63.194290000000002</v>
      </c>
      <c r="B243">
        <v>13.873390000000001</v>
      </c>
      <c r="C243">
        <v>-62.706589999999998</v>
      </c>
      <c r="D243">
        <v>13.368639999999999</v>
      </c>
      <c r="E243" s="13">
        <v>60094.145297819603</v>
      </c>
      <c r="F243" s="13">
        <v>-25.460205929068401</v>
      </c>
      <c r="G243" s="13">
        <f t="shared" si="50"/>
        <v>334.53979407093158</v>
      </c>
      <c r="H243" s="13">
        <v>-25.0106640898445</v>
      </c>
      <c r="I243" s="13">
        <f t="shared" si="51"/>
        <v>334.98933591015549</v>
      </c>
      <c r="J243" s="9">
        <v>60094.144999999997</v>
      </c>
      <c r="K243" s="9">
        <v>334.53979399999997</v>
      </c>
      <c r="L243" s="10">
        <v>154.98933600000001</v>
      </c>
      <c r="M243" s="18">
        <f t="shared" si="52"/>
        <v>334.98933599999998</v>
      </c>
      <c r="N243" s="17">
        <f t="shared" si="43"/>
        <v>60094.145297682269</v>
      </c>
      <c r="O243" s="14">
        <f t="shared" si="44"/>
        <v>2.2853091476233219E-12</v>
      </c>
      <c r="P243" s="24">
        <f t="shared" si="45"/>
        <v>1.3733369996771216E-7</v>
      </c>
      <c r="Q243" s="2">
        <f t="shared" si="53"/>
        <v>4.9535985993835589E-9</v>
      </c>
      <c r="R243" s="19">
        <f t="shared" si="54"/>
        <v>2.9768227250315249E-4</v>
      </c>
      <c r="S243" s="16">
        <f t="shared" si="55"/>
        <v>334.5397940709247</v>
      </c>
      <c r="T243" s="23">
        <f t="shared" si="46"/>
        <v>6.8780536821577698E-12</v>
      </c>
      <c r="U243" s="22">
        <f t="shared" si="47"/>
        <v>7.0924727424426237E-8</v>
      </c>
      <c r="V243" s="16">
        <f t="shared" si="56"/>
        <v>334.98933591014884</v>
      </c>
      <c r="W243" s="23">
        <f t="shared" si="48"/>
        <v>6.6506800067145377E-12</v>
      </c>
      <c r="X243" s="22">
        <f t="shared" si="49"/>
        <v>8.9851141638064291E-8</v>
      </c>
    </row>
    <row r="244" spans="1:24" x14ac:dyDescent="0.45">
      <c r="A244">
        <v>-70.420919999999995</v>
      </c>
      <c r="B244">
        <v>12.29795</v>
      </c>
      <c r="C244">
        <v>-71.379620000000003</v>
      </c>
      <c r="D244">
        <v>13.29031</v>
      </c>
      <c r="E244" s="13">
        <v>112938.856137653</v>
      </c>
      <c r="F244" s="13">
        <v>161.74435177779301</v>
      </c>
      <c r="G244" s="13">
        <f t="shared" si="50"/>
        <v>161.74435177779301</v>
      </c>
      <c r="H244" s="13">
        <v>160.806585400405</v>
      </c>
      <c r="I244" s="13">
        <f t="shared" si="51"/>
        <v>160.806585400405</v>
      </c>
      <c r="J244" s="11">
        <v>112938.856</v>
      </c>
      <c r="K244" s="11">
        <v>161.74435199999999</v>
      </c>
      <c r="L244" s="12">
        <v>340.80658499999998</v>
      </c>
      <c r="M244" s="18">
        <f t="shared" si="52"/>
        <v>160.80658500000004</v>
      </c>
      <c r="N244" s="17">
        <f t="shared" si="43"/>
        <v>112938.85613694205</v>
      </c>
      <c r="O244" s="14">
        <f t="shared" si="44"/>
        <v>6.2949846909248611E-12</v>
      </c>
      <c r="P244" s="24">
        <f t="shared" si="45"/>
        <v>7.1094837039709091E-7</v>
      </c>
      <c r="Q244" s="2">
        <f t="shared" si="53"/>
        <v>1.2125326444005764E-9</v>
      </c>
      <c r="R244" s="19">
        <f t="shared" si="54"/>
        <v>1.369420497212559E-4</v>
      </c>
      <c r="S244" s="16">
        <f t="shared" si="55"/>
        <v>161.74435177858069</v>
      </c>
      <c r="T244" s="23">
        <f t="shared" si="46"/>
        <v>7.8767925515421666E-10</v>
      </c>
      <c r="U244" s="22">
        <f t="shared" si="47"/>
        <v>2.2141929889585299E-7</v>
      </c>
      <c r="V244" s="16">
        <f t="shared" si="56"/>
        <v>160.80658540123542</v>
      </c>
      <c r="W244" s="23">
        <f t="shared" si="48"/>
        <v>8.3042550613754429E-10</v>
      </c>
      <c r="X244" s="22">
        <f t="shared" si="49"/>
        <v>4.0123538269654091E-7</v>
      </c>
    </row>
    <row r="245" spans="1:24" x14ac:dyDescent="0.45">
      <c r="A245">
        <v>87.846559999999997</v>
      </c>
      <c r="B245">
        <v>-0.87456</v>
      </c>
      <c r="C245">
        <v>88.451130000000006</v>
      </c>
      <c r="D245">
        <v>-0.82923000000005198</v>
      </c>
      <c r="E245" s="13">
        <v>67526.303361550599</v>
      </c>
      <c r="F245" s="13">
        <v>0.116121281894394</v>
      </c>
      <c r="G245" s="13">
        <f t="shared" si="50"/>
        <v>0.116121281894394</v>
      </c>
      <c r="H245" s="13">
        <v>0.16142825553059201</v>
      </c>
      <c r="I245" s="13">
        <f t="shared" si="51"/>
        <v>0.16142825553059201</v>
      </c>
      <c r="J245" s="9">
        <v>67526.303</v>
      </c>
      <c r="K245" s="9">
        <v>0.116121</v>
      </c>
      <c r="L245" s="10">
        <v>180.161428</v>
      </c>
      <c r="M245" s="18">
        <f t="shared" si="52"/>
        <v>0.16142800000000079</v>
      </c>
      <c r="N245" s="17">
        <f t="shared" si="43"/>
        <v>67526.303361587823</v>
      </c>
      <c r="O245" s="14">
        <f t="shared" si="44"/>
        <v>5.5124888082290011E-13</v>
      </c>
      <c r="P245" s="24">
        <f t="shared" si="45"/>
        <v>3.7223799154162407E-8</v>
      </c>
      <c r="Q245" s="2">
        <f t="shared" si="53"/>
        <v>5.3547700239975867E-9</v>
      </c>
      <c r="R245" s="19">
        <f t="shared" si="54"/>
        <v>3.6158782313577831E-4</v>
      </c>
      <c r="S245" s="16">
        <f t="shared" si="55"/>
        <v>0.11612128189304305</v>
      </c>
      <c r="T245" s="23">
        <f t="shared" si="46"/>
        <v>1.3509471319395061E-12</v>
      </c>
      <c r="U245" s="22">
        <f t="shared" si="47"/>
        <v>2.8189304304704343E-7</v>
      </c>
      <c r="V245" s="16">
        <f t="shared" si="56"/>
        <v>0.16142825552871121</v>
      </c>
      <c r="W245" s="23">
        <f t="shared" si="48"/>
        <v>1.8808010704418621E-12</v>
      </c>
      <c r="X245" s="22">
        <f t="shared" si="49"/>
        <v>2.5552871041334413E-7</v>
      </c>
    </row>
    <row r="246" spans="1:24" x14ac:dyDescent="0.45">
      <c r="A246">
        <v>72.121650000000002</v>
      </c>
      <c r="B246">
        <v>108.23157999999999</v>
      </c>
      <c r="C246">
        <v>72.806150000000002</v>
      </c>
      <c r="D246">
        <v>109.06195</v>
      </c>
      <c r="E246" s="13">
        <v>81331.076373782096</v>
      </c>
      <c r="F246" s="13">
        <v>19.6940224101753</v>
      </c>
      <c r="G246" s="13">
        <f t="shared" si="50"/>
        <v>19.6940224101753</v>
      </c>
      <c r="H246" s="13">
        <v>20.4858182626615</v>
      </c>
      <c r="I246" s="13">
        <f t="shared" si="51"/>
        <v>20.4858182626615</v>
      </c>
      <c r="J246" s="11">
        <v>81331.076000000001</v>
      </c>
      <c r="K246" s="11">
        <v>19.694022</v>
      </c>
      <c r="L246" s="12">
        <v>200.48581799999999</v>
      </c>
      <c r="M246" s="18">
        <f t="shared" si="52"/>
        <v>20.485817999999995</v>
      </c>
      <c r="N246" s="17">
        <f t="shared" si="43"/>
        <v>81331.076373407312</v>
      </c>
      <c r="O246" s="14">
        <f t="shared" si="44"/>
        <v>4.6081349641083062E-12</v>
      </c>
      <c r="P246" s="24">
        <f t="shared" si="45"/>
        <v>3.7478457670658827E-7</v>
      </c>
      <c r="Q246" s="2">
        <f t="shared" si="53"/>
        <v>4.5912009167295351E-9</v>
      </c>
      <c r="R246" s="19">
        <f t="shared" si="54"/>
        <v>3.7340731068979949E-4</v>
      </c>
      <c r="S246" s="16">
        <f t="shared" si="55"/>
        <v>19.694022409663834</v>
      </c>
      <c r="T246" s="23">
        <f t="shared" si="46"/>
        <v>5.1146642476851412E-10</v>
      </c>
      <c r="U246" s="22">
        <f t="shared" si="47"/>
        <v>4.0966383352269986E-7</v>
      </c>
      <c r="V246" s="16">
        <f t="shared" si="56"/>
        <v>20.485818262127644</v>
      </c>
      <c r="W246" s="23">
        <f t="shared" si="48"/>
        <v>5.3385562637231487E-10</v>
      </c>
      <c r="X246" s="22">
        <f t="shared" si="49"/>
        <v>2.6212764936417443E-7</v>
      </c>
    </row>
    <row r="247" spans="1:24" x14ac:dyDescent="0.45">
      <c r="A247">
        <v>-74.062029999999993</v>
      </c>
      <c r="B247">
        <v>155.36976999999999</v>
      </c>
      <c r="C247">
        <v>-73.247749999999996</v>
      </c>
      <c r="D247">
        <v>155.66757000000001</v>
      </c>
      <c r="E247" s="13">
        <v>91357.675959537097</v>
      </c>
      <c r="F247" s="13">
        <v>6.0223822201326698</v>
      </c>
      <c r="G247" s="13">
        <f t="shared" si="50"/>
        <v>6.0223822201326698</v>
      </c>
      <c r="H247" s="13">
        <v>5.7366108304158496</v>
      </c>
      <c r="I247" s="13">
        <f t="shared" si="51"/>
        <v>5.7366108304158496</v>
      </c>
      <c r="J247" s="9">
        <v>91357.676000000007</v>
      </c>
      <c r="K247" s="9">
        <v>6.0223820000000003</v>
      </c>
      <c r="L247" s="10">
        <v>185.73661100000001</v>
      </c>
      <c r="M247" s="18">
        <f t="shared" si="52"/>
        <v>5.736611000000039</v>
      </c>
      <c r="N247" s="17">
        <f t="shared" si="43"/>
        <v>91357.675959408865</v>
      </c>
      <c r="O247" s="14">
        <f t="shared" si="44"/>
        <v>1.4036201736257306E-12</v>
      </c>
      <c r="P247" s="24">
        <f t="shared" si="45"/>
        <v>1.282314769923687E-7</v>
      </c>
      <c r="Q247" s="2">
        <f t="shared" si="53"/>
        <v>4.4431013593030705E-10</v>
      </c>
      <c r="R247" s="19">
        <f t="shared" si="54"/>
        <v>4.0591141441836953E-5</v>
      </c>
      <c r="S247" s="16">
        <f t="shared" si="55"/>
        <v>6.0223822200198045</v>
      </c>
      <c r="T247" s="23">
        <f t="shared" si="46"/>
        <v>1.1286527268339341E-10</v>
      </c>
      <c r="U247" s="22">
        <f t="shared" si="47"/>
        <v>2.2001980415353728E-7</v>
      </c>
      <c r="V247" s="16">
        <f t="shared" si="56"/>
        <v>5.7366108303083836</v>
      </c>
      <c r="W247" s="23">
        <f t="shared" si="48"/>
        <v>1.0746603607003635E-10</v>
      </c>
      <c r="X247" s="22">
        <f t="shared" si="49"/>
        <v>1.6969165539393316E-7</v>
      </c>
    </row>
    <row r="248" spans="1:24" x14ac:dyDescent="0.45">
      <c r="A248">
        <v>80.085620000000006</v>
      </c>
      <c r="B248">
        <v>-8.6128400000000003</v>
      </c>
      <c r="C248">
        <v>79.441649999999996</v>
      </c>
      <c r="D248">
        <v>-7.8631900000000297</v>
      </c>
      <c r="E248" s="13">
        <v>73426.260164807594</v>
      </c>
      <c r="F248" s="13">
        <v>167.940436652344</v>
      </c>
      <c r="G248" s="13">
        <f t="shared" si="50"/>
        <v>167.940436652344</v>
      </c>
      <c r="H248" s="13">
        <v>168.67816646814501</v>
      </c>
      <c r="I248" s="13">
        <f t="shared" si="51"/>
        <v>168.67816646814501</v>
      </c>
      <c r="J248" s="11">
        <v>73426.259999999995</v>
      </c>
      <c r="K248" s="11">
        <v>167.940437</v>
      </c>
      <c r="L248" s="12">
        <v>348.67816599999998</v>
      </c>
      <c r="M248" s="18">
        <f t="shared" si="52"/>
        <v>168.67816599999992</v>
      </c>
      <c r="N248" s="17">
        <f t="shared" si="43"/>
        <v>73426.260164785199</v>
      </c>
      <c r="O248" s="14">
        <f t="shared" si="44"/>
        <v>3.0500528674876535E-13</v>
      </c>
      <c r="P248" s="24">
        <f t="shared" si="45"/>
        <v>2.2395397536456585E-8</v>
      </c>
      <c r="Q248" s="2">
        <f t="shared" si="53"/>
        <v>2.2442271212780075E-9</v>
      </c>
      <c r="R248" s="19">
        <f t="shared" si="54"/>
        <v>1.647852041060105E-4</v>
      </c>
      <c r="S248" s="16">
        <f t="shared" si="55"/>
        <v>167.9404366523564</v>
      </c>
      <c r="T248" s="23">
        <f t="shared" si="46"/>
        <v>1.2391865311656147E-11</v>
      </c>
      <c r="U248" s="22">
        <f t="shared" si="47"/>
        <v>3.4764360634653713E-7</v>
      </c>
      <c r="V248" s="16">
        <f t="shared" si="56"/>
        <v>168.67816646815564</v>
      </c>
      <c r="W248" s="23">
        <f t="shared" si="48"/>
        <v>1.0629719326971099E-11</v>
      </c>
      <c r="X248" s="22">
        <f t="shared" si="49"/>
        <v>4.6815571863589867E-7</v>
      </c>
    </row>
    <row r="249" spans="1:24" x14ac:dyDescent="0.45">
      <c r="A249">
        <v>45.252490000000002</v>
      </c>
      <c r="B249">
        <v>54.046599999999998</v>
      </c>
      <c r="C249">
        <v>45.168010000000002</v>
      </c>
      <c r="D249">
        <v>54.170470000000002</v>
      </c>
      <c r="E249" s="13">
        <v>13521.8540619797</v>
      </c>
      <c r="F249" s="13">
        <v>133.930638595011</v>
      </c>
      <c r="G249" s="13">
        <f t="shared" si="50"/>
        <v>133.930638595011</v>
      </c>
      <c r="H249" s="13">
        <v>134.01854877634199</v>
      </c>
      <c r="I249" s="13">
        <f t="shared" si="51"/>
        <v>134.01854877634199</v>
      </c>
      <c r="J249" s="9">
        <v>13521.853999999999</v>
      </c>
      <c r="K249" s="9">
        <v>133.93063900000001</v>
      </c>
      <c r="L249" s="10">
        <v>314.01854900000001</v>
      </c>
      <c r="M249" s="18">
        <f t="shared" si="52"/>
        <v>134.01854900000001</v>
      </c>
      <c r="N249" s="17">
        <f t="shared" si="43"/>
        <v>13521.854061892238</v>
      </c>
      <c r="O249" s="14">
        <f t="shared" si="44"/>
        <v>6.4682303987157706E-12</v>
      </c>
      <c r="P249" s="24">
        <f t="shared" si="45"/>
        <v>8.7462467490695417E-8</v>
      </c>
      <c r="Q249" s="2">
        <f t="shared" si="53"/>
        <v>4.5772006258238819E-9</v>
      </c>
      <c r="R249" s="19">
        <f t="shared" si="54"/>
        <v>6.1892238591099158E-5</v>
      </c>
      <c r="S249" s="16">
        <f t="shared" si="55"/>
        <v>133.93063859516968</v>
      </c>
      <c r="T249" s="23">
        <f t="shared" si="46"/>
        <v>1.5867840374994557E-10</v>
      </c>
      <c r="U249" s="22">
        <f t="shared" si="47"/>
        <v>4.0483033103555499E-7</v>
      </c>
      <c r="V249" s="16">
        <f t="shared" si="56"/>
        <v>134.01854877649924</v>
      </c>
      <c r="W249" s="23">
        <f t="shared" si="48"/>
        <v>1.5725731827842537E-10</v>
      </c>
      <c r="X249" s="22">
        <f t="shared" si="49"/>
        <v>2.2350076278598863E-7</v>
      </c>
    </row>
    <row r="250" spans="1:24" x14ac:dyDescent="0.45">
      <c r="A250">
        <v>-7.1387400000000003</v>
      </c>
      <c r="B250">
        <v>144.79919000000001</v>
      </c>
      <c r="C250">
        <v>-6.8734599999999899</v>
      </c>
      <c r="D250">
        <v>145.31829999999999</v>
      </c>
      <c r="E250" s="13">
        <v>64425.722337552099</v>
      </c>
      <c r="F250" s="13">
        <v>62.943133508643598</v>
      </c>
      <c r="G250" s="13">
        <f t="shared" si="50"/>
        <v>62.943133508643598</v>
      </c>
      <c r="H250" s="13">
        <v>62.879814459066203</v>
      </c>
      <c r="I250" s="13">
        <f t="shared" si="51"/>
        <v>62.879814459066203</v>
      </c>
      <c r="J250" s="11">
        <v>64425.722000000002</v>
      </c>
      <c r="K250" s="11">
        <v>62.943134000000001</v>
      </c>
      <c r="L250" s="12">
        <v>242.87981400000001</v>
      </c>
      <c r="M250" s="18">
        <f t="shared" si="52"/>
        <v>62.87981400000001</v>
      </c>
      <c r="N250" s="17">
        <f t="shared" si="43"/>
        <v>64425.722337112114</v>
      </c>
      <c r="O250" s="14">
        <f t="shared" si="44"/>
        <v>6.8293286737559842E-12</v>
      </c>
      <c r="P250" s="24">
        <f t="shared" si="45"/>
        <v>4.3998443288728595E-7</v>
      </c>
      <c r="Q250" s="2">
        <f t="shared" si="53"/>
        <v>5.2325701976937848E-9</v>
      </c>
      <c r="R250" s="19">
        <f t="shared" si="54"/>
        <v>3.3711211290210485E-4</v>
      </c>
      <c r="S250" s="16">
        <f t="shared" si="55"/>
        <v>62.943133508648238</v>
      </c>
      <c r="T250" s="23">
        <f t="shared" si="46"/>
        <v>4.6398440645134542E-12</v>
      </c>
      <c r="U250" s="22">
        <f t="shared" si="47"/>
        <v>4.9135176283243709E-7</v>
      </c>
      <c r="V250" s="16">
        <f t="shared" si="56"/>
        <v>62.879814459070737</v>
      </c>
      <c r="W250" s="23">
        <f t="shared" si="48"/>
        <v>4.5332626541494392E-12</v>
      </c>
      <c r="X250" s="22">
        <f t="shared" si="49"/>
        <v>4.5907072632189738E-7</v>
      </c>
    </row>
    <row r="251" spans="1:24" x14ac:dyDescent="0.45">
      <c r="A251">
        <v>-52.76979</v>
      </c>
      <c r="B251">
        <v>6.0192800000000002</v>
      </c>
      <c r="C251">
        <v>-53.016689999999997</v>
      </c>
      <c r="D251">
        <v>5.9756200000000499</v>
      </c>
      <c r="E251" s="13">
        <v>27632.7609885042</v>
      </c>
      <c r="F251" s="13">
        <v>-173.913095335333</v>
      </c>
      <c r="G251" s="13">
        <f t="shared" si="50"/>
        <v>186.086904664667</v>
      </c>
      <c r="H251" s="13">
        <v>-173.87827584691499</v>
      </c>
      <c r="I251" s="13">
        <f t="shared" si="51"/>
        <v>186.12172415308501</v>
      </c>
      <c r="J251" s="9">
        <v>27632.760999999999</v>
      </c>
      <c r="K251" s="9">
        <v>186.086905</v>
      </c>
      <c r="L251" s="10">
        <v>6.1217240000000004</v>
      </c>
      <c r="M251" s="18">
        <f t="shared" si="52"/>
        <v>186.121724</v>
      </c>
      <c r="N251" s="17">
        <f t="shared" si="43"/>
        <v>27632.760988422822</v>
      </c>
      <c r="O251" s="14">
        <f t="shared" si="44"/>
        <v>2.9449807049570412E-12</v>
      </c>
      <c r="P251" s="24">
        <f t="shared" si="45"/>
        <v>8.1377947935834527E-8</v>
      </c>
      <c r="Q251" s="2">
        <f t="shared" si="53"/>
        <v>4.1896560164928978E-10</v>
      </c>
      <c r="R251" s="19">
        <f t="shared" si="54"/>
        <v>1.1577176337596029E-5</v>
      </c>
      <c r="S251" s="16">
        <f t="shared" si="55"/>
        <v>186.08690466465848</v>
      </c>
      <c r="T251" s="23">
        <f t="shared" si="46"/>
        <v>8.5265128291212022E-12</v>
      </c>
      <c r="U251" s="22">
        <f t="shared" si="47"/>
        <v>3.3534152521497163E-7</v>
      </c>
      <c r="V251" s="16">
        <f t="shared" si="56"/>
        <v>186.12172415307654</v>
      </c>
      <c r="W251" s="23">
        <f t="shared" si="48"/>
        <v>8.4696694102603942E-12</v>
      </c>
      <c r="X251" s="22">
        <f t="shared" si="49"/>
        <v>1.530765416646318E-7</v>
      </c>
    </row>
    <row r="252" spans="1:24" x14ac:dyDescent="0.45">
      <c r="A252">
        <v>-56.59384</v>
      </c>
      <c r="B252">
        <v>50.761090000000003</v>
      </c>
      <c r="C252">
        <v>-57.435360000000003</v>
      </c>
      <c r="D252">
        <v>51.031999999999996</v>
      </c>
      <c r="E252" s="13">
        <v>95145.683709475794</v>
      </c>
      <c r="F252" s="13">
        <v>170.15300042843299</v>
      </c>
      <c r="G252" s="13">
        <f t="shared" si="50"/>
        <v>170.15300042843299</v>
      </c>
      <c r="H252" s="13">
        <v>169.92575233282699</v>
      </c>
      <c r="I252" s="13">
        <f t="shared" si="51"/>
        <v>169.92575233282699</v>
      </c>
      <c r="J252" s="11">
        <v>95145.683999999994</v>
      </c>
      <c r="K252" s="11">
        <v>170.15299999999999</v>
      </c>
      <c r="L252" s="12">
        <v>349.92575199999999</v>
      </c>
      <c r="M252" s="18">
        <f t="shared" si="52"/>
        <v>169.92575199999999</v>
      </c>
      <c r="N252" s="17">
        <f t="shared" si="43"/>
        <v>95145.683709211065</v>
      </c>
      <c r="O252" s="14">
        <f t="shared" si="44"/>
        <v>2.7823484104942619E-12</v>
      </c>
      <c r="P252" s="24">
        <f t="shared" si="45"/>
        <v>2.6472844183444977E-7</v>
      </c>
      <c r="Q252" s="2">
        <f t="shared" si="53"/>
        <v>3.0562492818493849E-9</v>
      </c>
      <c r="R252" s="19">
        <f t="shared" si="54"/>
        <v>2.9078892839606851E-4</v>
      </c>
      <c r="S252" s="16">
        <f t="shared" si="55"/>
        <v>170.15300042843816</v>
      </c>
      <c r="T252" s="23">
        <f t="shared" si="46"/>
        <v>5.1727511163335294E-12</v>
      </c>
      <c r="U252" s="22">
        <f t="shared" si="47"/>
        <v>4.2843817027460318E-7</v>
      </c>
      <c r="V252" s="16">
        <f t="shared" si="56"/>
        <v>169.92575233283267</v>
      </c>
      <c r="W252" s="23">
        <f t="shared" si="48"/>
        <v>5.6843418860808015E-12</v>
      </c>
      <c r="X252" s="22">
        <f t="shared" si="49"/>
        <v>3.32832684080131E-7</v>
      </c>
    </row>
    <row r="253" spans="1:24" x14ac:dyDescent="0.45">
      <c r="A253">
        <v>-77.384240000000005</v>
      </c>
      <c r="B253">
        <v>-13.293229999999999</v>
      </c>
      <c r="C253">
        <v>-78.055419999999998</v>
      </c>
      <c r="D253">
        <v>-12.662190000000001</v>
      </c>
      <c r="E253" s="13">
        <v>76415.833261124193</v>
      </c>
      <c r="F253" s="13">
        <v>168.996377994559</v>
      </c>
      <c r="G253" s="13">
        <f t="shared" si="50"/>
        <v>168.996377994559</v>
      </c>
      <c r="H253" s="13">
        <v>168.37976580511801</v>
      </c>
      <c r="I253" s="13">
        <f t="shared" si="51"/>
        <v>168.37976580511801</v>
      </c>
      <c r="J253" s="9">
        <v>76415.832999999999</v>
      </c>
      <c r="K253" s="9">
        <v>168.99637799999999</v>
      </c>
      <c r="L253" s="10">
        <v>348.37976600000002</v>
      </c>
      <c r="M253" s="18">
        <f t="shared" si="52"/>
        <v>168.37976600000002</v>
      </c>
      <c r="N253" s="17">
        <f t="shared" si="43"/>
        <v>76415.833261073203</v>
      </c>
      <c r="O253" s="14">
        <f t="shared" si="44"/>
        <v>6.6726892561594384E-13</v>
      </c>
      <c r="P253" s="24">
        <f t="shared" si="45"/>
        <v>5.0989910960197449E-8</v>
      </c>
      <c r="Q253" s="2">
        <f t="shared" si="53"/>
        <v>3.4164805146584899E-9</v>
      </c>
      <c r="R253" s="19">
        <f t="shared" si="54"/>
        <v>2.6107320445589721E-4</v>
      </c>
      <c r="S253" s="16">
        <f t="shared" si="55"/>
        <v>168.99637799459464</v>
      </c>
      <c r="T253" s="23">
        <f t="shared" si="46"/>
        <v>3.5640823625726625E-11</v>
      </c>
      <c r="U253" s="22">
        <f t="shared" si="47"/>
        <v>5.4053543863119557E-9</v>
      </c>
      <c r="V253" s="16">
        <f t="shared" si="56"/>
        <v>168.37976580515559</v>
      </c>
      <c r="W253" s="23">
        <f t="shared" si="48"/>
        <v>3.7573499866994098E-11</v>
      </c>
      <c r="X253" s="22">
        <f t="shared" si="49"/>
        <v>1.9484443214423663E-7</v>
      </c>
    </row>
    <row r="254" spans="1:24" x14ac:dyDescent="0.45">
      <c r="A254">
        <v>-29.301469999999998</v>
      </c>
      <c r="B254">
        <v>117.18138999999999</v>
      </c>
      <c r="C254">
        <v>-30.118590000000001</v>
      </c>
      <c r="D254">
        <v>117.47896</v>
      </c>
      <c r="E254" s="13">
        <v>95042.450326842896</v>
      </c>
      <c r="F254" s="13">
        <v>162.43782671133499</v>
      </c>
      <c r="G254" s="13">
        <f t="shared" si="50"/>
        <v>162.43782671133499</v>
      </c>
      <c r="H254" s="13">
        <v>162.29034381574101</v>
      </c>
      <c r="I254" s="13">
        <f t="shared" si="51"/>
        <v>162.29034381574101</v>
      </c>
      <c r="J254" s="11">
        <v>95042.45</v>
      </c>
      <c r="K254" s="11">
        <v>162.437827</v>
      </c>
      <c r="L254" s="12">
        <v>342.290344</v>
      </c>
      <c r="M254" s="18">
        <f t="shared" si="52"/>
        <v>162.290344</v>
      </c>
      <c r="N254" s="17">
        <f t="shared" si="43"/>
        <v>95042.450325975922</v>
      </c>
      <c r="O254" s="14">
        <f t="shared" si="44"/>
        <v>9.1219660530025322E-12</v>
      </c>
      <c r="P254" s="24">
        <f t="shared" si="45"/>
        <v>8.669740054756403E-7</v>
      </c>
      <c r="Q254" s="2">
        <f t="shared" si="53"/>
        <v>3.4297929512501715E-9</v>
      </c>
      <c r="R254" s="19">
        <f t="shared" si="54"/>
        <v>3.2597592507954687E-4</v>
      </c>
      <c r="S254" s="16">
        <f t="shared" si="55"/>
        <v>162.43782671195453</v>
      </c>
      <c r="T254" s="23">
        <f t="shared" si="46"/>
        <v>6.1953642216394655E-10</v>
      </c>
      <c r="U254" s="22">
        <f t="shared" si="47"/>
        <v>2.8804547014260606E-7</v>
      </c>
      <c r="V254" s="16">
        <f t="shared" si="56"/>
        <v>162.2903438163662</v>
      </c>
      <c r="W254" s="23">
        <f t="shared" si="48"/>
        <v>6.2519234234059695E-10</v>
      </c>
      <c r="X254" s="22">
        <f t="shared" si="49"/>
        <v>1.8363380149821751E-7</v>
      </c>
    </row>
    <row r="255" spans="1:24" x14ac:dyDescent="0.45">
      <c r="A255">
        <v>-22.286799999999999</v>
      </c>
      <c r="B255">
        <v>-77.289569999999998</v>
      </c>
      <c r="C255">
        <v>-22.419309999999999</v>
      </c>
      <c r="D255">
        <v>-77.635589999999993</v>
      </c>
      <c r="E255" s="13">
        <v>38543.968898747698</v>
      </c>
      <c r="F255" s="13">
        <v>-112.44247229130301</v>
      </c>
      <c r="G255" s="13">
        <f t="shared" si="50"/>
        <v>247.55752770869699</v>
      </c>
      <c r="H255" s="13">
        <v>-112.310876049266</v>
      </c>
      <c r="I255" s="13">
        <f t="shared" si="51"/>
        <v>247.689123950734</v>
      </c>
      <c r="J255" s="9">
        <v>38543.968999999997</v>
      </c>
      <c r="K255" s="9">
        <v>247.55752799999999</v>
      </c>
      <c r="L255" s="10">
        <v>67.689124000000007</v>
      </c>
      <c r="M255" s="18">
        <f t="shared" si="52"/>
        <v>247.68912399999999</v>
      </c>
      <c r="N255" s="17">
        <f t="shared" si="43"/>
        <v>38543.968896436971</v>
      </c>
      <c r="O255" s="14">
        <f t="shared" si="44"/>
        <v>5.9950435540588686E-11</v>
      </c>
      <c r="P255" s="24">
        <f t="shared" si="45"/>
        <v>2.3107277229428291E-6</v>
      </c>
      <c r="Q255" s="2">
        <f t="shared" si="53"/>
        <v>2.6868801871829942E-9</v>
      </c>
      <c r="R255" s="19">
        <f t="shared" si="54"/>
        <v>1.0356302664149553E-4</v>
      </c>
      <c r="S255" s="16">
        <f t="shared" si="55"/>
        <v>247.55752770743064</v>
      </c>
      <c r="T255" s="23">
        <f t="shared" si="46"/>
        <v>1.266357685381081E-9</v>
      </c>
      <c r="U255" s="22">
        <f t="shared" si="47"/>
        <v>2.9256935363264347E-7</v>
      </c>
      <c r="V255" s="16">
        <f t="shared" si="56"/>
        <v>247.6891239494592</v>
      </c>
      <c r="W255" s="23">
        <f t="shared" si="48"/>
        <v>1.2747989330819109E-9</v>
      </c>
      <c r="X255" s="22">
        <f t="shared" si="49"/>
        <v>5.0540791107778205E-8</v>
      </c>
    </row>
    <row r="256" spans="1:24" x14ac:dyDescent="0.45">
      <c r="A256">
        <v>46.496409999999997</v>
      </c>
      <c r="B256">
        <v>15.790179999999999</v>
      </c>
      <c r="C256">
        <v>45.524059999999999</v>
      </c>
      <c r="D256">
        <v>14.81892</v>
      </c>
      <c r="E256" s="13">
        <v>131676.75509997201</v>
      </c>
      <c r="F256" s="13">
        <v>-144.811461161404</v>
      </c>
      <c r="G256" s="13">
        <f t="shared" si="50"/>
        <v>215.188538838596</v>
      </c>
      <c r="H256" s="13">
        <v>-145.51028095791</v>
      </c>
      <c r="I256" s="13">
        <f t="shared" si="51"/>
        <v>214.48971904209</v>
      </c>
      <c r="J256" s="11">
        <v>131676.755</v>
      </c>
      <c r="K256" s="11">
        <v>215.18853899999999</v>
      </c>
      <c r="L256" s="12">
        <v>34.489719000000001</v>
      </c>
      <c r="M256" s="18">
        <f t="shared" si="52"/>
        <v>214.48971900000001</v>
      </c>
      <c r="N256" s="17">
        <f t="shared" si="43"/>
        <v>131676.75509929107</v>
      </c>
      <c r="O256" s="14">
        <f t="shared" si="44"/>
        <v>5.1713176002796505E-12</v>
      </c>
      <c r="P256" s="24">
        <f t="shared" si="45"/>
        <v>6.8094232119619846E-7</v>
      </c>
      <c r="Q256" s="2">
        <f t="shared" si="53"/>
        <v>7.5405157534182513E-10</v>
      </c>
      <c r="R256" s="19">
        <f t="shared" si="54"/>
        <v>9.9291064543649554E-5</v>
      </c>
      <c r="S256" s="16">
        <f t="shared" si="55"/>
        <v>215.18853883846052</v>
      </c>
      <c r="T256" s="23">
        <f t="shared" si="46"/>
        <v>1.354862888547359E-10</v>
      </c>
      <c r="U256" s="22">
        <f t="shared" si="47"/>
        <v>1.6153947512975719E-7</v>
      </c>
      <c r="V256" s="16">
        <f t="shared" si="56"/>
        <v>214.4897190419579</v>
      </c>
      <c r="W256" s="23">
        <f t="shared" si="48"/>
        <v>1.3210410543251783E-10</v>
      </c>
      <c r="X256" s="22">
        <f t="shared" si="49"/>
        <v>4.1957889607147081E-8</v>
      </c>
    </row>
    <row r="257" spans="1:24" x14ac:dyDescent="0.45">
      <c r="A257">
        <v>-80.216399999999993</v>
      </c>
      <c r="B257">
        <v>-3.3115199999999998</v>
      </c>
      <c r="C257">
        <v>-81.070650000000001</v>
      </c>
      <c r="D257">
        <v>-3.4513500000000499</v>
      </c>
      <c r="E257" s="13">
        <v>95422.788952180897</v>
      </c>
      <c r="F257" s="13">
        <v>-178.544321265186</v>
      </c>
      <c r="G257" s="13">
        <f t="shared" si="50"/>
        <v>181.455678734814</v>
      </c>
      <c r="H257" s="13">
        <v>-178.406347734691</v>
      </c>
      <c r="I257" s="13">
        <f t="shared" si="51"/>
        <v>181.593652265309</v>
      </c>
      <c r="J257" s="9">
        <v>95422.789000000004</v>
      </c>
      <c r="K257" s="9">
        <v>181.455679</v>
      </c>
      <c r="L257" s="10">
        <v>1.5936520000000001</v>
      </c>
      <c r="M257" s="18">
        <f t="shared" si="52"/>
        <v>181.59365199999999</v>
      </c>
      <c r="N257" s="17">
        <f t="shared" si="43"/>
        <v>95422.78895216783</v>
      </c>
      <c r="O257" s="14">
        <f t="shared" si="44"/>
        <v>1.3694443453777056E-13</v>
      </c>
      <c r="P257" s="24">
        <f t="shared" si="45"/>
        <v>1.3067619875073433E-8</v>
      </c>
      <c r="Q257" s="2">
        <f t="shared" si="53"/>
        <v>5.012657349542812E-10</v>
      </c>
      <c r="R257" s="19">
        <f t="shared" si="54"/>
        <v>4.7832174459472299E-5</v>
      </c>
      <c r="S257" s="16">
        <f t="shared" si="55"/>
        <v>181.45567873481309</v>
      </c>
      <c r="T257" s="23">
        <f t="shared" si="46"/>
        <v>9.0949470177292824E-13</v>
      </c>
      <c r="U257" s="22">
        <f t="shared" si="47"/>
        <v>2.6518691242927162E-7</v>
      </c>
      <c r="V257" s="16">
        <f t="shared" si="56"/>
        <v>181.59365226530826</v>
      </c>
      <c r="W257" s="23">
        <f t="shared" si="48"/>
        <v>7.3896444519050419E-13</v>
      </c>
      <c r="X257" s="22">
        <f t="shared" si="49"/>
        <v>2.6530827312853944E-7</v>
      </c>
    </row>
    <row r="258" spans="1:24" x14ac:dyDescent="0.45">
      <c r="A258">
        <v>-64.958669999999998</v>
      </c>
      <c r="B258">
        <v>-33.063459999999999</v>
      </c>
      <c r="C258">
        <v>-65.569689999999994</v>
      </c>
      <c r="D258">
        <v>-33.600850000000001</v>
      </c>
      <c r="E258" s="13">
        <v>72603.060568947199</v>
      </c>
      <c r="F258" s="13">
        <v>-160.01768694371199</v>
      </c>
      <c r="G258" s="13">
        <f t="shared" si="50"/>
        <v>199.98231305628801</v>
      </c>
      <c r="H258" s="13">
        <v>-159.52959664659301</v>
      </c>
      <c r="I258" s="13">
        <f t="shared" si="51"/>
        <v>200.47040335340699</v>
      </c>
      <c r="J258" s="11">
        <v>72603.061000000002</v>
      </c>
      <c r="K258" s="11">
        <v>199.982313</v>
      </c>
      <c r="L258" s="12">
        <v>20.470403000000001</v>
      </c>
      <c r="M258" s="18">
        <f t="shared" si="52"/>
        <v>200.470403</v>
      </c>
      <c r="N258" s="17">
        <f t="shared" si="43"/>
        <v>72603.060568790039</v>
      </c>
      <c r="O258" s="14">
        <f t="shared" si="44"/>
        <v>2.1646564653719385E-12</v>
      </c>
      <c r="P258" s="24">
        <f t="shared" si="45"/>
        <v>1.57160684466362E-7</v>
      </c>
      <c r="Q258" s="2">
        <f t="shared" si="53"/>
        <v>5.9392807515186031E-9</v>
      </c>
      <c r="R258" s="19">
        <f t="shared" si="54"/>
        <v>4.3120996269863099E-4</v>
      </c>
      <c r="S258" s="16">
        <f t="shared" si="55"/>
        <v>199.98231305629395</v>
      </c>
      <c r="T258" s="23">
        <f t="shared" si="46"/>
        <v>5.9401372709544376E-12</v>
      </c>
      <c r="U258" s="22">
        <f t="shared" si="47"/>
        <v>5.6293941952390014E-8</v>
      </c>
      <c r="V258" s="16">
        <f t="shared" si="56"/>
        <v>200.47040335341333</v>
      </c>
      <c r="W258" s="23">
        <f t="shared" si="48"/>
        <v>6.3380412029800937E-12</v>
      </c>
      <c r="X258" s="22">
        <f t="shared" si="49"/>
        <v>3.5341332704774686E-7</v>
      </c>
    </row>
    <row r="259" spans="1:24" x14ac:dyDescent="0.45">
      <c r="A259">
        <v>-12.998950000000001</v>
      </c>
      <c r="B259">
        <v>106.23472</v>
      </c>
      <c r="C259">
        <v>-12.39873</v>
      </c>
      <c r="D259">
        <v>106.73761</v>
      </c>
      <c r="E259" s="13">
        <v>85979.777242246506</v>
      </c>
      <c r="F259" s="13">
        <v>39.495976177387902</v>
      </c>
      <c r="G259" s="13">
        <f t="shared" si="50"/>
        <v>39.495976177387902</v>
      </c>
      <c r="H259" s="13">
        <v>39.385425449337298</v>
      </c>
      <c r="I259" s="13">
        <f t="shared" si="51"/>
        <v>39.385425449337298</v>
      </c>
      <c r="J259" s="9">
        <v>85979.777000000002</v>
      </c>
      <c r="K259" s="9">
        <v>39.495975999999999</v>
      </c>
      <c r="L259" s="10">
        <v>219.385425</v>
      </c>
      <c r="M259" s="18">
        <f t="shared" si="52"/>
        <v>39.385424999999998</v>
      </c>
      <c r="N259" s="17">
        <f t="shared" ref="N259:N322" si="57">VincentyInvDistance($A259,$B259,$C259,$D259)</f>
        <v>85979.777238102048</v>
      </c>
      <c r="O259" s="14">
        <f t="shared" ref="O259:O322" si="58">ABS((E259-N259)/E259)</f>
        <v>4.8202709399189104E-11</v>
      </c>
      <c r="P259" s="24">
        <f t="shared" ref="P259:P322" si="59">ABS(E259-N259)</f>
        <v>4.1444582166150212E-6</v>
      </c>
      <c r="Q259" s="2">
        <f t="shared" si="53"/>
        <v>2.7692796393449017E-9</v>
      </c>
      <c r="R259" s="19">
        <f t="shared" si="54"/>
        <v>2.3810204584151506E-4</v>
      </c>
      <c r="S259" s="16">
        <f t="shared" si="55"/>
        <v>39.495976174496484</v>
      </c>
      <c r="T259" s="23">
        <f t="shared" ref="T259:T322" si="60">ABS(G259-S259)</f>
        <v>2.8914186600559333E-9</v>
      </c>
      <c r="U259" s="22">
        <f t="shared" ref="U259:U322" si="61">ABS(K259-S259)</f>
        <v>1.7449648481715485E-7</v>
      </c>
      <c r="V259" s="16">
        <f t="shared" si="56"/>
        <v>39.385425446457276</v>
      </c>
      <c r="W259" s="23">
        <f t="shared" ref="W259:W322" si="62">ABS(I259-V259)</f>
        <v>2.8800215545743413E-9</v>
      </c>
      <c r="X259" s="22">
        <f t="shared" ref="X259:X322" si="63">ABS(M259-V259)</f>
        <v>4.4645727825809445E-7</v>
      </c>
    </row>
    <row r="260" spans="1:24" x14ac:dyDescent="0.45">
      <c r="A260">
        <v>59.61103</v>
      </c>
      <c r="B260">
        <v>109.36633999999999</v>
      </c>
      <c r="C260">
        <v>59.637129999999999</v>
      </c>
      <c r="D260">
        <v>108.77014</v>
      </c>
      <c r="E260" s="13">
        <v>33769.953266746801</v>
      </c>
      <c r="F260" s="13">
        <v>-84.803428980392198</v>
      </c>
      <c r="G260" s="13">
        <f t="shared" ref="G260:G323" si="64">NormalizeAzimuth(F260, TRUE)</f>
        <v>275.1965710196078</v>
      </c>
      <c r="H260" s="13">
        <v>-85.317787582635802</v>
      </c>
      <c r="I260" s="13">
        <f t="shared" ref="I260:I323" si="65">NormalizeAzimuth(H260, TRUE)</f>
        <v>274.68221241736421</v>
      </c>
      <c r="J260" s="11">
        <v>33769.953000000001</v>
      </c>
      <c r="K260" s="11">
        <v>275.19657100000001</v>
      </c>
      <c r="L260" s="12">
        <v>94.682212000000007</v>
      </c>
      <c r="M260" s="18">
        <f t="shared" ref="M260:M323" si="66">NormalizeAzimuth(L260+180, TRUE)</f>
        <v>274.68221199999999</v>
      </c>
      <c r="N260" s="17">
        <f t="shared" si="57"/>
        <v>33769.953266738579</v>
      </c>
      <c r="O260" s="14">
        <f t="shared" si="58"/>
        <v>2.4346590115430487E-13</v>
      </c>
      <c r="P260" s="24">
        <f t="shared" si="59"/>
        <v>8.2218321040272713E-9</v>
      </c>
      <c r="Q260" s="2">
        <f t="shared" ref="Q260:Q323" si="67">ABS((J260-N260)/J260)</f>
        <v>7.8986955629010743E-9</v>
      </c>
      <c r="R260" s="19">
        <f t="shared" ref="R260:R323" si="68">ABS(J260-N260)</f>
        <v>2.6673857792047784E-4</v>
      </c>
      <c r="S260" s="16">
        <f t="shared" ref="S260:S323" si="69">VincentyInvFwdAzimuth($A260,$B260,$C260,$D260)</f>
        <v>275.196571019597</v>
      </c>
      <c r="T260" s="23">
        <f t="shared" si="60"/>
        <v>1.0800249583553523E-11</v>
      </c>
      <c r="U260" s="22">
        <f t="shared" si="61"/>
        <v>1.9596996025939006E-8</v>
      </c>
      <c r="V260" s="16">
        <f t="shared" ref="V260:V323" si="70">VincentyInvRevAzimuth($A260,$B260,$C260,$D260)</f>
        <v>274.68221241735256</v>
      </c>
      <c r="W260" s="23">
        <f t="shared" si="62"/>
        <v>1.1652900866465643E-11</v>
      </c>
      <c r="X260" s="22">
        <f t="shared" si="63"/>
        <v>4.173525667283684E-7</v>
      </c>
    </row>
    <row r="261" spans="1:24" x14ac:dyDescent="0.45">
      <c r="A261">
        <v>7.12052</v>
      </c>
      <c r="B261">
        <v>136.94113999999999</v>
      </c>
      <c r="C261">
        <v>6.7193399999999999</v>
      </c>
      <c r="D261">
        <v>137.04864000000001</v>
      </c>
      <c r="E261" s="13">
        <v>45929.728469691501</v>
      </c>
      <c r="F261" s="13">
        <v>165.00284111565099</v>
      </c>
      <c r="G261" s="13">
        <f t="shared" si="64"/>
        <v>165.00284111565099</v>
      </c>
      <c r="H261" s="13">
        <v>165.01579303095201</v>
      </c>
      <c r="I261" s="13">
        <f t="shared" si="65"/>
        <v>165.01579303095201</v>
      </c>
      <c r="J261" s="9">
        <v>45929.728000000003</v>
      </c>
      <c r="K261" s="9">
        <v>165.00284099999999</v>
      </c>
      <c r="L261" s="10">
        <v>345.01579299999997</v>
      </c>
      <c r="M261" s="18">
        <f t="shared" si="66"/>
        <v>165.01579300000003</v>
      </c>
      <c r="N261" s="17">
        <f t="shared" si="57"/>
        <v>45929.728469039612</v>
      </c>
      <c r="O261" s="14">
        <f t="shared" si="58"/>
        <v>1.419319129815754E-11</v>
      </c>
      <c r="P261" s="24">
        <f t="shared" si="59"/>
        <v>6.5188942244276404E-7</v>
      </c>
      <c r="Q261" s="2">
        <f t="shared" si="67"/>
        <v>1.0212113797309089E-8</v>
      </c>
      <c r="R261" s="19">
        <f t="shared" si="68"/>
        <v>4.6903960901545361E-4</v>
      </c>
      <c r="S261" s="16">
        <f t="shared" si="69"/>
        <v>165.00284111736769</v>
      </c>
      <c r="T261" s="23">
        <f t="shared" si="60"/>
        <v>1.7166996713058325E-9</v>
      </c>
      <c r="U261" s="22">
        <f t="shared" si="61"/>
        <v>1.1736770488823822E-7</v>
      </c>
      <c r="V261" s="16">
        <f t="shared" si="70"/>
        <v>165.01579303266723</v>
      </c>
      <c r="W261" s="23">
        <f t="shared" si="62"/>
        <v>1.7152217424154514E-9</v>
      </c>
      <c r="X261" s="22">
        <f t="shared" si="63"/>
        <v>3.2667202276570606E-8</v>
      </c>
    </row>
    <row r="262" spans="1:24" x14ac:dyDescent="0.45">
      <c r="A262">
        <v>8.7299900000000008</v>
      </c>
      <c r="B262">
        <v>102.49267</v>
      </c>
      <c r="C262">
        <v>8.6732800000000108</v>
      </c>
      <c r="D262">
        <v>101.86292</v>
      </c>
      <c r="E262" s="13">
        <v>69585.074377097902</v>
      </c>
      <c r="F262" s="13">
        <v>-95.123730794337206</v>
      </c>
      <c r="G262" s="13">
        <f t="shared" si="64"/>
        <v>264.87626920566277</v>
      </c>
      <c r="H262" s="13">
        <v>-95.219006014801906</v>
      </c>
      <c r="I262" s="13">
        <f t="shared" si="65"/>
        <v>264.78099398519811</v>
      </c>
      <c r="J262" s="11">
        <v>69585.073999999993</v>
      </c>
      <c r="K262" s="11">
        <v>264.87626899999998</v>
      </c>
      <c r="L262" s="12">
        <v>84.780994000000007</v>
      </c>
      <c r="M262" s="18">
        <f t="shared" si="66"/>
        <v>264.78099400000002</v>
      </c>
      <c r="N262" s="17">
        <f t="shared" si="57"/>
        <v>69585.074376684715</v>
      </c>
      <c r="O262" s="14">
        <f t="shared" si="58"/>
        <v>5.937869359096899E-12</v>
      </c>
      <c r="P262" s="24">
        <f t="shared" si="59"/>
        <v>4.1318708099424839E-7</v>
      </c>
      <c r="Q262" s="2">
        <f t="shared" si="67"/>
        <v>5.4132977158487003E-9</v>
      </c>
      <c r="R262" s="19">
        <f t="shared" si="68"/>
        <v>3.7668472214136273E-4</v>
      </c>
      <c r="S262" s="16">
        <f t="shared" si="69"/>
        <v>264.87626920566868</v>
      </c>
      <c r="T262" s="23">
        <f t="shared" si="60"/>
        <v>5.9117155615240335E-12</v>
      </c>
      <c r="U262" s="22">
        <f t="shared" si="61"/>
        <v>2.0566869807225885E-7</v>
      </c>
      <c r="V262" s="16">
        <f t="shared" si="70"/>
        <v>264.78099398520396</v>
      </c>
      <c r="W262" s="23">
        <f t="shared" si="62"/>
        <v>5.8548721426632255E-12</v>
      </c>
      <c r="X262" s="22">
        <f t="shared" si="63"/>
        <v>1.4796057712374022E-8</v>
      </c>
    </row>
    <row r="263" spans="1:24" x14ac:dyDescent="0.45">
      <c r="A263">
        <v>36.751980000000003</v>
      </c>
      <c r="B263">
        <v>89.648049999999998</v>
      </c>
      <c r="C263">
        <v>36.056130000000003</v>
      </c>
      <c r="D263">
        <v>90.097530000000006</v>
      </c>
      <c r="E263" s="13">
        <v>87108.477581573505</v>
      </c>
      <c r="F263" s="13">
        <v>152.29465232450599</v>
      </c>
      <c r="G263" s="13">
        <f t="shared" si="64"/>
        <v>152.29465232450599</v>
      </c>
      <c r="H263" s="13">
        <v>152.56141367219101</v>
      </c>
      <c r="I263" s="13">
        <f t="shared" si="65"/>
        <v>152.56141367219101</v>
      </c>
      <c r="J263" s="9">
        <v>87108.478000000003</v>
      </c>
      <c r="K263" s="9">
        <v>152.29465200000001</v>
      </c>
      <c r="L263" s="10">
        <v>332.56141400000001</v>
      </c>
      <c r="M263" s="18">
        <f t="shared" si="66"/>
        <v>152.56141400000001</v>
      </c>
      <c r="N263" s="17">
        <f t="shared" si="57"/>
        <v>87108.477580809122</v>
      </c>
      <c r="O263" s="14">
        <f t="shared" si="58"/>
        <v>8.7750701692592528E-12</v>
      </c>
      <c r="P263" s="24">
        <f t="shared" si="59"/>
        <v>7.6438300311565399E-7</v>
      </c>
      <c r="Q263" s="2">
        <f t="shared" si="67"/>
        <v>4.8122856775816646E-9</v>
      </c>
      <c r="R263" s="19">
        <f t="shared" si="68"/>
        <v>4.1919088107533753E-4</v>
      </c>
      <c r="S263" s="16">
        <f t="shared" si="69"/>
        <v>152.2946523249646</v>
      </c>
      <c r="T263" s="23">
        <f t="shared" si="60"/>
        <v>4.5861270336899906E-10</v>
      </c>
      <c r="U263" s="22">
        <f t="shared" si="61"/>
        <v>3.2496458857167454E-7</v>
      </c>
      <c r="V263" s="16">
        <f t="shared" si="70"/>
        <v>152.56141367264416</v>
      </c>
      <c r="W263" s="23">
        <f t="shared" si="62"/>
        <v>4.5315573515836149E-10</v>
      </c>
      <c r="X263" s="22">
        <f t="shared" si="63"/>
        <v>3.2735584909460158E-7</v>
      </c>
    </row>
    <row r="264" spans="1:24" x14ac:dyDescent="0.45">
      <c r="A264">
        <v>-59.953449999999997</v>
      </c>
      <c r="B264">
        <v>-107.02262</v>
      </c>
      <c r="C264">
        <v>-60.740749999999998</v>
      </c>
      <c r="D264">
        <v>-106.57621</v>
      </c>
      <c r="E264" s="13">
        <v>91116.138630973699</v>
      </c>
      <c r="F264" s="13">
        <v>164.49897305630699</v>
      </c>
      <c r="G264" s="13">
        <f t="shared" si="64"/>
        <v>164.49897305630699</v>
      </c>
      <c r="H264" s="13">
        <v>164.11101592624101</v>
      </c>
      <c r="I264" s="13">
        <f t="shared" si="65"/>
        <v>164.11101592624101</v>
      </c>
      <c r="J264" s="11">
        <v>91116.138999999996</v>
      </c>
      <c r="K264" s="11">
        <v>164.49897300000001</v>
      </c>
      <c r="L264" s="12">
        <v>344.11101600000001</v>
      </c>
      <c r="M264" s="18">
        <f t="shared" si="66"/>
        <v>164.11101600000006</v>
      </c>
      <c r="N264" s="17">
        <f t="shared" si="57"/>
        <v>91116.13863073611</v>
      </c>
      <c r="O264" s="14">
        <f t="shared" si="58"/>
        <v>2.6075415782905048E-12</v>
      </c>
      <c r="P264" s="24">
        <f t="shared" si="59"/>
        <v>2.3758911993354559E-7</v>
      </c>
      <c r="Q264" s="2">
        <f t="shared" si="67"/>
        <v>4.0526726627339391E-9</v>
      </c>
      <c r="R264" s="19">
        <f t="shared" si="68"/>
        <v>3.6926388565916568E-4</v>
      </c>
      <c r="S264" s="16">
        <f t="shared" si="69"/>
        <v>164.49897305630637</v>
      </c>
      <c r="T264" s="23">
        <f t="shared" si="60"/>
        <v>6.2527760746888816E-13</v>
      </c>
      <c r="U264" s="22">
        <f t="shared" si="61"/>
        <v>5.6306362239411101E-8</v>
      </c>
      <c r="V264" s="16">
        <f t="shared" si="70"/>
        <v>164.11101592624053</v>
      </c>
      <c r="W264" s="23">
        <f t="shared" si="62"/>
        <v>4.8316906031686813E-13</v>
      </c>
      <c r="X264" s="22">
        <f t="shared" si="63"/>
        <v>7.3759537144724163E-8</v>
      </c>
    </row>
    <row r="265" spans="1:24" x14ac:dyDescent="0.45">
      <c r="A265">
        <v>-78.181749999999994</v>
      </c>
      <c r="B265">
        <v>-21.132079999999998</v>
      </c>
      <c r="C265">
        <v>-77.550960000000003</v>
      </c>
      <c r="D265">
        <v>-21.94014</v>
      </c>
      <c r="E265" s="13">
        <v>72932.057748064806</v>
      </c>
      <c r="F265" s="13">
        <v>-15.4698033565399</v>
      </c>
      <c r="G265" s="13">
        <f t="shared" si="64"/>
        <v>344.5301966434601</v>
      </c>
      <c r="H265" s="13">
        <v>-14.6797828856109</v>
      </c>
      <c r="I265" s="13">
        <f t="shared" si="65"/>
        <v>345.3202171143891</v>
      </c>
      <c r="J265" s="9">
        <v>72932.058000000005</v>
      </c>
      <c r="K265" s="9">
        <v>344.53019699999999</v>
      </c>
      <c r="L265" s="10">
        <v>165.32021700000001</v>
      </c>
      <c r="M265" s="18">
        <f t="shared" si="66"/>
        <v>345.32021700000001</v>
      </c>
      <c r="N265" s="17">
        <f t="shared" si="57"/>
        <v>72932.057748012026</v>
      </c>
      <c r="O265" s="14">
        <f t="shared" si="58"/>
        <v>7.2368445595773751E-13</v>
      </c>
      <c r="P265" s="24">
        <f t="shared" si="59"/>
        <v>5.2779796533286572E-8</v>
      </c>
      <c r="Q265" s="2">
        <f t="shared" si="67"/>
        <v>3.4551058207837831E-9</v>
      </c>
      <c r="R265" s="19">
        <f t="shared" si="68"/>
        <v>2.5198797811754048E-4</v>
      </c>
      <c r="S265" s="16">
        <f t="shared" si="69"/>
        <v>344.53019664350649</v>
      </c>
      <c r="T265" s="23">
        <f t="shared" si="60"/>
        <v>4.638422979041934E-11</v>
      </c>
      <c r="U265" s="22">
        <f t="shared" si="61"/>
        <v>3.5649350138555747E-7</v>
      </c>
      <c r="V265" s="16">
        <f t="shared" si="70"/>
        <v>345.32021711443286</v>
      </c>
      <c r="W265" s="23">
        <f t="shared" si="62"/>
        <v>4.3769432522822171E-11</v>
      </c>
      <c r="X265" s="22">
        <f t="shared" si="63"/>
        <v>1.1443285075074527E-7</v>
      </c>
    </row>
    <row r="266" spans="1:24" x14ac:dyDescent="0.45">
      <c r="A266">
        <v>19.14892</v>
      </c>
      <c r="B266">
        <v>91.384129999999999</v>
      </c>
      <c r="C266">
        <v>19.559259999999998</v>
      </c>
      <c r="D266">
        <v>91.946860000000001</v>
      </c>
      <c r="E266" s="13">
        <v>74558.341893414894</v>
      </c>
      <c r="F266" s="13">
        <v>52.373321599845198</v>
      </c>
      <c r="G266" s="13">
        <f t="shared" si="64"/>
        <v>52.373321599845198</v>
      </c>
      <c r="H266" s="13">
        <v>52.559815813050299</v>
      </c>
      <c r="I266" s="13">
        <f t="shared" si="65"/>
        <v>52.559815813050299</v>
      </c>
      <c r="J266" s="11">
        <v>74558.342000000004</v>
      </c>
      <c r="K266" s="11">
        <v>52.373322000000002</v>
      </c>
      <c r="L266" s="12">
        <v>232.55981600000001</v>
      </c>
      <c r="M266" s="18">
        <f t="shared" si="66"/>
        <v>52.559816000000012</v>
      </c>
      <c r="N266" s="17">
        <f t="shared" si="57"/>
        <v>74558.341889352974</v>
      </c>
      <c r="O266" s="14">
        <f t="shared" si="58"/>
        <v>5.4479749016501122E-11</v>
      </c>
      <c r="P266" s="24">
        <f t="shared" si="59"/>
        <v>4.0619197534397244E-6</v>
      </c>
      <c r="Q266" s="2">
        <f t="shared" si="67"/>
        <v>1.4840328657241542E-9</v>
      </c>
      <c r="R266" s="19">
        <f t="shared" si="68"/>
        <v>1.1064702994190156E-4</v>
      </c>
      <c r="S266" s="16">
        <f t="shared" si="69"/>
        <v>52.373321597733693</v>
      </c>
      <c r="T266" s="23">
        <f t="shared" si="60"/>
        <v>2.1115056370035745E-9</v>
      </c>
      <c r="U266" s="22">
        <f t="shared" si="61"/>
        <v>4.0226630915185524E-7</v>
      </c>
      <c r="V266" s="16">
        <f t="shared" si="70"/>
        <v>52.559815810924448</v>
      </c>
      <c r="W266" s="23">
        <f t="shared" si="62"/>
        <v>2.1258514948385709E-9</v>
      </c>
      <c r="X266" s="22">
        <f t="shared" si="63"/>
        <v>1.8907556409430981E-7</v>
      </c>
    </row>
    <row r="267" spans="1:24" x14ac:dyDescent="0.45">
      <c r="A267">
        <v>-18.29898</v>
      </c>
      <c r="B267">
        <v>-57.074159999999999</v>
      </c>
      <c r="C267">
        <v>-17.80846</v>
      </c>
      <c r="D267">
        <v>-56.730490000000003</v>
      </c>
      <c r="E267" s="13">
        <v>65356.107166237103</v>
      </c>
      <c r="F267" s="13">
        <v>33.882922292797303</v>
      </c>
      <c r="G267" s="13">
        <f t="shared" si="64"/>
        <v>33.882922292797303</v>
      </c>
      <c r="H267" s="13">
        <v>33.776414747722001</v>
      </c>
      <c r="I267" s="13">
        <f t="shared" si="65"/>
        <v>33.776414747722001</v>
      </c>
      <c r="J267" s="9">
        <v>65356.107000000004</v>
      </c>
      <c r="K267" s="9">
        <v>33.882922000000001</v>
      </c>
      <c r="L267" s="10">
        <v>213.77641499999999</v>
      </c>
      <c r="M267" s="18">
        <f t="shared" si="66"/>
        <v>33.776414999999986</v>
      </c>
      <c r="N267" s="17">
        <f t="shared" si="57"/>
        <v>65356.107164141431</v>
      </c>
      <c r="O267" s="14">
        <f t="shared" si="58"/>
        <v>3.2065438634677921E-11</v>
      </c>
      <c r="P267" s="24">
        <f t="shared" si="59"/>
        <v>2.0956722437404096E-6</v>
      </c>
      <c r="Q267" s="2">
        <f t="shared" si="67"/>
        <v>2.5114933387373811E-9</v>
      </c>
      <c r="R267" s="19">
        <f t="shared" si="68"/>
        <v>1.6414142737630755E-4</v>
      </c>
      <c r="S267" s="16">
        <f t="shared" si="69"/>
        <v>33.882922290610168</v>
      </c>
      <c r="T267" s="23">
        <f t="shared" si="60"/>
        <v>2.1871358057978796E-9</v>
      </c>
      <c r="U267" s="22">
        <f t="shared" si="61"/>
        <v>2.9061016704190479E-7</v>
      </c>
      <c r="V267" s="16">
        <f t="shared" si="70"/>
        <v>33.776414745543711</v>
      </c>
      <c r="W267" s="23">
        <f t="shared" si="62"/>
        <v>2.1782895487376663E-9</v>
      </c>
      <c r="X267" s="22">
        <f t="shared" si="63"/>
        <v>2.5445627471754051E-7</v>
      </c>
    </row>
    <row r="268" spans="1:24" x14ac:dyDescent="0.45">
      <c r="A268">
        <v>13.66348</v>
      </c>
      <c r="B268">
        <v>-176.74775</v>
      </c>
      <c r="C268">
        <v>13.21739</v>
      </c>
      <c r="D268">
        <v>-176.68232</v>
      </c>
      <c r="E268" s="13">
        <v>49858.871947266402</v>
      </c>
      <c r="F268" s="13">
        <v>171.822428106291</v>
      </c>
      <c r="G268" s="13">
        <f t="shared" si="64"/>
        <v>171.822428106291</v>
      </c>
      <c r="H268" s="13">
        <v>171.837636403559</v>
      </c>
      <c r="I268" s="13">
        <f t="shared" si="65"/>
        <v>171.837636403559</v>
      </c>
      <c r="J268" s="11">
        <v>49858.872000000003</v>
      </c>
      <c r="K268" s="11">
        <v>171.822428</v>
      </c>
      <c r="L268" s="12">
        <v>351.83763599999997</v>
      </c>
      <c r="M268" s="18">
        <f t="shared" si="66"/>
        <v>171.83763599999997</v>
      </c>
      <c r="N268" s="17">
        <f t="shared" si="57"/>
        <v>49858.871946846928</v>
      </c>
      <c r="O268" s="14">
        <f t="shared" si="58"/>
        <v>8.4132169860674357E-12</v>
      </c>
      <c r="P268" s="24">
        <f t="shared" si="59"/>
        <v>4.1947350837290287E-7</v>
      </c>
      <c r="Q268" s="2">
        <f t="shared" si="67"/>
        <v>1.0660705478207974E-9</v>
      </c>
      <c r="R268" s="19">
        <f t="shared" si="68"/>
        <v>5.3153074986767024E-5</v>
      </c>
      <c r="S268" s="16">
        <f t="shared" si="69"/>
        <v>171.82242810710289</v>
      </c>
      <c r="T268" s="23">
        <f t="shared" si="60"/>
        <v>8.1189455158892088E-10</v>
      </c>
      <c r="U268" s="22">
        <f t="shared" si="61"/>
        <v>1.0710289188864408E-7</v>
      </c>
      <c r="V268" s="16">
        <f t="shared" si="70"/>
        <v>171.83763640436959</v>
      </c>
      <c r="W268" s="23">
        <f t="shared" si="62"/>
        <v>8.1058715295512229E-10</v>
      </c>
      <c r="X268" s="22">
        <f t="shared" si="63"/>
        <v>4.0436961512568814E-7</v>
      </c>
    </row>
    <row r="269" spans="1:24" x14ac:dyDescent="0.45">
      <c r="A269">
        <v>45.942509999999999</v>
      </c>
      <c r="B269">
        <v>143.80869999999999</v>
      </c>
      <c r="C269">
        <v>45.974609999999998</v>
      </c>
      <c r="D269">
        <v>144.30295000000001</v>
      </c>
      <c r="E269" s="13">
        <v>38480.511182844399</v>
      </c>
      <c r="F269" s="13">
        <v>84.502264928769307</v>
      </c>
      <c r="G269" s="13">
        <f t="shared" si="64"/>
        <v>84.502264928769307</v>
      </c>
      <c r="H269" s="13">
        <v>84.857551292354302</v>
      </c>
      <c r="I269" s="13">
        <f t="shared" si="65"/>
        <v>84.857551292354302</v>
      </c>
      <c r="J269" s="9">
        <v>38480.510999999999</v>
      </c>
      <c r="K269" s="9">
        <v>84.502264999999994</v>
      </c>
      <c r="L269" s="10">
        <v>264.857551</v>
      </c>
      <c r="M269" s="18">
        <f t="shared" si="66"/>
        <v>84.857551000000001</v>
      </c>
      <c r="N269" s="17">
        <f t="shared" si="57"/>
        <v>38480.511182640628</v>
      </c>
      <c r="O269" s="14">
        <f t="shared" si="58"/>
        <v>5.2954200107837223E-12</v>
      </c>
      <c r="P269" s="24">
        <f t="shared" si="59"/>
        <v>2.0377046894282103E-7</v>
      </c>
      <c r="Q269" s="2">
        <f t="shared" si="67"/>
        <v>4.7463150800129104E-9</v>
      </c>
      <c r="R269" s="19">
        <f t="shared" si="68"/>
        <v>1.8264062964590266E-4</v>
      </c>
      <c r="S269" s="16">
        <f t="shared" si="69"/>
        <v>84.502264928757498</v>
      </c>
      <c r="T269" s="23">
        <f t="shared" si="60"/>
        <v>1.1809220268332865E-11</v>
      </c>
      <c r="U269" s="22">
        <f t="shared" si="61"/>
        <v>7.1242496346712869E-8</v>
      </c>
      <c r="V269" s="16">
        <f t="shared" si="70"/>
        <v>84.857551292341412</v>
      </c>
      <c r="W269" s="23">
        <f t="shared" si="62"/>
        <v>1.2889245226688217E-11</v>
      </c>
      <c r="X269" s="22">
        <f t="shared" si="63"/>
        <v>2.9234141152301163E-7</v>
      </c>
    </row>
    <row r="270" spans="1:24" x14ac:dyDescent="0.45">
      <c r="A270">
        <v>-6.3385800000000003</v>
      </c>
      <c r="B270">
        <v>79.078190000000006</v>
      </c>
      <c r="C270">
        <v>-5.4796999999999896</v>
      </c>
      <c r="D270">
        <v>79.579410000000095</v>
      </c>
      <c r="E270" s="13">
        <v>110006.990271262</v>
      </c>
      <c r="F270" s="13">
        <v>30.325800236160699</v>
      </c>
      <c r="G270" s="13">
        <f t="shared" si="64"/>
        <v>30.325800236160699</v>
      </c>
      <c r="H270" s="13">
        <v>30.274197245300702</v>
      </c>
      <c r="I270" s="13">
        <f t="shared" si="65"/>
        <v>30.274197245300702</v>
      </c>
      <c r="J270" s="11">
        <v>110006.99</v>
      </c>
      <c r="K270" s="11">
        <v>30.325800000000001</v>
      </c>
      <c r="L270" s="12">
        <v>210.27419699999999</v>
      </c>
      <c r="M270" s="18">
        <f t="shared" si="66"/>
        <v>30.274196999999958</v>
      </c>
      <c r="N270" s="17">
        <f t="shared" si="57"/>
        <v>110006.9902705047</v>
      </c>
      <c r="O270" s="14">
        <f t="shared" si="58"/>
        <v>6.8840736259764203E-12</v>
      </c>
      <c r="P270" s="24">
        <f t="shared" si="59"/>
        <v>7.5729622039943933E-7</v>
      </c>
      <c r="Q270" s="2">
        <f t="shared" si="67"/>
        <v>2.4589773215057783E-9</v>
      </c>
      <c r="R270" s="19">
        <f t="shared" si="68"/>
        <v>2.7050469361711293E-4</v>
      </c>
      <c r="S270" s="16">
        <f t="shared" si="69"/>
        <v>30.325800236142634</v>
      </c>
      <c r="T270" s="23">
        <f t="shared" si="60"/>
        <v>1.8065549056700547E-11</v>
      </c>
      <c r="U270" s="22">
        <f t="shared" si="61"/>
        <v>2.3614263255922197E-7</v>
      </c>
      <c r="V270" s="16">
        <f t="shared" si="70"/>
        <v>30.274197245282561</v>
      </c>
      <c r="W270" s="23">
        <f t="shared" si="62"/>
        <v>1.8140156043955358E-11</v>
      </c>
      <c r="X270" s="22">
        <f t="shared" si="63"/>
        <v>2.4528260311740269E-7</v>
      </c>
    </row>
    <row r="271" spans="1:24" x14ac:dyDescent="0.45">
      <c r="A271">
        <v>-75.261250000000004</v>
      </c>
      <c r="B271">
        <v>-147.21267</v>
      </c>
      <c r="C271">
        <v>-75.35857</v>
      </c>
      <c r="D271">
        <v>-146.96997999999999</v>
      </c>
      <c r="E271" s="13">
        <v>12854.4411778227</v>
      </c>
      <c r="F271" s="13">
        <v>147.79738813991599</v>
      </c>
      <c r="G271" s="13">
        <f t="shared" si="64"/>
        <v>147.79738813991599</v>
      </c>
      <c r="H271" s="13">
        <v>147.56263117345</v>
      </c>
      <c r="I271" s="13">
        <f t="shared" si="65"/>
        <v>147.56263117345</v>
      </c>
      <c r="J271" s="9">
        <v>12854.441000000001</v>
      </c>
      <c r="K271" s="9">
        <v>147.79738800000001</v>
      </c>
      <c r="L271" s="10">
        <v>327.56263100000001</v>
      </c>
      <c r="M271" s="18">
        <f t="shared" si="66"/>
        <v>147.56263100000001</v>
      </c>
      <c r="N271" s="17">
        <f t="shared" si="57"/>
        <v>12854.441177776918</v>
      </c>
      <c r="O271" s="14">
        <f t="shared" si="58"/>
        <v>3.5615818427666797E-12</v>
      </c>
      <c r="P271" s="24">
        <f t="shared" si="59"/>
        <v>4.5782144297845662E-8</v>
      </c>
      <c r="Q271" s="2">
        <f t="shared" si="67"/>
        <v>1.3829999885119388E-8</v>
      </c>
      <c r="R271" s="19">
        <f t="shared" si="68"/>
        <v>1.7777691755327396E-4</v>
      </c>
      <c r="S271" s="16">
        <f t="shared" si="69"/>
        <v>147.79738814017395</v>
      </c>
      <c r="T271" s="23">
        <f t="shared" si="60"/>
        <v>2.5795543479034677E-10</v>
      </c>
      <c r="U271" s="22">
        <f t="shared" si="61"/>
        <v>1.401739382345113E-7</v>
      </c>
      <c r="V271" s="16">
        <f t="shared" si="70"/>
        <v>147.56263117370983</v>
      </c>
      <c r="W271" s="23">
        <f t="shared" si="62"/>
        <v>2.5983126761275344E-10</v>
      </c>
      <c r="X271" s="22">
        <f t="shared" si="63"/>
        <v>1.7370982163811277E-7</v>
      </c>
    </row>
    <row r="272" spans="1:24" x14ac:dyDescent="0.45">
      <c r="A272">
        <v>-72.044129999999996</v>
      </c>
      <c r="B272">
        <v>154.42305999999999</v>
      </c>
      <c r="C272">
        <v>-71.136750000000006</v>
      </c>
      <c r="D272">
        <v>153.76536999999999</v>
      </c>
      <c r="E272" s="13">
        <v>103867.361727278</v>
      </c>
      <c r="F272" s="13">
        <v>-13.2137992308538</v>
      </c>
      <c r="G272" s="13">
        <f t="shared" si="64"/>
        <v>346.78620076914621</v>
      </c>
      <c r="H272" s="13">
        <v>-12.589747357704599</v>
      </c>
      <c r="I272" s="13">
        <f t="shared" si="65"/>
        <v>347.4102526422954</v>
      </c>
      <c r="J272" s="11">
        <v>103867.36199999999</v>
      </c>
      <c r="K272" s="11">
        <v>346.78620100000001</v>
      </c>
      <c r="L272" s="12">
        <v>167.41025300000001</v>
      </c>
      <c r="M272" s="18">
        <f t="shared" si="66"/>
        <v>347.41025300000001</v>
      </c>
      <c r="N272" s="17">
        <f t="shared" si="57"/>
        <v>103867.36172692994</v>
      </c>
      <c r="O272" s="14">
        <f t="shared" si="58"/>
        <v>3.3509343324417144E-12</v>
      </c>
      <c r="P272" s="24">
        <f t="shared" si="59"/>
        <v>3.4805270843207836E-7</v>
      </c>
      <c r="Q272" s="2">
        <f t="shared" si="67"/>
        <v>2.629026534367184E-9</v>
      </c>
      <c r="R272" s="19">
        <f t="shared" si="68"/>
        <v>2.7307005075272173E-4</v>
      </c>
      <c r="S272" s="16">
        <f t="shared" si="69"/>
        <v>346.78620076962636</v>
      </c>
      <c r="T272" s="23">
        <f t="shared" si="60"/>
        <v>4.801563591172453E-10</v>
      </c>
      <c r="U272" s="22">
        <f t="shared" si="61"/>
        <v>2.3037364371703006E-7</v>
      </c>
      <c r="V272" s="16">
        <f t="shared" si="70"/>
        <v>347.41025264275203</v>
      </c>
      <c r="W272" s="23">
        <f t="shared" si="62"/>
        <v>4.5662318370887078E-10</v>
      </c>
      <c r="X272" s="22">
        <f t="shared" si="63"/>
        <v>3.5724798408409697E-7</v>
      </c>
    </row>
    <row r="273" spans="1:24" x14ac:dyDescent="0.45">
      <c r="A273">
        <v>60.481920000000002</v>
      </c>
      <c r="B273">
        <v>23.917190000000002</v>
      </c>
      <c r="C273">
        <v>60.518250000000002</v>
      </c>
      <c r="D273">
        <v>24.397919999999999</v>
      </c>
      <c r="E273" s="13">
        <v>26727.1124394369</v>
      </c>
      <c r="F273" s="13">
        <v>81.079697141840001</v>
      </c>
      <c r="G273" s="13">
        <f t="shared" si="64"/>
        <v>81.079697141840001</v>
      </c>
      <c r="H273" s="13">
        <v>81.498104203938496</v>
      </c>
      <c r="I273" s="13">
        <f t="shared" si="65"/>
        <v>81.498104203938496</v>
      </c>
      <c r="J273" s="9">
        <v>26727.112000000001</v>
      </c>
      <c r="K273" s="9">
        <v>81.079696999999996</v>
      </c>
      <c r="L273" s="10">
        <v>261.49810400000001</v>
      </c>
      <c r="M273" s="18">
        <f t="shared" si="66"/>
        <v>81.498104000000012</v>
      </c>
      <c r="N273" s="17">
        <f t="shared" si="57"/>
        <v>26727.112439431377</v>
      </c>
      <c r="O273" s="14">
        <f t="shared" si="58"/>
        <v>2.0662358650523828E-13</v>
      </c>
      <c r="P273" s="24">
        <f t="shared" si="59"/>
        <v>5.5224518291652203E-9</v>
      </c>
      <c r="Q273" s="2">
        <f t="shared" si="67"/>
        <v>1.6441408874819525E-8</v>
      </c>
      <c r="R273" s="19">
        <f t="shared" si="68"/>
        <v>4.3943137643509544E-4</v>
      </c>
      <c r="S273" s="16">
        <f t="shared" si="69"/>
        <v>81.079697141849493</v>
      </c>
      <c r="T273" s="23">
        <f t="shared" si="60"/>
        <v>9.4928509497549385E-12</v>
      </c>
      <c r="U273" s="22">
        <f t="shared" si="61"/>
        <v>1.4184949748141662E-7</v>
      </c>
      <c r="V273" s="16">
        <f t="shared" si="70"/>
        <v>81.4981042039485</v>
      </c>
      <c r="W273" s="23">
        <f t="shared" si="62"/>
        <v>1.0004441719502211E-11</v>
      </c>
      <c r="X273" s="22">
        <f t="shared" si="63"/>
        <v>2.0394848831983836E-7</v>
      </c>
    </row>
    <row r="274" spans="1:24" x14ac:dyDescent="0.45">
      <c r="A274">
        <v>88.945859999999996</v>
      </c>
      <c r="B274">
        <v>-13.893789999999999</v>
      </c>
      <c r="C274">
        <v>88.441069999999996</v>
      </c>
      <c r="D274">
        <v>-14.747450000000001</v>
      </c>
      <c r="E274" s="13">
        <v>56422.040912303797</v>
      </c>
      <c r="F274" s="13">
        <v>-177.365000659868</v>
      </c>
      <c r="G274" s="13">
        <f t="shared" si="64"/>
        <v>182.634999340132</v>
      </c>
      <c r="H274" s="13">
        <v>-178.21844700973301</v>
      </c>
      <c r="I274" s="13">
        <f t="shared" si="65"/>
        <v>181.78155299026699</v>
      </c>
      <c r="J274" s="11">
        <v>56422.040999999997</v>
      </c>
      <c r="K274" s="11">
        <v>182.63499899999999</v>
      </c>
      <c r="L274" s="12">
        <v>1.7815529999999999</v>
      </c>
      <c r="M274" s="18">
        <f t="shared" si="66"/>
        <v>181.781553</v>
      </c>
      <c r="N274" s="17">
        <f t="shared" si="57"/>
        <v>56422.040912334945</v>
      </c>
      <c r="O274" s="14">
        <f t="shared" si="58"/>
        <v>5.520604012664634E-13</v>
      </c>
      <c r="P274" s="24">
        <f t="shared" si="59"/>
        <v>3.1148374546319246E-8</v>
      </c>
      <c r="Q274" s="2">
        <f t="shared" si="67"/>
        <v>1.5537376958509377E-9</v>
      </c>
      <c r="R274" s="19">
        <f t="shared" si="68"/>
        <v>8.7665051978547126E-5</v>
      </c>
      <c r="S274" s="16">
        <f t="shared" si="69"/>
        <v>182.63499934012466</v>
      </c>
      <c r="T274" s="23">
        <f t="shared" si="60"/>
        <v>7.3328010330442339E-12</v>
      </c>
      <c r="U274" s="22">
        <f t="shared" si="61"/>
        <v>3.4012467153843318E-7</v>
      </c>
      <c r="V274" s="16">
        <f t="shared" si="70"/>
        <v>181.78155299026227</v>
      </c>
      <c r="W274" s="23">
        <f t="shared" si="62"/>
        <v>4.7180037654470652E-12</v>
      </c>
      <c r="X274" s="22">
        <f t="shared" si="63"/>
        <v>9.7377323982072994E-9</v>
      </c>
    </row>
    <row r="275" spans="1:24" x14ac:dyDescent="0.45">
      <c r="A275">
        <v>-31.321149999999999</v>
      </c>
      <c r="B275">
        <v>-29.877099999999999</v>
      </c>
      <c r="C275">
        <v>-31.052669999999999</v>
      </c>
      <c r="D275">
        <v>-30.46238</v>
      </c>
      <c r="E275" s="13">
        <v>63232.0829810414</v>
      </c>
      <c r="F275" s="13">
        <v>-62.068239367903999</v>
      </c>
      <c r="G275" s="13">
        <f t="shared" si="64"/>
        <v>297.93176063209603</v>
      </c>
      <c r="H275" s="13">
        <v>-61.765160130111603</v>
      </c>
      <c r="I275" s="13">
        <f t="shared" si="65"/>
        <v>298.23483986988839</v>
      </c>
      <c r="J275" s="9">
        <v>63232.082999999999</v>
      </c>
      <c r="K275" s="9">
        <v>297.93176099999999</v>
      </c>
      <c r="L275" s="10">
        <v>118.23484000000001</v>
      </c>
      <c r="M275" s="18">
        <f t="shared" si="66"/>
        <v>298.23484000000002</v>
      </c>
      <c r="N275" s="17">
        <f t="shared" si="57"/>
        <v>63232.082979176928</v>
      </c>
      <c r="O275" s="14">
        <f t="shared" si="58"/>
        <v>2.948616156059786E-11</v>
      </c>
      <c r="P275" s="24">
        <f t="shared" si="59"/>
        <v>1.8644714145921171E-6</v>
      </c>
      <c r="Q275" s="2">
        <f t="shared" si="67"/>
        <v>3.2931178895354692E-10</v>
      </c>
      <c r="R275" s="19">
        <f t="shared" si="68"/>
        <v>2.0823070371989161E-5</v>
      </c>
      <c r="S275" s="16">
        <f t="shared" si="69"/>
        <v>297.93176063284352</v>
      </c>
      <c r="T275" s="23">
        <f t="shared" si="60"/>
        <v>7.474909580196254E-10</v>
      </c>
      <c r="U275" s="22">
        <f t="shared" si="61"/>
        <v>3.6715647411256214E-7</v>
      </c>
      <c r="V275" s="16">
        <f t="shared" si="70"/>
        <v>298.23483987062662</v>
      </c>
      <c r="W275" s="23">
        <f t="shared" si="62"/>
        <v>7.3822548074531369E-10</v>
      </c>
      <c r="X275" s="22">
        <f t="shared" si="63"/>
        <v>1.2937340443386347E-7</v>
      </c>
    </row>
    <row r="276" spans="1:24" x14ac:dyDescent="0.45">
      <c r="A276">
        <v>53.416429999999998</v>
      </c>
      <c r="B276">
        <v>20.169750000000001</v>
      </c>
      <c r="C276">
        <v>54.178559999999997</v>
      </c>
      <c r="D276">
        <v>19.55808</v>
      </c>
      <c r="E276" s="13">
        <v>93913.720975629505</v>
      </c>
      <c r="F276" s="13">
        <v>-25.168345852049001</v>
      </c>
      <c r="G276" s="13">
        <f t="shared" si="64"/>
        <v>334.83165414795099</v>
      </c>
      <c r="H276" s="13">
        <v>-25.661936044160701</v>
      </c>
      <c r="I276" s="13">
        <f t="shared" si="65"/>
        <v>334.33806395583929</v>
      </c>
      <c r="J276" s="11">
        <v>93913.721000000005</v>
      </c>
      <c r="K276" s="11">
        <v>334.83165400000001</v>
      </c>
      <c r="L276" s="12">
        <v>154.338064</v>
      </c>
      <c r="M276" s="18">
        <f t="shared" si="66"/>
        <v>334.33806400000003</v>
      </c>
      <c r="N276" s="17">
        <f t="shared" si="57"/>
        <v>93913.720975334174</v>
      </c>
      <c r="O276" s="14">
        <f t="shared" si="58"/>
        <v>3.1447068276247229E-12</v>
      </c>
      <c r="P276" s="24">
        <f t="shared" si="59"/>
        <v>2.9533111955970526E-7</v>
      </c>
      <c r="Q276" s="2">
        <f t="shared" si="67"/>
        <v>2.6264352794765808E-10</v>
      </c>
      <c r="R276" s="19">
        <f t="shared" si="68"/>
        <v>2.4665831006132066E-5</v>
      </c>
      <c r="S276" s="16">
        <f t="shared" si="69"/>
        <v>334.83165414797179</v>
      </c>
      <c r="T276" s="23">
        <f t="shared" si="60"/>
        <v>2.0804691303055733E-11</v>
      </c>
      <c r="U276" s="22">
        <f t="shared" si="61"/>
        <v>1.479717752772558E-7</v>
      </c>
      <c r="V276" s="16">
        <f t="shared" si="70"/>
        <v>334.33806395586055</v>
      </c>
      <c r="W276" s="23">
        <f t="shared" si="62"/>
        <v>2.1259438653942198E-11</v>
      </c>
      <c r="X276" s="22">
        <f t="shared" si="63"/>
        <v>4.4139483179606032E-8</v>
      </c>
    </row>
    <row r="277" spans="1:24" x14ac:dyDescent="0.45">
      <c r="A277">
        <v>-66.292150000000007</v>
      </c>
      <c r="B277">
        <v>-51.547910000000002</v>
      </c>
      <c r="C277">
        <v>-65.618889999999993</v>
      </c>
      <c r="D277">
        <v>-52.342460000000003</v>
      </c>
      <c r="E277" s="13">
        <v>83317.121596771904</v>
      </c>
      <c r="F277" s="13">
        <v>-26.068824529434401</v>
      </c>
      <c r="G277" s="13">
        <f t="shared" si="64"/>
        <v>333.93117547056562</v>
      </c>
      <c r="H277" s="13">
        <v>-25.343203625447199</v>
      </c>
      <c r="I277" s="13">
        <f t="shared" si="65"/>
        <v>334.65679637455281</v>
      </c>
      <c r="J277" s="9">
        <v>83317.122000000003</v>
      </c>
      <c r="K277" s="9">
        <v>333.931175</v>
      </c>
      <c r="L277" s="10">
        <v>154.65679600000001</v>
      </c>
      <c r="M277" s="18">
        <f t="shared" si="66"/>
        <v>334.65679599999999</v>
      </c>
      <c r="N277" s="17">
        <f t="shared" si="57"/>
        <v>83317.121596607045</v>
      </c>
      <c r="O277" s="14">
        <f t="shared" si="58"/>
        <v>1.9786887072267204E-12</v>
      </c>
      <c r="P277" s="24">
        <f t="shared" si="59"/>
        <v>1.6485864762216806E-7</v>
      </c>
      <c r="Q277" s="2">
        <f t="shared" si="67"/>
        <v>4.8416573739253948E-9</v>
      </c>
      <c r="R277" s="19">
        <f t="shared" si="68"/>
        <v>4.0339295810554177E-4</v>
      </c>
      <c r="S277" s="16">
        <f t="shared" si="69"/>
        <v>333.9311754705584</v>
      </c>
      <c r="T277" s="23">
        <f t="shared" si="60"/>
        <v>7.2191141953226179E-12</v>
      </c>
      <c r="U277" s="22">
        <f t="shared" si="61"/>
        <v>4.7055840468601673E-7</v>
      </c>
      <c r="V277" s="16">
        <f t="shared" si="70"/>
        <v>334.65679637454576</v>
      </c>
      <c r="W277" s="23">
        <f t="shared" si="62"/>
        <v>7.0485839387401938E-12</v>
      </c>
      <c r="X277" s="22">
        <f t="shared" si="63"/>
        <v>3.7454577750395401E-7</v>
      </c>
    </row>
    <row r="278" spans="1:24" x14ac:dyDescent="0.45">
      <c r="A278">
        <v>-54.089619999999996</v>
      </c>
      <c r="B278">
        <v>-56.965269999999997</v>
      </c>
      <c r="C278">
        <v>-54.311219999999999</v>
      </c>
      <c r="D278">
        <v>-57.385060000000003</v>
      </c>
      <c r="E278" s="13">
        <v>36863.609968026503</v>
      </c>
      <c r="F278" s="13">
        <v>-132.168773263969</v>
      </c>
      <c r="G278" s="13">
        <f t="shared" si="64"/>
        <v>227.831226736031</v>
      </c>
      <c r="H278" s="13">
        <v>-131.828293823389</v>
      </c>
      <c r="I278" s="13">
        <f t="shared" si="65"/>
        <v>228.171706176611</v>
      </c>
      <c r="J278" s="11">
        <v>36863.61</v>
      </c>
      <c r="K278" s="11">
        <v>227.83122700000001</v>
      </c>
      <c r="L278" s="12">
        <v>48.171706</v>
      </c>
      <c r="M278" s="18">
        <f t="shared" si="66"/>
        <v>228.171706</v>
      </c>
      <c r="N278" s="17">
        <f t="shared" si="57"/>
        <v>36863.609967916629</v>
      </c>
      <c r="O278" s="14">
        <f t="shared" si="58"/>
        <v>2.9805609387437332E-12</v>
      </c>
      <c r="P278" s="24">
        <f t="shared" si="59"/>
        <v>1.0987423593178391E-7</v>
      </c>
      <c r="Q278" s="2">
        <f t="shared" si="67"/>
        <v>8.7032635923421196E-10</v>
      </c>
      <c r="R278" s="19">
        <f t="shared" si="68"/>
        <v>3.2083371479529887E-5</v>
      </c>
      <c r="S278" s="16">
        <f t="shared" si="69"/>
        <v>227.83122673602296</v>
      </c>
      <c r="T278" s="23">
        <f t="shared" si="60"/>
        <v>8.0433437688043341E-12</v>
      </c>
      <c r="U278" s="22">
        <f t="shared" si="61"/>
        <v>2.6397705710223818E-7</v>
      </c>
      <c r="V278" s="16">
        <f t="shared" si="70"/>
        <v>228.17170617660298</v>
      </c>
      <c r="W278" s="23">
        <f t="shared" si="62"/>
        <v>8.0149220593739301E-12</v>
      </c>
      <c r="X278" s="22">
        <f t="shared" si="63"/>
        <v>1.7660298112787132E-7</v>
      </c>
    </row>
    <row r="279" spans="1:24" x14ac:dyDescent="0.45">
      <c r="A279">
        <v>49.60765</v>
      </c>
      <c r="B279">
        <v>78.039140000000003</v>
      </c>
      <c r="C279">
        <v>48.967799999999997</v>
      </c>
      <c r="D279">
        <v>78.897099999999995</v>
      </c>
      <c r="E279" s="13">
        <v>94654.224475356401</v>
      </c>
      <c r="F279" s="13">
        <v>138.41985864690801</v>
      </c>
      <c r="G279" s="13">
        <f t="shared" si="64"/>
        <v>138.41985864690801</v>
      </c>
      <c r="H279" s="13">
        <v>139.070203047864</v>
      </c>
      <c r="I279" s="13">
        <f t="shared" si="65"/>
        <v>139.070203047864</v>
      </c>
      <c r="J279" s="9">
        <v>94654.224000000002</v>
      </c>
      <c r="K279" s="9">
        <v>138.419859</v>
      </c>
      <c r="L279" s="10">
        <v>319.07020299999999</v>
      </c>
      <c r="M279" s="18">
        <f t="shared" si="66"/>
        <v>139.07020299999999</v>
      </c>
      <c r="N279" s="17">
        <f t="shared" si="57"/>
        <v>94654.224474943068</v>
      </c>
      <c r="O279" s="14">
        <f t="shared" si="58"/>
        <v>4.3667633688567681E-12</v>
      </c>
      <c r="P279" s="24">
        <f t="shared" si="59"/>
        <v>4.1333260014653206E-7</v>
      </c>
      <c r="Q279" s="2">
        <f t="shared" si="67"/>
        <v>5.0176637269255464E-9</v>
      </c>
      <c r="R279" s="19">
        <f t="shared" si="68"/>
        <v>4.7494306636508554E-4</v>
      </c>
      <c r="S279" s="16">
        <f t="shared" si="69"/>
        <v>138.41985864698037</v>
      </c>
      <c r="T279" s="23">
        <f t="shared" si="60"/>
        <v>7.2361672209808603E-11</v>
      </c>
      <c r="U279" s="22">
        <f t="shared" si="61"/>
        <v>3.5301962952871691E-7</v>
      </c>
      <c r="V279" s="16">
        <f t="shared" si="70"/>
        <v>139.07020304793446</v>
      </c>
      <c r="W279" s="23">
        <f t="shared" si="62"/>
        <v>7.0457417677971534E-11</v>
      </c>
      <c r="X279" s="22">
        <f t="shared" si="63"/>
        <v>4.7934463509591296E-8</v>
      </c>
    </row>
    <row r="280" spans="1:24" x14ac:dyDescent="0.45">
      <c r="A280">
        <v>21.583069999999999</v>
      </c>
      <c r="B280">
        <v>-176.51130000000001</v>
      </c>
      <c r="C280">
        <v>22.121200000000002</v>
      </c>
      <c r="D280">
        <v>-177.33247</v>
      </c>
      <c r="E280" s="13">
        <v>103709.27465010701</v>
      </c>
      <c r="F280" s="13">
        <v>-54.779752189510802</v>
      </c>
      <c r="G280" s="13">
        <f t="shared" si="64"/>
        <v>305.22024781048918</v>
      </c>
      <c r="H280" s="13">
        <v>-55.085409874660101</v>
      </c>
      <c r="I280" s="13">
        <f t="shared" si="65"/>
        <v>304.91459012533988</v>
      </c>
      <c r="J280" s="11">
        <v>103709.27499999999</v>
      </c>
      <c r="K280" s="11">
        <v>305.22024800000003</v>
      </c>
      <c r="L280" s="12">
        <v>124.91459</v>
      </c>
      <c r="M280" s="18">
        <f t="shared" si="66"/>
        <v>304.91458999999998</v>
      </c>
      <c r="N280" s="17">
        <f t="shared" si="57"/>
        <v>103709.27464970971</v>
      </c>
      <c r="O280" s="14">
        <f t="shared" si="58"/>
        <v>3.8308665344084717E-12</v>
      </c>
      <c r="P280" s="24">
        <f t="shared" si="59"/>
        <v>3.9729638956487179E-7</v>
      </c>
      <c r="Q280" s="2">
        <f t="shared" si="67"/>
        <v>3.3776177075499585E-9</v>
      </c>
      <c r="R280" s="19">
        <f t="shared" si="68"/>
        <v>3.5029028367716819E-4</v>
      </c>
      <c r="S280" s="16">
        <f t="shared" si="69"/>
        <v>305.22024781039687</v>
      </c>
      <c r="T280" s="23">
        <f t="shared" si="60"/>
        <v>9.2313712229952216E-11</v>
      </c>
      <c r="U280" s="22">
        <f t="shared" si="61"/>
        <v>1.896031562864664E-7</v>
      </c>
      <c r="V280" s="16">
        <f t="shared" si="70"/>
        <v>304.91459012524643</v>
      </c>
      <c r="W280" s="23">
        <f t="shared" si="62"/>
        <v>9.3450580607168376E-11</v>
      </c>
      <c r="X280" s="22">
        <f t="shared" si="63"/>
        <v>1.2524645853773109E-7</v>
      </c>
    </row>
    <row r="281" spans="1:24" x14ac:dyDescent="0.45">
      <c r="A281">
        <v>16.77291</v>
      </c>
      <c r="B281">
        <v>-64.740250000000003</v>
      </c>
      <c r="C281">
        <v>16.8718</v>
      </c>
      <c r="D281">
        <v>-65.412660000000002</v>
      </c>
      <c r="E281" s="13">
        <v>72499.957777456802</v>
      </c>
      <c r="F281" s="13">
        <v>-81.220800621304605</v>
      </c>
      <c r="G281" s="13">
        <f t="shared" si="64"/>
        <v>278.77919937869541</v>
      </c>
      <c r="H281" s="13">
        <v>-81.415401764666001</v>
      </c>
      <c r="I281" s="13">
        <f t="shared" si="65"/>
        <v>278.584598235334</v>
      </c>
      <c r="J281" s="9">
        <v>72499.957999999999</v>
      </c>
      <c r="K281" s="9">
        <v>278.77919900000001</v>
      </c>
      <c r="L281" s="10">
        <v>98.584598</v>
      </c>
      <c r="M281" s="18">
        <f t="shared" si="66"/>
        <v>278.58459800000003</v>
      </c>
      <c r="N281" s="17">
        <f t="shared" si="57"/>
        <v>72499.957777249045</v>
      </c>
      <c r="O281" s="14">
        <f t="shared" si="58"/>
        <v>2.8656250304740714E-12</v>
      </c>
      <c r="P281" s="24">
        <f t="shared" si="59"/>
        <v>2.0775769371539354E-7</v>
      </c>
      <c r="Q281" s="2">
        <f t="shared" si="67"/>
        <v>3.0724287313479758E-9</v>
      </c>
      <c r="R281" s="19">
        <f t="shared" si="68"/>
        <v>2.2275095398072153E-4</v>
      </c>
      <c r="S281" s="16">
        <f t="shared" si="69"/>
        <v>278.77919937866307</v>
      </c>
      <c r="T281" s="23">
        <f t="shared" si="60"/>
        <v>3.234390533179976E-11</v>
      </c>
      <c r="U281" s="22">
        <f t="shared" si="61"/>
        <v>3.7866306001888006E-7</v>
      </c>
      <c r="V281" s="16">
        <f t="shared" si="70"/>
        <v>278.58459823530092</v>
      </c>
      <c r="W281" s="23">
        <f t="shared" si="62"/>
        <v>3.3082869776990265E-11</v>
      </c>
      <c r="X281" s="22">
        <f t="shared" si="63"/>
        <v>2.3530088810730376E-7</v>
      </c>
    </row>
    <row r="282" spans="1:24" x14ac:dyDescent="0.45">
      <c r="A282">
        <v>32.084580000000003</v>
      </c>
      <c r="B282">
        <v>-137.40487999999999</v>
      </c>
      <c r="C282">
        <v>31.64038</v>
      </c>
      <c r="D282">
        <v>-138.39496</v>
      </c>
      <c r="E282" s="13">
        <v>105852.083965695</v>
      </c>
      <c r="F282" s="13">
        <v>-117.4686024909</v>
      </c>
      <c r="G282" s="13">
        <f t="shared" si="64"/>
        <v>242.5313975091</v>
      </c>
      <c r="H282" s="13">
        <v>-117.991261539638</v>
      </c>
      <c r="I282" s="13">
        <f t="shared" si="65"/>
        <v>242.008738460362</v>
      </c>
      <c r="J282" s="11">
        <v>105852.084</v>
      </c>
      <c r="K282" s="11">
        <v>242.531398</v>
      </c>
      <c r="L282" s="12">
        <v>62.008738000000001</v>
      </c>
      <c r="M282" s="18">
        <f t="shared" si="66"/>
        <v>242.00873799999999</v>
      </c>
      <c r="N282" s="17">
        <f t="shared" si="57"/>
        <v>105852.08396273818</v>
      </c>
      <c r="O282" s="14">
        <f t="shared" si="58"/>
        <v>2.7933490739070829E-11</v>
      </c>
      <c r="P282" s="24">
        <f t="shared" si="59"/>
        <v>2.956818207167089E-6</v>
      </c>
      <c r="Q282" s="2">
        <f t="shared" si="67"/>
        <v>3.5201785265422011E-10</v>
      </c>
      <c r="R282" s="19">
        <f t="shared" si="68"/>
        <v>3.726182330865413E-5</v>
      </c>
      <c r="S282" s="16">
        <f t="shared" si="69"/>
        <v>242.53139750840597</v>
      </c>
      <c r="T282" s="23">
        <f t="shared" si="60"/>
        <v>6.9402972258103546E-10</v>
      </c>
      <c r="U282" s="22">
        <f t="shared" si="61"/>
        <v>4.915940223781945E-7</v>
      </c>
      <c r="V282" s="16">
        <f t="shared" si="70"/>
        <v>242.00873845968334</v>
      </c>
      <c r="W282" s="23">
        <f t="shared" si="62"/>
        <v>6.7865357777918689E-10</v>
      </c>
      <c r="X282" s="22">
        <f t="shared" si="63"/>
        <v>4.5968334916324238E-7</v>
      </c>
    </row>
    <row r="283" spans="1:24" x14ac:dyDescent="0.45">
      <c r="A283">
        <v>40.911969999999997</v>
      </c>
      <c r="B283">
        <v>-13.68938</v>
      </c>
      <c r="C283">
        <v>41.191110000000002</v>
      </c>
      <c r="D283">
        <v>-14.314120000000001</v>
      </c>
      <c r="E283" s="13">
        <v>60987.586230348599</v>
      </c>
      <c r="F283" s="13">
        <v>-59.244736625632797</v>
      </c>
      <c r="G283" s="13">
        <f t="shared" si="64"/>
        <v>300.75526337436719</v>
      </c>
      <c r="H283" s="13">
        <v>-59.655030450477</v>
      </c>
      <c r="I283" s="13">
        <f t="shared" si="65"/>
        <v>300.344969549523</v>
      </c>
      <c r="J283" s="9">
        <v>60987.586000000003</v>
      </c>
      <c r="K283" s="9">
        <v>300.75526300000001</v>
      </c>
      <c r="L283" s="10">
        <v>120.34497</v>
      </c>
      <c r="M283" s="18">
        <f t="shared" si="66"/>
        <v>300.34496999999999</v>
      </c>
      <c r="N283" s="17">
        <f t="shared" si="57"/>
        <v>60987.586229681801</v>
      </c>
      <c r="O283" s="14">
        <f t="shared" si="58"/>
        <v>1.0933337434863334E-11</v>
      </c>
      <c r="P283" s="24">
        <f t="shared" si="59"/>
        <v>6.6679785959422588E-7</v>
      </c>
      <c r="Q283" s="2">
        <f t="shared" si="67"/>
        <v>3.7660418035458723E-9</v>
      </c>
      <c r="R283" s="19">
        <f t="shared" si="68"/>
        <v>2.2968179837334901E-4</v>
      </c>
      <c r="S283" s="16">
        <f t="shared" si="69"/>
        <v>300.75526337459456</v>
      </c>
      <c r="T283" s="23">
        <f t="shared" si="60"/>
        <v>2.2737367544323206E-10</v>
      </c>
      <c r="U283" s="22">
        <f t="shared" si="61"/>
        <v>3.7459454915733659E-7</v>
      </c>
      <c r="V283" s="16">
        <f t="shared" si="70"/>
        <v>300.34496954975418</v>
      </c>
      <c r="W283" s="23">
        <f t="shared" si="62"/>
        <v>2.311821845069062E-10</v>
      </c>
      <c r="X283" s="22">
        <f t="shared" si="63"/>
        <v>4.5024580686003901E-7</v>
      </c>
    </row>
    <row r="284" spans="1:24" x14ac:dyDescent="0.45">
      <c r="A284">
        <v>-40.943199999999997</v>
      </c>
      <c r="B284">
        <v>142.91667000000001</v>
      </c>
      <c r="C284">
        <v>-39.996729999999999</v>
      </c>
      <c r="D284">
        <v>143.56459000000001</v>
      </c>
      <c r="E284" s="13">
        <v>118595.412203229</v>
      </c>
      <c r="F284" s="13">
        <v>27.811863682297599</v>
      </c>
      <c r="G284" s="13">
        <f t="shared" si="64"/>
        <v>27.811863682297599</v>
      </c>
      <c r="H284" s="13">
        <v>27.391314643964499</v>
      </c>
      <c r="I284" s="13">
        <f t="shared" si="65"/>
        <v>27.391314643964499</v>
      </c>
      <c r="J284" s="11">
        <v>118595.412</v>
      </c>
      <c r="K284" s="11">
        <v>27.811864</v>
      </c>
      <c r="L284" s="12">
        <v>207.39131499999999</v>
      </c>
      <c r="M284" s="18">
        <f t="shared" si="66"/>
        <v>27.391314999999963</v>
      </c>
      <c r="N284" s="17">
        <f t="shared" si="57"/>
        <v>118595.41220244681</v>
      </c>
      <c r="O284" s="14">
        <f t="shared" si="58"/>
        <v>6.5954874039712484E-12</v>
      </c>
      <c r="P284" s="24">
        <f t="shared" si="59"/>
        <v>7.8219454735517502E-7</v>
      </c>
      <c r="Q284" s="2">
        <f t="shared" si="67"/>
        <v>1.707037471076314E-9</v>
      </c>
      <c r="R284" s="19">
        <f t="shared" si="68"/>
        <v>2.0244681218173355E-4</v>
      </c>
      <c r="S284" s="16">
        <f t="shared" si="69"/>
        <v>27.811863682020256</v>
      </c>
      <c r="T284" s="23">
        <f t="shared" si="60"/>
        <v>2.7734259333556111E-10</v>
      </c>
      <c r="U284" s="22">
        <f t="shared" si="61"/>
        <v>3.1797974386904571E-7</v>
      </c>
      <c r="V284" s="16">
        <f t="shared" si="70"/>
        <v>27.391314643692169</v>
      </c>
      <c r="W284" s="23">
        <f t="shared" si="62"/>
        <v>2.723297143347736E-10</v>
      </c>
      <c r="X284" s="22">
        <f t="shared" si="63"/>
        <v>3.5630779393613921E-7</v>
      </c>
    </row>
    <row r="285" spans="1:24" x14ac:dyDescent="0.45">
      <c r="A285">
        <v>-37.205269999999999</v>
      </c>
      <c r="B285">
        <v>-20.326080000000001</v>
      </c>
      <c r="C285">
        <v>-37.992040000000003</v>
      </c>
      <c r="D285">
        <v>-20.00976</v>
      </c>
      <c r="E285" s="13">
        <v>91681.667155213407</v>
      </c>
      <c r="F285" s="13">
        <v>162.35724231061499</v>
      </c>
      <c r="G285" s="13">
        <f t="shared" si="64"/>
        <v>162.35724231061499</v>
      </c>
      <c r="H285" s="13">
        <v>162.16424220478601</v>
      </c>
      <c r="I285" s="13">
        <f t="shared" si="65"/>
        <v>162.16424220478601</v>
      </c>
      <c r="J285" s="9">
        <v>91681.667000000001</v>
      </c>
      <c r="K285" s="9">
        <v>162.35724200000001</v>
      </c>
      <c r="L285" s="10">
        <v>342.164242</v>
      </c>
      <c r="M285" s="18">
        <f t="shared" si="66"/>
        <v>162.16424200000006</v>
      </c>
      <c r="N285" s="17">
        <f t="shared" si="57"/>
        <v>91681.667154660201</v>
      </c>
      <c r="O285" s="14">
        <f t="shared" si="58"/>
        <v>6.0339828723341077E-12</v>
      </c>
      <c r="P285" s="24">
        <f t="shared" si="59"/>
        <v>5.5320560932159424E-7</v>
      </c>
      <c r="Q285" s="2">
        <f t="shared" si="67"/>
        <v>1.6869261307044216E-9</v>
      </c>
      <c r="R285" s="19">
        <f t="shared" si="68"/>
        <v>1.5466019976884127E-4</v>
      </c>
      <c r="S285" s="16">
        <f t="shared" si="69"/>
        <v>162.35724231089065</v>
      </c>
      <c r="T285" s="23">
        <f t="shared" si="60"/>
        <v>2.7566215976548847E-10</v>
      </c>
      <c r="U285" s="22">
        <f t="shared" si="61"/>
        <v>3.1089064123079879E-7</v>
      </c>
      <c r="V285" s="16">
        <f t="shared" si="70"/>
        <v>162.16424220506443</v>
      </c>
      <c r="W285" s="23">
        <f t="shared" si="62"/>
        <v>2.7841906558023766E-10</v>
      </c>
      <c r="X285" s="22">
        <f t="shared" si="63"/>
        <v>2.0506436726464017E-7</v>
      </c>
    </row>
    <row r="286" spans="1:24" x14ac:dyDescent="0.45">
      <c r="A286">
        <v>-75.58314</v>
      </c>
      <c r="B286">
        <v>71.970050000000001</v>
      </c>
      <c r="C286">
        <v>-75.053169999999994</v>
      </c>
      <c r="D286">
        <v>72.437200000000004</v>
      </c>
      <c r="E286" s="13">
        <v>60615.1205864148</v>
      </c>
      <c r="F286" s="13">
        <v>12.824903669137299</v>
      </c>
      <c r="G286" s="13">
        <f t="shared" si="64"/>
        <v>12.824903669137299</v>
      </c>
      <c r="H286" s="13">
        <v>12.3730020038804</v>
      </c>
      <c r="I286" s="13">
        <f t="shared" si="65"/>
        <v>12.3730020038804</v>
      </c>
      <c r="J286" s="11">
        <v>60615.120999999999</v>
      </c>
      <c r="K286" s="11">
        <v>12.824904</v>
      </c>
      <c r="L286" s="12">
        <v>192.37300200000001</v>
      </c>
      <c r="M286" s="18">
        <f t="shared" si="66"/>
        <v>12.373002000000042</v>
      </c>
      <c r="N286" s="17">
        <f t="shared" si="57"/>
        <v>60615.120586331825</v>
      </c>
      <c r="O286" s="14">
        <f t="shared" si="58"/>
        <v>1.3688832065236267E-12</v>
      </c>
      <c r="P286" s="24">
        <f t="shared" si="59"/>
        <v>8.2975020632147789E-8</v>
      </c>
      <c r="Q286" s="2">
        <f t="shared" si="67"/>
        <v>6.8245046411382371E-9</v>
      </c>
      <c r="R286" s="19">
        <f t="shared" si="68"/>
        <v>4.1366817458765581E-4</v>
      </c>
      <c r="S286" s="16">
        <f t="shared" si="69"/>
        <v>12.824903669015699</v>
      </c>
      <c r="T286" s="23">
        <f t="shared" si="60"/>
        <v>1.2160050744114415E-10</v>
      </c>
      <c r="U286" s="22">
        <f t="shared" si="61"/>
        <v>3.3098430129996359E-7</v>
      </c>
      <c r="V286" s="16">
        <f t="shared" si="70"/>
        <v>12.373002003763251</v>
      </c>
      <c r="W286" s="23">
        <f t="shared" si="62"/>
        <v>1.1714895720160712E-10</v>
      </c>
      <c r="X286" s="22">
        <f t="shared" si="63"/>
        <v>3.7632084115557518E-9</v>
      </c>
    </row>
    <row r="287" spans="1:24" x14ac:dyDescent="0.45">
      <c r="A287">
        <v>83.8001</v>
      </c>
      <c r="B287">
        <v>127.32998000000001</v>
      </c>
      <c r="C287">
        <v>84.577529999999996</v>
      </c>
      <c r="D287">
        <v>126.33351999999999</v>
      </c>
      <c r="E287" s="13">
        <v>87550.186408411697</v>
      </c>
      <c r="F287" s="13">
        <v>-6.8993769012147999</v>
      </c>
      <c r="G287" s="13">
        <f t="shared" si="64"/>
        <v>353.10062309878521</v>
      </c>
      <c r="H287" s="13">
        <v>-7.8907391265207698</v>
      </c>
      <c r="I287" s="13">
        <f t="shared" si="65"/>
        <v>352.10926087347923</v>
      </c>
      <c r="J287" s="9">
        <v>87550.186000000002</v>
      </c>
      <c r="K287" s="9">
        <v>353.10062299999998</v>
      </c>
      <c r="L287" s="10">
        <v>172.109261</v>
      </c>
      <c r="M287" s="18">
        <f t="shared" si="66"/>
        <v>352.109261</v>
      </c>
      <c r="N287" s="17">
        <f t="shared" si="57"/>
        <v>87550.186408437614</v>
      </c>
      <c r="O287" s="14">
        <f t="shared" si="58"/>
        <v>2.9602405300225951E-13</v>
      </c>
      <c r="P287" s="24">
        <f t="shared" si="59"/>
        <v>2.5916961021721363E-8</v>
      </c>
      <c r="Q287" s="2">
        <f t="shared" si="67"/>
        <v>4.6651826913320185E-9</v>
      </c>
      <c r="R287" s="19">
        <f t="shared" si="68"/>
        <v>4.0843761235009879E-4</v>
      </c>
      <c r="S287" s="16">
        <f t="shared" si="69"/>
        <v>353.10062309878475</v>
      </c>
      <c r="T287" s="23">
        <f t="shared" si="60"/>
        <v>4.5474735088646412E-13</v>
      </c>
      <c r="U287" s="22">
        <f t="shared" si="61"/>
        <v>9.8784767033066601E-8</v>
      </c>
      <c r="V287" s="16">
        <f t="shared" si="70"/>
        <v>352.10926087347877</v>
      </c>
      <c r="W287" s="23">
        <f t="shared" si="62"/>
        <v>4.5474735088646412E-13</v>
      </c>
      <c r="X287" s="22">
        <f t="shared" si="63"/>
        <v>1.2652122904910357E-7</v>
      </c>
    </row>
    <row r="288" spans="1:24" x14ac:dyDescent="0.45">
      <c r="A288">
        <v>16.90672</v>
      </c>
      <c r="B288">
        <v>132.65636000000001</v>
      </c>
      <c r="C288">
        <v>16.93261</v>
      </c>
      <c r="D288">
        <v>133.13082</v>
      </c>
      <c r="E288" s="13">
        <v>50625.874175084602</v>
      </c>
      <c r="F288" s="13">
        <v>86.686552105680803</v>
      </c>
      <c r="G288" s="13">
        <f t="shared" si="64"/>
        <v>86.686552105680803</v>
      </c>
      <c r="H288" s="13">
        <v>86.824635201606199</v>
      </c>
      <c r="I288" s="13">
        <f t="shared" si="65"/>
        <v>86.824635201606199</v>
      </c>
      <c r="J288" s="11">
        <v>50625.874000000003</v>
      </c>
      <c r="K288" s="11">
        <v>86.686552000000006</v>
      </c>
      <c r="L288" s="12">
        <v>266.824635</v>
      </c>
      <c r="M288" s="18">
        <f t="shared" si="66"/>
        <v>86.824635000000001</v>
      </c>
      <c r="N288" s="17">
        <f t="shared" si="57"/>
        <v>50625.874170485928</v>
      </c>
      <c r="O288" s="14">
        <f t="shared" si="58"/>
        <v>9.0836444753360451E-11</v>
      </c>
      <c r="P288" s="24">
        <f t="shared" si="59"/>
        <v>4.59867442259565E-6</v>
      </c>
      <c r="Q288" s="2">
        <f t="shared" si="67"/>
        <v>3.3675650552261245E-9</v>
      </c>
      <c r="R288" s="19">
        <f t="shared" si="68"/>
        <v>1.7048592417268082E-4</v>
      </c>
      <c r="S288" s="16">
        <f t="shared" si="69"/>
        <v>86.68655210541182</v>
      </c>
      <c r="T288" s="23">
        <f t="shared" si="60"/>
        <v>2.6898305804934353E-10</v>
      </c>
      <c r="U288" s="22">
        <f t="shared" si="61"/>
        <v>1.0541181438838976E-7</v>
      </c>
      <c r="V288" s="16">
        <f t="shared" si="70"/>
        <v>86.824635201325663</v>
      </c>
      <c r="W288" s="23">
        <f t="shared" si="62"/>
        <v>2.8053648293280276E-10</v>
      </c>
      <c r="X288" s="22">
        <f t="shared" si="63"/>
        <v>2.013256619193271E-7</v>
      </c>
    </row>
    <row r="289" spans="1:24" x14ac:dyDescent="0.45">
      <c r="A289">
        <v>-29.880649999999999</v>
      </c>
      <c r="B289">
        <v>-111.69532</v>
      </c>
      <c r="C289">
        <v>-29.70758</v>
      </c>
      <c r="D289">
        <v>-112.35563</v>
      </c>
      <c r="E289" s="13">
        <v>66662.044794182104</v>
      </c>
      <c r="F289" s="13">
        <v>-73.438605731272702</v>
      </c>
      <c r="G289" s="13">
        <f t="shared" si="64"/>
        <v>286.56139426872733</v>
      </c>
      <c r="H289" s="13">
        <v>-73.110504586345996</v>
      </c>
      <c r="I289" s="13">
        <f t="shared" si="65"/>
        <v>286.889495413654</v>
      </c>
      <c r="J289" s="9">
        <v>66662.044999999998</v>
      </c>
      <c r="K289" s="9">
        <v>286.56139400000001</v>
      </c>
      <c r="L289" s="10">
        <v>106.889495</v>
      </c>
      <c r="M289" s="18">
        <f t="shared" si="66"/>
        <v>286.88949500000001</v>
      </c>
      <c r="N289" s="17">
        <f t="shared" si="57"/>
        <v>66662.044791718959</v>
      </c>
      <c r="O289" s="14">
        <f t="shared" si="58"/>
        <v>3.6949728899700859E-11</v>
      </c>
      <c r="P289" s="24">
        <f t="shared" si="59"/>
        <v>2.4631444830447435E-6</v>
      </c>
      <c r="Q289" s="2">
        <f t="shared" si="67"/>
        <v>3.1244321831810971E-9</v>
      </c>
      <c r="R289" s="19">
        <f t="shared" si="68"/>
        <v>2.0828103879466653E-4</v>
      </c>
      <c r="S289" s="16">
        <f t="shared" si="69"/>
        <v>286.5613942692778</v>
      </c>
      <c r="T289" s="23">
        <f t="shared" si="60"/>
        <v>5.5047166824806482E-10</v>
      </c>
      <c r="U289" s="22">
        <f t="shared" si="61"/>
        <v>2.6927779117613682E-7</v>
      </c>
      <c r="V289" s="16">
        <f t="shared" si="70"/>
        <v>286.88949541419311</v>
      </c>
      <c r="W289" s="23">
        <f t="shared" si="62"/>
        <v>5.3910298447590321E-10</v>
      </c>
      <c r="X289" s="22">
        <f t="shared" si="63"/>
        <v>4.1419309582124697E-7</v>
      </c>
    </row>
    <row r="290" spans="1:24" x14ac:dyDescent="0.45">
      <c r="A290">
        <v>-34.246119999999998</v>
      </c>
      <c r="B290">
        <v>-73.81541</v>
      </c>
      <c r="C290">
        <v>-33.790619999999997</v>
      </c>
      <c r="D290">
        <v>-72.902140000000003</v>
      </c>
      <c r="E290" s="13">
        <v>98327.422118179398</v>
      </c>
      <c r="F290" s="13">
        <v>59.335866159334302</v>
      </c>
      <c r="G290" s="13">
        <f t="shared" si="64"/>
        <v>59.335866159334302</v>
      </c>
      <c r="H290" s="13">
        <v>58.824917816873203</v>
      </c>
      <c r="I290" s="13">
        <f t="shared" si="65"/>
        <v>58.824917816873203</v>
      </c>
      <c r="J290" s="11">
        <v>98327.422000000006</v>
      </c>
      <c r="K290" s="11">
        <v>59.335866000000003</v>
      </c>
      <c r="L290" s="12">
        <v>238.824918</v>
      </c>
      <c r="M290" s="18">
        <f t="shared" si="66"/>
        <v>58.824918000000025</v>
      </c>
      <c r="N290" s="17">
        <f t="shared" si="57"/>
        <v>98327.422116002752</v>
      </c>
      <c r="O290" s="14">
        <f t="shared" si="58"/>
        <v>2.2136717602669915E-11</v>
      </c>
      <c r="P290" s="24">
        <f t="shared" si="59"/>
        <v>2.176646376028657E-6</v>
      </c>
      <c r="Q290" s="2">
        <f t="shared" si="67"/>
        <v>1.1797598631883193E-9</v>
      </c>
      <c r="R290" s="19">
        <f t="shared" si="68"/>
        <v>1.1600274592638016E-4</v>
      </c>
      <c r="S290" s="16">
        <f t="shared" si="69"/>
        <v>59.335866158735833</v>
      </c>
      <c r="T290" s="23">
        <f t="shared" si="60"/>
        <v>5.9846883004865958E-10</v>
      </c>
      <c r="U290" s="22">
        <f t="shared" si="61"/>
        <v>1.587358298138497E-7</v>
      </c>
      <c r="V290" s="16">
        <f t="shared" si="70"/>
        <v>58.824917816286856</v>
      </c>
      <c r="W290" s="23">
        <f t="shared" si="62"/>
        <v>5.8634697097659227E-10</v>
      </c>
      <c r="X290" s="22">
        <f t="shared" si="63"/>
        <v>1.8371316912180191E-7</v>
      </c>
    </row>
    <row r="291" spans="1:24" x14ac:dyDescent="0.45">
      <c r="A291">
        <v>81.709270000000004</v>
      </c>
      <c r="B291">
        <v>-147.77295000000001</v>
      </c>
      <c r="C291">
        <v>82.634469999999993</v>
      </c>
      <c r="D291">
        <v>-146.80287999999999</v>
      </c>
      <c r="E291" s="13">
        <v>104364.720525645</v>
      </c>
      <c r="F291" s="13">
        <v>7.6480587655167502</v>
      </c>
      <c r="G291" s="13">
        <f t="shared" si="64"/>
        <v>7.6480587655167502</v>
      </c>
      <c r="H291" s="13">
        <v>8.6091205221041402</v>
      </c>
      <c r="I291" s="13">
        <f t="shared" si="65"/>
        <v>8.6091205221041402</v>
      </c>
      <c r="J291" s="9">
        <v>104364.72100000001</v>
      </c>
      <c r="K291" s="9">
        <v>7.6480589999999999</v>
      </c>
      <c r="L291" s="10">
        <v>188.60912099999999</v>
      </c>
      <c r="M291" s="18">
        <f t="shared" si="66"/>
        <v>8.6091209999999592</v>
      </c>
      <c r="N291" s="17">
        <f t="shared" si="57"/>
        <v>104364.72052565365</v>
      </c>
      <c r="O291" s="14">
        <f t="shared" si="58"/>
        <v>8.2962801196317062E-14</v>
      </c>
      <c r="P291" s="24">
        <f t="shared" si="59"/>
        <v>8.6583895608782768E-9</v>
      </c>
      <c r="Q291" s="2">
        <f t="shared" si="67"/>
        <v>4.5450833000284753E-9</v>
      </c>
      <c r="R291" s="19">
        <f t="shared" si="68"/>
        <v>4.7434635052923113E-4</v>
      </c>
      <c r="S291" s="16">
        <f t="shared" si="69"/>
        <v>7.6480587655154402</v>
      </c>
      <c r="T291" s="23">
        <f t="shared" si="60"/>
        <v>1.3100631690576847E-12</v>
      </c>
      <c r="U291" s="22">
        <f t="shared" si="61"/>
        <v>2.344845597690437E-7</v>
      </c>
      <c r="V291" s="16">
        <f t="shared" si="70"/>
        <v>8.609120522102657</v>
      </c>
      <c r="W291" s="23">
        <f t="shared" si="62"/>
        <v>1.4832579608992091E-12</v>
      </c>
      <c r="X291" s="22">
        <f t="shared" si="63"/>
        <v>4.7789730217573378E-7</v>
      </c>
    </row>
    <row r="292" spans="1:24" x14ac:dyDescent="0.45">
      <c r="A292">
        <v>3.99797</v>
      </c>
      <c r="B292">
        <v>39.808050000000001</v>
      </c>
      <c r="C292">
        <v>4.4888700000000101</v>
      </c>
      <c r="D292">
        <v>40.513489999999997</v>
      </c>
      <c r="E292" s="13">
        <v>95289.048672120203</v>
      </c>
      <c r="F292" s="13">
        <v>55.246759915717803</v>
      </c>
      <c r="G292" s="13">
        <f t="shared" si="64"/>
        <v>55.246759915717803</v>
      </c>
      <c r="H292" s="13">
        <v>55.2989593581636</v>
      </c>
      <c r="I292" s="13">
        <f t="shared" si="65"/>
        <v>55.2989593581636</v>
      </c>
      <c r="J292" s="11">
        <v>95289.048999999999</v>
      </c>
      <c r="K292" s="11">
        <v>55.246760000000002</v>
      </c>
      <c r="L292" s="12">
        <v>235.298959</v>
      </c>
      <c r="M292" s="18">
        <f t="shared" si="66"/>
        <v>55.298958999999968</v>
      </c>
      <c r="N292" s="17">
        <f t="shared" si="57"/>
        <v>95289.048671426586</v>
      </c>
      <c r="O292" s="14">
        <f t="shared" si="58"/>
        <v>7.2790845225747891E-12</v>
      </c>
      <c r="P292" s="24">
        <f t="shared" si="59"/>
        <v>6.9361703936010599E-7</v>
      </c>
      <c r="Q292" s="2">
        <f t="shared" si="67"/>
        <v>3.4481760106975136E-9</v>
      </c>
      <c r="R292" s="19">
        <f t="shared" si="68"/>
        <v>3.285734128439799E-4</v>
      </c>
      <c r="S292" s="16">
        <f t="shared" si="69"/>
        <v>55.246759915708701</v>
      </c>
      <c r="T292" s="23">
        <f t="shared" si="60"/>
        <v>9.1020524450868834E-12</v>
      </c>
      <c r="U292" s="22">
        <f t="shared" si="61"/>
        <v>8.4291301050143375E-8</v>
      </c>
      <c r="V292" s="16">
        <f t="shared" si="70"/>
        <v>55.298959358154505</v>
      </c>
      <c r="W292" s="23">
        <f t="shared" si="62"/>
        <v>9.0949470177292824E-12</v>
      </c>
      <c r="X292" s="22">
        <f t="shared" si="63"/>
        <v>3.5815453713894385E-7</v>
      </c>
    </row>
    <row r="293" spans="1:24" x14ac:dyDescent="0.45">
      <c r="A293">
        <v>48.434139999999999</v>
      </c>
      <c r="B293">
        <v>59.024380000000001</v>
      </c>
      <c r="C293">
        <v>48.230629999999998</v>
      </c>
      <c r="D293">
        <v>58.24362</v>
      </c>
      <c r="E293" s="13">
        <v>62154.805845850802</v>
      </c>
      <c r="F293" s="13">
        <v>-111.05924216125</v>
      </c>
      <c r="G293" s="13">
        <f t="shared" si="64"/>
        <v>248.94075783875002</v>
      </c>
      <c r="H293" s="13">
        <v>-111.64248578711501</v>
      </c>
      <c r="I293" s="13">
        <f t="shared" si="65"/>
        <v>248.35751421288501</v>
      </c>
      <c r="J293" s="9">
        <v>62154.805999999997</v>
      </c>
      <c r="K293" s="9">
        <v>248.94075799999999</v>
      </c>
      <c r="L293" s="10">
        <v>68.357513999999995</v>
      </c>
      <c r="M293" s="18">
        <f t="shared" si="66"/>
        <v>248.35751399999998</v>
      </c>
      <c r="N293" s="17">
        <f t="shared" si="57"/>
        <v>62154.805845581111</v>
      </c>
      <c r="O293" s="14">
        <f t="shared" si="58"/>
        <v>4.3390151615335843E-12</v>
      </c>
      <c r="P293" s="24">
        <f t="shared" si="59"/>
        <v>2.6969064492732286E-7</v>
      </c>
      <c r="Q293" s="2">
        <f t="shared" si="67"/>
        <v>2.484423897302636E-9</v>
      </c>
      <c r="R293" s="19">
        <f t="shared" si="68"/>
        <v>1.5441888535860926E-4</v>
      </c>
      <c r="S293" s="16">
        <f t="shared" si="69"/>
        <v>248.94075783872569</v>
      </c>
      <c r="T293" s="23">
        <f t="shared" si="60"/>
        <v>2.432898327242583E-11</v>
      </c>
      <c r="U293" s="22">
        <f t="shared" si="61"/>
        <v>1.6127430058077152E-7</v>
      </c>
      <c r="V293" s="16">
        <f t="shared" si="70"/>
        <v>248.3575142128617</v>
      </c>
      <c r="W293" s="23">
        <f t="shared" si="62"/>
        <v>2.3305801732931286E-11</v>
      </c>
      <c r="X293" s="22">
        <f t="shared" si="63"/>
        <v>2.1286172113832436E-7</v>
      </c>
    </row>
    <row r="294" spans="1:24" x14ac:dyDescent="0.45">
      <c r="A294">
        <v>-78.590999999999994</v>
      </c>
      <c r="B294">
        <v>-82.940529999999995</v>
      </c>
      <c r="C294">
        <v>-78.429820000000007</v>
      </c>
      <c r="D294">
        <v>-83.816050000000004</v>
      </c>
      <c r="E294" s="13">
        <v>26516.797792569701</v>
      </c>
      <c r="F294" s="13">
        <v>-47.692297163818097</v>
      </c>
      <c r="G294" s="13">
        <f t="shared" si="64"/>
        <v>312.30770283618187</v>
      </c>
      <c r="H294" s="13">
        <v>-46.834320275303902</v>
      </c>
      <c r="I294" s="13">
        <f t="shared" si="65"/>
        <v>313.16567972469608</v>
      </c>
      <c r="J294" s="11">
        <v>26516.797999999999</v>
      </c>
      <c r="K294" s="11">
        <v>312.307703</v>
      </c>
      <c r="L294" s="12">
        <v>133.16568000000001</v>
      </c>
      <c r="M294" s="18">
        <f t="shared" si="66"/>
        <v>313.16568000000001</v>
      </c>
      <c r="N294" s="17">
        <f t="shared" si="57"/>
        <v>26516.797792536116</v>
      </c>
      <c r="O294" s="14">
        <f t="shared" si="58"/>
        <v>1.266586584466161E-12</v>
      </c>
      <c r="P294" s="24">
        <f t="shared" si="59"/>
        <v>3.3585820347070694E-8</v>
      </c>
      <c r="Q294" s="2">
        <f t="shared" si="67"/>
        <v>7.8238663382726376E-9</v>
      </c>
      <c r="R294" s="19">
        <f t="shared" si="68"/>
        <v>2.074638832709752E-4</v>
      </c>
      <c r="S294" s="16">
        <f t="shared" si="69"/>
        <v>312.30770283624594</v>
      </c>
      <c r="T294" s="23">
        <f t="shared" si="60"/>
        <v>6.4062533056130633E-11</v>
      </c>
      <c r="U294" s="22">
        <f t="shared" si="61"/>
        <v>1.6375406630686484E-7</v>
      </c>
      <c r="V294" s="16">
        <f t="shared" si="70"/>
        <v>313.16567972475798</v>
      </c>
      <c r="W294" s="23">
        <f t="shared" si="62"/>
        <v>6.1902483139419928E-11</v>
      </c>
      <c r="X294" s="22">
        <f t="shared" si="63"/>
        <v>2.7524203005668824E-7</v>
      </c>
    </row>
    <row r="295" spans="1:24" x14ac:dyDescent="0.45">
      <c r="A295">
        <v>-0.28333999999999998</v>
      </c>
      <c r="B295">
        <v>-146.87727000000001</v>
      </c>
      <c r="C295">
        <v>-0.382720000000006</v>
      </c>
      <c r="D295">
        <v>-146.07856000000001</v>
      </c>
      <c r="E295" s="13">
        <v>89586.997775823198</v>
      </c>
      <c r="F295" s="13">
        <v>97.0479359831035</v>
      </c>
      <c r="G295" s="13">
        <f t="shared" si="64"/>
        <v>97.0479359831035</v>
      </c>
      <c r="H295" s="13">
        <v>97.043293453885596</v>
      </c>
      <c r="I295" s="13">
        <f t="shared" si="65"/>
        <v>97.043293453885596</v>
      </c>
      <c r="J295" s="9">
        <v>89586.998000000007</v>
      </c>
      <c r="K295" s="9">
        <v>97.047936000000007</v>
      </c>
      <c r="L295" s="10">
        <v>277.04329300000001</v>
      </c>
      <c r="M295" s="18">
        <f t="shared" si="66"/>
        <v>97.043293000000006</v>
      </c>
      <c r="N295" s="17">
        <f t="shared" si="57"/>
        <v>89586.99777515234</v>
      </c>
      <c r="O295" s="14">
        <f t="shared" si="58"/>
        <v>7.488339386276257E-12</v>
      </c>
      <c r="P295" s="24">
        <f t="shared" si="59"/>
        <v>6.7085784394294024E-7</v>
      </c>
      <c r="Q295" s="2">
        <f t="shared" si="67"/>
        <v>2.5098247704025171E-9</v>
      </c>
      <c r="R295" s="19">
        <f t="shared" si="68"/>
        <v>2.2484766668640077E-4</v>
      </c>
      <c r="S295" s="16">
        <f t="shared" si="69"/>
        <v>97.047935983106171</v>
      </c>
      <c r="T295" s="23">
        <f t="shared" si="60"/>
        <v>2.6716406864579767E-12</v>
      </c>
      <c r="U295" s="22">
        <f t="shared" si="61"/>
        <v>1.6893835663722712E-8</v>
      </c>
      <c r="V295" s="16">
        <f t="shared" si="70"/>
        <v>97.043293453888282</v>
      </c>
      <c r="W295" s="23">
        <f t="shared" si="62"/>
        <v>2.6858515411731787E-12</v>
      </c>
      <c r="X295" s="22">
        <f t="shared" si="63"/>
        <v>4.5388827629722073E-7</v>
      </c>
    </row>
    <row r="296" spans="1:24" x14ac:dyDescent="0.45">
      <c r="A296">
        <v>4.1198899999999998</v>
      </c>
      <c r="B296">
        <v>-64.602000000000004</v>
      </c>
      <c r="C296">
        <v>4.4798099999999996</v>
      </c>
      <c r="D296">
        <v>-63.866210000000002</v>
      </c>
      <c r="E296" s="13">
        <v>90859.499603107703</v>
      </c>
      <c r="F296" s="13">
        <v>63.9938790115784</v>
      </c>
      <c r="G296" s="13">
        <f t="shared" si="64"/>
        <v>63.9938790115784</v>
      </c>
      <c r="H296" s="13">
        <v>64.049046720404405</v>
      </c>
      <c r="I296" s="13">
        <f t="shared" si="65"/>
        <v>64.049046720404405</v>
      </c>
      <c r="J296" s="11">
        <v>90859.5</v>
      </c>
      <c r="K296" s="11">
        <v>63.993879</v>
      </c>
      <c r="L296" s="12">
        <v>244.049047</v>
      </c>
      <c r="M296" s="18">
        <f t="shared" si="66"/>
        <v>64.049046999999973</v>
      </c>
      <c r="N296" s="17">
        <f t="shared" si="57"/>
        <v>90859.499602455937</v>
      </c>
      <c r="O296" s="14">
        <f t="shared" si="58"/>
        <v>7.1733361289723673E-12</v>
      </c>
      <c r="P296" s="24">
        <f t="shared" si="59"/>
        <v>6.5176573116332293E-7</v>
      </c>
      <c r="Q296" s="2">
        <f t="shared" si="67"/>
        <v>4.3753714599140272E-9</v>
      </c>
      <c r="R296" s="19">
        <f t="shared" si="68"/>
        <v>3.9754406316205859E-4</v>
      </c>
      <c r="S296" s="16">
        <f t="shared" si="69"/>
        <v>63.993879011575537</v>
      </c>
      <c r="T296" s="23">
        <f t="shared" si="60"/>
        <v>2.8634872251132037E-12</v>
      </c>
      <c r="U296" s="22">
        <f t="shared" si="61"/>
        <v>1.1575536973396083E-8</v>
      </c>
      <c r="V296" s="16">
        <f t="shared" si="70"/>
        <v>64.049046720401563</v>
      </c>
      <c r="W296" s="23">
        <f t="shared" si="62"/>
        <v>2.8421709430404007E-12</v>
      </c>
      <c r="X296" s="22">
        <f t="shared" si="63"/>
        <v>2.7959841020219756E-7</v>
      </c>
    </row>
    <row r="297" spans="1:24" x14ac:dyDescent="0.45">
      <c r="A297">
        <v>-57.535170000000001</v>
      </c>
      <c r="B297">
        <v>131.10513</v>
      </c>
      <c r="C297">
        <v>-58.172080000000001</v>
      </c>
      <c r="D297">
        <v>131.53251</v>
      </c>
      <c r="E297" s="13">
        <v>75337.536234345898</v>
      </c>
      <c r="F297" s="13">
        <v>160.49756966673601</v>
      </c>
      <c r="G297" s="13">
        <f t="shared" si="64"/>
        <v>160.49756966673601</v>
      </c>
      <c r="H297" s="13">
        <v>160.13570456747499</v>
      </c>
      <c r="I297" s="13">
        <f t="shared" si="65"/>
        <v>160.13570456747499</v>
      </c>
      <c r="J297" s="9">
        <v>75337.535999999993</v>
      </c>
      <c r="K297" s="9">
        <v>160.49757</v>
      </c>
      <c r="L297" s="10">
        <v>340.13570499999997</v>
      </c>
      <c r="M297" s="18">
        <f t="shared" si="66"/>
        <v>160.13570499999992</v>
      </c>
      <c r="N297" s="17">
        <f t="shared" si="57"/>
        <v>75337.536234137209</v>
      </c>
      <c r="O297" s="14">
        <f t="shared" si="58"/>
        <v>2.7700536375500561E-12</v>
      </c>
      <c r="P297" s="24">
        <f t="shared" si="59"/>
        <v>2.0868901629000902E-7</v>
      </c>
      <c r="Q297" s="2">
        <f t="shared" si="67"/>
        <v>3.107842768662875E-9</v>
      </c>
      <c r="R297" s="19">
        <f t="shared" si="68"/>
        <v>2.34137216466479E-4</v>
      </c>
      <c r="S297" s="16">
        <f t="shared" si="69"/>
        <v>160.49756966673999</v>
      </c>
      <c r="T297" s="23">
        <f t="shared" si="60"/>
        <v>3.979039320256561E-12</v>
      </c>
      <c r="U297" s="22">
        <f t="shared" si="61"/>
        <v>3.3326000448141713E-7</v>
      </c>
      <c r="V297" s="16">
        <f t="shared" si="70"/>
        <v>160.13570456747863</v>
      </c>
      <c r="W297" s="23">
        <f t="shared" si="62"/>
        <v>3.637978807091713E-12</v>
      </c>
      <c r="X297" s="22">
        <f t="shared" si="63"/>
        <v>4.3252128989479388E-7</v>
      </c>
    </row>
    <row r="298" spans="1:24" x14ac:dyDescent="0.45">
      <c r="A298">
        <v>-5.3463599999999998</v>
      </c>
      <c r="B298">
        <v>-97.144379999999998</v>
      </c>
      <c r="C298">
        <v>-5.00051000000001</v>
      </c>
      <c r="D298">
        <v>-97.825320000000005</v>
      </c>
      <c r="E298" s="13">
        <v>84629.773089335693</v>
      </c>
      <c r="F298" s="13">
        <v>-63.164603601020097</v>
      </c>
      <c r="G298" s="13">
        <f t="shared" si="64"/>
        <v>296.83539639897992</v>
      </c>
      <c r="H298" s="13">
        <v>-63.103201672185797</v>
      </c>
      <c r="I298" s="13">
        <f t="shared" si="65"/>
        <v>296.89679832781422</v>
      </c>
      <c r="J298" s="11">
        <v>84629.773000000001</v>
      </c>
      <c r="K298" s="11">
        <v>296.835396</v>
      </c>
      <c r="L298" s="12">
        <v>116.896798</v>
      </c>
      <c r="M298" s="18">
        <f t="shared" si="66"/>
        <v>296.89679799999999</v>
      </c>
      <c r="N298" s="17">
        <f t="shared" si="57"/>
        <v>84629.773088732938</v>
      </c>
      <c r="O298" s="14">
        <f t="shared" si="58"/>
        <v>7.1222556633575245E-12</v>
      </c>
      <c r="P298" s="24">
        <f t="shared" si="59"/>
        <v>6.0275488067418337E-7</v>
      </c>
      <c r="Q298" s="2">
        <f t="shared" si="67"/>
        <v>1.0484836938133251E-9</v>
      </c>
      <c r="R298" s="19">
        <f t="shared" si="68"/>
        <v>8.8732937001623213E-5</v>
      </c>
      <c r="S298" s="16">
        <f t="shared" si="69"/>
        <v>296.83539639898174</v>
      </c>
      <c r="T298" s="23">
        <f t="shared" si="60"/>
        <v>1.8189894035458565E-12</v>
      </c>
      <c r="U298" s="22">
        <f t="shared" si="61"/>
        <v>3.9898174009067588E-7</v>
      </c>
      <c r="V298" s="16">
        <f t="shared" si="70"/>
        <v>296.89679832781604</v>
      </c>
      <c r="W298" s="23">
        <f t="shared" si="62"/>
        <v>1.8189894035458565E-12</v>
      </c>
      <c r="X298" s="22">
        <f t="shared" si="63"/>
        <v>3.2781605341369868E-7</v>
      </c>
    </row>
    <row r="299" spans="1:24" x14ac:dyDescent="0.45">
      <c r="A299">
        <v>81.573599999999999</v>
      </c>
      <c r="B299">
        <v>-156.09604999999999</v>
      </c>
      <c r="C299">
        <v>82.350070000000002</v>
      </c>
      <c r="D299">
        <v>-156.91614000000001</v>
      </c>
      <c r="E299" s="13">
        <v>87648.480587705097</v>
      </c>
      <c r="F299" s="13">
        <v>-7.9964432785958603</v>
      </c>
      <c r="G299" s="13">
        <f t="shared" si="64"/>
        <v>352.00355672140415</v>
      </c>
      <c r="H299" s="13">
        <v>-8.8084949276721805</v>
      </c>
      <c r="I299" s="13">
        <f t="shared" si="65"/>
        <v>351.1915050723278</v>
      </c>
      <c r="J299" s="9">
        <v>87648.481</v>
      </c>
      <c r="K299" s="9">
        <v>352.003557</v>
      </c>
      <c r="L299" s="10">
        <v>171.19150500000001</v>
      </c>
      <c r="M299" s="18">
        <f t="shared" si="66"/>
        <v>351.19150500000001</v>
      </c>
      <c r="N299" s="17">
        <f t="shared" si="57"/>
        <v>87648.480587707323</v>
      </c>
      <c r="O299" s="14">
        <f t="shared" si="58"/>
        <v>2.5401958083143805E-14</v>
      </c>
      <c r="P299" s="24">
        <f t="shared" si="59"/>
        <v>2.2264430299401283E-9</v>
      </c>
      <c r="Q299" s="2">
        <f t="shared" si="67"/>
        <v>4.7039340776318451E-9</v>
      </c>
      <c r="R299" s="19">
        <f t="shared" si="68"/>
        <v>4.1229267662856728E-4</v>
      </c>
      <c r="S299" s="16">
        <f t="shared" si="69"/>
        <v>352.00355672140563</v>
      </c>
      <c r="T299" s="23">
        <f t="shared" si="60"/>
        <v>1.4779288903810084E-12</v>
      </c>
      <c r="U299" s="22">
        <f t="shared" si="61"/>
        <v>2.7859437068400439E-7</v>
      </c>
      <c r="V299" s="16">
        <f t="shared" si="70"/>
        <v>351.19150507232945</v>
      </c>
      <c r="W299" s="23">
        <f t="shared" si="62"/>
        <v>1.6484591469634324E-12</v>
      </c>
      <c r="X299" s="22">
        <f t="shared" si="63"/>
        <v>7.2329441991314525E-8</v>
      </c>
    </row>
    <row r="300" spans="1:24" x14ac:dyDescent="0.45">
      <c r="A300">
        <v>78.949470000000005</v>
      </c>
      <c r="B300">
        <v>-84.302080000000004</v>
      </c>
      <c r="C300">
        <v>78.244540000000001</v>
      </c>
      <c r="D300">
        <v>-85.292209999999997</v>
      </c>
      <c r="E300" s="13">
        <v>81682.396554294406</v>
      </c>
      <c r="F300" s="13">
        <v>-163.99051576426299</v>
      </c>
      <c r="G300" s="13">
        <f t="shared" si="64"/>
        <v>196.00948423573701</v>
      </c>
      <c r="H300" s="13">
        <v>-164.96112074300399</v>
      </c>
      <c r="I300" s="13">
        <f t="shared" si="65"/>
        <v>195.03887925699601</v>
      </c>
      <c r="J300" s="11">
        <v>81682.396999999997</v>
      </c>
      <c r="K300" s="11">
        <v>196.00948399999999</v>
      </c>
      <c r="L300" s="12">
        <v>15.038879</v>
      </c>
      <c r="M300" s="18">
        <f t="shared" si="66"/>
        <v>195.03887900000001</v>
      </c>
      <c r="N300" s="17">
        <f t="shared" si="57"/>
        <v>81682.396554250256</v>
      </c>
      <c r="O300" s="14">
        <f t="shared" si="58"/>
        <v>5.4051439068047078E-13</v>
      </c>
      <c r="P300" s="24">
        <f t="shared" si="59"/>
        <v>4.4150510802865028E-8</v>
      </c>
      <c r="Q300" s="2">
        <f t="shared" si="67"/>
        <v>5.4571089733042161E-9</v>
      </c>
      <c r="R300" s="19">
        <f t="shared" si="68"/>
        <v>4.4574974162969738E-4</v>
      </c>
      <c r="S300" s="16">
        <f t="shared" si="69"/>
        <v>196.00948423570475</v>
      </c>
      <c r="T300" s="23">
        <f t="shared" si="60"/>
        <v>3.2258640203508548E-11</v>
      </c>
      <c r="U300" s="22">
        <f t="shared" si="61"/>
        <v>2.357047605983098E-7</v>
      </c>
      <c r="V300" s="16">
        <f t="shared" si="70"/>
        <v>195.03887925696586</v>
      </c>
      <c r="W300" s="23">
        <f t="shared" si="62"/>
        <v>3.0155433705658652E-11</v>
      </c>
      <c r="X300" s="22">
        <f t="shared" si="63"/>
        <v>2.5696584771139896E-7</v>
      </c>
    </row>
    <row r="301" spans="1:24" x14ac:dyDescent="0.45">
      <c r="A301">
        <v>67.04083</v>
      </c>
      <c r="B301">
        <v>142.8177</v>
      </c>
      <c r="C301">
        <v>67.039259999999999</v>
      </c>
      <c r="D301">
        <v>143.40382</v>
      </c>
      <c r="E301" s="13">
        <v>25524.930575857299</v>
      </c>
      <c r="F301" s="13">
        <v>90.123179333572196</v>
      </c>
      <c r="G301" s="13">
        <f t="shared" si="64"/>
        <v>90.123179333572196</v>
      </c>
      <c r="H301" s="13">
        <v>90.662866286165695</v>
      </c>
      <c r="I301" s="13">
        <f t="shared" si="65"/>
        <v>90.662866286165695</v>
      </c>
      <c r="J301" s="9">
        <v>25524.931</v>
      </c>
      <c r="K301" s="9">
        <v>90.123178999999993</v>
      </c>
      <c r="L301" s="10">
        <v>270.66286600000001</v>
      </c>
      <c r="M301" s="18">
        <f t="shared" si="66"/>
        <v>90.662866000000008</v>
      </c>
      <c r="N301" s="17">
        <f t="shared" si="57"/>
        <v>25524.930575862592</v>
      </c>
      <c r="O301" s="14">
        <f t="shared" si="58"/>
        <v>2.0737604549354036E-13</v>
      </c>
      <c r="P301" s="24">
        <f t="shared" si="59"/>
        <v>5.2932591643184423E-9</v>
      </c>
      <c r="Q301" s="2">
        <f t="shared" si="67"/>
        <v>1.6616593718413219E-8</v>
      </c>
      <c r="R301" s="19">
        <f t="shared" si="68"/>
        <v>4.2413740811753087E-4</v>
      </c>
      <c r="S301" s="16">
        <f t="shared" si="69"/>
        <v>90.123179333576601</v>
      </c>
      <c r="T301" s="23">
        <f t="shared" si="60"/>
        <v>4.4053649617126212E-12</v>
      </c>
      <c r="U301" s="22">
        <f t="shared" si="61"/>
        <v>3.3357660811361711E-7</v>
      </c>
      <c r="V301" s="16">
        <f t="shared" si="70"/>
        <v>90.6628662861702</v>
      </c>
      <c r="W301" s="23">
        <f t="shared" si="62"/>
        <v>4.5048409447190352E-12</v>
      </c>
      <c r="X301" s="22">
        <f t="shared" si="63"/>
        <v>2.8617019154353329E-7</v>
      </c>
    </row>
    <row r="302" spans="1:24" x14ac:dyDescent="0.45">
      <c r="A302">
        <v>61.084530000000001</v>
      </c>
      <c r="B302">
        <v>22.738029999999998</v>
      </c>
      <c r="C302">
        <v>60.56268</v>
      </c>
      <c r="D302">
        <v>22.917560000000002</v>
      </c>
      <c r="E302" s="13">
        <v>58962.375157636801</v>
      </c>
      <c r="F302" s="13">
        <v>170.38598945967999</v>
      </c>
      <c r="G302" s="13">
        <f t="shared" si="64"/>
        <v>170.38598945967999</v>
      </c>
      <c r="H302" s="13">
        <v>170.542742888503</v>
      </c>
      <c r="I302" s="13">
        <f t="shared" si="65"/>
        <v>170.542742888503</v>
      </c>
      <c r="J302" s="11">
        <v>58962.375</v>
      </c>
      <c r="K302" s="11">
        <v>170.385989</v>
      </c>
      <c r="L302" s="12">
        <v>350.54274299999997</v>
      </c>
      <c r="M302" s="18">
        <f t="shared" si="66"/>
        <v>170.54274299999997</v>
      </c>
      <c r="N302" s="17">
        <f t="shared" si="57"/>
        <v>58962.375157485025</v>
      </c>
      <c r="O302" s="14">
        <f t="shared" si="58"/>
        <v>2.5741241838730133E-12</v>
      </c>
      <c r="P302" s="24">
        <f t="shared" si="59"/>
        <v>1.5177647583186626E-7</v>
      </c>
      <c r="Q302" s="2">
        <f t="shared" si="67"/>
        <v>2.6709409997295642E-9</v>
      </c>
      <c r="R302" s="19">
        <f t="shared" si="68"/>
        <v>1.5748502482892945E-4</v>
      </c>
      <c r="S302" s="16">
        <f t="shared" si="69"/>
        <v>170.38598945967888</v>
      </c>
      <c r="T302" s="23">
        <f t="shared" si="60"/>
        <v>1.1084466677857563E-12</v>
      </c>
      <c r="U302" s="22">
        <f t="shared" si="61"/>
        <v>4.5967888695486181E-7</v>
      </c>
      <c r="V302" s="16">
        <f t="shared" si="70"/>
        <v>170.54274288850169</v>
      </c>
      <c r="W302" s="23">
        <f t="shared" si="62"/>
        <v>1.3073986337985843E-12</v>
      </c>
      <c r="X302" s="22">
        <f t="shared" si="63"/>
        <v>1.1149828083034663E-7</v>
      </c>
    </row>
    <row r="303" spans="1:24" x14ac:dyDescent="0.45">
      <c r="A303">
        <v>-8.7715399999999999</v>
      </c>
      <c r="B303">
        <v>-87.263670000000005</v>
      </c>
      <c r="C303">
        <v>-8.9253300000000007</v>
      </c>
      <c r="D303">
        <v>-87.265600000000006</v>
      </c>
      <c r="E303" s="13">
        <v>17010.5840326123</v>
      </c>
      <c r="F303" s="13">
        <v>-179.285029861645</v>
      </c>
      <c r="G303" s="13">
        <f t="shared" si="64"/>
        <v>180.714970138355</v>
      </c>
      <c r="H303" s="13">
        <v>-179.284732986498</v>
      </c>
      <c r="I303" s="13">
        <f t="shared" si="65"/>
        <v>180.715267013502</v>
      </c>
      <c r="J303" s="9">
        <v>17010.583999999999</v>
      </c>
      <c r="K303" s="9">
        <v>180.71496999999999</v>
      </c>
      <c r="L303" s="10">
        <v>0.71526699999999999</v>
      </c>
      <c r="M303" s="18">
        <f t="shared" si="66"/>
        <v>180.71526700000001</v>
      </c>
      <c r="N303" s="17">
        <f t="shared" si="57"/>
        <v>17010.584032509574</v>
      </c>
      <c r="O303" s="14">
        <f t="shared" si="58"/>
        <v>6.038923024565502E-12</v>
      </c>
      <c r="P303" s="24">
        <f t="shared" si="59"/>
        <v>1.027256075758487E-7</v>
      </c>
      <c r="Q303" s="2">
        <f t="shared" si="67"/>
        <v>1.9111381037062521E-9</v>
      </c>
      <c r="R303" s="19">
        <f t="shared" si="68"/>
        <v>3.250957524869591E-5</v>
      </c>
      <c r="S303" s="16">
        <f t="shared" si="69"/>
        <v>180.71497013827215</v>
      </c>
      <c r="T303" s="23">
        <f t="shared" si="60"/>
        <v>8.2849282989627682E-11</v>
      </c>
      <c r="U303" s="22">
        <f t="shared" si="61"/>
        <v>1.3827215639139467E-7</v>
      </c>
      <c r="V303" s="16">
        <f t="shared" si="70"/>
        <v>180.71526701341921</v>
      </c>
      <c r="W303" s="23">
        <f t="shared" si="62"/>
        <v>8.2792439570766874E-11</v>
      </c>
      <c r="X303" s="22">
        <f t="shared" si="63"/>
        <v>1.341919642072753E-8</v>
      </c>
    </row>
    <row r="304" spans="1:24" x14ac:dyDescent="0.45">
      <c r="A304">
        <v>-60.347119999999997</v>
      </c>
      <c r="B304">
        <v>162.42533</v>
      </c>
      <c r="C304">
        <v>-60.502249999999997</v>
      </c>
      <c r="D304">
        <v>162.44852</v>
      </c>
      <c r="E304" s="13">
        <v>17331.639765247099</v>
      </c>
      <c r="F304" s="13">
        <v>175.78342083208699</v>
      </c>
      <c r="G304" s="13">
        <f t="shared" si="64"/>
        <v>175.78342083208699</v>
      </c>
      <c r="H304" s="13">
        <v>175.76325229297501</v>
      </c>
      <c r="I304" s="13">
        <f t="shared" si="65"/>
        <v>175.76325229297501</v>
      </c>
      <c r="J304" s="11">
        <v>17331.64</v>
      </c>
      <c r="K304" s="11">
        <v>175.783421</v>
      </c>
      <c r="L304" s="12">
        <v>355.76325200000002</v>
      </c>
      <c r="M304" s="18">
        <f t="shared" si="66"/>
        <v>175.76325199999997</v>
      </c>
      <c r="N304" s="17">
        <f t="shared" si="57"/>
        <v>17331.639765151282</v>
      </c>
      <c r="O304" s="14">
        <f t="shared" si="58"/>
        <v>5.5284489591868381E-12</v>
      </c>
      <c r="P304" s="24">
        <f t="shared" si="59"/>
        <v>9.5817085821181536E-8</v>
      </c>
      <c r="Q304" s="2">
        <f t="shared" si="67"/>
        <v>1.3550288247947383E-8</v>
      </c>
      <c r="R304" s="19">
        <f t="shared" si="68"/>
        <v>2.3484871780965477E-4</v>
      </c>
      <c r="S304" s="16">
        <f t="shared" si="69"/>
        <v>175.78342083440572</v>
      </c>
      <c r="T304" s="23">
        <f t="shared" si="60"/>
        <v>2.3187283204606501E-9</v>
      </c>
      <c r="U304" s="22">
        <f t="shared" si="61"/>
        <v>1.6559428672735521E-7</v>
      </c>
      <c r="V304" s="16">
        <f t="shared" si="70"/>
        <v>175.76325229530536</v>
      </c>
      <c r="W304" s="23">
        <f t="shared" si="62"/>
        <v>2.3303527996176854E-9</v>
      </c>
      <c r="X304" s="22">
        <f t="shared" si="63"/>
        <v>2.9530539791267074E-7</v>
      </c>
    </row>
    <row r="305" spans="1:24" x14ac:dyDescent="0.45">
      <c r="A305">
        <v>-43.271380000000001</v>
      </c>
      <c r="B305">
        <v>125.9294</v>
      </c>
      <c r="C305">
        <v>-43.39537</v>
      </c>
      <c r="D305">
        <v>125.98155</v>
      </c>
      <c r="E305" s="13">
        <v>14409.8202301644</v>
      </c>
      <c r="F305" s="13">
        <v>162.95020643966899</v>
      </c>
      <c r="G305" s="13">
        <f t="shared" si="64"/>
        <v>162.95020643966899</v>
      </c>
      <c r="H305" s="13">
        <v>162.914418888358</v>
      </c>
      <c r="I305" s="13">
        <f t="shared" si="65"/>
        <v>162.914418888358</v>
      </c>
      <c r="J305" s="9">
        <v>14409.82</v>
      </c>
      <c r="K305" s="9">
        <v>162.95020600000001</v>
      </c>
      <c r="L305" s="10">
        <v>342.91441900000001</v>
      </c>
      <c r="M305" s="18">
        <f t="shared" si="66"/>
        <v>162.91441899999995</v>
      </c>
      <c r="N305" s="17">
        <f t="shared" si="57"/>
        <v>14409.820230102912</v>
      </c>
      <c r="O305" s="14">
        <f t="shared" si="58"/>
        <v>4.2670413527677358E-12</v>
      </c>
      <c r="P305" s="24">
        <f t="shared" si="59"/>
        <v>6.1487298808060586E-8</v>
      </c>
      <c r="Q305" s="2">
        <f t="shared" si="67"/>
        <v>1.5968479315505947E-8</v>
      </c>
      <c r="R305" s="19">
        <f t="shared" si="68"/>
        <v>2.3010291261016391E-4</v>
      </c>
      <c r="S305" s="16">
        <f t="shared" si="69"/>
        <v>162.95020643978648</v>
      </c>
      <c r="T305" s="23">
        <f t="shared" si="60"/>
        <v>1.1749534678529017E-10</v>
      </c>
      <c r="U305" s="22">
        <f t="shared" si="61"/>
        <v>4.3978647568110318E-7</v>
      </c>
      <c r="V305" s="16">
        <f t="shared" si="70"/>
        <v>162.91441888847569</v>
      </c>
      <c r="W305" s="23">
        <f t="shared" si="62"/>
        <v>1.1769429875130299E-10</v>
      </c>
      <c r="X305" s="22">
        <f t="shared" si="63"/>
        <v>1.1152425827276602E-7</v>
      </c>
    </row>
    <row r="306" spans="1:24" x14ac:dyDescent="0.45">
      <c r="A306">
        <v>-37.080170000000003</v>
      </c>
      <c r="B306">
        <v>127.09634</v>
      </c>
      <c r="C306">
        <v>-37.145740000000004</v>
      </c>
      <c r="D306">
        <v>127.25547</v>
      </c>
      <c r="E306" s="13">
        <v>15905.687488558</v>
      </c>
      <c r="F306" s="13">
        <v>117.274258635501</v>
      </c>
      <c r="G306" s="13">
        <f t="shared" si="64"/>
        <v>117.274258635501</v>
      </c>
      <c r="H306" s="13">
        <v>117.178241398238</v>
      </c>
      <c r="I306" s="13">
        <f t="shared" si="65"/>
        <v>117.178241398238</v>
      </c>
      <c r="J306" s="11">
        <v>15905.687</v>
      </c>
      <c r="K306" s="11">
        <v>117.274259</v>
      </c>
      <c r="L306" s="12">
        <v>297.17824100000001</v>
      </c>
      <c r="M306" s="18">
        <f t="shared" si="66"/>
        <v>117.17824100000001</v>
      </c>
      <c r="N306" s="17">
        <f t="shared" si="57"/>
        <v>15905.687488281317</v>
      </c>
      <c r="O306" s="14">
        <f t="shared" si="58"/>
        <v>1.7395214158054417E-11</v>
      </c>
      <c r="P306" s="24">
        <f t="shared" si="59"/>
        <v>2.7668284019455314E-7</v>
      </c>
      <c r="Q306" s="2">
        <f t="shared" si="67"/>
        <v>3.0698536775092328E-8</v>
      </c>
      <c r="R306" s="19">
        <f t="shared" si="68"/>
        <v>4.8828131730260793E-4</v>
      </c>
      <c r="S306" s="16">
        <f t="shared" si="69"/>
        <v>117.27425863587322</v>
      </c>
      <c r="T306" s="23">
        <f t="shared" si="60"/>
        <v>3.7222491755528608E-10</v>
      </c>
      <c r="U306" s="22">
        <f t="shared" si="61"/>
        <v>3.6412677673069993E-7</v>
      </c>
      <c r="V306" s="16">
        <f t="shared" si="70"/>
        <v>117.17824139861253</v>
      </c>
      <c r="W306" s="23">
        <f t="shared" si="62"/>
        <v>3.7452707601914881E-10</v>
      </c>
      <c r="X306" s="22">
        <f t="shared" si="63"/>
        <v>3.9861251366346551E-7</v>
      </c>
    </row>
    <row r="307" spans="1:24" x14ac:dyDescent="0.45">
      <c r="A307">
        <v>56.070900000000002</v>
      </c>
      <c r="B307">
        <v>58.975679999999997</v>
      </c>
      <c r="C307">
        <v>56.221699999999998</v>
      </c>
      <c r="D307">
        <v>58.948929999999997</v>
      </c>
      <c r="E307" s="13">
        <v>16872.870970866301</v>
      </c>
      <c r="F307" s="13">
        <v>-5.6441460277250801</v>
      </c>
      <c r="G307" s="13">
        <f t="shared" si="64"/>
        <v>354.35585397227493</v>
      </c>
      <c r="H307" s="13">
        <v>-5.6663609248963001</v>
      </c>
      <c r="I307" s="13">
        <f t="shared" si="65"/>
        <v>354.33363907510369</v>
      </c>
      <c r="J307" s="9">
        <v>16872.870999999999</v>
      </c>
      <c r="K307" s="9">
        <v>354.35585400000002</v>
      </c>
      <c r="L307" s="10">
        <v>174.33363900000001</v>
      </c>
      <c r="M307" s="18">
        <f t="shared" si="66"/>
        <v>354.33363900000001</v>
      </c>
      <c r="N307" s="17">
        <f t="shared" si="57"/>
        <v>16872.870970632688</v>
      </c>
      <c r="O307" s="14">
        <f t="shared" si="58"/>
        <v>1.3845468829860909E-11</v>
      </c>
      <c r="P307" s="24">
        <f t="shared" si="59"/>
        <v>2.3361280909739435E-7</v>
      </c>
      <c r="Q307" s="2">
        <f t="shared" si="67"/>
        <v>1.7405046877817842E-9</v>
      </c>
      <c r="R307" s="19">
        <f t="shared" si="68"/>
        <v>2.9367311071837321E-5</v>
      </c>
      <c r="S307" s="16">
        <f t="shared" si="69"/>
        <v>354.35585397864935</v>
      </c>
      <c r="T307" s="23">
        <f t="shared" si="60"/>
        <v>6.3744209910510108E-9</v>
      </c>
      <c r="U307" s="22">
        <f t="shared" si="61"/>
        <v>2.1350672341213794E-8</v>
      </c>
      <c r="V307" s="16">
        <f t="shared" si="70"/>
        <v>354.33363908150335</v>
      </c>
      <c r="W307" s="23">
        <f t="shared" si="62"/>
        <v>6.3996594690252095E-9</v>
      </c>
      <c r="X307" s="22">
        <f t="shared" si="63"/>
        <v>8.1503344517841469E-8</v>
      </c>
    </row>
    <row r="308" spans="1:24" x14ac:dyDescent="0.45">
      <c r="A308">
        <v>59.503010000000003</v>
      </c>
      <c r="B308">
        <v>7.8700000000000003E-3</v>
      </c>
      <c r="C308">
        <v>59.535269999999997</v>
      </c>
      <c r="D308">
        <v>0.12007000000005499</v>
      </c>
      <c r="E308" s="13">
        <v>7297.68719085884</v>
      </c>
      <c r="F308" s="13">
        <v>60.448578592702603</v>
      </c>
      <c r="G308" s="13">
        <f t="shared" si="64"/>
        <v>60.448578592702603</v>
      </c>
      <c r="H308" s="13">
        <v>60.545272413999001</v>
      </c>
      <c r="I308" s="13">
        <f t="shared" si="65"/>
        <v>60.545272413999001</v>
      </c>
      <c r="J308" s="11">
        <v>7297.6869999999999</v>
      </c>
      <c r="K308" s="11">
        <v>60.448579000000002</v>
      </c>
      <c r="L308" s="12">
        <v>240.54527200000001</v>
      </c>
      <c r="M308" s="18">
        <f t="shared" si="66"/>
        <v>60.545272000000011</v>
      </c>
      <c r="N308" s="17">
        <f t="shared" si="57"/>
        <v>7297.6871908483481</v>
      </c>
      <c r="O308" s="14">
        <f t="shared" si="58"/>
        <v>1.437706304100675E-12</v>
      </c>
      <c r="P308" s="24">
        <f t="shared" si="59"/>
        <v>1.04919308796525E-8</v>
      </c>
      <c r="Q308" s="2">
        <f t="shared" si="67"/>
        <v>2.6151895554186941E-8</v>
      </c>
      <c r="R308" s="19">
        <f t="shared" si="68"/>
        <v>1.9084834821114782E-4</v>
      </c>
      <c r="S308" s="16">
        <f t="shared" si="69"/>
        <v>60.44857859272885</v>
      </c>
      <c r="T308" s="23">
        <f t="shared" si="60"/>
        <v>2.6247448658978101E-11</v>
      </c>
      <c r="U308" s="22">
        <f t="shared" si="61"/>
        <v>4.072711519143013E-7</v>
      </c>
      <c r="V308" s="16">
        <f t="shared" si="70"/>
        <v>60.545272414026854</v>
      </c>
      <c r="W308" s="23">
        <f t="shared" si="62"/>
        <v>2.7853275241795927E-11</v>
      </c>
      <c r="X308" s="22">
        <f t="shared" si="63"/>
        <v>4.1402684303193382E-7</v>
      </c>
    </row>
    <row r="309" spans="1:24" x14ac:dyDescent="0.45">
      <c r="A309">
        <v>-74.952259999999995</v>
      </c>
      <c r="B309">
        <v>-26.58023</v>
      </c>
      <c r="C309">
        <v>-74.843159999999997</v>
      </c>
      <c r="D309">
        <v>-26.707640000000001</v>
      </c>
      <c r="E309" s="13">
        <v>12729.160127631099</v>
      </c>
      <c r="F309" s="13">
        <v>-16.992215801350099</v>
      </c>
      <c r="G309" s="13">
        <f t="shared" si="64"/>
        <v>343.00778419864992</v>
      </c>
      <c r="H309" s="13">
        <v>-16.869206200911901</v>
      </c>
      <c r="I309" s="13">
        <f t="shared" si="65"/>
        <v>343.13079379908811</v>
      </c>
      <c r="J309" s="9">
        <v>12729.16</v>
      </c>
      <c r="K309" s="9">
        <v>343.00778400000002</v>
      </c>
      <c r="L309" s="10">
        <v>163.13079400000001</v>
      </c>
      <c r="M309" s="18">
        <f t="shared" si="66"/>
        <v>343.13079400000004</v>
      </c>
      <c r="N309" s="17">
        <f t="shared" si="57"/>
        <v>12729.160127606165</v>
      </c>
      <c r="O309" s="14">
        <f t="shared" si="58"/>
        <v>1.958865038525284E-12</v>
      </c>
      <c r="P309" s="24">
        <f t="shared" si="59"/>
        <v>2.4934706743806601E-8</v>
      </c>
      <c r="Q309" s="2">
        <f t="shared" si="67"/>
        <v>1.0024712143150149E-8</v>
      </c>
      <c r="R309" s="19">
        <f t="shared" si="68"/>
        <v>1.2760616482410114E-4</v>
      </c>
      <c r="S309" s="16">
        <f t="shared" si="69"/>
        <v>343.00778419883238</v>
      </c>
      <c r="T309" s="23">
        <f t="shared" si="60"/>
        <v>1.8246737454319373E-10</v>
      </c>
      <c r="U309" s="22">
        <f t="shared" si="61"/>
        <v>1.9883236745954491E-7</v>
      </c>
      <c r="V309" s="16">
        <f t="shared" si="70"/>
        <v>343.13079379926927</v>
      </c>
      <c r="W309" s="23">
        <f t="shared" si="62"/>
        <v>1.8115997590939514E-10</v>
      </c>
      <c r="X309" s="22">
        <f t="shared" si="63"/>
        <v>2.0073076711923932E-7</v>
      </c>
    </row>
    <row r="310" spans="1:24" x14ac:dyDescent="0.45">
      <c r="A310">
        <v>65.835390000000004</v>
      </c>
      <c r="B310">
        <v>170.96190999999999</v>
      </c>
      <c r="C310">
        <v>65.727909999999994</v>
      </c>
      <c r="D310">
        <v>170.84088</v>
      </c>
      <c r="E310" s="13">
        <v>13203.952390983501</v>
      </c>
      <c r="F310" s="13">
        <v>-155.126390983069</v>
      </c>
      <c r="G310" s="13">
        <f t="shared" si="64"/>
        <v>204.873609016931</v>
      </c>
      <c r="H310" s="13">
        <v>-155.23676904112301</v>
      </c>
      <c r="I310" s="13">
        <f t="shared" si="65"/>
        <v>204.76323095887699</v>
      </c>
      <c r="J310" s="11">
        <v>13203.951999999999</v>
      </c>
      <c r="K310" s="11">
        <v>204.87360899999999</v>
      </c>
      <c r="L310" s="12">
        <v>24.763231000000001</v>
      </c>
      <c r="M310" s="18">
        <f t="shared" si="66"/>
        <v>204.76323099999999</v>
      </c>
      <c r="N310" s="17">
        <f t="shared" si="57"/>
        <v>13203.952390535638</v>
      </c>
      <c r="O310" s="14">
        <f t="shared" si="58"/>
        <v>3.3918819360472103E-11</v>
      </c>
      <c r="P310" s="24">
        <f t="shared" si="59"/>
        <v>4.4786247599404305E-7</v>
      </c>
      <c r="Q310" s="2">
        <f t="shared" si="67"/>
        <v>2.9577178019987494E-8</v>
      </c>
      <c r="R310" s="19">
        <f t="shared" si="68"/>
        <v>3.9053563887136988E-4</v>
      </c>
      <c r="S310" s="16">
        <f t="shared" si="69"/>
        <v>204.87360901295116</v>
      </c>
      <c r="T310" s="23">
        <f t="shared" si="60"/>
        <v>3.9798351281206124E-9</v>
      </c>
      <c r="U310" s="22">
        <f t="shared" si="61"/>
        <v>1.2951176131537068E-8</v>
      </c>
      <c r="V310" s="16">
        <f t="shared" si="70"/>
        <v>204.76323095491742</v>
      </c>
      <c r="W310" s="23">
        <f t="shared" si="62"/>
        <v>3.9595704492967343E-9</v>
      </c>
      <c r="X310" s="22">
        <f t="shared" si="63"/>
        <v>4.5082572341925697E-8</v>
      </c>
    </row>
    <row r="311" spans="1:24" x14ac:dyDescent="0.45">
      <c r="A311">
        <v>-26.727869999999999</v>
      </c>
      <c r="B311">
        <v>38.045090000000002</v>
      </c>
      <c r="C311">
        <v>-26.840309999999999</v>
      </c>
      <c r="D311">
        <v>38.172600000000003</v>
      </c>
      <c r="E311" s="13">
        <v>17776.249194746899</v>
      </c>
      <c r="F311" s="13">
        <v>134.523413771138</v>
      </c>
      <c r="G311" s="13">
        <f t="shared" si="64"/>
        <v>134.523413771138</v>
      </c>
      <c r="H311" s="13">
        <v>134.46595393536001</v>
      </c>
      <c r="I311" s="13">
        <f t="shared" si="65"/>
        <v>134.46595393536001</v>
      </c>
      <c r="J311" s="9">
        <v>17776.249</v>
      </c>
      <c r="K311" s="9">
        <v>134.523414</v>
      </c>
      <c r="L311" s="10">
        <v>314.46595400000001</v>
      </c>
      <c r="M311" s="18">
        <f t="shared" si="66"/>
        <v>134.46595400000001</v>
      </c>
      <c r="N311" s="17">
        <f t="shared" si="57"/>
        <v>17776.249194215619</v>
      </c>
      <c r="O311" s="14">
        <f t="shared" si="58"/>
        <v>2.9887042268076E-11</v>
      </c>
      <c r="P311" s="24">
        <f t="shared" si="59"/>
        <v>5.3127951105125248E-7</v>
      </c>
      <c r="Q311" s="2">
        <f t="shared" si="67"/>
        <v>1.0925568130725196E-8</v>
      </c>
      <c r="R311" s="19">
        <f t="shared" si="68"/>
        <v>1.9421561955823563E-4</v>
      </c>
      <c r="S311" s="16">
        <f t="shared" si="69"/>
        <v>134.52341377249383</v>
      </c>
      <c r="T311" s="23">
        <f t="shared" si="60"/>
        <v>1.3558292266679928E-9</v>
      </c>
      <c r="U311" s="22">
        <f t="shared" si="61"/>
        <v>2.275061774525966E-7</v>
      </c>
      <c r="V311" s="16">
        <f t="shared" si="70"/>
        <v>134.46595393671819</v>
      </c>
      <c r="W311" s="23">
        <f t="shared" si="62"/>
        <v>1.3581882285507163E-9</v>
      </c>
      <c r="X311" s="22">
        <f t="shared" si="63"/>
        <v>6.3281817119786865E-8</v>
      </c>
    </row>
    <row r="312" spans="1:24" x14ac:dyDescent="0.45">
      <c r="A312">
        <v>-26.631070000000001</v>
      </c>
      <c r="B312">
        <v>-2.1562600000000001</v>
      </c>
      <c r="C312">
        <v>-26.629349999999999</v>
      </c>
      <c r="D312">
        <v>-2.0534500000000002</v>
      </c>
      <c r="E312" s="13">
        <v>10239.334692307801</v>
      </c>
      <c r="F312" s="13">
        <v>88.956604421695999</v>
      </c>
      <c r="G312" s="13">
        <f t="shared" si="64"/>
        <v>88.956604421695999</v>
      </c>
      <c r="H312" s="13">
        <v>88.910521836017196</v>
      </c>
      <c r="I312" s="13">
        <f t="shared" si="65"/>
        <v>88.910521836017196</v>
      </c>
      <c r="J312" s="11">
        <v>10239.334999999999</v>
      </c>
      <c r="K312" s="11">
        <v>88.956603999999999</v>
      </c>
      <c r="L312" s="12">
        <v>268.91052200000001</v>
      </c>
      <c r="M312" s="18">
        <f t="shared" si="66"/>
        <v>88.910522000000014</v>
      </c>
      <c r="N312" s="17">
        <f t="shared" si="57"/>
        <v>10239.33469179094</v>
      </c>
      <c r="O312" s="14">
        <f t="shared" si="58"/>
        <v>5.0477926308789451E-11</v>
      </c>
      <c r="P312" s="24">
        <f t="shared" si="59"/>
        <v>5.1686038204934448E-7</v>
      </c>
      <c r="Q312" s="2">
        <f t="shared" si="67"/>
        <v>3.0100495672595512E-8</v>
      </c>
      <c r="R312" s="19">
        <f t="shared" si="68"/>
        <v>3.0820905885775574E-4</v>
      </c>
      <c r="S312" s="16">
        <f t="shared" si="69"/>
        <v>88.956604421643178</v>
      </c>
      <c r="T312" s="23">
        <f t="shared" si="60"/>
        <v>5.2821746976405848E-11</v>
      </c>
      <c r="U312" s="22">
        <f t="shared" si="61"/>
        <v>4.2164317903825577E-7</v>
      </c>
      <c r="V312" s="16">
        <f t="shared" si="70"/>
        <v>88.910521835966136</v>
      </c>
      <c r="W312" s="23">
        <f t="shared" si="62"/>
        <v>5.1059600991720799E-11</v>
      </c>
      <c r="X312" s="22">
        <f t="shared" si="63"/>
        <v>1.6403387803620717E-7</v>
      </c>
    </row>
    <row r="313" spans="1:24" x14ac:dyDescent="0.45">
      <c r="A313">
        <v>-53.101390000000002</v>
      </c>
      <c r="B313">
        <v>174.91311999999999</v>
      </c>
      <c r="C313">
        <v>-53.094059999999999</v>
      </c>
      <c r="D313">
        <v>174.76838000000001</v>
      </c>
      <c r="E313" s="13">
        <v>9729.7411513921707</v>
      </c>
      <c r="F313" s="13">
        <v>-85.248549185738099</v>
      </c>
      <c r="G313" s="13">
        <f t="shared" si="64"/>
        <v>274.75145081426189</v>
      </c>
      <c r="H313" s="13">
        <v>-85.132806256540306</v>
      </c>
      <c r="I313" s="13">
        <f t="shared" si="65"/>
        <v>274.86719374345967</v>
      </c>
      <c r="J313" s="9">
        <v>9729.741</v>
      </c>
      <c r="K313" s="9">
        <v>274.75145099999997</v>
      </c>
      <c r="L313" s="10">
        <v>94.867193999999998</v>
      </c>
      <c r="M313" s="18">
        <f t="shared" si="66"/>
        <v>274.86719399999998</v>
      </c>
      <c r="N313" s="17">
        <f t="shared" si="57"/>
        <v>9729.7411513772095</v>
      </c>
      <c r="O313" s="14">
        <f t="shared" si="58"/>
        <v>1.5376758344721187E-12</v>
      </c>
      <c r="P313" s="24">
        <f t="shared" si="59"/>
        <v>1.496118784416467E-8</v>
      </c>
      <c r="Q313" s="2">
        <f t="shared" si="67"/>
        <v>1.5558195174648263E-8</v>
      </c>
      <c r="R313" s="19">
        <f t="shared" si="68"/>
        <v>1.5137720947677735E-4</v>
      </c>
      <c r="S313" s="16">
        <f t="shared" si="69"/>
        <v>274.75145081425848</v>
      </c>
      <c r="T313" s="23">
        <f t="shared" si="60"/>
        <v>3.4106051316484809E-12</v>
      </c>
      <c r="U313" s="22">
        <f t="shared" si="61"/>
        <v>1.8574149862615741E-7</v>
      </c>
      <c r="V313" s="16">
        <f t="shared" si="70"/>
        <v>274.86719374345671</v>
      </c>
      <c r="W313" s="23">
        <f t="shared" si="62"/>
        <v>2.9558577807620168E-12</v>
      </c>
      <c r="X313" s="22">
        <f t="shared" si="63"/>
        <v>2.5654327373558772E-7</v>
      </c>
    </row>
    <row r="314" spans="1:24" x14ac:dyDescent="0.45">
      <c r="A314">
        <v>-17.590499999999999</v>
      </c>
      <c r="B314">
        <v>-167.22135</v>
      </c>
      <c r="C314">
        <v>-17.477409999999999</v>
      </c>
      <c r="D314">
        <v>-167.34619000000001</v>
      </c>
      <c r="E314" s="13">
        <v>18230.853157602902</v>
      </c>
      <c r="F314" s="13">
        <v>-46.661811721031199</v>
      </c>
      <c r="G314" s="13">
        <f t="shared" si="64"/>
        <v>313.3381882789688</v>
      </c>
      <c r="H314" s="13">
        <v>-46.624201024298898</v>
      </c>
      <c r="I314" s="13">
        <f t="shared" si="65"/>
        <v>313.37579897570112</v>
      </c>
      <c r="J314" s="11">
        <v>18230.852999999999</v>
      </c>
      <c r="K314" s="11">
        <v>313.338188</v>
      </c>
      <c r="L314" s="12">
        <v>133.375799</v>
      </c>
      <c r="M314" s="18">
        <f t="shared" si="66"/>
        <v>313.37579900000003</v>
      </c>
      <c r="N314" s="17">
        <f t="shared" si="57"/>
        <v>18230.853156675192</v>
      </c>
      <c r="O314" s="14">
        <f t="shared" si="58"/>
        <v>5.0886815534090845E-11</v>
      </c>
      <c r="P314" s="24">
        <f t="shared" si="59"/>
        <v>9.2771006166003644E-7</v>
      </c>
      <c r="Q314" s="2">
        <f t="shared" si="67"/>
        <v>8.593958415252255E-9</v>
      </c>
      <c r="R314" s="19">
        <f t="shared" si="68"/>
        <v>1.566751925565768E-4</v>
      </c>
      <c r="S314" s="16">
        <f t="shared" si="69"/>
        <v>313.33818828136907</v>
      </c>
      <c r="T314" s="23">
        <f t="shared" si="60"/>
        <v>2.4002702048164792E-9</v>
      </c>
      <c r="U314" s="22">
        <f t="shared" si="61"/>
        <v>2.8136906848885701E-7</v>
      </c>
      <c r="V314" s="16">
        <f t="shared" si="70"/>
        <v>313.37579897809815</v>
      </c>
      <c r="W314" s="23">
        <f t="shared" si="62"/>
        <v>2.3970301299414132E-9</v>
      </c>
      <c r="X314" s="22">
        <f t="shared" si="63"/>
        <v>2.190188297390705E-8</v>
      </c>
    </row>
    <row r="315" spans="1:24" x14ac:dyDescent="0.45">
      <c r="A315">
        <v>85.293099999999995</v>
      </c>
      <c r="B315">
        <v>81.5137</v>
      </c>
      <c r="C315">
        <v>85.383160000000004</v>
      </c>
      <c r="D315">
        <v>81.513400000000004</v>
      </c>
      <c r="E315" s="13">
        <v>10058.488451130899</v>
      </c>
      <c r="F315" s="13">
        <v>-1.53632728865716E-2</v>
      </c>
      <c r="G315" s="13">
        <f t="shared" si="64"/>
        <v>359.98463672711341</v>
      </c>
      <c r="H315" s="13">
        <v>-1.5662280487584199E-2</v>
      </c>
      <c r="I315" s="13">
        <f t="shared" si="65"/>
        <v>359.98433771951244</v>
      </c>
      <c r="J315" s="9">
        <v>10058.487999999999</v>
      </c>
      <c r="K315" s="9">
        <v>359.98463700000002</v>
      </c>
      <c r="L315" s="10">
        <v>179.98433800000001</v>
      </c>
      <c r="M315" s="18">
        <f t="shared" si="66"/>
        <v>359.98433799999998</v>
      </c>
      <c r="N315" s="17">
        <f t="shared" si="57"/>
        <v>10058.488451134353</v>
      </c>
      <c r="O315" s="14">
        <f t="shared" si="58"/>
        <v>3.4341749201344571E-13</v>
      </c>
      <c r="P315" s="24">
        <f t="shared" si="59"/>
        <v>3.4542608773335814E-9</v>
      </c>
      <c r="Q315" s="2">
        <f t="shared" si="67"/>
        <v>4.4851110234444854E-8</v>
      </c>
      <c r="R315" s="19">
        <f t="shared" si="68"/>
        <v>4.511343540798407E-4</v>
      </c>
      <c r="S315" s="16">
        <f t="shared" si="69"/>
        <v>359.98463672711887</v>
      </c>
      <c r="T315" s="23">
        <f t="shared" si="60"/>
        <v>5.4569682106375694E-12</v>
      </c>
      <c r="U315" s="22">
        <f t="shared" si="61"/>
        <v>2.728811523411423E-7</v>
      </c>
      <c r="V315" s="16">
        <f t="shared" si="70"/>
        <v>359.98433771951795</v>
      </c>
      <c r="W315" s="23">
        <f t="shared" si="62"/>
        <v>5.5138116294983774E-12</v>
      </c>
      <c r="X315" s="22">
        <f t="shared" si="63"/>
        <v>2.804820269375341E-7</v>
      </c>
    </row>
    <row r="316" spans="1:24" x14ac:dyDescent="0.45">
      <c r="A316">
        <v>-62.232089999999999</v>
      </c>
      <c r="B316">
        <v>-138.51569000000001</v>
      </c>
      <c r="C316">
        <v>-62.14969</v>
      </c>
      <c r="D316">
        <v>-138.52848</v>
      </c>
      <c r="E316" s="13">
        <v>9207.4873052337407</v>
      </c>
      <c r="F316" s="13">
        <v>-4.15347749435408</v>
      </c>
      <c r="G316" s="13">
        <f t="shared" si="64"/>
        <v>355.84652250564591</v>
      </c>
      <c r="H316" s="13">
        <v>-4.1421646493317503</v>
      </c>
      <c r="I316" s="13">
        <f t="shared" si="65"/>
        <v>355.85783535066827</v>
      </c>
      <c r="J316" s="11">
        <v>9207.4869999999992</v>
      </c>
      <c r="K316" s="11">
        <v>355.84652299999999</v>
      </c>
      <c r="L316" s="12">
        <v>175.85783499999999</v>
      </c>
      <c r="M316" s="18">
        <f t="shared" si="66"/>
        <v>355.85783500000002</v>
      </c>
      <c r="N316" s="17">
        <f t="shared" si="57"/>
        <v>9207.4873051915674</v>
      </c>
      <c r="O316" s="14">
        <f t="shared" si="58"/>
        <v>4.5803233741347064E-12</v>
      </c>
      <c r="P316" s="24">
        <f t="shared" si="59"/>
        <v>4.2173269321210682E-8</v>
      </c>
      <c r="Q316" s="2">
        <f t="shared" si="67"/>
        <v>3.3146022172937458E-8</v>
      </c>
      <c r="R316" s="19">
        <f t="shared" si="68"/>
        <v>3.0519156825903337E-4</v>
      </c>
      <c r="S316" s="16">
        <f t="shared" si="69"/>
        <v>355.84652250727203</v>
      </c>
      <c r="T316" s="23">
        <f t="shared" si="60"/>
        <v>1.6261196833511349E-9</v>
      </c>
      <c r="U316" s="22">
        <f t="shared" si="61"/>
        <v>4.9272796331933932E-7</v>
      </c>
      <c r="V316" s="16">
        <f t="shared" si="70"/>
        <v>355.85783535229001</v>
      </c>
      <c r="W316" s="23">
        <f t="shared" si="62"/>
        <v>1.6217427400988527E-9</v>
      </c>
      <c r="X316" s="22">
        <f t="shared" si="63"/>
        <v>3.5228998740421957E-7</v>
      </c>
    </row>
    <row r="317" spans="1:24" x14ac:dyDescent="0.45">
      <c r="A317">
        <v>-5.1765699999999999</v>
      </c>
      <c r="B317">
        <v>12.51703</v>
      </c>
      <c r="C317">
        <v>-5.1373499999999996</v>
      </c>
      <c r="D317">
        <v>12.44454</v>
      </c>
      <c r="E317" s="13">
        <v>9132.6472685119006</v>
      </c>
      <c r="F317" s="13">
        <v>-61.650559916493201</v>
      </c>
      <c r="G317" s="13">
        <f t="shared" si="64"/>
        <v>298.34944008350681</v>
      </c>
      <c r="H317" s="13">
        <v>-61.644044190984197</v>
      </c>
      <c r="I317" s="13">
        <f t="shared" si="65"/>
        <v>298.35595580901582</v>
      </c>
      <c r="J317" s="9">
        <v>9132.6470000000008</v>
      </c>
      <c r="K317" s="9">
        <v>298.34944000000002</v>
      </c>
      <c r="L317" s="10">
        <v>118.35595600000001</v>
      </c>
      <c r="M317" s="18">
        <f t="shared" si="66"/>
        <v>298.35595599999999</v>
      </c>
      <c r="N317" s="17">
        <f t="shared" si="57"/>
        <v>9132.6472675806217</v>
      </c>
      <c r="O317" s="14">
        <f t="shared" si="58"/>
        <v>1.0197250495819693E-10</v>
      </c>
      <c r="P317" s="24">
        <f t="shared" si="59"/>
        <v>9.3127891886979342E-7</v>
      </c>
      <c r="Q317" s="2">
        <f t="shared" si="67"/>
        <v>2.929934999756242E-8</v>
      </c>
      <c r="R317" s="19">
        <f t="shared" si="68"/>
        <v>2.6758062085718848E-4</v>
      </c>
      <c r="S317" s="16">
        <f t="shared" si="69"/>
        <v>298.34944008644061</v>
      </c>
      <c r="T317" s="23">
        <f t="shared" si="60"/>
        <v>2.9338025342440233E-9</v>
      </c>
      <c r="U317" s="22">
        <f t="shared" si="61"/>
        <v>8.6440593349834671E-8</v>
      </c>
      <c r="V317" s="16">
        <f t="shared" si="70"/>
        <v>298.35595581194866</v>
      </c>
      <c r="W317" s="23">
        <f t="shared" si="62"/>
        <v>2.9328361961233895E-9</v>
      </c>
      <c r="X317" s="22">
        <f t="shared" si="63"/>
        <v>1.8805133095156634E-7</v>
      </c>
    </row>
    <row r="318" spans="1:24" x14ac:dyDescent="0.45">
      <c r="A318">
        <v>-45.983930000000001</v>
      </c>
      <c r="B318">
        <v>-139.57661999999999</v>
      </c>
      <c r="C318">
        <v>-45.892330000000001</v>
      </c>
      <c r="D318">
        <v>-139.54764</v>
      </c>
      <c r="E318" s="13">
        <v>10426.439158953701</v>
      </c>
      <c r="F318" s="13">
        <v>12.458031382551701</v>
      </c>
      <c r="G318" s="13">
        <f t="shared" si="64"/>
        <v>12.458031382551701</v>
      </c>
      <c r="H318" s="13">
        <v>12.4372066587826</v>
      </c>
      <c r="I318" s="13">
        <f t="shared" si="65"/>
        <v>12.4372066587826</v>
      </c>
      <c r="J318" s="11">
        <v>10426.439</v>
      </c>
      <c r="K318" s="11">
        <v>12.458031</v>
      </c>
      <c r="L318" s="12">
        <v>192.437207</v>
      </c>
      <c r="M318" s="18">
        <f t="shared" si="66"/>
        <v>12.437207000000001</v>
      </c>
      <c r="N318" s="17">
        <f t="shared" si="57"/>
        <v>10426.439158915542</v>
      </c>
      <c r="O318" s="14">
        <f t="shared" si="58"/>
        <v>3.6598074496810505E-12</v>
      </c>
      <c r="P318" s="24">
        <f t="shared" si="59"/>
        <v>3.8158759707584977E-8</v>
      </c>
      <c r="Q318" s="2">
        <f t="shared" si="67"/>
        <v>1.5241593199797845E-8</v>
      </c>
      <c r="R318" s="19">
        <f t="shared" si="68"/>
        <v>1.5891554176050704E-4</v>
      </c>
      <c r="S318" s="16">
        <f t="shared" si="69"/>
        <v>12.458031382488677</v>
      </c>
      <c r="T318" s="23">
        <f t="shared" si="60"/>
        <v>6.3023364305081486E-11</v>
      </c>
      <c r="U318" s="22">
        <f t="shared" si="61"/>
        <v>3.8248867717527446E-7</v>
      </c>
      <c r="V318" s="16">
        <f t="shared" si="70"/>
        <v>12.437206658720033</v>
      </c>
      <c r="W318" s="23">
        <f t="shared" si="62"/>
        <v>6.2566840597355622E-11</v>
      </c>
      <c r="X318" s="22">
        <f t="shared" si="63"/>
        <v>3.4127996784150127E-7</v>
      </c>
    </row>
    <row r="319" spans="1:24" x14ac:dyDescent="0.45">
      <c r="A319">
        <v>50.101320000000001</v>
      </c>
      <c r="B319">
        <v>-22.025069999999999</v>
      </c>
      <c r="C319">
        <v>50.119689999999999</v>
      </c>
      <c r="D319">
        <v>-22.005089999999999</v>
      </c>
      <c r="E319" s="13">
        <v>2493.5402159830101</v>
      </c>
      <c r="F319" s="13">
        <v>34.963143251273202</v>
      </c>
      <c r="G319" s="13">
        <f t="shared" si="64"/>
        <v>34.963143251273202</v>
      </c>
      <c r="H319" s="13">
        <v>34.978473560813399</v>
      </c>
      <c r="I319" s="13">
        <f t="shared" si="65"/>
        <v>34.978473560813399</v>
      </c>
      <c r="J319" s="9">
        <v>2493.54</v>
      </c>
      <c r="K319" s="9">
        <v>34.963143000000002</v>
      </c>
      <c r="L319" s="10">
        <v>214.97847400000001</v>
      </c>
      <c r="M319" s="18">
        <f t="shared" si="66"/>
        <v>34.978474000000006</v>
      </c>
      <c r="N319" s="17">
        <f t="shared" si="57"/>
        <v>2493.540213809641</v>
      </c>
      <c r="O319" s="14">
        <f t="shared" si="58"/>
        <v>8.7159974318442135E-10</v>
      </c>
      <c r="P319" s="24">
        <f t="shared" si="59"/>
        <v>2.1733690118708182E-6</v>
      </c>
      <c r="Q319" s="2">
        <f t="shared" si="67"/>
        <v>8.5745422604711565E-8</v>
      </c>
      <c r="R319" s="19">
        <f t="shared" si="68"/>
        <v>2.1380964108175249E-4</v>
      </c>
      <c r="S319" s="16">
        <f t="shared" si="69"/>
        <v>34.963143180129549</v>
      </c>
      <c r="T319" s="23">
        <f t="shared" si="60"/>
        <v>7.1143652746741282E-8</v>
      </c>
      <c r="U319" s="22">
        <f t="shared" si="61"/>
        <v>1.8012954683399585E-7</v>
      </c>
      <c r="V319" s="16">
        <f t="shared" si="70"/>
        <v>34.978473489630467</v>
      </c>
      <c r="W319" s="23">
        <f t="shared" si="62"/>
        <v>7.11829315491741E-8</v>
      </c>
      <c r="X319" s="22">
        <f t="shared" si="63"/>
        <v>5.1036953863103918E-7</v>
      </c>
    </row>
    <row r="320" spans="1:24" x14ac:dyDescent="0.45">
      <c r="A320">
        <v>2.5049100000000002</v>
      </c>
      <c r="B320">
        <v>44.176459999999999</v>
      </c>
      <c r="C320">
        <v>2.52488</v>
      </c>
      <c r="D320">
        <v>44.280160000000002</v>
      </c>
      <c r="E320" s="13">
        <v>11742.289881187</v>
      </c>
      <c r="F320" s="13">
        <v>79.158357130965996</v>
      </c>
      <c r="G320" s="13">
        <f t="shared" si="64"/>
        <v>79.158357130965996</v>
      </c>
      <c r="H320" s="13">
        <v>79.162907395497797</v>
      </c>
      <c r="I320" s="13">
        <f t="shared" si="65"/>
        <v>79.162907395497797</v>
      </c>
      <c r="J320" s="11">
        <v>11742.29</v>
      </c>
      <c r="K320" s="11">
        <v>79.158356999999995</v>
      </c>
      <c r="L320" s="12">
        <v>259.16290700000002</v>
      </c>
      <c r="M320" s="18">
        <f t="shared" si="66"/>
        <v>79.162907000000018</v>
      </c>
      <c r="N320" s="17">
        <f t="shared" si="57"/>
        <v>11742.289879682554</v>
      </c>
      <c r="O320" s="14">
        <f t="shared" si="58"/>
        <v>1.2812203864224641E-10</v>
      </c>
      <c r="P320" s="24">
        <f t="shared" si="59"/>
        <v>1.5044461179058999E-6</v>
      </c>
      <c r="Q320" s="2">
        <f t="shared" si="67"/>
        <v>1.0246506175477852E-8</v>
      </c>
      <c r="R320" s="19">
        <f t="shared" si="68"/>
        <v>1.2031744699925184E-4</v>
      </c>
      <c r="S320" s="16">
        <f t="shared" si="69"/>
        <v>79.158357129636386</v>
      </c>
      <c r="T320" s="23">
        <f t="shared" si="60"/>
        <v>1.3296101997184451E-9</v>
      </c>
      <c r="U320" s="22">
        <f t="shared" si="61"/>
        <v>1.29636390511223E-7</v>
      </c>
      <c r="V320" s="16">
        <f t="shared" si="70"/>
        <v>79.162907394167831</v>
      </c>
      <c r="W320" s="23">
        <f t="shared" si="62"/>
        <v>1.3299654710863251E-9</v>
      </c>
      <c r="X320" s="22">
        <f t="shared" si="63"/>
        <v>3.9416781305590121E-7</v>
      </c>
    </row>
    <row r="321" spans="1:24" x14ac:dyDescent="0.45">
      <c r="A321">
        <v>14.74234</v>
      </c>
      <c r="B321">
        <v>-31.122050000000002</v>
      </c>
      <c r="C321">
        <v>14.670439999999999</v>
      </c>
      <c r="D321">
        <v>-31.158519999999999</v>
      </c>
      <c r="E321" s="13">
        <v>8872.1793093299802</v>
      </c>
      <c r="F321" s="13">
        <v>-153.71942548738599</v>
      </c>
      <c r="G321" s="13">
        <f t="shared" si="64"/>
        <v>206.28057451261401</v>
      </c>
      <c r="H321" s="13">
        <v>-153.72868397593101</v>
      </c>
      <c r="I321" s="13">
        <f t="shared" si="65"/>
        <v>206.27131602406899</v>
      </c>
      <c r="J321" s="9">
        <v>8872.1790000000001</v>
      </c>
      <c r="K321" s="9">
        <v>206.280575</v>
      </c>
      <c r="L321" s="10">
        <v>26.271315999999999</v>
      </c>
      <c r="M321" s="18">
        <f t="shared" si="66"/>
        <v>206.27131600000001</v>
      </c>
      <c r="N321" s="17">
        <f t="shared" si="57"/>
        <v>8872.1793091042782</v>
      </c>
      <c r="O321" s="14">
        <f t="shared" si="58"/>
        <v>2.5439299219755992E-11</v>
      </c>
      <c r="P321" s="24">
        <f t="shared" si="59"/>
        <v>2.2570202418137342E-7</v>
      </c>
      <c r="Q321" s="2">
        <f t="shared" si="67"/>
        <v>3.4839725182583631E-8</v>
      </c>
      <c r="R321" s="19">
        <f t="shared" si="68"/>
        <v>3.0910427813068964E-4</v>
      </c>
      <c r="S321" s="16">
        <f t="shared" si="69"/>
        <v>206.28057451042986</v>
      </c>
      <c r="T321" s="23">
        <f t="shared" si="60"/>
        <v>2.1841515263076872E-9</v>
      </c>
      <c r="U321" s="22">
        <f t="shared" si="61"/>
        <v>4.8957014087136486E-7</v>
      </c>
      <c r="V321" s="16">
        <f t="shared" si="70"/>
        <v>206.27131602188589</v>
      </c>
      <c r="W321" s="23">
        <f t="shared" si="62"/>
        <v>2.1830999230587622E-9</v>
      </c>
      <c r="X321" s="22">
        <f t="shared" si="63"/>
        <v>2.1885881551497732E-8</v>
      </c>
    </row>
    <row r="322" spans="1:24" x14ac:dyDescent="0.45">
      <c r="A322">
        <v>-7.7595900000000002</v>
      </c>
      <c r="B322">
        <v>-54.59355</v>
      </c>
      <c r="C322">
        <v>-7.6051099999999998</v>
      </c>
      <c r="D322">
        <v>-54.727649999999997</v>
      </c>
      <c r="E322" s="13">
        <v>22600.2229405791</v>
      </c>
      <c r="F322" s="13">
        <v>-40.900772835505897</v>
      </c>
      <c r="G322" s="13">
        <f t="shared" si="64"/>
        <v>319.0992271644941</v>
      </c>
      <c r="H322" s="13">
        <v>-40.882846201548901</v>
      </c>
      <c r="I322" s="13">
        <f t="shared" si="65"/>
        <v>319.11715379845111</v>
      </c>
      <c r="J322" s="11">
        <v>22600.223000000002</v>
      </c>
      <c r="K322" s="11">
        <v>319.09922699999998</v>
      </c>
      <c r="L322" s="12">
        <v>139.117154</v>
      </c>
      <c r="M322" s="18">
        <f t="shared" si="66"/>
        <v>319.11715400000003</v>
      </c>
      <c r="N322" s="17">
        <f t="shared" si="57"/>
        <v>22600.22293928697</v>
      </c>
      <c r="O322" s="14">
        <f t="shared" si="58"/>
        <v>5.7173331437592947E-11</v>
      </c>
      <c r="P322" s="24">
        <f t="shared" si="59"/>
        <v>1.2921300367452204E-6</v>
      </c>
      <c r="Q322" s="2">
        <f t="shared" si="67"/>
        <v>2.6863908120077427E-9</v>
      </c>
      <c r="R322" s="19">
        <f t="shared" si="68"/>
        <v>6.0713031416526064E-5</v>
      </c>
      <c r="S322" s="16">
        <f t="shared" si="69"/>
        <v>319.09922716781881</v>
      </c>
      <c r="T322" s="23">
        <f t="shared" si="60"/>
        <v>3.3247147257498E-9</v>
      </c>
      <c r="U322" s="22">
        <f t="shared" si="61"/>
        <v>1.678188255027635E-7</v>
      </c>
      <c r="V322" s="16">
        <f t="shared" si="70"/>
        <v>319.11715380177378</v>
      </c>
      <c r="W322" s="23">
        <f t="shared" si="62"/>
        <v>3.3226683626708109E-9</v>
      </c>
      <c r="X322" s="22">
        <f t="shared" si="63"/>
        <v>1.9822624608423212E-7</v>
      </c>
    </row>
    <row r="323" spans="1:24" x14ac:dyDescent="0.45">
      <c r="A323">
        <v>10.917109999999999</v>
      </c>
      <c r="B323">
        <v>142.5992</v>
      </c>
      <c r="C323">
        <v>11.012449999999999</v>
      </c>
      <c r="D323">
        <v>142.58949999999999</v>
      </c>
      <c r="E323" s="13">
        <v>10599.1415353882</v>
      </c>
      <c r="F323" s="13">
        <v>-5.7398828804880404</v>
      </c>
      <c r="G323" s="13">
        <f t="shared" si="64"/>
        <v>354.26011711951196</v>
      </c>
      <c r="H323" s="13">
        <v>-5.7417278749517804</v>
      </c>
      <c r="I323" s="13">
        <f t="shared" si="65"/>
        <v>354.25827212504822</v>
      </c>
      <c r="J323" s="9">
        <v>10599.142</v>
      </c>
      <c r="K323" s="9">
        <v>354.26011699999998</v>
      </c>
      <c r="L323" s="10">
        <v>174.25827200000001</v>
      </c>
      <c r="M323" s="18">
        <f t="shared" si="66"/>
        <v>354.25827200000003</v>
      </c>
      <c r="N323" s="17">
        <f t="shared" ref="N323:N386" si="71">VincentyInvDistance($A323,$B323,$C323,$D323)</f>
        <v>10599.141535311506</v>
      </c>
      <c r="O323" s="14">
        <f t="shared" ref="O323:O386" si="72">ABS((E323-N323)/E323)</f>
        <v>7.2358737701199099E-12</v>
      </c>
      <c r="P323" s="24">
        <f t="shared" ref="P323:P386" si="73">ABS(E323-N323)</f>
        <v>7.6694050221703947E-8</v>
      </c>
      <c r="Q323" s="2">
        <f t="shared" si="67"/>
        <v>4.3842085858809359E-8</v>
      </c>
      <c r="R323" s="19">
        <f t="shared" si="68"/>
        <v>4.6468849359371234E-4</v>
      </c>
      <c r="S323" s="16">
        <f t="shared" si="69"/>
        <v>354.26011712010137</v>
      </c>
      <c r="T323" s="23">
        <f t="shared" ref="T323:T386" si="74">ABS(G323-S323)</f>
        <v>5.8940941016771831E-10</v>
      </c>
      <c r="U323" s="22">
        <f t="shared" ref="U323:U386" si="75">ABS(K323-S323)</f>
        <v>1.2010139016638277E-7</v>
      </c>
      <c r="V323" s="16">
        <f t="shared" si="70"/>
        <v>354.25827212563786</v>
      </c>
      <c r="W323" s="23">
        <f t="shared" ref="W323:W386" si="76">ABS(I323-V323)</f>
        <v>5.8963678384316154E-10</v>
      </c>
      <c r="X323" s="22">
        <f t="shared" ref="X323:X386" si="77">ABS(M323-V323)</f>
        <v>1.2563782547658775E-7</v>
      </c>
    </row>
    <row r="324" spans="1:24" x14ac:dyDescent="0.45">
      <c r="A324">
        <v>-15.27093</v>
      </c>
      <c r="B324">
        <v>105.7351</v>
      </c>
      <c r="C324">
        <v>-15.180289999999999</v>
      </c>
      <c r="D324">
        <v>105.78307</v>
      </c>
      <c r="E324" s="13">
        <v>11276.077537937899</v>
      </c>
      <c r="F324" s="13">
        <v>27.203308983104598</v>
      </c>
      <c r="G324" s="13">
        <f t="shared" ref="G324:G387" si="78">NormalizeAzimuth(F324, TRUE)</f>
        <v>27.203308983104598</v>
      </c>
      <c r="H324" s="13">
        <v>27.1907110733429</v>
      </c>
      <c r="I324" s="13">
        <f t="shared" ref="I324:I387" si="79">NormalizeAzimuth(H324, TRUE)</f>
        <v>27.1907110733429</v>
      </c>
      <c r="J324" s="11">
        <v>11276.078</v>
      </c>
      <c r="K324" s="11">
        <v>27.203309000000001</v>
      </c>
      <c r="L324" s="12">
        <v>207.19071099999999</v>
      </c>
      <c r="M324" s="18">
        <f t="shared" ref="M324:M387" si="80">NormalizeAzimuth(L324+180, TRUE)</f>
        <v>27.190710999999965</v>
      </c>
      <c r="N324" s="17">
        <f t="shared" si="71"/>
        <v>11276.077537644014</v>
      </c>
      <c r="O324" s="14">
        <f t="shared" si="72"/>
        <v>2.6062699728262974E-11</v>
      </c>
      <c r="P324" s="24">
        <f t="shared" si="73"/>
        <v>2.938850229838863E-7</v>
      </c>
      <c r="Q324" s="2">
        <f t="shared" ref="Q324:Q387" si="81">ABS((J324-N324)/J324)</f>
        <v>4.1003262419047783E-8</v>
      </c>
      <c r="R324" s="19">
        <f t="shared" ref="R324:R387" si="82">ABS(J324-N324)</f>
        <v>4.6235598529165145E-4</v>
      </c>
      <c r="S324" s="16">
        <f t="shared" ref="S324:S387" si="83">VincentyInvFwdAzimuth($A324,$B324,$C324,$D324)</f>
        <v>27.203308980943302</v>
      </c>
      <c r="T324" s="23">
        <f t="shared" si="74"/>
        <v>2.1612969192119635E-9</v>
      </c>
      <c r="U324" s="22">
        <f t="shared" si="75"/>
        <v>1.9056699329667026E-8</v>
      </c>
      <c r="V324" s="16">
        <f t="shared" ref="V324:V387" si="84">VincentyInvRevAzimuth($A324,$B324,$C324,$D324)</f>
        <v>27.190711071182452</v>
      </c>
      <c r="W324" s="23">
        <f t="shared" si="76"/>
        <v>2.1604478206427302E-9</v>
      </c>
      <c r="X324" s="22">
        <f t="shared" si="77"/>
        <v>7.118248745996425E-8</v>
      </c>
    </row>
    <row r="325" spans="1:24" x14ac:dyDescent="0.45">
      <c r="A325">
        <v>-42.531390000000002</v>
      </c>
      <c r="B325">
        <v>48.64846</v>
      </c>
      <c r="C325">
        <v>-42.4711</v>
      </c>
      <c r="D325">
        <v>48.587870000000002</v>
      </c>
      <c r="E325" s="13">
        <v>8346.0289964470503</v>
      </c>
      <c r="F325" s="13">
        <v>-36.656641823713201</v>
      </c>
      <c r="G325" s="13">
        <f t="shared" si="78"/>
        <v>323.34335817628681</v>
      </c>
      <c r="H325" s="13">
        <v>-36.615706834597297</v>
      </c>
      <c r="I325" s="13">
        <f t="shared" si="79"/>
        <v>323.38429316540271</v>
      </c>
      <c r="J325" s="9">
        <v>8346.0290000000005</v>
      </c>
      <c r="K325" s="9">
        <v>323.34335800000002</v>
      </c>
      <c r="L325" s="10">
        <v>143.38429300000001</v>
      </c>
      <c r="M325" s="18">
        <f t="shared" si="80"/>
        <v>323.38429300000001</v>
      </c>
      <c r="N325" s="17">
        <f t="shared" si="71"/>
        <v>8346.0289963862233</v>
      </c>
      <c r="O325" s="14">
        <f t="shared" si="72"/>
        <v>7.2881373501659084E-12</v>
      </c>
      <c r="P325" s="24">
        <f t="shared" si="73"/>
        <v>6.0827005654573441E-8</v>
      </c>
      <c r="Q325" s="2">
        <f t="shared" si="81"/>
        <v>4.3299360127762976E-10</v>
      </c>
      <c r="R325" s="19">
        <f t="shared" si="82"/>
        <v>3.6137771530775353E-6</v>
      </c>
      <c r="S325" s="16">
        <f t="shared" si="83"/>
        <v>323.34335817655</v>
      </c>
      <c r="T325" s="23">
        <f t="shared" si="74"/>
        <v>2.6318502932554111E-10</v>
      </c>
      <c r="U325" s="22">
        <f t="shared" si="75"/>
        <v>1.7654997463978361E-7</v>
      </c>
      <c r="V325" s="16">
        <f t="shared" si="84"/>
        <v>323.38429316566499</v>
      </c>
      <c r="W325" s="23">
        <f t="shared" si="76"/>
        <v>2.6227553462376818E-10</v>
      </c>
      <c r="X325" s="22">
        <f t="shared" si="77"/>
        <v>1.6566497151870863E-7</v>
      </c>
    </row>
    <row r="326" spans="1:24" x14ac:dyDescent="0.45">
      <c r="A326">
        <v>30.516100000000002</v>
      </c>
      <c r="B326">
        <v>-72.533649999999994</v>
      </c>
      <c r="C326">
        <v>30.599319999999999</v>
      </c>
      <c r="D326">
        <v>-72.693790000000007</v>
      </c>
      <c r="E326" s="13">
        <v>17921.377657653102</v>
      </c>
      <c r="F326" s="13">
        <v>-58.975223451239302</v>
      </c>
      <c r="G326" s="13">
        <f t="shared" si="78"/>
        <v>301.02477654876071</v>
      </c>
      <c r="H326" s="13">
        <v>-59.056639643301999</v>
      </c>
      <c r="I326" s="13">
        <f t="shared" si="79"/>
        <v>300.94336035669801</v>
      </c>
      <c r="J326" s="11">
        <v>17921.378000000001</v>
      </c>
      <c r="K326" s="11">
        <v>301.02477699999997</v>
      </c>
      <c r="L326" s="12">
        <v>120.94336</v>
      </c>
      <c r="M326" s="18">
        <f t="shared" si="80"/>
        <v>300.94335999999998</v>
      </c>
      <c r="N326" s="17">
        <f t="shared" si="71"/>
        <v>17921.377657114394</v>
      </c>
      <c r="O326" s="14">
        <f t="shared" si="72"/>
        <v>3.0059534153351492E-11</v>
      </c>
      <c r="P326" s="24">
        <f t="shared" si="73"/>
        <v>5.3870826377533376E-7</v>
      </c>
      <c r="Q326" s="2">
        <f t="shared" si="81"/>
        <v>1.9132770208676601E-8</v>
      </c>
      <c r="R326" s="19">
        <f t="shared" si="82"/>
        <v>3.4288560709683225E-4</v>
      </c>
      <c r="S326" s="16">
        <f t="shared" si="83"/>
        <v>301.02477654960808</v>
      </c>
      <c r="T326" s="23">
        <f t="shared" si="74"/>
        <v>8.4736484495806508E-10</v>
      </c>
      <c r="U326" s="22">
        <f t="shared" si="75"/>
        <v>4.5039189444651129E-7</v>
      </c>
      <c r="V326" s="16">
        <f t="shared" si="84"/>
        <v>300.94336035754736</v>
      </c>
      <c r="W326" s="23">
        <f t="shared" si="76"/>
        <v>8.4935436461819336E-10</v>
      </c>
      <c r="X326" s="22">
        <f t="shared" si="77"/>
        <v>3.5754737837123685E-7</v>
      </c>
    </row>
    <row r="327" spans="1:24" x14ac:dyDescent="0.45">
      <c r="A327">
        <v>-73.167670000000001</v>
      </c>
      <c r="B327">
        <v>-112.94094</v>
      </c>
      <c r="C327">
        <v>-73.046449999999993</v>
      </c>
      <c r="D327">
        <v>-112.78610999999999</v>
      </c>
      <c r="E327" s="13">
        <v>14430.696843715899</v>
      </c>
      <c r="F327" s="13">
        <v>20.447283830498201</v>
      </c>
      <c r="G327" s="13">
        <f t="shared" si="78"/>
        <v>20.447283830498201</v>
      </c>
      <c r="H327" s="13">
        <v>20.2991347477913</v>
      </c>
      <c r="I327" s="13">
        <f t="shared" si="79"/>
        <v>20.2991347477913</v>
      </c>
      <c r="J327" s="9">
        <v>14430.697</v>
      </c>
      <c r="K327" s="9">
        <v>20.447284</v>
      </c>
      <c r="L327" s="10">
        <v>200.29913500000001</v>
      </c>
      <c r="M327" s="18">
        <f t="shared" si="80"/>
        <v>20.299134999999978</v>
      </c>
      <c r="N327" s="17">
        <f t="shared" si="71"/>
        <v>14430.696843659309</v>
      </c>
      <c r="O327" s="14">
        <f t="shared" si="72"/>
        <v>3.9215416931413472E-12</v>
      </c>
      <c r="P327" s="24">
        <f t="shared" si="73"/>
        <v>5.6590579333715141E-8</v>
      </c>
      <c r="Q327" s="2">
        <f t="shared" si="81"/>
        <v>1.0833897442320433E-8</v>
      </c>
      <c r="R327" s="19">
        <f t="shared" si="82"/>
        <v>1.5634069131920114E-4</v>
      </c>
      <c r="S327" s="16">
        <f t="shared" si="83"/>
        <v>20.447283830073761</v>
      </c>
      <c r="T327" s="23">
        <f t="shared" si="74"/>
        <v>4.2443915049261705E-10</v>
      </c>
      <c r="U327" s="22">
        <f t="shared" si="75"/>
        <v>1.699262384136091E-7</v>
      </c>
      <c r="V327" s="16">
        <f t="shared" si="84"/>
        <v>20.299134747370459</v>
      </c>
      <c r="W327" s="23">
        <f t="shared" si="76"/>
        <v>4.2084025153599214E-10</v>
      </c>
      <c r="X327" s="22">
        <f t="shared" si="77"/>
        <v>2.5262951908189279E-7</v>
      </c>
    </row>
    <row r="328" spans="1:24" x14ac:dyDescent="0.45">
      <c r="A328">
        <v>63.214709999999997</v>
      </c>
      <c r="B328">
        <v>-39.479889999999997</v>
      </c>
      <c r="C328">
        <v>63.305770000000003</v>
      </c>
      <c r="D328">
        <v>-39.582320000000003</v>
      </c>
      <c r="E328" s="13">
        <v>11379.2043139872</v>
      </c>
      <c r="F328" s="13">
        <v>-26.8306165123259</v>
      </c>
      <c r="G328" s="13">
        <f t="shared" si="78"/>
        <v>333.16938348767411</v>
      </c>
      <c r="H328" s="13">
        <v>-26.9220926175974</v>
      </c>
      <c r="I328" s="13">
        <f t="shared" si="79"/>
        <v>333.0779073824026</v>
      </c>
      <c r="J328" s="11">
        <v>11379.204</v>
      </c>
      <c r="K328" s="11">
        <v>333.16938299999998</v>
      </c>
      <c r="L328" s="12">
        <v>153.07790700000001</v>
      </c>
      <c r="M328" s="18">
        <f t="shared" si="80"/>
        <v>333.07790699999998</v>
      </c>
      <c r="N328" s="17">
        <f t="shared" si="71"/>
        <v>11379.204313226235</v>
      </c>
      <c r="O328" s="14">
        <f t="shared" si="72"/>
        <v>6.6873315658021962E-11</v>
      </c>
      <c r="P328" s="24">
        <f t="shared" si="73"/>
        <v>7.6096512202639133E-7</v>
      </c>
      <c r="Q328" s="2">
        <f t="shared" si="81"/>
        <v>2.7526199147882647E-8</v>
      </c>
      <c r="R328" s="19">
        <f t="shared" si="82"/>
        <v>3.1322623544838279E-4</v>
      </c>
      <c r="S328" s="16">
        <f t="shared" si="83"/>
        <v>333.16938349495615</v>
      </c>
      <c r="T328" s="23">
        <f t="shared" si="74"/>
        <v>7.2820398600015324E-9</v>
      </c>
      <c r="U328" s="22">
        <f t="shared" si="75"/>
        <v>4.9495616849526414E-7</v>
      </c>
      <c r="V328" s="16">
        <f t="shared" si="84"/>
        <v>333.07790738971414</v>
      </c>
      <c r="W328" s="23">
        <f t="shared" si="76"/>
        <v>7.3115415943902917E-9</v>
      </c>
      <c r="X328" s="22">
        <f t="shared" si="77"/>
        <v>3.8971415960986633E-7</v>
      </c>
    </row>
    <row r="329" spans="1:24" x14ac:dyDescent="0.45">
      <c r="A329">
        <v>-68.163960000000003</v>
      </c>
      <c r="B329">
        <v>175.15158</v>
      </c>
      <c r="C329">
        <v>-68.213539999999995</v>
      </c>
      <c r="D329">
        <v>175.01906</v>
      </c>
      <c r="E329" s="13">
        <v>7797.3549595971199</v>
      </c>
      <c r="F329" s="13">
        <v>-135.23325942035299</v>
      </c>
      <c r="G329" s="13">
        <f t="shared" si="78"/>
        <v>224.76674057964701</v>
      </c>
      <c r="H329" s="13">
        <v>-135.11022612492499</v>
      </c>
      <c r="I329" s="13">
        <f t="shared" si="79"/>
        <v>224.88977387507501</v>
      </c>
      <c r="J329" s="9">
        <v>7797.3549999999996</v>
      </c>
      <c r="K329" s="9">
        <v>224.766741</v>
      </c>
      <c r="L329" s="10">
        <v>44.889774000000003</v>
      </c>
      <c r="M329" s="18">
        <f t="shared" si="80"/>
        <v>224.88977399999999</v>
      </c>
      <c r="N329" s="17">
        <f t="shared" si="71"/>
        <v>7797.3549591994743</v>
      </c>
      <c r="O329" s="14">
        <f t="shared" si="72"/>
        <v>5.0997503331680883E-11</v>
      </c>
      <c r="P329" s="24">
        <f t="shared" si="73"/>
        <v>3.9764563553035259E-7</v>
      </c>
      <c r="Q329" s="2">
        <f t="shared" si="81"/>
        <v>5.2326109702686511E-9</v>
      </c>
      <c r="R329" s="19">
        <f t="shared" si="82"/>
        <v>4.0800525312079117E-5</v>
      </c>
      <c r="S329" s="16">
        <f t="shared" si="83"/>
        <v>224.76674057677513</v>
      </c>
      <c r="T329" s="23">
        <f t="shared" si="74"/>
        <v>2.8718716293951729E-9</v>
      </c>
      <c r="U329" s="22">
        <f t="shared" si="75"/>
        <v>4.2322486137891246E-7</v>
      </c>
      <c r="V329" s="16">
        <f t="shared" si="84"/>
        <v>224.88977387218929</v>
      </c>
      <c r="W329" s="23">
        <f t="shared" si="76"/>
        <v>2.8857130018877797E-9</v>
      </c>
      <c r="X329" s="22">
        <f t="shared" si="77"/>
        <v>1.2781069358425157E-7</v>
      </c>
    </row>
    <row r="330" spans="1:24" x14ac:dyDescent="0.45">
      <c r="A330">
        <v>-54.996740000000003</v>
      </c>
      <c r="B330">
        <v>107.54679</v>
      </c>
      <c r="C330">
        <v>-54.965969999999999</v>
      </c>
      <c r="D330">
        <v>107.42086</v>
      </c>
      <c r="E330" s="13">
        <v>8760.0011356188206</v>
      </c>
      <c r="F330" s="13">
        <v>-67.033037503786105</v>
      </c>
      <c r="G330" s="13">
        <f t="shared" si="78"/>
        <v>292.96696249621391</v>
      </c>
      <c r="H330" s="13">
        <v>-66.929905179885296</v>
      </c>
      <c r="I330" s="13">
        <f t="shared" si="79"/>
        <v>293.07009482011472</v>
      </c>
      <c r="J330" s="11">
        <v>8760.0010000000002</v>
      </c>
      <c r="K330" s="11">
        <v>292.96696200000002</v>
      </c>
      <c r="L330" s="12">
        <v>113.07009499999999</v>
      </c>
      <c r="M330" s="18">
        <f t="shared" si="80"/>
        <v>293.07009499999998</v>
      </c>
      <c r="N330" s="17">
        <f t="shared" si="71"/>
        <v>8760.0011356000923</v>
      </c>
      <c r="O330" s="14">
        <f t="shared" si="72"/>
        <v>2.1379352135877479E-12</v>
      </c>
      <c r="P330" s="24">
        <f t="shared" si="73"/>
        <v>1.8728314898908138E-8</v>
      </c>
      <c r="Q330" s="2">
        <f t="shared" si="81"/>
        <v>1.5479460802319468E-8</v>
      </c>
      <c r="R330" s="19">
        <f t="shared" si="82"/>
        <v>1.3560009210777935E-4</v>
      </c>
      <c r="S330" s="16">
        <f t="shared" si="83"/>
        <v>292.96696249620891</v>
      </c>
      <c r="T330" s="23">
        <f t="shared" si="74"/>
        <v>5.0022208597511053E-12</v>
      </c>
      <c r="U330" s="22">
        <f t="shared" si="75"/>
        <v>4.9620888376011862E-7</v>
      </c>
      <c r="V330" s="16">
        <f t="shared" si="84"/>
        <v>293.07009482011006</v>
      </c>
      <c r="W330" s="23">
        <f t="shared" si="76"/>
        <v>4.6611603465862572E-12</v>
      </c>
      <c r="X330" s="22">
        <f t="shared" si="77"/>
        <v>1.7988992340178811E-7</v>
      </c>
    </row>
    <row r="331" spans="1:24" x14ac:dyDescent="0.45">
      <c r="A331">
        <v>-19.89198</v>
      </c>
      <c r="B331">
        <v>-144.85908000000001</v>
      </c>
      <c r="C331">
        <v>-19.901769999999999</v>
      </c>
      <c r="D331">
        <v>-144.81505999999999</v>
      </c>
      <c r="E331" s="13">
        <v>4735.2509717906296</v>
      </c>
      <c r="F331" s="13">
        <v>103.238360150689</v>
      </c>
      <c r="G331" s="13">
        <f t="shared" si="78"/>
        <v>103.238360150689</v>
      </c>
      <c r="H331" s="13">
        <v>103.22337889975501</v>
      </c>
      <c r="I331" s="13">
        <f t="shared" si="79"/>
        <v>103.22337889975501</v>
      </c>
      <c r="J331" s="9">
        <v>4735.2510000000002</v>
      </c>
      <c r="K331" s="9">
        <v>103.23836</v>
      </c>
      <c r="L331" s="10">
        <v>283.22337900000002</v>
      </c>
      <c r="M331" s="18">
        <f t="shared" si="80"/>
        <v>103.22337900000002</v>
      </c>
      <c r="N331" s="17">
        <f t="shared" si="71"/>
        <v>4735.2509714383987</v>
      </c>
      <c r="O331" s="14">
        <f t="shared" si="72"/>
        <v>7.438484869975698E-11</v>
      </c>
      <c r="P331" s="24">
        <f t="shared" si="73"/>
        <v>3.5223092709202319E-7</v>
      </c>
      <c r="Q331" s="2">
        <f t="shared" si="81"/>
        <v>6.0316974831889174E-9</v>
      </c>
      <c r="R331" s="19">
        <f t="shared" si="82"/>
        <v>2.8561601538967807E-5</v>
      </c>
      <c r="S331" s="16">
        <f t="shared" si="83"/>
        <v>103.23836015161029</v>
      </c>
      <c r="T331" s="23">
        <f t="shared" si="74"/>
        <v>9.212897111865459E-10</v>
      </c>
      <c r="U331" s="22">
        <f t="shared" si="75"/>
        <v>1.5161029409682669E-7</v>
      </c>
      <c r="V331" s="16">
        <f t="shared" si="84"/>
        <v>103.22337890068002</v>
      </c>
      <c r="W331" s="23">
        <f t="shared" si="76"/>
        <v>9.2501295512192883E-10</v>
      </c>
      <c r="X331" s="22">
        <f t="shared" si="77"/>
        <v>9.9320004665059969E-8</v>
      </c>
    </row>
    <row r="332" spans="1:24" x14ac:dyDescent="0.45">
      <c r="A332">
        <v>31.087910000000001</v>
      </c>
      <c r="B332">
        <v>-15.5951</v>
      </c>
      <c r="C332">
        <v>30.993649999999999</v>
      </c>
      <c r="D332">
        <v>-15.449009999999999</v>
      </c>
      <c r="E332" s="13">
        <v>17427.3925702989</v>
      </c>
      <c r="F332" s="13">
        <v>126.808317222591</v>
      </c>
      <c r="G332" s="13">
        <f t="shared" si="78"/>
        <v>126.808317222591</v>
      </c>
      <c r="H332" s="13">
        <v>126.883648298851</v>
      </c>
      <c r="I332" s="13">
        <f t="shared" si="79"/>
        <v>126.883648298851</v>
      </c>
      <c r="J332" s="11">
        <v>17427.393</v>
      </c>
      <c r="K332" s="11">
        <v>126.808317</v>
      </c>
      <c r="L332" s="12">
        <v>306.88364799999999</v>
      </c>
      <c r="M332" s="18">
        <f t="shared" si="80"/>
        <v>126.88364799999999</v>
      </c>
      <c r="N332" s="17">
        <f t="shared" si="71"/>
        <v>17427.392569847227</v>
      </c>
      <c r="O332" s="14">
        <f t="shared" si="72"/>
        <v>2.5917431823062726E-11</v>
      </c>
      <c r="P332" s="24">
        <f t="shared" si="73"/>
        <v>4.5167325879447162E-7</v>
      </c>
      <c r="Q332" s="2">
        <f t="shared" si="81"/>
        <v>2.4682565736208953E-8</v>
      </c>
      <c r="R332" s="19">
        <f t="shared" si="82"/>
        <v>4.3015277333324775E-4</v>
      </c>
      <c r="S332" s="16">
        <f t="shared" si="83"/>
        <v>126.80831722347853</v>
      </c>
      <c r="T332" s="23">
        <f t="shared" si="74"/>
        <v>8.8752472038322594E-10</v>
      </c>
      <c r="U332" s="22">
        <f t="shared" si="75"/>
        <v>2.2347852279835934E-7</v>
      </c>
      <c r="V332" s="16">
        <f t="shared" si="84"/>
        <v>126.88364829973531</v>
      </c>
      <c r="W332" s="23">
        <f t="shared" si="76"/>
        <v>8.8431306721759029E-10</v>
      </c>
      <c r="X332" s="22">
        <f t="shared" si="77"/>
        <v>2.9973531923133123E-7</v>
      </c>
    </row>
    <row r="333" spans="1:24" x14ac:dyDescent="0.45">
      <c r="A333">
        <v>-31.442509999999999</v>
      </c>
      <c r="B333">
        <v>-55.374400000000001</v>
      </c>
      <c r="C333">
        <v>-31.559370000000001</v>
      </c>
      <c r="D333">
        <v>-55.347299999999997</v>
      </c>
      <c r="E333" s="13">
        <v>13210.514529124501</v>
      </c>
      <c r="F333" s="13">
        <v>168.76904577095999</v>
      </c>
      <c r="G333" s="13">
        <f t="shared" si="78"/>
        <v>168.76904577095999</v>
      </c>
      <c r="H333" s="13">
        <v>168.75488567318999</v>
      </c>
      <c r="I333" s="13">
        <f t="shared" si="79"/>
        <v>168.75488567318999</v>
      </c>
      <c r="J333" s="9">
        <v>13210.514999999999</v>
      </c>
      <c r="K333" s="9">
        <v>168.769046</v>
      </c>
      <c r="L333" s="10">
        <v>348.754886</v>
      </c>
      <c r="M333" s="18">
        <f t="shared" si="80"/>
        <v>168.75488599999994</v>
      </c>
      <c r="N333" s="17">
        <f t="shared" si="71"/>
        <v>13210.514529036051</v>
      </c>
      <c r="O333" s="14">
        <f t="shared" si="72"/>
        <v>6.6954378303600164E-12</v>
      </c>
      <c r="P333" s="24">
        <f t="shared" si="73"/>
        <v>8.8450178736820817E-8</v>
      </c>
      <c r="Q333" s="2">
        <f t="shared" si="81"/>
        <v>3.5650688018467462E-8</v>
      </c>
      <c r="R333" s="19">
        <f t="shared" si="82"/>
        <v>4.7096394882828463E-4</v>
      </c>
      <c r="S333" s="16">
        <f t="shared" si="83"/>
        <v>168.76904577129926</v>
      </c>
      <c r="T333" s="23">
        <f t="shared" si="74"/>
        <v>3.3926994547073264E-10</v>
      </c>
      <c r="U333" s="22">
        <f t="shared" si="75"/>
        <v>2.2870074189995648E-7</v>
      </c>
      <c r="V333" s="16">
        <f t="shared" si="84"/>
        <v>168.75488567352983</v>
      </c>
      <c r="W333" s="23">
        <f t="shared" si="76"/>
        <v>3.3983837965934072E-10</v>
      </c>
      <c r="X333" s="22">
        <f t="shared" si="77"/>
        <v>3.2647011494191247E-7</v>
      </c>
    </row>
    <row r="334" spans="1:24" x14ac:dyDescent="0.45">
      <c r="A334">
        <v>-26.409579999999998</v>
      </c>
      <c r="B334">
        <v>-96.144710000000003</v>
      </c>
      <c r="C334">
        <v>-26.42427</v>
      </c>
      <c r="D334">
        <v>-96.079440000000005</v>
      </c>
      <c r="E334" s="13">
        <v>6711.77226732495</v>
      </c>
      <c r="F334" s="13">
        <v>104.04835088102099</v>
      </c>
      <c r="G334" s="13">
        <f t="shared" si="78"/>
        <v>104.04835088102099</v>
      </c>
      <c r="H334" s="13">
        <v>104.019312271546</v>
      </c>
      <c r="I334" s="13">
        <f t="shared" si="79"/>
        <v>104.019312271546</v>
      </c>
      <c r="J334" s="11">
        <v>6711.7719999999999</v>
      </c>
      <c r="K334" s="11">
        <v>104.048351</v>
      </c>
      <c r="L334" s="12">
        <v>284.01931200000001</v>
      </c>
      <c r="M334" s="18">
        <f t="shared" si="80"/>
        <v>104.01931200000001</v>
      </c>
      <c r="N334" s="17">
        <f t="shared" si="71"/>
        <v>6711.7722669922769</v>
      </c>
      <c r="O334" s="14">
        <f t="shared" si="72"/>
        <v>4.9565619895159027E-11</v>
      </c>
      <c r="P334" s="24">
        <f t="shared" si="73"/>
        <v>3.3267315302509815E-7</v>
      </c>
      <c r="Q334" s="2">
        <f t="shared" si="81"/>
        <v>3.9779700043455569E-8</v>
      </c>
      <c r="R334" s="19">
        <f t="shared" si="82"/>
        <v>2.6699227692006389E-4</v>
      </c>
      <c r="S334" s="16">
        <f t="shared" si="83"/>
        <v>104.04835088164791</v>
      </c>
      <c r="T334" s="23">
        <f t="shared" si="74"/>
        <v>6.2691185576113639E-10</v>
      </c>
      <c r="U334" s="22">
        <f t="shared" si="75"/>
        <v>1.1835209079436027E-7</v>
      </c>
      <c r="V334" s="16">
        <f t="shared" si="84"/>
        <v>104.0193122721754</v>
      </c>
      <c r="W334" s="23">
        <f t="shared" si="76"/>
        <v>6.2939875533629674E-10</v>
      </c>
      <c r="X334" s="22">
        <f t="shared" si="77"/>
        <v>2.721753844525665E-7</v>
      </c>
    </row>
    <row r="335" spans="1:24" x14ac:dyDescent="0.45">
      <c r="A335">
        <v>14.618600000000001</v>
      </c>
      <c r="B335">
        <v>-5.1414200000000001</v>
      </c>
      <c r="C335">
        <v>14.485889999999999</v>
      </c>
      <c r="D335">
        <v>-5.0845399999999499</v>
      </c>
      <c r="E335" s="13">
        <v>15911.8121313969</v>
      </c>
      <c r="F335" s="13">
        <v>157.33362673450199</v>
      </c>
      <c r="G335" s="13">
        <f t="shared" si="78"/>
        <v>157.33362673450199</v>
      </c>
      <c r="H335" s="13">
        <v>157.347918567758</v>
      </c>
      <c r="I335" s="13">
        <f t="shared" si="79"/>
        <v>157.347918567758</v>
      </c>
      <c r="J335" s="9">
        <v>15911.812</v>
      </c>
      <c r="K335" s="9">
        <v>157.33362700000001</v>
      </c>
      <c r="L335" s="10">
        <v>337.34791899999999</v>
      </c>
      <c r="M335" s="18">
        <f t="shared" si="80"/>
        <v>157.34791900000005</v>
      </c>
      <c r="N335" s="17">
        <f t="shared" si="71"/>
        <v>15911.812131064187</v>
      </c>
      <c r="O335" s="14">
        <f t="shared" si="72"/>
        <v>2.0909822718147389E-11</v>
      </c>
      <c r="P335" s="24">
        <f t="shared" si="73"/>
        <v>3.3271317079197615E-7</v>
      </c>
      <c r="Q335" s="2">
        <f t="shared" si="81"/>
        <v>8.2369115077227694E-9</v>
      </c>
      <c r="R335" s="19">
        <f t="shared" si="82"/>
        <v>1.3106418737152126E-4</v>
      </c>
      <c r="S335" s="16">
        <f t="shared" si="83"/>
        <v>157.33362673646556</v>
      </c>
      <c r="T335" s="23">
        <f t="shared" si="74"/>
        <v>1.9635706394183217E-9</v>
      </c>
      <c r="U335" s="22">
        <f t="shared" si="75"/>
        <v>2.635344458212785E-7</v>
      </c>
      <c r="V335" s="16">
        <f t="shared" si="84"/>
        <v>157.34791856972035</v>
      </c>
      <c r="W335" s="23">
        <f t="shared" si="76"/>
        <v>1.9623485059128143E-9</v>
      </c>
      <c r="X335" s="22">
        <f t="shared" si="77"/>
        <v>4.3027969809372735E-7</v>
      </c>
    </row>
    <row r="336" spans="1:24" x14ac:dyDescent="0.45">
      <c r="A336">
        <v>-4.2992600000000003</v>
      </c>
      <c r="B336">
        <v>55.2729</v>
      </c>
      <c r="C336">
        <v>-4.4540800000000003</v>
      </c>
      <c r="D336">
        <v>55.144430000000099</v>
      </c>
      <c r="E336" s="13">
        <v>22280.9257799228</v>
      </c>
      <c r="F336" s="13">
        <v>-140.213078829333</v>
      </c>
      <c r="G336" s="13">
        <f t="shared" si="78"/>
        <v>219.786921170667</v>
      </c>
      <c r="H336" s="13">
        <v>-140.20327488043</v>
      </c>
      <c r="I336" s="13">
        <f t="shared" si="79"/>
        <v>219.79672511957</v>
      </c>
      <c r="J336" s="11">
        <v>22280.925999999999</v>
      </c>
      <c r="K336" s="11">
        <v>219.78692100000001</v>
      </c>
      <c r="L336" s="12">
        <v>39.796725000000002</v>
      </c>
      <c r="M336" s="18">
        <f t="shared" si="80"/>
        <v>219.79672500000001</v>
      </c>
      <c r="N336" s="17">
        <f t="shared" si="71"/>
        <v>22280.925778636469</v>
      </c>
      <c r="O336" s="14">
        <f t="shared" si="72"/>
        <v>5.7732390082544102E-11</v>
      </c>
      <c r="P336" s="24">
        <f t="shared" si="73"/>
        <v>1.2863310985267162E-6</v>
      </c>
      <c r="Q336" s="2">
        <f t="shared" si="81"/>
        <v>9.9351135911991878E-9</v>
      </c>
      <c r="R336" s="19">
        <f t="shared" si="82"/>
        <v>2.2136353072710335E-4</v>
      </c>
      <c r="S336" s="16">
        <f t="shared" si="83"/>
        <v>219.78692116717457</v>
      </c>
      <c r="T336" s="23">
        <f t="shared" si="74"/>
        <v>3.492431233098614E-9</v>
      </c>
      <c r="U336" s="22">
        <f t="shared" si="75"/>
        <v>1.671745621933951E-7</v>
      </c>
      <c r="V336" s="16">
        <f t="shared" si="84"/>
        <v>219.79672511607603</v>
      </c>
      <c r="W336" s="23">
        <f t="shared" si="76"/>
        <v>3.4939660054078558E-9</v>
      </c>
      <c r="X336" s="22">
        <f t="shared" si="77"/>
        <v>1.1607602345975465E-7</v>
      </c>
    </row>
    <row r="337" spans="1:24" x14ac:dyDescent="0.45">
      <c r="A337">
        <v>44.346139999999998</v>
      </c>
      <c r="B337">
        <v>-46.57685</v>
      </c>
      <c r="C337">
        <v>44.4604</v>
      </c>
      <c r="D337">
        <v>-46.444470000000003</v>
      </c>
      <c r="E337" s="13">
        <v>16504.877663515301</v>
      </c>
      <c r="F337" s="13">
        <v>39.666010091398199</v>
      </c>
      <c r="G337" s="13">
        <f t="shared" si="78"/>
        <v>39.666010091398199</v>
      </c>
      <c r="H337" s="13">
        <v>39.758636989522699</v>
      </c>
      <c r="I337" s="13">
        <f t="shared" si="79"/>
        <v>39.758636989522699</v>
      </c>
      <c r="J337" s="9">
        <v>16504.878000000001</v>
      </c>
      <c r="K337" s="9">
        <v>39.66601</v>
      </c>
      <c r="L337" s="10">
        <v>219.75863699999999</v>
      </c>
      <c r="M337" s="18">
        <f t="shared" si="80"/>
        <v>39.758637000000022</v>
      </c>
      <c r="N337" s="17">
        <f t="shared" si="71"/>
        <v>16504.877663412437</v>
      </c>
      <c r="O337" s="14">
        <f t="shared" si="72"/>
        <v>6.2323303975710699E-12</v>
      </c>
      <c r="P337" s="24">
        <f t="shared" si="73"/>
        <v>1.0286385077051818E-7</v>
      </c>
      <c r="Q337" s="2">
        <f t="shared" si="81"/>
        <v>2.0393217305323113E-8</v>
      </c>
      <c r="R337" s="19">
        <f t="shared" si="82"/>
        <v>3.3658756365184672E-4</v>
      </c>
      <c r="S337" s="16">
        <f t="shared" si="83"/>
        <v>39.666010091222596</v>
      </c>
      <c r="T337" s="23">
        <f t="shared" si="74"/>
        <v>1.7560353171575116E-10</v>
      </c>
      <c r="U337" s="22">
        <f t="shared" si="75"/>
        <v>9.1222595699491649E-8</v>
      </c>
      <c r="V337" s="16">
        <f t="shared" si="84"/>
        <v>39.758636989347082</v>
      </c>
      <c r="W337" s="23">
        <f t="shared" si="76"/>
        <v>1.7561774257046636E-10</v>
      </c>
      <c r="X337" s="22">
        <f t="shared" si="77"/>
        <v>1.0652939863575739E-8</v>
      </c>
    </row>
    <row r="338" spans="1:24" x14ac:dyDescent="0.45">
      <c r="A338">
        <v>-86.823620000000005</v>
      </c>
      <c r="B338">
        <v>29.130659999999999</v>
      </c>
      <c r="C338">
        <v>-86.722210000000004</v>
      </c>
      <c r="D338">
        <v>29.014199999999999</v>
      </c>
      <c r="E338" s="13">
        <v>11350.162805947301</v>
      </c>
      <c r="F338" s="13">
        <v>-3.7571202782761</v>
      </c>
      <c r="G338" s="13">
        <f t="shared" si="78"/>
        <v>356.24287972172391</v>
      </c>
      <c r="H338" s="13">
        <v>-3.6408449073677698</v>
      </c>
      <c r="I338" s="13">
        <f t="shared" si="79"/>
        <v>356.35915509263225</v>
      </c>
      <c r="J338" s="11">
        <v>11350.163</v>
      </c>
      <c r="K338" s="11">
        <v>356.24288000000001</v>
      </c>
      <c r="L338" s="12">
        <v>176.35915499999999</v>
      </c>
      <c r="M338" s="18">
        <f t="shared" si="80"/>
        <v>356.35915499999999</v>
      </c>
      <c r="N338" s="17">
        <f t="shared" si="71"/>
        <v>11350.162805946875</v>
      </c>
      <c r="O338" s="14">
        <f t="shared" si="72"/>
        <v>3.7501093835121037E-14</v>
      </c>
      <c r="P338" s="24">
        <f t="shared" si="73"/>
        <v>4.2564352042973042E-10</v>
      </c>
      <c r="Q338" s="2">
        <f t="shared" si="81"/>
        <v>1.709694614930535E-8</v>
      </c>
      <c r="R338" s="19">
        <f t="shared" si="82"/>
        <v>1.9405312559683807E-4</v>
      </c>
      <c r="S338" s="16">
        <f t="shared" si="83"/>
        <v>356.24287972215183</v>
      </c>
      <c r="T338" s="23">
        <f t="shared" si="74"/>
        <v>4.2791725718416274E-10</v>
      </c>
      <c r="U338" s="22">
        <f t="shared" si="75"/>
        <v>2.7784818712461856E-7</v>
      </c>
      <c r="V338" s="16">
        <f t="shared" si="84"/>
        <v>356.35915509304687</v>
      </c>
      <c r="W338" s="23">
        <f t="shared" si="76"/>
        <v>4.1461589717073366E-10</v>
      </c>
      <c r="X338" s="22">
        <f t="shared" si="77"/>
        <v>9.3046878646418918E-8</v>
      </c>
    </row>
    <row r="339" spans="1:24" x14ac:dyDescent="0.45">
      <c r="A339">
        <v>-27.21688</v>
      </c>
      <c r="B339">
        <v>50.631219999999999</v>
      </c>
      <c r="C339">
        <v>-27.231110000000001</v>
      </c>
      <c r="D339">
        <v>50.474269999999997</v>
      </c>
      <c r="E339" s="13">
        <v>15626.823520850399</v>
      </c>
      <c r="F339" s="13">
        <v>-95.827034432396403</v>
      </c>
      <c r="G339" s="13">
        <f t="shared" si="78"/>
        <v>264.17296556760357</v>
      </c>
      <c r="H339" s="13">
        <v>-95.755234422017296</v>
      </c>
      <c r="I339" s="13">
        <f t="shared" si="79"/>
        <v>264.24476557798272</v>
      </c>
      <c r="J339" s="9">
        <v>15626.824000000001</v>
      </c>
      <c r="K339" s="9">
        <v>264.17296599999997</v>
      </c>
      <c r="L339" s="10">
        <v>84.244765999999998</v>
      </c>
      <c r="M339" s="18">
        <f t="shared" si="80"/>
        <v>264.24476600000003</v>
      </c>
      <c r="N339" s="17">
        <f t="shared" si="71"/>
        <v>15626.823520107117</v>
      </c>
      <c r="O339" s="14">
        <f t="shared" si="72"/>
        <v>4.7564543430261583E-11</v>
      </c>
      <c r="P339" s="24">
        <f t="shared" si="73"/>
        <v>7.4328272603452206E-7</v>
      </c>
      <c r="Q339" s="2">
        <f t="shared" si="81"/>
        <v>3.0709559662226303E-8</v>
      </c>
      <c r="R339" s="19">
        <f t="shared" si="82"/>
        <v>4.7989288395910989E-4</v>
      </c>
      <c r="S339" s="16">
        <f t="shared" si="83"/>
        <v>264.17296556736244</v>
      </c>
      <c r="T339" s="23">
        <f t="shared" si="74"/>
        <v>2.411297828075476E-10</v>
      </c>
      <c r="U339" s="22">
        <f t="shared" si="75"/>
        <v>4.3263753468636423E-7</v>
      </c>
      <c r="V339" s="16">
        <f t="shared" si="84"/>
        <v>264.24476557773869</v>
      </c>
      <c r="W339" s="23">
        <f t="shared" si="76"/>
        <v>2.4402879716944881E-10</v>
      </c>
      <c r="X339" s="22">
        <f t="shared" si="77"/>
        <v>4.2226133700751234E-7</v>
      </c>
    </row>
    <row r="340" spans="1:24" x14ac:dyDescent="0.45">
      <c r="A340">
        <v>59.546109999999999</v>
      </c>
      <c r="B340">
        <v>25.140609999999999</v>
      </c>
      <c r="C340">
        <v>59.546320000000001</v>
      </c>
      <c r="D340">
        <v>25.285360000000001</v>
      </c>
      <c r="E340" s="13">
        <v>8187.4380761730999</v>
      </c>
      <c r="F340" s="13">
        <v>89.773891732842102</v>
      </c>
      <c r="G340" s="13">
        <f t="shared" si="78"/>
        <v>89.773891732842102</v>
      </c>
      <c r="H340" s="13">
        <v>89.898671788422902</v>
      </c>
      <c r="I340" s="13">
        <f t="shared" si="79"/>
        <v>89.898671788422902</v>
      </c>
      <c r="J340" s="11">
        <v>8187.4380000000001</v>
      </c>
      <c r="K340" s="11">
        <v>89.773892000000004</v>
      </c>
      <c r="L340" s="12">
        <v>269.89867199999998</v>
      </c>
      <c r="M340" s="18">
        <f t="shared" si="80"/>
        <v>89.898671999999976</v>
      </c>
      <c r="N340" s="17">
        <f t="shared" si="71"/>
        <v>8187.4380761736766</v>
      </c>
      <c r="O340" s="14">
        <f t="shared" si="72"/>
        <v>7.0427359029694793E-14</v>
      </c>
      <c r="P340" s="24">
        <f t="shared" si="73"/>
        <v>5.766196409240365E-10</v>
      </c>
      <c r="Q340" s="2">
        <f t="shared" si="81"/>
        <v>9.3037255929903411E-9</v>
      </c>
      <c r="R340" s="19">
        <f t="shared" si="82"/>
        <v>7.6173676461621653E-5</v>
      </c>
      <c r="S340" s="16">
        <f t="shared" si="83"/>
        <v>89.773891732845826</v>
      </c>
      <c r="T340" s="23">
        <f t="shared" si="74"/>
        <v>3.723243935382925E-12</v>
      </c>
      <c r="U340" s="22">
        <f t="shared" si="75"/>
        <v>2.6715417789091589E-7</v>
      </c>
      <c r="V340" s="16">
        <f t="shared" si="84"/>
        <v>89.898671788424863</v>
      </c>
      <c r="W340" s="23">
        <f t="shared" si="76"/>
        <v>1.9610979506978765E-12</v>
      </c>
      <c r="X340" s="22">
        <f t="shared" si="77"/>
        <v>2.1157511298497411E-7</v>
      </c>
    </row>
    <row r="341" spans="1:24" x14ac:dyDescent="0.45">
      <c r="A341">
        <v>-46.819240000000001</v>
      </c>
      <c r="B341">
        <v>-155.74744000000001</v>
      </c>
      <c r="C341">
        <v>-46.829590000000003</v>
      </c>
      <c r="D341">
        <v>-155.74350000000001</v>
      </c>
      <c r="E341" s="13">
        <v>1189.212190601</v>
      </c>
      <c r="F341" s="13">
        <v>165.35777075432301</v>
      </c>
      <c r="G341" s="13">
        <f t="shared" si="78"/>
        <v>165.35777075432301</v>
      </c>
      <c r="H341" s="13">
        <v>165.35489746887799</v>
      </c>
      <c r="I341" s="13">
        <f t="shared" si="79"/>
        <v>165.35489746887799</v>
      </c>
      <c r="J341" s="9">
        <v>1189.212</v>
      </c>
      <c r="K341" s="9">
        <v>165.35777100000001</v>
      </c>
      <c r="L341" s="10">
        <v>345.35489699999999</v>
      </c>
      <c r="M341" s="18">
        <f t="shared" si="80"/>
        <v>165.35489699999994</v>
      </c>
      <c r="N341" s="17">
        <f t="shared" si="71"/>
        <v>1189.2121903019845</v>
      </c>
      <c r="O341" s="14">
        <f t="shared" si="72"/>
        <v>2.5143997426184471E-10</v>
      </c>
      <c r="P341" s="24">
        <f t="shared" si="73"/>
        <v>2.9901548259658739E-7</v>
      </c>
      <c r="Q341" s="2">
        <f t="shared" si="81"/>
        <v>1.600235992431072E-7</v>
      </c>
      <c r="R341" s="19">
        <f t="shared" si="82"/>
        <v>1.9030198450309399E-4</v>
      </c>
      <c r="S341" s="16">
        <f t="shared" si="83"/>
        <v>165.35777080884978</v>
      </c>
      <c r="T341" s="23">
        <f t="shared" si="74"/>
        <v>5.4526765325135784E-8</v>
      </c>
      <c r="U341" s="22">
        <f t="shared" si="75"/>
        <v>1.9115023519589158E-7</v>
      </c>
      <c r="V341" s="16">
        <f t="shared" si="84"/>
        <v>165.35489752341263</v>
      </c>
      <c r="W341" s="23">
        <f t="shared" si="76"/>
        <v>5.4534638138648006E-8</v>
      </c>
      <c r="X341" s="22">
        <f t="shared" si="77"/>
        <v>5.2341269451972039E-7</v>
      </c>
    </row>
    <row r="342" spans="1:24" x14ac:dyDescent="0.45">
      <c r="A342">
        <v>-83.66319</v>
      </c>
      <c r="B342">
        <v>81.776799999999994</v>
      </c>
      <c r="C342">
        <v>-83.496949999999998</v>
      </c>
      <c r="D342">
        <v>81.775760000000005</v>
      </c>
      <c r="E342" s="13">
        <v>18565.664996098301</v>
      </c>
      <c r="F342" s="13">
        <v>-4.0599316218603798E-2</v>
      </c>
      <c r="G342" s="13">
        <f t="shared" si="78"/>
        <v>359.95940068378138</v>
      </c>
      <c r="H342" s="13">
        <v>-3.95658368823813E-2</v>
      </c>
      <c r="I342" s="13">
        <f t="shared" si="79"/>
        <v>359.96043416311761</v>
      </c>
      <c r="J342" s="11">
        <v>18565.665000000001</v>
      </c>
      <c r="K342" s="11">
        <v>359.95940100000001</v>
      </c>
      <c r="L342" s="12">
        <v>179.96043399999999</v>
      </c>
      <c r="M342" s="18">
        <f t="shared" si="80"/>
        <v>359.96043399999996</v>
      </c>
      <c r="N342" s="17">
        <f t="shared" si="71"/>
        <v>18565.664996101692</v>
      </c>
      <c r="O342" s="14">
        <f t="shared" si="72"/>
        <v>1.8262724491269411E-13</v>
      </c>
      <c r="P342" s="24">
        <f t="shared" si="73"/>
        <v>3.3905962482094765E-9</v>
      </c>
      <c r="Q342" s="2">
        <f t="shared" si="81"/>
        <v>2.0997410717840642E-10</v>
      </c>
      <c r="R342" s="19">
        <f t="shared" si="82"/>
        <v>3.8983089325483888E-6</v>
      </c>
      <c r="S342" s="16">
        <f t="shared" si="83"/>
        <v>359.95940068385397</v>
      </c>
      <c r="T342" s="23">
        <f t="shared" si="74"/>
        <v>7.2589045885251835E-11</v>
      </c>
      <c r="U342" s="22">
        <f t="shared" si="75"/>
        <v>3.1614604267815594E-7</v>
      </c>
      <c r="V342" s="16">
        <f t="shared" si="84"/>
        <v>359.96043416318832</v>
      </c>
      <c r="W342" s="23">
        <f t="shared" si="76"/>
        <v>7.071321306284517E-11</v>
      </c>
      <c r="X342" s="22">
        <f t="shared" si="77"/>
        <v>1.6318836060236208E-7</v>
      </c>
    </row>
    <row r="343" spans="1:24" x14ac:dyDescent="0.45">
      <c r="A343">
        <v>-43.860700000000001</v>
      </c>
      <c r="B343">
        <v>54.184629999999999</v>
      </c>
      <c r="C343">
        <v>-43.84901</v>
      </c>
      <c r="D343">
        <v>54.116</v>
      </c>
      <c r="E343" s="13">
        <v>5668.7615664257601</v>
      </c>
      <c r="F343" s="13">
        <v>-76.778068996874694</v>
      </c>
      <c r="G343" s="13">
        <f t="shared" si="78"/>
        <v>283.22193100312529</v>
      </c>
      <c r="H343" s="13">
        <v>-76.730519805158295</v>
      </c>
      <c r="I343" s="13">
        <f t="shared" si="79"/>
        <v>283.26948019484172</v>
      </c>
      <c r="J343" s="9">
        <v>5668.7619999999997</v>
      </c>
      <c r="K343" s="9">
        <v>283.22193099999998</v>
      </c>
      <c r="L343" s="10">
        <v>103.26948</v>
      </c>
      <c r="M343" s="18">
        <f t="shared" si="80"/>
        <v>283.26947999999999</v>
      </c>
      <c r="N343" s="17">
        <f t="shared" si="71"/>
        <v>5668.7615663811803</v>
      </c>
      <c r="O343" s="14">
        <f t="shared" si="72"/>
        <v>7.8641149005337477E-12</v>
      </c>
      <c r="P343" s="24">
        <f t="shared" si="73"/>
        <v>4.4579792302101851E-8</v>
      </c>
      <c r="Q343" s="2">
        <f t="shared" si="81"/>
        <v>7.6492683842244032E-8</v>
      </c>
      <c r="R343" s="19">
        <f t="shared" si="82"/>
        <v>4.3361881944292691E-4</v>
      </c>
      <c r="S343" s="16">
        <f t="shared" si="83"/>
        <v>283.22193100316986</v>
      </c>
      <c r="T343" s="23">
        <f t="shared" si="74"/>
        <v>4.4565240386873484E-11</v>
      </c>
      <c r="U343" s="22">
        <f t="shared" si="75"/>
        <v>3.1698732527729589E-9</v>
      </c>
      <c r="V343" s="16">
        <f t="shared" si="84"/>
        <v>283.26948019488395</v>
      </c>
      <c r="W343" s="23">
        <f t="shared" si="76"/>
        <v>4.2234660213580355E-11</v>
      </c>
      <c r="X343" s="22">
        <f t="shared" si="77"/>
        <v>1.9488396674205433E-7</v>
      </c>
    </row>
    <row r="344" spans="1:24" x14ac:dyDescent="0.45">
      <c r="A344">
        <v>-82.597629999999995</v>
      </c>
      <c r="B344">
        <v>93.609790000000004</v>
      </c>
      <c r="C344">
        <v>-82.669039999999995</v>
      </c>
      <c r="D344">
        <v>93.457880000000003</v>
      </c>
      <c r="E344" s="13">
        <v>8266.1263129354593</v>
      </c>
      <c r="F344" s="13">
        <v>-164.81691903848699</v>
      </c>
      <c r="G344" s="13">
        <f t="shared" si="78"/>
        <v>195.18308096151301</v>
      </c>
      <c r="H344" s="13">
        <v>-164.66626288377799</v>
      </c>
      <c r="I344" s="13">
        <f t="shared" si="79"/>
        <v>195.33373711622201</v>
      </c>
      <c r="J344" s="11">
        <v>8266.1260000000002</v>
      </c>
      <c r="K344" s="11">
        <v>195.18308099999999</v>
      </c>
      <c r="L344" s="12">
        <v>15.333736999999999</v>
      </c>
      <c r="M344" s="18">
        <f t="shared" si="80"/>
        <v>195.33373699999999</v>
      </c>
      <c r="N344" s="17">
        <f t="shared" si="71"/>
        <v>8266.1263129366034</v>
      </c>
      <c r="O344" s="14">
        <f t="shared" si="72"/>
        <v>1.3841360408924556E-13</v>
      </c>
      <c r="P344" s="24">
        <f t="shared" si="73"/>
        <v>1.1441443348303437E-9</v>
      </c>
      <c r="Q344" s="2">
        <f t="shared" si="81"/>
        <v>3.7857710277175108E-8</v>
      </c>
      <c r="R344" s="19">
        <f t="shared" si="82"/>
        <v>3.129366032226244E-4</v>
      </c>
      <c r="S344" s="16">
        <f t="shared" si="83"/>
        <v>195.18308096151637</v>
      </c>
      <c r="T344" s="23">
        <f t="shared" si="74"/>
        <v>3.3537617127876729E-12</v>
      </c>
      <c r="U344" s="22">
        <f t="shared" si="75"/>
        <v>3.8483619846374495E-8</v>
      </c>
      <c r="V344" s="16">
        <f t="shared" si="84"/>
        <v>195.33373711622517</v>
      </c>
      <c r="W344" s="23">
        <f t="shared" si="76"/>
        <v>3.1548097467748448E-12</v>
      </c>
      <c r="X344" s="22">
        <f t="shared" si="77"/>
        <v>1.1622518059084541E-7</v>
      </c>
    </row>
    <row r="345" spans="1:24" x14ac:dyDescent="0.45">
      <c r="A345">
        <v>-12.49606</v>
      </c>
      <c r="B345">
        <v>44.544510000000002</v>
      </c>
      <c r="C345">
        <v>-12.50287</v>
      </c>
      <c r="D345">
        <v>44.384099999999997</v>
      </c>
      <c r="E345" s="13">
        <v>17452.520534690801</v>
      </c>
      <c r="F345" s="13">
        <v>-92.491387185939104</v>
      </c>
      <c r="G345" s="13">
        <f t="shared" si="78"/>
        <v>267.50861281406088</v>
      </c>
      <c r="H345" s="13">
        <v>-92.456669547979203</v>
      </c>
      <c r="I345" s="13">
        <f t="shared" si="79"/>
        <v>267.54333045202077</v>
      </c>
      <c r="J345" s="9">
        <v>17452.521000000001</v>
      </c>
      <c r="K345" s="9">
        <v>267.50861300000003</v>
      </c>
      <c r="L345" s="10">
        <v>87.543329999999997</v>
      </c>
      <c r="M345" s="18">
        <f t="shared" si="80"/>
        <v>267.54332999999997</v>
      </c>
      <c r="N345" s="17">
        <f t="shared" si="71"/>
        <v>17452.52053279824</v>
      </c>
      <c r="O345" s="14">
        <f t="shared" si="72"/>
        <v>1.0844051122585898E-10</v>
      </c>
      <c r="P345" s="24">
        <f t="shared" si="73"/>
        <v>1.8925602489616722E-6</v>
      </c>
      <c r="Q345" s="2">
        <f t="shared" si="81"/>
        <v>2.6769872405812992E-8</v>
      </c>
      <c r="R345" s="19">
        <f t="shared" si="82"/>
        <v>4.6720176032977179E-4</v>
      </c>
      <c r="S345" s="16">
        <f t="shared" si="83"/>
        <v>267.50861281381185</v>
      </c>
      <c r="T345" s="23">
        <f t="shared" si="74"/>
        <v>2.4903101802919991E-10</v>
      </c>
      <c r="U345" s="22">
        <f t="shared" si="75"/>
        <v>1.8618817421156564E-7</v>
      </c>
      <c r="V345" s="16">
        <f t="shared" si="84"/>
        <v>267.54333045176855</v>
      </c>
      <c r="W345" s="23">
        <f t="shared" si="76"/>
        <v>2.5221424948540516E-10</v>
      </c>
      <c r="X345" s="22">
        <f t="shared" si="77"/>
        <v>4.517685852079012E-7</v>
      </c>
    </row>
    <row r="346" spans="1:24" x14ac:dyDescent="0.45">
      <c r="A346">
        <v>31.840859999999999</v>
      </c>
      <c r="B346">
        <v>164.17705000000001</v>
      </c>
      <c r="C346">
        <v>31.840319999999998</v>
      </c>
      <c r="D346">
        <v>164.14494999999999</v>
      </c>
      <c r="E346" s="13">
        <v>3039.0559379433298</v>
      </c>
      <c r="F346" s="13">
        <v>-91.120482844610606</v>
      </c>
      <c r="G346" s="13">
        <f t="shared" si="78"/>
        <v>268.87951715538941</v>
      </c>
      <c r="H346" s="13">
        <v>-91.137417448770094</v>
      </c>
      <c r="I346" s="13">
        <f t="shared" si="79"/>
        <v>268.86258255122993</v>
      </c>
      <c r="J346" s="11">
        <v>3039.056</v>
      </c>
      <c r="K346" s="11">
        <v>268.87951700000002</v>
      </c>
      <c r="L346" s="12">
        <v>88.862583000000001</v>
      </c>
      <c r="M346" s="18">
        <f t="shared" si="80"/>
        <v>268.86258299999997</v>
      </c>
      <c r="N346" s="17">
        <f t="shared" si="71"/>
        <v>3039.0559378454714</v>
      </c>
      <c r="O346" s="14">
        <f t="shared" si="72"/>
        <v>3.2200278204005759E-11</v>
      </c>
      <c r="P346" s="24">
        <f t="shared" si="73"/>
        <v>9.7858446679310873E-8</v>
      </c>
      <c r="Q346" s="2">
        <f t="shared" si="81"/>
        <v>2.0451919503174063E-8</v>
      </c>
      <c r="R346" s="19">
        <f t="shared" si="82"/>
        <v>6.2154528677638154E-5</v>
      </c>
      <c r="S346" s="16">
        <f t="shared" si="83"/>
        <v>268.87951715534086</v>
      </c>
      <c r="T346" s="23">
        <f t="shared" si="74"/>
        <v>4.8544279707130045E-11</v>
      </c>
      <c r="U346" s="22">
        <f t="shared" si="75"/>
        <v>1.5534084241153323E-7</v>
      </c>
      <c r="V346" s="16">
        <f t="shared" si="84"/>
        <v>268.86258255118565</v>
      </c>
      <c r="W346" s="23">
        <f t="shared" si="76"/>
        <v>4.4281023292569444E-11</v>
      </c>
      <c r="X346" s="22">
        <f t="shared" si="77"/>
        <v>4.4881431904286728E-7</v>
      </c>
    </row>
    <row r="347" spans="1:24" x14ac:dyDescent="0.45">
      <c r="A347">
        <v>61.795400000000001</v>
      </c>
      <c r="B347">
        <v>4.9847700000000001</v>
      </c>
      <c r="C347">
        <v>61.752369999999999</v>
      </c>
      <c r="D347">
        <v>5.13008000000002</v>
      </c>
      <c r="E347" s="13">
        <v>9045.9744276217807</v>
      </c>
      <c r="F347" s="13">
        <v>121.948716428461</v>
      </c>
      <c r="G347" s="13">
        <f t="shared" si="78"/>
        <v>121.948716428461</v>
      </c>
      <c r="H347" s="13">
        <v>122.07674734656401</v>
      </c>
      <c r="I347" s="13">
        <f t="shared" si="79"/>
        <v>122.07674734656401</v>
      </c>
      <c r="J347" s="9">
        <v>9045.9740000000002</v>
      </c>
      <c r="K347" s="9">
        <v>121.948716</v>
      </c>
      <c r="L347" s="10">
        <v>302.07674700000001</v>
      </c>
      <c r="M347" s="18">
        <f t="shared" si="80"/>
        <v>122.07674700000001</v>
      </c>
      <c r="N347" s="17">
        <f t="shared" si="71"/>
        <v>9045.9744276098882</v>
      </c>
      <c r="O347" s="14">
        <f t="shared" si="72"/>
        <v>1.3146790117014961E-12</v>
      </c>
      <c r="P347" s="24">
        <f t="shared" si="73"/>
        <v>1.189255272038281E-8</v>
      </c>
      <c r="Q347" s="2">
        <f t="shared" si="81"/>
        <v>4.7270740330751599E-8</v>
      </c>
      <c r="R347" s="19">
        <f t="shared" si="82"/>
        <v>4.2760988799273036E-4</v>
      </c>
      <c r="S347" s="16">
        <f t="shared" si="83"/>
        <v>121.94871642843331</v>
      </c>
      <c r="T347" s="23">
        <f t="shared" si="74"/>
        <v>2.7682744985213503E-11</v>
      </c>
      <c r="U347" s="22">
        <f t="shared" si="75"/>
        <v>4.2843331016229058E-7</v>
      </c>
      <c r="V347" s="16">
        <f t="shared" si="84"/>
        <v>122.07674734653726</v>
      </c>
      <c r="W347" s="23">
        <f t="shared" si="76"/>
        <v>2.6744828574010171E-11</v>
      </c>
      <c r="X347" s="22">
        <f t="shared" si="77"/>
        <v>3.465372486743945E-7</v>
      </c>
    </row>
    <row r="348" spans="1:24" x14ac:dyDescent="0.45">
      <c r="A348">
        <v>56.26972</v>
      </c>
      <c r="B348">
        <v>55.966749999999998</v>
      </c>
      <c r="C348">
        <v>56.154739999999997</v>
      </c>
      <c r="D348">
        <v>55.994390000000003</v>
      </c>
      <c r="E348" s="13">
        <v>12916.893983919001</v>
      </c>
      <c r="F348" s="13">
        <v>172.358386039717</v>
      </c>
      <c r="G348" s="13">
        <f t="shared" si="78"/>
        <v>172.358386039717</v>
      </c>
      <c r="H348" s="13">
        <v>172.38135774371</v>
      </c>
      <c r="I348" s="13">
        <f t="shared" si="79"/>
        <v>172.38135774371</v>
      </c>
      <c r="J348" s="11">
        <v>12916.894</v>
      </c>
      <c r="K348" s="11">
        <v>172.358386</v>
      </c>
      <c r="L348" s="12">
        <v>352.38135799999998</v>
      </c>
      <c r="M348" s="18">
        <f t="shared" si="80"/>
        <v>172.38135799999998</v>
      </c>
      <c r="N348" s="17">
        <f t="shared" si="71"/>
        <v>12916.893983628517</v>
      </c>
      <c r="O348" s="14">
        <f t="shared" si="72"/>
        <v>2.2488650379951676E-11</v>
      </c>
      <c r="P348" s="24">
        <f t="shared" si="73"/>
        <v>2.9048351279925555E-7</v>
      </c>
      <c r="Q348" s="2">
        <f t="shared" si="81"/>
        <v>1.2674473500009395E-9</v>
      </c>
      <c r="R348" s="19">
        <f t="shared" si="82"/>
        <v>1.6371483070543036E-5</v>
      </c>
      <c r="S348" s="16">
        <f t="shared" si="83"/>
        <v>172.35838604820754</v>
      </c>
      <c r="T348" s="23">
        <f t="shared" si="74"/>
        <v>8.4905309449823108E-9</v>
      </c>
      <c r="U348" s="22">
        <f t="shared" si="75"/>
        <v>4.8207539293798618E-8</v>
      </c>
      <c r="V348" s="16">
        <f t="shared" si="84"/>
        <v>172.38135775217449</v>
      </c>
      <c r="W348" s="23">
        <f t="shared" si="76"/>
        <v>8.4644966591440607E-9</v>
      </c>
      <c r="X348" s="22">
        <f t="shared" si="77"/>
        <v>2.478254828019999E-7</v>
      </c>
    </row>
    <row r="349" spans="1:24" x14ac:dyDescent="0.45">
      <c r="A349">
        <v>-18.397220000000001</v>
      </c>
      <c r="B349">
        <v>117.01608</v>
      </c>
      <c r="C349">
        <v>-18.45158</v>
      </c>
      <c r="D349">
        <v>116.99928</v>
      </c>
      <c r="E349" s="13">
        <v>6273.1787789861</v>
      </c>
      <c r="F349" s="13">
        <v>-163.567228104001</v>
      </c>
      <c r="G349" s="13">
        <f t="shared" si="78"/>
        <v>196.432771895999</v>
      </c>
      <c r="H349" s="13">
        <v>-163.56191841133699</v>
      </c>
      <c r="I349" s="13">
        <f t="shared" si="79"/>
        <v>196.43808158866301</v>
      </c>
      <c r="J349" s="9">
        <v>6273.1790000000001</v>
      </c>
      <c r="K349" s="9">
        <v>196.432772</v>
      </c>
      <c r="L349" s="10">
        <v>16.438082000000001</v>
      </c>
      <c r="M349" s="18">
        <f t="shared" si="80"/>
        <v>196.43808200000001</v>
      </c>
      <c r="N349" s="17">
        <f t="shared" si="71"/>
        <v>6273.1787789042937</v>
      </c>
      <c r="O349" s="14">
        <f t="shared" si="72"/>
        <v>1.3040648580653314E-11</v>
      </c>
      <c r="P349" s="24">
        <f t="shared" si="73"/>
        <v>8.1806319940369576E-8</v>
      </c>
      <c r="Q349" s="2">
        <f t="shared" si="81"/>
        <v>3.5244603472227411E-8</v>
      </c>
      <c r="R349" s="19">
        <f t="shared" si="82"/>
        <v>2.2109570636530407E-4</v>
      </c>
      <c r="S349" s="16">
        <f t="shared" si="83"/>
        <v>196.43277189474003</v>
      </c>
      <c r="T349" s="23">
        <f t="shared" si="74"/>
        <v>1.2589680409291759E-9</v>
      </c>
      <c r="U349" s="22">
        <f t="shared" si="75"/>
        <v>1.0525997140575782E-7</v>
      </c>
      <c r="V349" s="16">
        <f t="shared" si="84"/>
        <v>196.4380815874031</v>
      </c>
      <c r="W349" s="23">
        <f t="shared" si="76"/>
        <v>1.2599059573403792E-9</v>
      </c>
      <c r="X349" s="22">
        <f t="shared" si="77"/>
        <v>4.1259690419792605E-7</v>
      </c>
    </row>
    <row r="350" spans="1:24" x14ac:dyDescent="0.45">
      <c r="A350">
        <v>-28.80226</v>
      </c>
      <c r="B350">
        <v>-35.583840000000002</v>
      </c>
      <c r="C350">
        <v>-28.805099999999999</v>
      </c>
      <c r="D350">
        <v>-35.578510000000001</v>
      </c>
      <c r="E350" s="13">
        <v>608.126228816256</v>
      </c>
      <c r="F350" s="13">
        <v>121.17249348956599</v>
      </c>
      <c r="G350" s="13">
        <f t="shared" si="78"/>
        <v>121.17249348956599</v>
      </c>
      <c r="H350" s="13">
        <v>121.169925442495</v>
      </c>
      <c r="I350" s="13">
        <f t="shared" si="79"/>
        <v>121.169925442495</v>
      </c>
      <c r="J350" s="11">
        <v>608.12599999999998</v>
      </c>
      <c r="K350" s="11">
        <v>121.172493</v>
      </c>
      <c r="L350" s="12">
        <v>301.16992499999998</v>
      </c>
      <c r="M350" s="18">
        <f t="shared" si="80"/>
        <v>121.16992499999998</v>
      </c>
      <c r="N350" s="17">
        <f t="shared" si="71"/>
        <v>608.12622879592652</v>
      </c>
      <c r="O350" s="14">
        <f t="shared" si="72"/>
        <v>3.342970481794806E-11</v>
      </c>
      <c r="P350" s="24">
        <f t="shared" si="73"/>
        <v>2.0329480321379378E-8</v>
      </c>
      <c r="Q350" s="2">
        <f t="shared" si="81"/>
        <v>3.7623112076428144E-7</v>
      </c>
      <c r="R350" s="19">
        <f t="shared" si="82"/>
        <v>2.2879592654589942E-4</v>
      </c>
      <c r="S350" s="16">
        <f t="shared" si="83"/>
        <v>121.17249349058166</v>
      </c>
      <c r="T350" s="23">
        <f t="shared" si="74"/>
        <v>1.0156639973502024E-9</v>
      </c>
      <c r="U350" s="22">
        <f t="shared" si="75"/>
        <v>4.9058165529913822E-7</v>
      </c>
      <c r="V350" s="16">
        <f t="shared" si="84"/>
        <v>121.16992544350076</v>
      </c>
      <c r="W350" s="23">
        <f t="shared" si="76"/>
        <v>1.0057590316137066E-9</v>
      </c>
      <c r="X350" s="22">
        <f t="shared" si="77"/>
        <v>4.4350078098887025E-7</v>
      </c>
    </row>
    <row r="351" spans="1:24" x14ac:dyDescent="0.45">
      <c r="A351">
        <v>-78.84854</v>
      </c>
      <c r="B351">
        <v>-55.089280000000002</v>
      </c>
      <c r="C351">
        <v>-78.890469999999993</v>
      </c>
      <c r="D351">
        <v>-55.064720000000001</v>
      </c>
      <c r="E351" s="13">
        <v>4711.4128073848196</v>
      </c>
      <c r="F351" s="13">
        <v>173.559216896566</v>
      </c>
      <c r="G351" s="13">
        <f t="shared" si="78"/>
        <v>173.559216896566</v>
      </c>
      <c r="H351" s="13">
        <v>173.53511886712701</v>
      </c>
      <c r="I351" s="13">
        <f t="shared" si="79"/>
        <v>173.53511886712701</v>
      </c>
      <c r="J351" s="9">
        <v>4711.4129999999996</v>
      </c>
      <c r="K351" s="9">
        <v>173.55921699999999</v>
      </c>
      <c r="L351" s="10">
        <v>353.53511900000001</v>
      </c>
      <c r="M351" s="18">
        <f t="shared" si="80"/>
        <v>173.53511900000001</v>
      </c>
      <c r="N351" s="17">
        <f t="shared" si="71"/>
        <v>4711.4128073829452</v>
      </c>
      <c r="O351" s="14">
        <f t="shared" si="72"/>
        <v>3.9785700319358619E-13</v>
      </c>
      <c r="P351" s="24">
        <f t="shared" si="73"/>
        <v>1.8744685803540051E-9</v>
      </c>
      <c r="Q351" s="2">
        <f t="shared" si="81"/>
        <v>4.0883075710220434E-8</v>
      </c>
      <c r="R351" s="19">
        <f t="shared" si="82"/>
        <v>1.9261705438111676E-4</v>
      </c>
      <c r="S351" s="16">
        <f t="shared" si="83"/>
        <v>173.55921689657185</v>
      </c>
      <c r="T351" s="23">
        <f t="shared" si="74"/>
        <v>5.8548721426632255E-12</v>
      </c>
      <c r="U351" s="22">
        <f t="shared" si="75"/>
        <v>1.0342813538954942E-7</v>
      </c>
      <c r="V351" s="16">
        <f t="shared" si="84"/>
        <v>173.53511886713321</v>
      </c>
      <c r="W351" s="23">
        <f t="shared" si="76"/>
        <v>6.1959326558280736E-12</v>
      </c>
      <c r="X351" s="22">
        <f t="shared" si="77"/>
        <v>1.3286680200508272E-7</v>
      </c>
    </row>
    <row r="352" spans="1:24" x14ac:dyDescent="0.45">
      <c r="A352">
        <v>31.314209999999999</v>
      </c>
      <c r="B352">
        <v>-170.32921999999999</v>
      </c>
      <c r="C352">
        <v>31.34074</v>
      </c>
      <c r="D352">
        <v>-170.39631</v>
      </c>
      <c r="E352" s="13">
        <v>7030.3342892912897</v>
      </c>
      <c r="F352" s="13">
        <v>-65.248725986661597</v>
      </c>
      <c r="G352" s="13">
        <f t="shared" si="78"/>
        <v>294.75127401333839</v>
      </c>
      <c r="H352" s="13">
        <v>-65.2836080130499</v>
      </c>
      <c r="I352" s="13">
        <f t="shared" si="79"/>
        <v>294.7163919869501</v>
      </c>
      <c r="J352" s="11">
        <v>7030.3339999999998</v>
      </c>
      <c r="K352" s="11">
        <v>294.75127400000002</v>
      </c>
      <c r="L352" s="12">
        <v>114.716392</v>
      </c>
      <c r="M352" s="18">
        <f t="shared" si="80"/>
        <v>294.71639199999998</v>
      </c>
      <c r="N352" s="17">
        <f t="shared" si="71"/>
        <v>7030.3342890818167</v>
      </c>
      <c r="O352" s="14">
        <f t="shared" si="72"/>
        <v>2.9795596070304892E-11</v>
      </c>
      <c r="P352" s="24">
        <f t="shared" si="73"/>
        <v>2.0947300072293729E-7</v>
      </c>
      <c r="Q352" s="2">
        <f t="shared" si="81"/>
        <v>4.1119215224380872E-8</v>
      </c>
      <c r="R352" s="19">
        <f t="shared" si="82"/>
        <v>2.8908181684528245E-4</v>
      </c>
      <c r="S352" s="16">
        <f t="shared" si="83"/>
        <v>294.75127401399538</v>
      </c>
      <c r="T352" s="23">
        <f t="shared" si="74"/>
        <v>6.5699623519321904E-10</v>
      </c>
      <c r="U352" s="22">
        <f t="shared" si="75"/>
        <v>1.3995361314300681E-8</v>
      </c>
      <c r="V352" s="16">
        <f t="shared" si="84"/>
        <v>294.7163919876092</v>
      </c>
      <c r="W352" s="23">
        <f t="shared" si="76"/>
        <v>6.5909944169106893E-10</v>
      </c>
      <c r="X352" s="22">
        <f t="shared" si="77"/>
        <v>1.2390785286697792E-8</v>
      </c>
    </row>
    <row r="353" spans="1:24" x14ac:dyDescent="0.45">
      <c r="A353">
        <v>-46.90448</v>
      </c>
      <c r="B353">
        <v>137.71643</v>
      </c>
      <c r="C353">
        <v>-46.988259999999997</v>
      </c>
      <c r="D353">
        <v>137.58946</v>
      </c>
      <c r="E353" s="13">
        <v>13423.4079476483</v>
      </c>
      <c r="F353" s="13">
        <v>-133.98185356509899</v>
      </c>
      <c r="G353" s="13">
        <f t="shared" si="78"/>
        <v>226.01814643490101</v>
      </c>
      <c r="H353" s="13">
        <v>-133.88907463676901</v>
      </c>
      <c r="I353" s="13">
        <f t="shared" si="79"/>
        <v>226.11092536323099</v>
      </c>
      <c r="J353" s="9">
        <v>13423.407999999999</v>
      </c>
      <c r="K353" s="9">
        <v>226.018146</v>
      </c>
      <c r="L353" s="10">
        <v>46.110925000000002</v>
      </c>
      <c r="M353" s="18">
        <f t="shared" si="80"/>
        <v>226.11092500000001</v>
      </c>
      <c r="N353" s="17">
        <f t="shared" si="71"/>
        <v>13423.407947576217</v>
      </c>
      <c r="O353" s="14">
        <f t="shared" si="72"/>
        <v>5.3699412522394275E-12</v>
      </c>
      <c r="P353" s="24">
        <f t="shared" si="73"/>
        <v>7.20829120837152E-8</v>
      </c>
      <c r="Q353" s="2">
        <f t="shared" si="81"/>
        <v>3.9054003356103887E-9</v>
      </c>
      <c r="R353" s="19">
        <f t="shared" si="82"/>
        <v>5.2423782108235173E-5</v>
      </c>
      <c r="S353" s="16">
        <f t="shared" si="83"/>
        <v>226.01814643479844</v>
      </c>
      <c r="T353" s="23">
        <f t="shared" si="74"/>
        <v>1.0257394933432806E-10</v>
      </c>
      <c r="U353" s="22">
        <f t="shared" si="75"/>
        <v>4.3479843725435785E-7</v>
      </c>
      <c r="V353" s="16">
        <f t="shared" si="84"/>
        <v>226.11092536312771</v>
      </c>
      <c r="W353" s="23">
        <f t="shared" si="76"/>
        <v>1.0328449207008816E-10</v>
      </c>
      <c r="X353" s="22">
        <f t="shared" si="77"/>
        <v>3.6312769680080237E-7</v>
      </c>
    </row>
    <row r="354" spans="1:24" x14ac:dyDescent="0.45">
      <c r="A354">
        <v>-80.749179999999996</v>
      </c>
      <c r="B354">
        <v>-71.770089999999996</v>
      </c>
      <c r="C354">
        <v>-80.769069999999999</v>
      </c>
      <c r="D354">
        <v>-71.865759999999995</v>
      </c>
      <c r="E354" s="13">
        <v>2806.59337412798</v>
      </c>
      <c r="F354" s="13">
        <v>-142.35959209769899</v>
      </c>
      <c r="G354" s="13">
        <f t="shared" si="78"/>
        <v>217.64040790230101</v>
      </c>
      <c r="H354" s="13">
        <v>-142.265163705361</v>
      </c>
      <c r="I354" s="13">
        <f t="shared" si="79"/>
        <v>217.734836294639</v>
      </c>
      <c r="J354" s="11">
        <v>2806.5929999999998</v>
      </c>
      <c r="K354" s="11">
        <v>217.64040800000001</v>
      </c>
      <c r="L354" s="12">
        <v>37.734836000000001</v>
      </c>
      <c r="M354" s="18">
        <f t="shared" si="80"/>
        <v>217.734836</v>
      </c>
      <c r="N354" s="17">
        <f t="shared" si="71"/>
        <v>2806.5933741277308</v>
      </c>
      <c r="O354" s="14">
        <f t="shared" si="72"/>
        <v>8.8791468897132374E-14</v>
      </c>
      <c r="P354" s="24">
        <f t="shared" si="73"/>
        <v>2.4920154828578234E-10</v>
      </c>
      <c r="Q354" s="2">
        <f t="shared" si="81"/>
        <v>1.3330316543680121E-7</v>
      </c>
      <c r="R354" s="19">
        <f t="shared" si="82"/>
        <v>3.7412773099276819E-4</v>
      </c>
      <c r="S354" s="16">
        <f t="shared" si="83"/>
        <v>217.64040790227159</v>
      </c>
      <c r="T354" s="23">
        <f t="shared" si="74"/>
        <v>2.9416469260468148E-11</v>
      </c>
      <c r="U354" s="22">
        <f t="shared" si="75"/>
        <v>9.7728417358666775E-8</v>
      </c>
      <c r="V354" s="16">
        <f t="shared" si="84"/>
        <v>217.73483629461012</v>
      </c>
      <c r="W354" s="23">
        <f t="shared" si="76"/>
        <v>2.8876456781290472E-11</v>
      </c>
      <c r="X354" s="22">
        <f t="shared" si="77"/>
        <v>2.9461011763487477E-7</v>
      </c>
    </row>
    <row r="355" spans="1:24" x14ac:dyDescent="0.45">
      <c r="A355">
        <v>71.830119999999994</v>
      </c>
      <c r="B355">
        <v>-21.113969999999998</v>
      </c>
      <c r="C355">
        <v>71.950940000000003</v>
      </c>
      <c r="D355">
        <v>-21.180430000000001</v>
      </c>
      <c r="E355" s="13">
        <v>13677.5944832972</v>
      </c>
      <c r="F355" s="13">
        <v>-9.6773145326869905</v>
      </c>
      <c r="G355" s="13">
        <f t="shared" si="78"/>
        <v>350.32268546731302</v>
      </c>
      <c r="H355" s="13">
        <v>-9.7404824304754207</v>
      </c>
      <c r="I355" s="13">
        <f t="shared" si="79"/>
        <v>350.25951756952458</v>
      </c>
      <c r="J355" s="9">
        <v>13677.593999999999</v>
      </c>
      <c r="K355" s="9">
        <v>350.32268499999998</v>
      </c>
      <c r="L355" s="10">
        <v>170.25951800000001</v>
      </c>
      <c r="M355" s="18">
        <f t="shared" si="80"/>
        <v>350.25951800000001</v>
      </c>
      <c r="N355" s="17">
        <f t="shared" si="71"/>
        <v>13677.594483264145</v>
      </c>
      <c r="O355" s="14">
        <f t="shared" si="72"/>
        <v>2.4167024019904233E-12</v>
      </c>
      <c r="P355" s="24">
        <f t="shared" si="73"/>
        <v>3.3054675441235304E-8</v>
      </c>
      <c r="Q355" s="2">
        <f t="shared" si="81"/>
        <v>3.5332540662411027E-8</v>
      </c>
      <c r="R355" s="19">
        <f t="shared" si="82"/>
        <v>4.8326414616894908E-4</v>
      </c>
      <c r="S355" s="16">
        <f t="shared" si="83"/>
        <v>350.32268546763709</v>
      </c>
      <c r="T355" s="23">
        <f t="shared" si="74"/>
        <v>3.2406433092546649E-10</v>
      </c>
      <c r="U355" s="22">
        <f t="shared" si="75"/>
        <v>4.6763710770392208E-7</v>
      </c>
      <c r="V355" s="16">
        <f t="shared" si="84"/>
        <v>350.25951756985069</v>
      </c>
      <c r="W355" s="23">
        <f t="shared" si="76"/>
        <v>3.2611069400445558E-10</v>
      </c>
      <c r="X355" s="22">
        <f t="shared" si="77"/>
        <v>4.3014932771257008E-7</v>
      </c>
    </row>
    <row r="356" spans="1:24" x14ac:dyDescent="0.45">
      <c r="A356">
        <v>81.128439999999998</v>
      </c>
      <c r="B356">
        <v>77.347290000000001</v>
      </c>
      <c r="C356">
        <v>81.209860000000006</v>
      </c>
      <c r="D356">
        <v>77.204279999999997</v>
      </c>
      <c r="E356" s="13">
        <v>9416.7867874034291</v>
      </c>
      <c r="F356" s="13">
        <v>-15.022320155487201</v>
      </c>
      <c r="G356" s="13">
        <f t="shared" si="78"/>
        <v>344.97767984451281</v>
      </c>
      <c r="H356" s="13">
        <v>-15.163634933104101</v>
      </c>
      <c r="I356" s="13">
        <f t="shared" si="79"/>
        <v>344.83636506689589</v>
      </c>
      <c r="J356" s="11">
        <v>9416.7870000000003</v>
      </c>
      <c r="K356" s="11">
        <v>344.97768000000002</v>
      </c>
      <c r="L356" s="12">
        <v>164.836365</v>
      </c>
      <c r="M356" s="18">
        <f t="shared" si="80"/>
        <v>344.836365</v>
      </c>
      <c r="N356" s="17">
        <f t="shared" si="71"/>
        <v>9416.7867874048916</v>
      </c>
      <c r="O356" s="14">
        <f t="shared" si="72"/>
        <v>1.5530430001953216E-13</v>
      </c>
      <c r="P356" s="24">
        <f t="shared" si="73"/>
        <v>1.4624674804508686E-9</v>
      </c>
      <c r="Q356" s="2">
        <f t="shared" si="81"/>
        <v>2.2576183222389462E-8</v>
      </c>
      <c r="R356" s="19">
        <f t="shared" si="82"/>
        <v>2.1259510867821518E-4</v>
      </c>
      <c r="S356" s="16">
        <f t="shared" si="83"/>
        <v>344.97767984451679</v>
      </c>
      <c r="T356" s="23">
        <f t="shared" si="74"/>
        <v>3.979039320256561E-12</v>
      </c>
      <c r="U356" s="22">
        <f t="shared" si="75"/>
        <v>1.5548323517577955E-7</v>
      </c>
      <c r="V356" s="16">
        <f t="shared" si="84"/>
        <v>344.8363650669001</v>
      </c>
      <c r="W356" s="23">
        <f t="shared" si="76"/>
        <v>4.2064129956997931E-12</v>
      </c>
      <c r="X356" s="22">
        <f t="shared" si="77"/>
        <v>6.6900099682243308E-8</v>
      </c>
    </row>
    <row r="357" spans="1:24" x14ac:dyDescent="0.45">
      <c r="A357">
        <v>72.539820000000006</v>
      </c>
      <c r="B357">
        <v>155.15729999999999</v>
      </c>
      <c r="C357">
        <v>72.426959999999994</v>
      </c>
      <c r="D357">
        <v>155.11358999999999</v>
      </c>
      <c r="E357" s="13">
        <v>12679.628015628499</v>
      </c>
      <c r="F357" s="13">
        <v>-173.326251068457</v>
      </c>
      <c r="G357" s="13">
        <f t="shared" si="78"/>
        <v>186.673748931543</v>
      </c>
      <c r="H357" s="13">
        <v>-173.367934244639</v>
      </c>
      <c r="I357" s="13">
        <f t="shared" si="79"/>
        <v>186.632065755361</v>
      </c>
      <c r="J357" s="9">
        <v>12679.628000000001</v>
      </c>
      <c r="K357" s="9">
        <v>186.67374899999999</v>
      </c>
      <c r="L357" s="10">
        <v>6.632066</v>
      </c>
      <c r="M357" s="18">
        <f t="shared" si="80"/>
        <v>186.63206600000001</v>
      </c>
      <c r="N357" s="17">
        <f t="shared" si="71"/>
        <v>12679.628015607273</v>
      </c>
      <c r="O357" s="14">
        <f t="shared" si="72"/>
        <v>1.6740071020864635E-12</v>
      </c>
      <c r="P357" s="24">
        <f t="shared" si="73"/>
        <v>2.1225787349976599E-8</v>
      </c>
      <c r="Q357" s="2">
        <f t="shared" si="81"/>
        <v>1.2308935933625747E-9</v>
      </c>
      <c r="R357" s="19">
        <f t="shared" si="82"/>
        <v>1.5607272871420719E-5</v>
      </c>
      <c r="S357" s="16">
        <f t="shared" si="83"/>
        <v>186.67374893134783</v>
      </c>
      <c r="T357" s="23">
        <f t="shared" si="74"/>
        <v>1.9517187865858432E-10</v>
      </c>
      <c r="U357" s="22">
        <f t="shared" si="75"/>
        <v>6.8652155960080563E-8</v>
      </c>
      <c r="V357" s="16">
        <f t="shared" si="84"/>
        <v>186.63206575516705</v>
      </c>
      <c r="W357" s="23">
        <f t="shared" si="76"/>
        <v>1.9394974515307695E-10</v>
      </c>
      <c r="X357" s="22">
        <f t="shared" si="77"/>
        <v>2.4483296101607266E-7</v>
      </c>
    </row>
    <row r="358" spans="1:24" x14ac:dyDescent="0.45">
      <c r="A358">
        <v>-60.31823</v>
      </c>
      <c r="B358">
        <v>-95.98245</v>
      </c>
      <c r="C358">
        <v>-60.450560000000003</v>
      </c>
      <c r="D358">
        <v>-95.865369999999999</v>
      </c>
      <c r="E358" s="13">
        <v>16096.0019679255</v>
      </c>
      <c r="F358" s="13">
        <v>156.39995931818501</v>
      </c>
      <c r="G358" s="13">
        <f t="shared" si="78"/>
        <v>156.39995931818501</v>
      </c>
      <c r="H358" s="13">
        <v>156.29817452970201</v>
      </c>
      <c r="I358" s="13">
        <f t="shared" si="79"/>
        <v>156.29817452970201</v>
      </c>
      <c r="J358" s="11">
        <v>16096.002</v>
      </c>
      <c r="K358" s="11">
        <v>156.399959</v>
      </c>
      <c r="L358" s="12">
        <v>336.29817500000001</v>
      </c>
      <c r="M358" s="18">
        <f t="shared" si="80"/>
        <v>156.29817500000001</v>
      </c>
      <c r="N358" s="17">
        <f t="shared" si="71"/>
        <v>16096.001967885808</v>
      </c>
      <c r="O358" s="14">
        <f t="shared" si="72"/>
        <v>2.465964396243782E-12</v>
      </c>
      <c r="P358" s="24">
        <f t="shared" si="73"/>
        <v>3.9692167774774134E-8</v>
      </c>
      <c r="Q358" s="2">
        <f t="shared" si="81"/>
        <v>1.9951657831543243E-9</v>
      </c>
      <c r="R358" s="19">
        <f t="shared" si="82"/>
        <v>3.2114192435983568E-5</v>
      </c>
      <c r="S358" s="16">
        <f t="shared" si="83"/>
        <v>156.39995931818856</v>
      </c>
      <c r="T358" s="23">
        <f t="shared" si="74"/>
        <v>3.5527136788005009E-12</v>
      </c>
      <c r="U358" s="22">
        <f t="shared" si="75"/>
        <v>3.1818856882637192E-7</v>
      </c>
      <c r="V358" s="16">
        <f t="shared" si="84"/>
        <v>156.29817452970551</v>
      </c>
      <c r="W358" s="23">
        <f t="shared" si="76"/>
        <v>3.4958702599396929E-12</v>
      </c>
      <c r="X358" s="22">
        <f t="shared" si="77"/>
        <v>4.7029450911395543E-7</v>
      </c>
    </row>
    <row r="359" spans="1:24" x14ac:dyDescent="0.45">
      <c r="A359">
        <v>7.4153700000000002</v>
      </c>
      <c r="B359">
        <v>74.279839999999993</v>
      </c>
      <c r="C359">
        <v>7.2734100000000002</v>
      </c>
      <c r="D359">
        <v>74.379490000000004</v>
      </c>
      <c r="E359" s="13">
        <v>19171.261569210001</v>
      </c>
      <c r="F359" s="13">
        <v>144.970285432879</v>
      </c>
      <c r="G359" s="13">
        <f t="shared" si="78"/>
        <v>144.970285432879</v>
      </c>
      <c r="H359" s="13">
        <v>144.983024008537</v>
      </c>
      <c r="I359" s="13">
        <f t="shared" si="79"/>
        <v>144.983024008537</v>
      </c>
      <c r="J359" s="9">
        <v>19171.261999999999</v>
      </c>
      <c r="K359" s="9">
        <v>144.97028499999999</v>
      </c>
      <c r="L359" s="10">
        <v>324.983024</v>
      </c>
      <c r="M359" s="18">
        <f t="shared" si="80"/>
        <v>144.983024</v>
      </c>
      <c r="N359" s="17">
        <f t="shared" si="71"/>
        <v>19171.261568330174</v>
      </c>
      <c r="O359" s="14">
        <f t="shared" si="72"/>
        <v>4.589301446985321E-11</v>
      </c>
      <c r="P359" s="24">
        <f t="shared" si="73"/>
        <v>8.7982698460109532E-7</v>
      </c>
      <c r="Q359" s="2">
        <f t="shared" si="81"/>
        <v>2.2516505436508053E-8</v>
      </c>
      <c r="R359" s="19">
        <f t="shared" si="82"/>
        <v>4.3166982504772022E-4</v>
      </c>
      <c r="S359" s="16">
        <f t="shared" si="83"/>
        <v>144.97028543607442</v>
      </c>
      <c r="T359" s="23">
        <f t="shared" si="74"/>
        <v>3.1954243695508922E-9</v>
      </c>
      <c r="U359" s="22">
        <f t="shared" si="75"/>
        <v>4.3607442989923584E-7</v>
      </c>
      <c r="V359" s="16">
        <f t="shared" si="84"/>
        <v>144.98302401173061</v>
      </c>
      <c r="W359" s="23">
        <f t="shared" si="76"/>
        <v>3.1936053801473463E-9</v>
      </c>
      <c r="X359" s="22">
        <f t="shared" si="77"/>
        <v>1.1730605820048368E-8</v>
      </c>
    </row>
    <row r="360" spans="1:24" x14ac:dyDescent="0.45">
      <c r="A360">
        <v>77.668859999999995</v>
      </c>
      <c r="B360">
        <v>9.5417400000000008</v>
      </c>
      <c r="C360">
        <v>77.504649999999998</v>
      </c>
      <c r="D360">
        <v>9.4145200000000404</v>
      </c>
      <c r="E360" s="13">
        <v>18585.341004406</v>
      </c>
      <c r="F360" s="13">
        <v>-170.47977998656501</v>
      </c>
      <c r="G360" s="13">
        <f t="shared" si="78"/>
        <v>189.52022001343499</v>
      </c>
      <c r="H360" s="13">
        <v>-170.60402604523401</v>
      </c>
      <c r="I360" s="13">
        <f t="shared" si="79"/>
        <v>189.39597395476599</v>
      </c>
      <c r="J360" s="11">
        <v>18585.341</v>
      </c>
      <c r="K360" s="11">
        <v>189.52021999999999</v>
      </c>
      <c r="L360" s="12">
        <v>9.3959740000000007</v>
      </c>
      <c r="M360" s="18">
        <f t="shared" si="80"/>
        <v>189.395974</v>
      </c>
      <c r="N360" s="17">
        <f t="shared" si="71"/>
        <v>18585.341004393078</v>
      </c>
      <c r="O360" s="14">
        <f t="shared" si="72"/>
        <v>6.9528456430938454E-13</v>
      </c>
      <c r="P360" s="24">
        <f t="shared" si="73"/>
        <v>1.2922100722789764E-8</v>
      </c>
      <c r="Q360" s="2">
        <f t="shared" si="81"/>
        <v>2.3637326257783856E-10</v>
      </c>
      <c r="R360" s="19">
        <f t="shared" si="82"/>
        <v>4.3930776882916689E-6</v>
      </c>
      <c r="S360" s="16">
        <f t="shared" si="83"/>
        <v>189.5202200134014</v>
      </c>
      <c r="T360" s="23">
        <f t="shared" si="74"/>
        <v>3.3594460546737537E-11</v>
      </c>
      <c r="U360" s="22">
        <f t="shared" si="75"/>
        <v>1.3401404430624098E-8</v>
      </c>
      <c r="V360" s="16">
        <f t="shared" si="84"/>
        <v>189.39597395473294</v>
      </c>
      <c r="W360" s="23">
        <f t="shared" si="76"/>
        <v>3.3054448067559861E-11</v>
      </c>
      <c r="X360" s="22">
        <f t="shared" si="77"/>
        <v>4.526705765783845E-8</v>
      </c>
    </row>
    <row r="361" spans="1:24" x14ac:dyDescent="0.45">
      <c r="A361">
        <v>-13.71679</v>
      </c>
      <c r="B361">
        <v>-43.847149999999999</v>
      </c>
      <c r="C361">
        <v>-13.61233</v>
      </c>
      <c r="D361">
        <v>-43.76285</v>
      </c>
      <c r="E361" s="13">
        <v>14722.2946943885</v>
      </c>
      <c r="F361" s="13">
        <v>38.288893646531498</v>
      </c>
      <c r="G361" s="13">
        <f t="shared" si="78"/>
        <v>38.288893646531498</v>
      </c>
      <c r="H361" s="13">
        <v>38.268978842705103</v>
      </c>
      <c r="I361" s="13">
        <f t="shared" si="79"/>
        <v>38.268978842705103</v>
      </c>
      <c r="J361" s="9">
        <v>14722.295</v>
      </c>
      <c r="K361" s="9">
        <v>38.288893999999999</v>
      </c>
      <c r="L361" s="10">
        <v>218.268979</v>
      </c>
      <c r="M361" s="18">
        <f t="shared" si="80"/>
        <v>38.268979000000002</v>
      </c>
      <c r="N361" s="17">
        <f t="shared" si="71"/>
        <v>14722.294693728865</v>
      </c>
      <c r="O361" s="14">
        <f t="shared" si="72"/>
        <v>4.4805153885045275E-11</v>
      </c>
      <c r="P361" s="24">
        <f t="shared" si="73"/>
        <v>6.596346793230623E-7</v>
      </c>
      <c r="Q361" s="2">
        <f t="shared" si="81"/>
        <v>2.080321952739427E-8</v>
      </c>
      <c r="R361" s="19">
        <f t="shared" si="82"/>
        <v>3.0627113483205903E-4</v>
      </c>
      <c r="S361" s="16">
        <f t="shared" si="83"/>
        <v>38.288893643769661</v>
      </c>
      <c r="T361" s="23">
        <f t="shared" si="74"/>
        <v>2.7618369813353638E-9</v>
      </c>
      <c r="U361" s="22">
        <f t="shared" si="75"/>
        <v>3.56230337672514E-7</v>
      </c>
      <c r="V361" s="16">
        <f t="shared" si="84"/>
        <v>38.268978839945348</v>
      </c>
      <c r="W361" s="23">
        <f t="shared" si="76"/>
        <v>2.7597550911195867E-9</v>
      </c>
      <c r="X361" s="22">
        <f t="shared" si="77"/>
        <v>1.6005465397483931E-7</v>
      </c>
    </row>
    <row r="362" spans="1:24" x14ac:dyDescent="0.45">
      <c r="A362">
        <v>25.532720000000001</v>
      </c>
      <c r="B362">
        <v>105.77508</v>
      </c>
      <c r="C362">
        <v>25.499030000000001</v>
      </c>
      <c r="D362">
        <v>105.81137</v>
      </c>
      <c r="E362" s="13">
        <v>5218.9524888456199</v>
      </c>
      <c r="F362" s="13">
        <v>135.645561153719</v>
      </c>
      <c r="G362" s="13">
        <f t="shared" si="78"/>
        <v>135.645561153719</v>
      </c>
      <c r="H362" s="13">
        <v>135.661193477339</v>
      </c>
      <c r="I362" s="13">
        <f t="shared" si="79"/>
        <v>135.661193477339</v>
      </c>
      <c r="J362" s="11">
        <v>5218.9520000000002</v>
      </c>
      <c r="K362" s="11">
        <v>135.64556099999999</v>
      </c>
      <c r="L362" s="12">
        <v>315.66119300000003</v>
      </c>
      <c r="M362" s="18">
        <f t="shared" si="80"/>
        <v>135.66119300000003</v>
      </c>
      <c r="N362" s="17">
        <f t="shared" si="71"/>
        <v>5218.9524886808895</v>
      </c>
      <c r="O362" s="14">
        <f t="shared" si="72"/>
        <v>3.1563883599495037E-11</v>
      </c>
      <c r="P362" s="24">
        <f t="shared" si="73"/>
        <v>1.6473040886921808E-7</v>
      </c>
      <c r="Q362" s="2">
        <f t="shared" si="81"/>
        <v>9.3635827508648592E-8</v>
      </c>
      <c r="R362" s="19">
        <f t="shared" si="82"/>
        <v>4.8868088924791664E-4</v>
      </c>
      <c r="S362" s="16">
        <f t="shared" si="83"/>
        <v>135.64556115523115</v>
      </c>
      <c r="T362" s="23">
        <f t="shared" si="74"/>
        <v>1.5121486285352148E-9</v>
      </c>
      <c r="U362" s="22">
        <f t="shared" si="75"/>
        <v>1.552311630348413E-7</v>
      </c>
      <c r="V362" s="16">
        <f t="shared" si="84"/>
        <v>135.6611934788493</v>
      </c>
      <c r="W362" s="23">
        <f t="shared" si="76"/>
        <v>1.5103012174222386E-9</v>
      </c>
      <c r="X362" s="22">
        <f t="shared" si="77"/>
        <v>4.7884927312225045E-7</v>
      </c>
    </row>
    <row r="363" spans="1:24" x14ac:dyDescent="0.45">
      <c r="A363">
        <v>11.3225</v>
      </c>
      <c r="B363">
        <v>105.72385</v>
      </c>
      <c r="C363">
        <v>11.242940000000001</v>
      </c>
      <c r="D363">
        <v>105.80704</v>
      </c>
      <c r="E363" s="13">
        <v>12647.1388141723</v>
      </c>
      <c r="F363" s="13">
        <v>134.08785407135699</v>
      </c>
      <c r="G363" s="13">
        <f t="shared" si="78"/>
        <v>134.08785407135699</v>
      </c>
      <c r="H363" s="13">
        <v>134.10413023391899</v>
      </c>
      <c r="I363" s="13">
        <f t="shared" si="79"/>
        <v>134.10413023391899</v>
      </c>
      <c r="J363" s="9">
        <v>12647.138999999999</v>
      </c>
      <c r="K363" s="9">
        <v>134.08785399999999</v>
      </c>
      <c r="L363" s="10">
        <v>314.10413</v>
      </c>
      <c r="M363" s="18">
        <f t="shared" si="80"/>
        <v>134.10413</v>
      </c>
      <c r="N363" s="17">
        <f t="shared" si="71"/>
        <v>12647.138813385211</v>
      </c>
      <c r="O363" s="14">
        <f t="shared" si="72"/>
        <v>6.2234585972766396E-11</v>
      </c>
      <c r="P363" s="24">
        <f t="shared" si="73"/>
        <v>7.8708944784011692E-7</v>
      </c>
      <c r="Q363" s="2">
        <f t="shared" si="81"/>
        <v>1.4755494394233315E-8</v>
      </c>
      <c r="R363" s="19">
        <f t="shared" si="82"/>
        <v>1.8661478861758951E-4</v>
      </c>
      <c r="S363" s="16">
        <f t="shared" si="83"/>
        <v>134.08785407443875</v>
      </c>
      <c r="T363" s="23">
        <f t="shared" si="74"/>
        <v>3.0817659535387065E-9</v>
      </c>
      <c r="U363" s="22">
        <f t="shared" si="75"/>
        <v>7.4438759156691958E-8</v>
      </c>
      <c r="V363" s="16">
        <f t="shared" si="84"/>
        <v>134.1041302369986</v>
      </c>
      <c r="W363" s="23">
        <f t="shared" si="76"/>
        <v>3.0796059036219958E-9</v>
      </c>
      <c r="X363" s="22">
        <f t="shared" si="77"/>
        <v>2.3699860207671009E-7</v>
      </c>
    </row>
    <row r="364" spans="1:24" x14ac:dyDescent="0.45">
      <c r="A364">
        <v>-24.931319999999999</v>
      </c>
      <c r="B364">
        <v>160.61526000000001</v>
      </c>
      <c r="C364">
        <v>-24.927230000000002</v>
      </c>
      <c r="D364">
        <v>160.69457</v>
      </c>
      <c r="E364" s="13">
        <v>8023.7296123692604</v>
      </c>
      <c r="F364" s="13">
        <v>86.779809432021594</v>
      </c>
      <c r="G364" s="13">
        <f t="shared" si="78"/>
        <v>86.779809432021594</v>
      </c>
      <c r="H364" s="13">
        <v>86.746380325390703</v>
      </c>
      <c r="I364" s="13">
        <f t="shared" si="79"/>
        <v>86.746380325390703</v>
      </c>
      <c r="J364" s="11">
        <v>8023.73</v>
      </c>
      <c r="K364" s="11">
        <v>86.779809</v>
      </c>
      <c r="L364" s="12">
        <v>266.74637999999999</v>
      </c>
      <c r="M364" s="18">
        <f t="shared" si="80"/>
        <v>86.746379999999988</v>
      </c>
      <c r="N364" s="17">
        <f t="shared" si="71"/>
        <v>8023.7296119112425</v>
      </c>
      <c r="O364" s="14">
        <f t="shared" si="72"/>
        <v>5.7082917291725046E-11</v>
      </c>
      <c r="P364" s="24">
        <f t="shared" si="73"/>
        <v>4.5801789383403957E-7</v>
      </c>
      <c r="Q364" s="2">
        <f t="shared" si="81"/>
        <v>4.8367624167698507E-8</v>
      </c>
      <c r="R364" s="19">
        <f t="shared" si="82"/>
        <v>3.8808875706308754E-4</v>
      </c>
      <c r="S364" s="16">
        <f t="shared" si="83"/>
        <v>86.77980943184987</v>
      </c>
      <c r="T364" s="23">
        <f t="shared" si="74"/>
        <v>1.7172396837850101E-10</v>
      </c>
      <c r="U364" s="22">
        <f t="shared" si="75"/>
        <v>4.3184986964206473E-7</v>
      </c>
      <c r="V364" s="16">
        <f t="shared" si="84"/>
        <v>86.746380325219278</v>
      </c>
      <c r="W364" s="23">
        <f t="shared" si="76"/>
        <v>1.7142554042948177E-10</v>
      </c>
      <c r="X364" s="22">
        <f t="shared" si="77"/>
        <v>3.2521928972073511E-7</v>
      </c>
    </row>
    <row r="365" spans="1:24" x14ac:dyDescent="0.45">
      <c r="A365">
        <v>26.17822</v>
      </c>
      <c r="B365">
        <v>15.9649</v>
      </c>
      <c r="C365">
        <v>26.03586</v>
      </c>
      <c r="D365">
        <v>15.926159999999999</v>
      </c>
      <c r="E365" s="13">
        <v>16241.067936514401</v>
      </c>
      <c r="F365" s="13">
        <v>-166.1878382477</v>
      </c>
      <c r="G365" s="13">
        <f t="shared" si="78"/>
        <v>193.8121617523</v>
      </c>
      <c r="H365" s="13">
        <v>-166.204885779379</v>
      </c>
      <c r="I365" s="13">
        <f t="shared" si="79"/>
        <v>193.795114220621</v>
      </c>
      <c r="J365" s="9">
        <v>16241.067999999999</v>
      </c>
      <c r="K365" s="9">
        <v>193.812162</v>
      </c>
      <c r="L365" s="10">
        <v>13.795114</v>
      </c>
      <c r="M365" s="18">
        <f t="shared" si="80"/>
        <v>193.79511400000001</v>
      </c>
      <c r="N365" s="17">
        <f t="shared" si="71"/>
        <v>16241.06793636773</v>
      </c>
      <c r="O365" s="14">
        <f t="shared" si="72"/>
        <v>9.030845332920328E-12</v>
      </c>
      <c r="P365" s="24">
        <f t="shared" si="73"/>
        <v>1.4667057257611305E-7</v>
      </c>
      <c r="Q365" s="2">
        <f t="shared" si="81"/>
        <v>3.917985523034316E-9</v>
      </c>
      <c r="R365" s="19">
        <f t="shared" si="82"/>
        <v>6.3632269302615896E-5</v>
      </c>
      <c r="S365" s="16">
        <f t="shared" si="83"/>
        <v>193.81216175162808</v>
      </c>
      <c r="T365" s="23">
        <f t="shared" si="74"/>
        <v>6.7191763264418114E-10</v>
      </c>
      <c r="U365" s="22">
        <f t="shared" si="75"/>
        <v>2.4837191858750884E-7</v>
      </c>
      <c r="V365" s="16">
        <f t="shared" si="84"/>
        <v>193.79511421995031</v>
      </c>
      <c r="W365" s="23">
        <f t="shared" si="76"/>
        <v>6.7069549913867377E-10</v>
      </c>
      <c r="X365" s="22">
        <f t="shared" si="77"/>
        <v>2.1995029442223313E-7</v>
      </c>
    </row>
    <row r="366" spans="1:24" x14ac:dyDescent="0.45">
      <c r="A366">
        <v>23.179860000000001</v>
      </c>
      <c r="B366">
        <v>-59.313989999999997</v>
      </c>
      <c r="C366">
        <v>23.27271</v>
      </c>
      <c r="D366">
        <v>-59.216720000000002</v>
      </c>
      <c r="E366" s="13">
        <v>14312.6796004151</v>
      </c>
      <c r="F366" s="13">
        <v>44.054573129448201</v>
      </c>
      <c r="G366" s="13">
        <f t="shared" si="78"/>
        <v>44.054573129448201</v>
      </c>
      <c r="H366" s="13">
        <v>44.092932890520402</v>
      </c>
      <c r="I366" s="13">
        <f t="shared" si="79"/>
        <v>44.092932890520402</v>
      </c>
      <c r="J366" s="11">
        <v>14312.68</v>
      </c>
      <c r="K366" s="11">
        <v>44.054572999999998</v>
      </c>
      <c r="L366" s="12">
        <v>224.09293299999999</v>
      </c>
      <c r="M366" s="18">
        <f t="shared" si="80"/>
        <v>44.092933000000016</v>
      </c>
      <c r="N366" s="17">
        <f t="shared" si="71"/>
        <v>14312.679599904674</v>
      </c>
      <c r="O366" s="14">
        <f t="shared" si="72"/>
        <v>3.5662547529827974E-11</v>
      </c>
      <c r="P366" s="24">
        <f t="shared" si="73"/>
        <v>5.1042661652900279E-7</v>
      </c>
      <c r="Q366" s="2">
        <f t="shared" si="81"/>
        <v>2.7953907078741976E-8</v>
      </c>
      <c r="R366" s="19">
        <f t="shared" si="82"/>
        <v>4.0009532676776871E-4</v>
      </c>
      <c r="S366" s="16">
        <f t="shared" si="83"/>
        <v>44.054573127697893</v>
      </c>
      <c r="T366" s="23">
        <f t="shared" si="74"/>
        <v>1.7503083427072852E-9</v>
      </c>
      <c r="U366" s="22">
        <f t="shared" si="75"/>
        <v>1.2769789492494965E-7</v>
      </c>
      <c r="V366" s="16">
        <f t="shared" si="84"/>
        <v>44.092932888768452</v>
      </c>
      <c r="W366" s="23">
        <f t="shared" si="76"/>
        <v>1.751949696426891E-9</v>
      </c>
      <c r="X366" s="22">
        <f t="shared" si="77"/>
        <v>1.1123156440362436E-7</v>
      </c>
    </row>
    <row r="367" spans="1:24" x14ac:dyDescent="0.45">
      <c r="A367">
        <v>-48.208269999999999</v>
      </c>
      <c r="B367">
        <v>-98.751050000000006</v>
      </c>
      <c r="C367">
        <v>-48.292389999999997</v>
      </c>
      <c r="D367">
        <v>-98.662739999999999</v>
      </c>
      <c r="E367" s="13">
        <v>11423.7755862703</v>
      </c>
      <c r="F367" s="13">
        <v>144.997350586604</v>
      </c>
      <c r="G367" s="13">
        <f t="shared" si="78"/>
        <v>144.997350586604</v>
      </c>
      <c r="H367" s="13">
        <v>144.931465897538</v>
      </c>
      <c r="I367" s="13">
        <f t="shared" si="79"/>
        <v>144.931465897538</v>
      </c>
      <c r="J367" s="9">
        <v>11423.776</v>
      </c>
      <c r="K367" s="9">
        <v>144.99735100000001</v>
      </c>
      <c r="L367" s="10">
        <v>324.931466</v>
      </c>
      <c r="M367" s="18">
        <f t="shared" si="80"/>
        <v>144.931466</v>
      </c>
      <c r="N367" s="17">
        <f t="shared" si="71"/>
        <v>11423.775586218999</v>
      </c>
      <c r="O367" s="14">
        <f t="shared" si="72"/>
        <v>4.490718305939063E-12</v>
      </c>
      <c r="P367" s="24">
        <f t="shared" si="73"/>
        <v>5.130095814820379E-8</v>
      </c>
      <c r="Q367" s="2">
        <f t="shared" si="81"/>
        <v>3.622103593797616E-8</v>
      </c>
      <c r="R367" s="19">
        <f t="shared" si="82"/>
        <v>4.1378100104338955E-4</v>
      </c>
      <c r="S367" s="16">
        <f t="shared" si="83"/>
        <v>144.99735058669916</v>
      </c>
      <c r="T367" s="23">
        <f t="shared" si="74"/>
        <v>9.5155883172992617E-11</v>
      </c>
      <c r="U367" s="22">
        <f t="shared" si="75"/>
        <v>4.133008530970983E-7</v>
      </c>
      <c r="V367" s="16">
        <f t="shared" si="84"/>
        <v>144.93146589763492</v>
      </c>
      <c r="W367" s="23">
        <f t="shared" si="76"/>
        <v>9.6918029157677665E-11</v>
      </c>
      <c r="X367" s="22">
        <f t="shared" si="77"/>
        <v>1.0236507819172402E-7</v>
      </c>
    </row>
    <row r="368" spans="1:24" x14ac:dyDescent="0.45">
      <c r="A368">
        <v>49.375880000000002</v>
      </c>
      <c r="B368">
        <v>174.13990000000001</v>
      </c>
      <c r="C368">
        <v>49.530279999999998</v>
      </c>
      <c r="D368">
        <v>174.25591</v>
      </c>
      <c r="E368" s="13">
        <v>19121.549664005401</v>
      </c>
      <c r="F368" s="13">
        <v>26.052851807038799</v>
      </c>
      <c r="G368" s="13">
        <f t="shared" si="78"/>
        <v>26.052851807038799</v>
      </c>
      <c r="H368" s="13">
        <v>26.1410048678839</v>
      </c>
      <c r="I368" s="13">
        <f t="shared" si="79"/>
        <v>26.1410048678839</v>
      </c>
      <c r="J368" s="11">
        <v>19121.55</v>
      </c>
      <c r="K368" s="11">
        <v>26.052852000000001</v>
      </c>
      <c r="L368" s="12">
        <v>206.14100500000001</v>
      </c>
      <c r="M368" s="18">
        <f t="shared" si="80"/>
        <v>26.141005000000007</v>
      </c>
      <c r="N368" s="17">
        <f t="shared" si="71"/>
        <v>19121.549663934155</v>
      </c>
      <c r="O368" s="14">
        <f t="shared" si="72"/>
        <v>3.7259624983323726E-12</v>
      </c>
      <c r="P368" s="24">
        <f t="shared" si="73"/>
        <v>7.1246176958084106E-8</v>
      </c>
      <c r="Q368" s="2">
        <f t="shared" si="81"/>
        <v>1.75752407492646E-8</v>
      </c>
      <c r="R368" s="19">
        <f t="shared" si="82"/>
        <v>3.3606584474910051E-4</v>
      </c>
      <c r="S368" s="16">
        <f t="shared" si="83"/>
        <v>26.052851806982964</v>
      </c>
      <c r="T368" s="23">
        <f t="shared" si="74"/>
        <v>5.5834448176028673E-11</v>
      </c>
      <c r="U368" s="22">
        <f t="shared" si="75"/>
        <v>1.9301703702012674E-7</v>
      </c>
      <c r="V368" s="16">
        <f t="shared" si="84"/>
        <v>26.141004867827441</v>
      </c>
      <c r="W368" s="23">
        <f t="shared" si="76"/>
        <v>5.6459725783497561E-11</v>
      </c>
      <c r="X368" s="22">
        <f t="shared" si="77"/>
        <v>1.3217256622510831E-7</v>
      </c>
    </row>
    <row r="369" spans="1:24" x14ac:dyDescent="0.45">
      <c r="A369">
        <v>-16.225269999999998</v>
      </c>
      <c r="B369">
        <v>68.373649999999998</v>
      </c>
      <c r="C369">
        <v>-16.23677</v>
      </c>
      <c r="D369">
        <v>68.531899999999993</v>
      </c>
      <c r="E369" s="13">
        <v>16966.386283860302</v>
      </c>
      <c r="F369" s="13">
        <v>94.323753802089399</v>
      </c>
      <c r="G369" s="13">
        <f t="shared" si="78"/>
        <v>94.323753802089399</v>
      </c>
      <c r="H369" s="13">
        <v>94.279521164903798</v>
      </c>
      <c r="I369" s="13">
        <f t="shared" si="79"/>
        <v>94.279521164903798</v>
      </c>
      <c r="J369" s="9">
        <v>16966.385999999999</v>
      </c>
      <c r="K369" s="9">
        <v>94.323753999999994</v>
      </c>
      <c r="L369" s="10">
        <v>274.27952099999999</v>
      </c>
      <c r="M369" s="18">
        <f t="shared" si="80"/>
        <v>94.279520999999988</v>
      </c>
      <c r="N369" s="17">
        <f t="shared" si="71"/>
        <v>16966.386282277603</v>
      </c>
      <c r="O369" s="14">
        <f t="shared" si="72"/>
        <v>9.3284392773258068E-11</v>
      </c>
      <c r="P369" s="24">
        <f t="shared" si="73"/>
        <v>1.5826990420464426E-6</v>
      </c>
      <c r="Q369" s="2">
        <f t="shared" si="81"/>
        <v>1.663746210468552E-8</v>
      </c>
      <c r="R369" s="19">
        <f t="shared" si="82"/>
        <v>2.8227760412846692E-4</v>
      </c>
      <c r="S369" s="16">
        <f t="shared" si="83"/>
        <v>94.323753802459635</v>
      </c>
      <c r="T369" s="23">
        <f t="shared" si="74"/>
        <v>3.702353978951578E-10</v>
      </c>
      <c r="U369" s="22">
        <f t="shared" si="75"/>
        <v>1.9754035918140289E-7</v>
      </c>
      <c r="V369" s="16">
        <f t="shared" si="84"/>
        <v>94.279521165278567</v>
      </c>
      <c r="W369" s="23">
        <f t="shared" si="76"/>
        <v>3.7476866054930724E-10</v>
      </c>
      <c r="X369" s="22">
        <f t="shared" si="77"/>
        <v>1.6527857837900228E-7</v>
      </c>
    </row>
    <row r="370" spans="1:24" x14ac:dyDescent="0.45">
      <c r="A370">
        <v>-30.425429999999999</v>
      </c>
      <c r="B370">
        <v>84.17201</v>
      </c>
      <c r="C370">
        <v>-30.57798</v>
      </c>
      <c r="D370">
        <v>84.154649999999904</v>
      </c>
      <c r="E370" s="13">
        <v>16993.748128336301</v>
      </c>
      <c r="F370" s="13">
        <v>-174.37657948566201</v>
      </c>
      <c r="G370" s="13">
        <f t="shared" si="78"/>
        <v>185.62342051433799</v>
      </c>
      <c r="H370" s="13">
        <v>-174.36776816668601</v>
      </c>
      <c r="I370" s="13">
        <f t="shared" si="79"/>
        <v>185.63223183331399</v>
      </c>
      <c r="J370" s="11">
        <v>16993.748</v>
      </c>
      <c r="K370" s="11">
        <v>185.62342100000001</v>
      </c>
      <c r="L370" s="12">
        <v>5.6322320000000001</v>
      </c>
      <c r="M370" s="18">
        <f t="shared" si="80"/>
        <v>185.63223199999999</v>
      </c>
      <c r="N370" s="17">
        <f t="shared" si="71"/>
        <v>16993.748128235999</v>
      </c>
      <c r="O370" s="14">
        <f t="shared" si="72"/>
        <v>5.9023302530343736E-12</v>
      </c>
      <c r="P370" s="24">
        <f t="shared" si="73"/>
        <v>1.0030271369032562E-7</v>
      </c>
      <c r="Q370" s="2">
        <f t="shared" si="81"/>
        <v>7.5460692367584778E-9</v>
      </c>
      <c r="R370" s="19">
        <f t="shared" si="82"/>
        <v>1.2823599900002591E-4</v>
      </c>
      <c r="S370" s="16">
        <f t="shared" si="83"/>
        <v>185.6234205141572</v>
      </c>
      <c r="T370" s="23">
        <f t="shared" si="74"/>
        <v>1.8079049368679989E-10</v>
      </c>
      <c r="U370" s="22">
        <f t="shared" si="75"/>
        <v>4.8584280420982395E-7</v>
      </c>
      <c r="V370" s="16">
        <f t="shared" si="84"/>
        <v>185.63223183313266</v>
      </c>
      <c r="W370" s="23">
        <f t="shared" si="76"/>
        <v>1.8133050616597757E-10</v>
      </c>
      <c r="X370" s="22">
        <f t="shared" si="77"/>
        <v>1.6686732351445244E-7</v>
      </c>
    </row>
    <row r="371" spans="1:24" x14ac:dyDescent="0.45">
      <c r="A371">
        <v>-44.331209999999999</v>
      </c>
      <c r="B371">
        <v>69.867279999999994</v>
      </c>
      <c r="C371">
        <v>-44.33775</v>
      </c>
      <c r="D371">
        <v>69.855050000000006</v>
      </c>
      <c r="E371" s="13">
        <v>1216.3516009370701</v>
      </c>
      <c r="F371" s="13">
        <v>-126.692199724977</v>
      </c>
      <c r="G371" s="13">
        <f t="shared" si="78"/>
        <v>233.307800275023</v>
      </c>
      <c r="H371" s="13">
        <v>-126.68365284013601</v>
      </c>
      <c r="I371" s="13">
        <f t="shared" si="79"/>
        <v>233.31634715986399</v>
      </c>
      <c r="J371" s="9">
        <v>1216.3520000000001</v>
      </c>
      <c r="K371" s="9">
        <v>233.30779999999999</v>
      </c>
      <c r="L371" s="10">
        <v>53.316347</v>
      </c>
      <c r="M371" s="18">
        <f t="shared" si="80"/>
        <v>233.31634700000001</v>
      </c>
      <c r="N371" s="17">
        <f t="shared" si="71"/>
        <v>1216.3516009289403</v>
      </c>
      <c r="O371" s="14">
        <f t="shared" si="72"/>
        <v>6.6837136229439364E-12</v>
      </c>
      <c r="P371" s="24">
        <f t="shared" si="73"/>
        <v>8.1297457654727623E-9</v>
      </c>
      <c r="Q371" s="2">
        <f t="shared" si="81"/>
        <v>3.2808846431489202E-7</v>
      </c>
      <c r="R371" s="19">
        <f t="shared" si="82"/>
        <v>3.990710597463476E-4</v>
      </c>
      <c r="S371" s="16">
        <f t="shared" si="83"/>
        <v>233.30780027482393</v>
      </c>
      <c r="T371" s="23">
        <f t="shared" si="74"/>
        <v>1.9906565285054967E-10</v>
      </c>
      <c r="U371" s="22">
        <f t="shared" si="75"/>
        <v>2.7482394671096699E-7</v>
      </c>
      <c r="V371" s="16">
        <f t="shared" si="84"/>
        <v>233.31634715967772</v>
      </c>
      <c r="W371" s="23">
        <f t="shared" si="76"/>
        <v>1.8627588360686786E-10</v>
      </c>
      <c r="X371" s="22">
        <f t="shared" si="77"/>
        <v>1.5967771105351858E-7</v>
      </c>
    </row>
    <row r="372" spans="1:24" x14ac:dyDescent="0.45">
      <c r="A372">
        <v>-89.659520000000001</v>
      </c>
      <c r="B372">
        <v>-35.564059999999998</v>
      </c>
      <c r="C372">
        <v>-89.577759999999998</v>
      </c>
      <c r="D372">
        <v>-35.507849999999998</v>
      </c>
      <c r="E372" s="13">
        <v>9132.1901744224906</v>
      </c>
      <c r="F372" s="13">
        <v>0.29028573939950097</v>
      </c>
      <c r="G372" s="13">
        <f t="shared" si="78"/>
        <v>0.29028573939950097</v>
      </c>
      <c r="H372" s="13">
        <v>0.234076970200186</v>
      </c>
      <c r="I372" s="13">
        <f t="shared" si="79"/>
        <v>0.234076970200186</v>
      </c>
      <c r="J372" s="11">
        <v>9132.19</v>
      </c>
      <c r="K372" s="11">
        <v>0.29028599999999999</v>
      </c>
      <c r="L372" s="12">
        <v>180.23407700000001</v>
      </c>
      <c r="M372" s="18">
        <f t="shared" si="80"/>
        <v>0.23407700000001341</v>
      </c>
      <c r="N372" s="17">
        <f t="shared" si="71"/>
        <v>9132.1901744284387</v>
      </c>
      <c r="O372" s="14">
        <f t="shared" si="72"/>
        <v>6.5133283867154042E-13</v>
      </c>
      <c r="P372" s="24">
        <f t="shared" si="73"/>
        <v>5.9480953495949507E-9</v>
      </c>
      <c r="Q372" s="2">
        <f t="shared" si="81"/>
        <v>1.9100395215793163E-8</v>
      </c>
      <c r="R372" s="19">
        <f t="shared" si="82"/>
        <v>1.7442843818571419E-4</v>
      </c>
      <c r="S372" s="16">
        <f t="shared" si="83"/>
        <v>0.29028573939965013</v>
      </c>
      <c r="T372" s="23">
        <f t="shared" si="74"/>
        <v>1.4915846335838978E-13</v>
      </c>
      <c r="U372" s="22">
        <f t="shared" si="75"/>
        <v>2.6060034985508906E-7</v>
      </c>
      <c r="V372" s="16">
        <f t="shared" si="84"/>
        <v>0.23407697020031568</v>
      </c>
      <c r="W372" s="23">
        <f t="shared" si="76"/>
        <v>1.2967404927621828E-13</v>
      </c>
      <c r="X372" s="22">
        <f t="shared" si="77"/>
        <v>2.9799697737198372E-8</v>
      </c>
    </row>
    <row r="373" spans="1:24" x14ac:dyDescent="0.45">
      <c r="A373">
        <v>89.640309999999999</v>
      </c>
      <c r="B373">
        <v>2.7608100000000002</v>
      </c>
      <c r="C373">
        <v>89.731530000000006</v>
      </c>
      <c r="D373">
        <v>2.6547500000000399</v>
      </c>
      <c r="E373" s="13">
        <v>10188.924272311</v>
      </c>
      <c r="F373" s="13">
        <v>-0.31213989380857199</v>
      </c>
      <c r="G373" s="13">
        <f t="shared" si="78"/>
        <v>359.68786010619141</v>
      </c>
      <c r="H373" s="13">
        <v>-0.41819833389952599</v>
      </c>
      <c r="I373" s="13">
        <f t="shared" si="79"/>
        <v>359.58180166610049</v>
      </c>
      <c r="J373" s="9">
        <v>10188.924000000001</v>
      </c>
      <c r="K373" s="9">
        <v>359.68786</v>
      </c>
      <c r="L373" s="10">
        <v>179.58180200000001</v>
      </c>
      <c r="M373" s="18">
        <f t="shared" si="80"/>
        <v>359.58180200000004</v>
      </c>
      <c r="N373" s="17">
        <f t="shared" si="71"/>
        <v>10188.924272315642</v>
      </c>
      <c r="O373" s="14">
        <f t="shared" si="72"/>
        <v>4.5559872993306068E-13</v>
      </c>
      <c r="P373" s="24">
        <f t="shared" si="73"/>
        <v>4.6420609578490257E-9</v>
      </c>
      <c r="Q373" s="2">
        <f t="shared" si="81"/>
        <v>2.6726633869141206E-8</v>
      </c>
      <c r="R373" s="19">
        <f t="shared" si="82"/>
        <v>2.7231564126850571E-4</v>
      </c>
      <c r="S373" s="16">
        <f t="shared" si="83"/>
        <v>359.68786010619129</v>
      </c>
      <c r="T373" s="23">
        <f t="shared" si="74"/>
        <v>1.1368683772161603E-13</v>
      </c>
      <c r="U373" s="22">
        <f t="shared" si="75"/>
        <v>1.061912939803733E-7</v>
      </c>
      <c r="V373" s="16">
        <f t="shared" si="84"/>
        <v>359.58180166610032</v>
      </c>
      <c r="W373" s="23">
        <f t="shared" si="76"/>
        <v>1.7053025658242404E-13</v>
      </c>
      <c r="X373" s="22">
        <f t="shared" si="77"/>
        <v>3.3389972031727666E-7</v>
      </c>
    </row>
    <row r="374" spans="1:24" x14ac:dyDescent="0.45">
      <c r="A374">
        <v>26.988849999999999</v>
      </c>
      <c r="B374">
        <v>-13.80307</v>
      </c>
      <c r="C374">
        <v>27.083939999999998</v>
      </c>
      <c r="D374">
        <v>-13.968450000000001</v>
      </c>
      <c r="E374" s="13">
        <v>19500.922763238701</v>
      </c>
      <c r="F374" s="13">
        <v>-57.2583333034177</v>
      </c>
      <c r="G374" s="13">
        <f t="shared" si="78"/>
        <v>302.74166669658229</v>
      </c>
      <c r="H374" s="13">
        <v>-57.333507906248499</v>
      </c>
      <c r="I374" s="13">
        <f t="shared" si="79"/>
        <v>302.66649209375151</v>
      </c>
      <c r="J374" s="11">
        <v>19500.922999999999</v>
      </c>
      <c r="K374" s="11">
        <v>302.74166700000001</v>
      </c>
      <c r="L374" s="12">
        <v>122.66649200000001</v>
      </c>
      <c r="M374" s="18">
        <f t="shared" si="80"/>
        <v>302.66649200000001</v>
      </c>
      <c r="N374" s="17">
        <f t="shared" si="71"/>
        <v>19500.92276250061</v>
      </c>
      <c r="O374" s="14">
        <f t="shared" si="72"/>
        <v>3.7849046388111556E-11</v>
      </c>
      <c r="P374" s="24">
        <f t="shared" si="73"/>
        <v>7.3809133027680218E-7</v>
      </c>
      <c r="Q374" s="2">
        <f t="shared" si="81"/>
        <v>1.2178879388748352E-8</v>
      </c>
      <c r="R374" s="19">
        <f t="shared" si="82"/>
        <v>2.3749938918626867E-4</v>
      </c>
      <c r="S374" s="16">
        <f t="shared" si="83"/>
        <v>302.74166669776287</v>
      </c>
      <c r="T374" s="23">
        <f t="shared" si="74"/>
        <v>1.1805809663201217E-9</v>
      </c>
      <c r="U374" s="22">
        <f t="shared" si="75"/>
        <v>3.0223714020394254E-7</v>
      </c>
      <c r="V374" s="16">
        <f t="shared" si="84"/>
        <v>302.66649209493573</v>
      </c>
      <c r="W374" s="23">
        <f t="shared" si="76"/>
        <v>1.1842189451272134E-9</v>
      </c>
      <c r="X374" s="22">
        <f t="shared" si="77"/>
        <v>9.4935728611744707E-8</v>
      </c>
    </row>
    <row r="375" spans="1:24" x14ac:dyDescent="0.45">
      <c r="A375">
        <v>43.0321</v>
      </c>
      <c r="B375">
        <v>10.43601</v>
      </c>
      <c r="C375">
        <v>43.064399999999999</v>
      </c>
      <c r="D375">
        <v>10.326569999999901</v>
      </c>
      <c r="E375" s="13">
        <v>9611.7851508957992</v>
      </c>
      <c r="F375" s="13">
        <v>-68.041791726573095</v>
      </c>
      <c r="G375" s="13">
        <f t="shared" si="78"/>
        <v>291.95820827342692</v>
      </c>
      <c r="H375" s="13">
        <v>-68.116497018618901</v>
      </c>
      <c r="I375" s="13">
        <f t="shared" si="79"/>
        <v>291.88350298138107</v>
      </c>
      <c r="J375" s="9">
        <v>9611.7849999999999</v>
      </c>
      <c r="K375" s="9">
        <v>291.95820800000001</v>
      </c>
      <c r="L375" s="10">
        <v>111.883503</v>
      </c>
      <c r="M375" s="18">
        <f t="shared" si="80"/>
        <v>291.88350300000002</v>
      </c>
      <c r="N375" s="17">
        <f t="shared" si="71"/>
        <v>9611.7851508146105</v>
      </c>
      <c r="O375" s="14">
        <f t="shared" si="72"/>
        <v>8.4467944053346977E-12</v>
      </c>
      <c r="P375" s="24">
        <f t="shared" si="73"/>
        <v>8.1188773037865758E-8</v>
      </c>
      <c r="Q375" s="2">
        <f t="shared" si="81"/>
        <v>1.569059343360009E-8</v>
      </c>
      <c r="R375" s="19">
        <f t="shared" si="82"/>
        <v>1.5081461060617585E-4</v>
      </c>
      <c r="S375" s="16">
        <f t="shared" si="83"/>
        <v>291.95820827352327</v>
      </c>
      <c r="T375" s="23">
        <f t="shared" si="74"/>
        <v>9.6349594969069585E-11</v>
      </c>
      <c r="U375" s="22">
        <f t="shared" si="75"/>
        <v>2.7352325560059398E-7</v>
      </c>
      <c r="V375" s="16">
        <f t="shared" si="84"/>
        <v>291.88350298147606</v>
      </c>
      <c r="W375" s="23">
        <f t="shared" si="76"/>
        <v>9.4985352916410193E-11</v>
      </c>
      <c r="X375" s="22">
        <f t="shared" si="77"/>
        <v>1.8523962808103533E-8</v>
      </c>
    </row>
    <row r="376" spans="1:24" x14ac:dyDescent="0.45">
      <c r="A376">
        <v>-84.256739999999994</v>
      </c>
      <c r="B376">
        <v>122.37854</v>
      </c>
      <c r="C376">
        <v>-84.211079999999995</v>
      </c>
      <c r="D376">
        <v>122.40808</v>
      </c>
      <c r="E376" s="13">
        <v>5110.1885702803202</v>
      </c>
      <c r="F376" s="13">
        <v>3.7338279949114899</v>
      </c>
      <c r="G376" s="13">
        <f t="shared" si="78"/>
        <v>3.7338279949114899</v>
      </c>
      <c r="H376" s="13">
        <v>3.7044374548140202</v>
      </c>
      <c r="I376" s="13">
        <f t="shared" si="79"/>
        <v>3.7044374548140202</v>
      </c>
      <c r="J376" s="11">
        <v>5110.1890000000003</v>
      </c>
      <c r="K376" s="11">
        <v>3.7338279999999999</v>
      </c>
      <c r="L376" s="12">
        <v>183.70443700000001</v>
      </c>
      <c r="M376" s="18">
        <f t="shared" si="80"/>
        <v>3.7044369999999844</v>
      </c>
      <c r="N376" s="17">
        <f t="shared" si="71"/>
        <v>5110.1885702572235</v>
      </c>
      <c r="O376" s="14">
        <f t="shared" si="72"/>
        <v>4.5197193085687919E-12</v>
      </c>
      <c r="P376" s="24">
        <f t="shared" si="73"/>
        <v>2.3096617951523513E-8</v>
      </c>
      <c r="Q376" s="2">
        <f t="shared" si="81"/>
        <v>8.4095280381932512E-8</v>
      </c>
      <c r="R376" s="19">
        <f t="shared" si="82"/>
        <v>4.2974277675966732E-4</v>
      </c>
      <c r="S376" s="16">
        <f t="shared" si="83"/>
        <v>3.7338279905991945</v>
      </c>
      <c r="T376" s="23">
        <f t="shared" si="74"/>
        <v>4.3122954096475041E-9</v>
      </c>
      <c r="U376" s="22">
        <f t="shared" si="75"/>
        <v>9.4008054674077357E-9</v>
      </c>
      <c r="V376" s="16">
        <f t="shared" si="84"/>
        <v>3.7044374505357527</v>
      </c>
      <c r="W376" s="23">
        <f t="shared" si="76"/>
        <v>4.2782675180319529E-9</v>
      </c>
      <c r="X376" s="22">
        <f t="shared" si="77"/>
        <v>4.5053576824827246E-7</v>
      </c>
    </row>
    <row r="377" spans="1:24" x14ac:dyDescent="0.45">
      <c r="A377">
        <v>88.777150000000006</v>
      </c>
      <c r="B377">
        <v>-142.06998999999999</v>
      </c>
      <c r="C377">
        <v>88.825180000000003</v>
      </c>
      <c r="D377">
        <v>-141.93622999999999</v>
      </c>
      <c r="E377" s="13">
        <v>5373.7332077354904</v>
      </c>
      <c r="F377" s="13">
        <v>3.2677990295099599</v>
      </c>
      <c r="G377" s="13">
        <f t="shared" si="78"/>
        <v>3.2677990295099599</v>
      </c>
      <c r="H377" s="13">
        <v>3.4015297624355401</v>
      </c>
      <c r="I377" s="13">
        <f t="shared" si="79"/>
        <v>3.4015297624355401</v>
      </c>
      <c r="J377" s="9">
        <v>5373.7330000000002</v>
      </c>
      <c r="K377" s="9">
        <v>3.2677990000000001</v>
      </c>
      <c r="L377" s="10">
        <v>183.40153000000001</v>
      </c>
      <c r="M377" s="18">
        <f t="shared" si="80"/>
        <v>3.4015299999999797</v>
      </c>
      <c r="N377" s="17">
        <f t="shared" si="71"/>
        <v>5373.7332077411447</v>
      </c>
      <c r="O377" s="14">
        <f t="shared" si="72"/>
        <v>1.0522160930473601E-12</v>
      </c>
      <c r="P377" s="24">
        <f t="shared" si="73"/>
        <v>5.6543285609222949E-9</v>
      </c>
      <c r="Q377" s="2">
        <f t="shared" si="81"/>
        <v>3.8658627912812208E-8</v>
      </c>
      <c r="R377" s="19">
        <f t="shared" si="82"/>
        <v>2.0774114454980008E-4</v>
      </c>
      <c r="S377" s="16">
        <f t="shared" si="83"/>
        <v>3.2677990295021959</v>
      </c>
      <c r="T377" s="23">
        <f t="shared" si="74"/>
        <v>7.7640116558086447E-12</v>
      </c>
      <c r="U377" s="22">
        <f t="shared" si="75"/>
        <v>2.9502195797448394E-8</v>
      </c>
      <c r="V377" s="16">
        <f t="shared" si="84"/>
        <v>3.4015297624275109</v>
      </c>
      <c r="W377" s="23">
        <f t="shared" si="76"/>
        <v>8.0291329140891321E-12</v>
      </c>
      <c r="X377" s="22">
        <f t="shared" si="77"/>
        <v>2.3757246880862226E-7</v>
      </c>
    </row>
    <row r="378" spans="1:24" x14ac:dyDescent="0.45">
      <c r="A378">
        <v>-49.55829</v>
      </c>
      <c r="B378">
        <v>-85.551069999999996</v>
      </c>
      <c r="C378">
        <v>-49.394210000000001</v>
      </c>
      <c r="D378">
        <v>-85.664760000000001</v>
      </c>
      <c r="E378" s="13">
        <v>20022.604360622499</v>
      </c>
      <c r="F378" s="13">
        <v>-24.342298318856699</v>
      </c>
      <c r="G378" s="13">
        <f t="shared" si="78"/>
        <v>335.65770168114329</v>
      </c>
      <c r="H378" s="13">
        <v>-24.255878277366602</v>
      </c>
      <c r="I378" s="13">
        <f t="shared" si="79"/>
        <v>335.74412172263339</v>
      </c>
      <c r="J378" s="11">
        <v>20022.603999999999</v>
      </c>
      <c r="K378" s="11">
        <v>335.65770199999997</v>
      </c>
      <c r="L378" s="12">
        <v>155.744122</v>
      </c>
      <c r="M378" s="18">
        <f t="shared" si="80"/>
        <v>335.744122</v>
      </c>
      <c r="N378" s="17">
        <f t="shared" si="71"/>
        <v>20022.604360549412</v>
      </c>
      <c r="O378" s="14">
        <f t="shared" si="72"/>
        <v>3.6502241625574549E-12</v>
      </c>
      <c r="P378" s="24">
        <f t="shared" si="73"/>
        <v>7.3086994234472513E-8</v>
      </c>
      <c r="Q378" s="2">
        <f t="shared" si="81"/>
        <v>1.8007119004950469E-8</v>
      </c>
      <c r="R378" s="19">
        <f t="shared" si="82"/>
        <v>3.6054941301699728E-4</v>
      </c>
      <c r="S378" s="16">
        <f t="shared" si="83"/>
        <v>335.65770168120355</v>
      </c>
      <c r="T378" s="23">
        <f t="shared" si="74"/>
        <v>6.0254023992456496E-11</v>
      </c>
      <c r="U378" s="22">
        <f t="shared" si="75"/>
        <v>3.1879642392595997E-7</v>
      </c>
      <c r="V378" s="16">
        <f t="shared" si="84"/>
        <v>335.74412172269331</v>
      </c>
      <c r="W378" s="23">
        <f t="shared" si="76"/>
        <v>5.9912963479291648E-11</v>
      </c>
      <c r="X378" s="22">
        <f t="shared" si="77"/>
        <v>2.773066967165505E-7</v>
      </c>
    </row>
    <row r="379" spans="1:24" x14ac:dyDescent="0.45">
      <c r="A379">
        <v>16.99661</v>
      </c>
      <c r="B379">
        <v>142.86963</v>
      </c>
      <c r="C379">
        <v>17.1006</v>
      </c>
      <c r="D379">
        <v>142.78934000000001</v>
      </c>
      <c r="E379" s="13">
        <v>14335.521141862</v>
      </c>
      <c r="F379" s="13">
        <v>-36.589958888919099</v>
      </c>
      <c r="G379" s="13">
        <f t="shared" si="78"/>
        <v>323.41004111108089</v>
      </c>
      <c r="H379" s="13">
        <v>-36.613498553162501</v>
      </c>
      <c r="I379" s="13">
        <f t="shared" si="79"/>
        <v>323.38650144683749</v>
      </c>
      <c r="J379" s="9">
        <v>14335.521000000001</v>
      </c>
      <c r="K379" s="9">
        <v>323.41004099999998</v>
      </c>
      <c r="L379" s="10">
        <v>143.38650100000001</v>
      </c>
      <c r="M379" s="18">
        <f t="shared" si="80"/>
        <v>323.38650100000001</v>
      </c>
      <c r="N379" s="17">
        <f t="shared" si="71"/>
        <v>14335.521141328518</v>
      </c>
      <c r="O379" s="14">
        <f t="shared" si="72"/>
        <v>3.7214015586855323E-11</v>
      </c>
      <c r="P379" s="24">
        <f t="shared" si="73"/>
        <v>5.3348230721894652E-7</v>
      </c>
      <c r="Q379" s="2">
        <f t="shared" si="81"/>
        <v>9.8586244059113769E-9</v>
      </c>
      <c r="R379" s="19">
        <f t="shared" si="82"/>
        <v>1.4132851720205508E-4</v>
      </c>
      <c r="S379" s="16">
        <f t="shared" si="83"/>
        <v>323.41004111343869</v>
      </c>
      <c r="T379" s="23">
        <f t="shared" si="74"/>
        <v>2.3578081709274556E-9</v>
      </c>
      <c r="U379" s="22">
        <f t="shared" si="75"/>
        <v>1.134387161982886E-7</v>
      </c>
      <c r="V379" s="16">
        <f t="shared" si="84"/>
        <v>323.38650144919757</v>
      </c>
      <c r="W379" s="23">
        <f t="shared" si="76"/>
        <v>2.360081907681888E-9</v>
      </c>
      <c r="X379" s="22">
        <f t="shared" si="77"/>
        <v>4.4919755737282685E-7</v>
      </c>
    </row>
    <row r="380" spans="1:24" x14ac:dyDescent="0.45">
      <c r="A380">
        <v>87.933639999999997</v>
      </c>
      <c r="B380">
        <v>-110.04489</v>
      </c>
      <c r="C380">
        <v>87.971580000000003</v>
      </c>
      <c r="D380">
        <v>-109.9132</v>
      </c>
      <c r="E380" s="13">
        <v>4270.0700505934101</v>
      </c>
      <c r="F380" s="13">
        <v>7.0031665383815103</v>
      </c>
      <c r="G380" s="13">
        <f t="shared" si="78"/>
        <v>7.0031665383815103</v>
      </c>
      <c r="H380" s="13">
        <v>7.1347724773272896</v>
      </c>
      <c r="I380" s="13">
        <f t="shared" si="79"/>
        <v>7.1347724773272896</v>
      </c>
      <c r="J380" s="11">
        <v>4270.07</v>
      </c>
      <c r="K380" s="11">
        <v>7.0031670000000004</v>
      </c>
      <c r="L380" s="12">
        <v>187.134772</v>
      </c>
      <c r="M380" s="18">
        <f t="shared" si="80"/>
        <v>7.1347719999999981</v>
      </c>
      <c r="N380" s="17">
        <f t="shared" si="71"/>
        <v>4270.0700505916766</v>
      </c>
      <c r="O380" s="14">
        <f t="shared" si="72"/>
        <v>4.0596451136399925E-13</v>
      </c>
      <c r="P380" s="24">
        <f t="shared" si="73"/>
        <v>1.7334969015792012E-9</v>
      </c>
      <c r="Q380" s="2">
        <f t="shared" si="81"/>
        <v>1.1847973658884995E-8</v>
      </c>
      <c r="R380" s="19">
        <f t="shared" si="82"/>
        <v>5.0591676881595049E-5</v>
      </c>
      <c r="S380" s="16">
        <f t="shared" si="83"/>
        <v>7.0031665382592809</v>
      </c>
      <c r="T380" s="23">
        <f t="shared" si="74"/>
        <v>1.2222933776229183E-10</v>
      </c>
      <c r="U380" s="22">
        <f t="shared" si="75"/>
        <v>4.6174071943738682E-7</v>
      </c>
      <c r="V380" s="16">
        <f t="shared" si="84"/>
        <v>7.1347724772026204</v>
      </c>
      <c r="W380" s="23">
        <f t="shared" si="76"/>
        <v>1.2466916388120808E-10</v>
      </c>
      <c r="X380" s="22">
        <f t="shared" si="77"/>
        <v>4.7720262230654953E-7</v>
      </c>
    </row>
    <row r="381" spans="1:24" x14ac:dyDescent="0.45">
      <c r="A381">
        <v>-63.323700000000002</v>
      </c>
      <c r="B381">
        <v>35.038049999999998</v>
      </c>
      <c r="C381">
        <v>-63.164490000000001</v>
      </c>
      <c r="D381">
        <v>35.19753</v>
      </c>
      <c r="E381" s="13">
        <v>19471.910453725101</v>
      </c>
      <c r="F381" s="13">
        <v>24.373725596290999</v>
      </c>
      <c r="G381" s="13">
        <f t="shared" si="78"/>
        <v>24.373725596290999</v>
      </c>
      <c r="H381" s="13">
        <v>24.2313205568658</v>
      </c>
      <c r="I381" s="13">
        <f t="shared" si="79"/>
        <v>24.2313205568658</v>
      </c>
      <c r="J381" s="9">
        <v>19471.91</v>
      </c>
      <c r="K381" s="9">
        <v>24.373726000000001</v>
      </c>
      <c r="L381" s="10">
        <v>204.23132100000001</v>
      </c>
      <c r="M381" s="18">
        <f t="shared" si="80"/>
        <v>24.23132099999998</v>
      </c>
      <c r="N381" s="17">
        <f t="shared" si="71"/>
        <v>19471.910452634394</v>
      </c>
      <c r="O381" s="14">
        <f t="shared" si="72"/>
        <v>5.6014332375091345E-11</v>
      </c>
      <c r="P381" s="24">
        <f t="shared" si="73"/>
        <v>1.0907060641329736E-6</v>
      </c>
      <c r="Q381" s="2">
        <f t="shared" si="81"/>
        <v>2.3245505685133673E-8</v>
      </c>
      <c r="R381" s="19">
        <f t="shared" si="82"/>
        <v>4.5263439460541122E-4</v>
      </c>
      <c r="S381" s="16">
        <f t="shared" si="83"/>
        <v>24.373725589449059</v>
      </c>
      <c r="T381" s="23">
        <f t="shared" si="74"/>
        <v>6.8419403476127627E-9</v>
      </c>
      <c r="U381" s="22">
        <f t="shared" si="75"/>
        <v>4.1055094257558267E-7</v>
      </c>
      <c r="V381" s="16">
        <f t="shared" si="84"/>
        <v>24.231320550069036</v>
      </c>
      <c r="W381" s="23">
        <f t="shared" si="76"/>
        <v>6.7967640404731355E-9</v>
      </c>
      <c r="X381" s="22">
        <f t="shared" si="77"/>
        <v>4.4993094405754164E-7</v>
      </c>
    </row>
    <row r="382" spans="1:24" x14ac:dyDescent="0.45">
      <c r="A382">
        <v>-73.350340000000003</v>
      </c>
      <c r="B382">
        <v>33.979140000000001</v>
      </c>
      <c r="C382">
        <v>-73.424610000000001</v>
      </c>
      <c r="D382">
        <v>33.956690000000002</v>
      </c>
      <c r="E382" s="13">
        <v>8319.5897276568994</v>
      </c>
      <c r="F382" s="13">
        <v>-175.06882415982801</v>
      </c>
      <c r="G382" s="13">
        <f t="shared" si="78"/>
        <v>184.93117584017199</v>
      </c>
      <c r="H382" s="13">
        <v>-175.04731121605499</v>
      </c>
      <c r="I382" s="13">
        <f t="shared" si="79"/>
        <v>184.95268878394501</v>
      </c>
      <c r="J382" s="11">
        <v>8319.59</v>
      </c>
      <c r="K382" s="11">
        <v>184.93117599999999</v>
      </c>
      <c r="L382" s="12">
        <v>4.9526890000000003</v>
      </c>
      <c r="M382" s="18">
        <f t="shared" si="80"/>
        <v>184.95268899999999</v>
      </c>
      <c r="N382" s="17">
        <f t="shared" si="71"/>
        <v>8319.5897276456981</v>
      </c>
      <c r="O382" s="14">
        <f t="shared" si="72"/>
        <v>1.3463809050341344E-12</v>
      </c>
      <c r="P382" s="24">
        <f t="shared" si="73"/>
        <v>1.1201336747035384E-8</v>
      </c>
      <c r="Q382" s="2">
        <f t="shared" si="81"/>
        <v>3.2736505292843597E-8</v>
      </c>
      <c r="R382" s="19">
        <f t="shared" si="82"/>
        <v>2.7235430206928868E-4</v>
      </c>
      <c r="S382" s="16">
        <f t="shared" si="83"/>
        <v>184.93117584006538</v>
      </c>
      <c r="T382" s="23">
        <f t="shared" si="74"/>
        <v>1.0660983207344543E-10</v>
      </c>
      <c r="U382" s="22">
        <f t="shared" si="75"/>
        <v>1.5993461488506E-7</v>
      </c>
      <c r="V382" s="16">
        <f t="shared" si="84"/>
        <v>184.95268878383865</v>
      </c>
      <c r="W382" s="23">
        <f t="shared" si="76"/>
        <v>1.063540366885718E-10</v>
      </c>
      <c r="X382" s="22">
        <f t="shared" si="77"/>
        <v>2.1616133949464711E-7</v>
      </c>
    </row>
    <row r="383" spans="1:24" x14ac:dyDescent="0.45">
      <c r="A383">
        <v>-40.048839999999998</v>
      </c>
      <c r="B383">
        <v>-125.82129</v>
      </c>
      <c r="C383">
        <v>-40.196159999999999</v>
      </c>
      <c r="D383">
        <v>-125.82666</v>
      </c>
      <c r="E383" s="13">
        <v>16364.3722924626</v>
      </c>
      <c r="F383" s="13">
        <v>-178.39884216818601</v>
      </c>
      <c r="G383" s="13">
        <f t="shared" si="78"/>
        <v>181.60115783181399</v>
      </c>
      <c r="H383" s="13">
        <v>-178.39538160863</v>
      </c>
      <c r="I383" s="13">
        <f t="shared" si="79"/>
        <v>181.60461839137</v>
      </c>
      <c r="J383" s="9">
        <v>16364.371999999999</v>
      </c>
      <c r="K383" s="9">
        <v>181.601158</v>
      </c>
      <c r="L383" s="10">
        <v>1.6046180000000001</v>
      </c>
      <c r="M383" s="18">
        <f t="shared" si="80"/>
        <v>181.60461799999999</v>
      </c>
      <c r="N383" s="17">
        <f t="shared" si="71"/>
        <v>16364.372292298565</v>
      </c>
      <c r="O383" s="14">
        <f t="shared" si="72"/>
        <v>1.0023888633841205E-11</v>
      </c>
      <c r="P383" s="24">
        <f t="shared" si="73"/>
        <v>1.6403464542236179E-7</v>
      </c>
      <c r="Q383" s="2">
        <f t="shared" si="81"/>
        <v>1.7861887147868072E-8</v>
      </c>
      <c r="R383" s="19">
        <f t="shared" si="82"/>
        <v>2.9229856590973213E-4</v>
      </c>
      <c r="S383" s="16">
        <f t="shared" si="83"/>
        <v>181.60115781968494</v>
      </c>
      <c r="T383" s="23">
        <f t="shared" si="74"/>
        <v>1.2129049764553201E-8</v>
      </c>
      <c r="U383" s="22">
        <f t="shared" si="75"/>
        <v>1.8031505533144809E-7</v>
      </c>
      <c r="V383" s="16">
        <f t="shared" si="84"/>
        <v>181.60461837921426</v>
      </c>
      <c r="W383" s="23">
        <f t="shared" si="76"/>
        <v>1.2155737749708351E-8</v>
      </c>
      <c r="X383" s="22">
        <f t="shared" si="77"/>
        <v>3.7921427065157332E-7</v>
      </c>
    </row>
    <row r="384" spans="1:24" x14ac:dyDescent="0.45">
      <c r="A384">
        <v>27.92492</v>
      </c>
      <c r="B384">
        <v>-54.82826</v>
      </c>
      <c r="C384">
        <v>27.76737</v>
      </c>
      <c r="D384">
        <v>-54.768700000000003</v>
      </c>
      <c r="E384" s="13">
        <v>18418.5416648225</v>
      </c>
      <c r="F384" s="13">
        <v>161.41244694643299</v>
      </c>
      <c r="G384" s="13">
        <f t="shared" si="78"/>
        <v>161.41244694643299</v>
      </c>
      <c r="H384" s="13">
        <v>161.44026738615099</v>
      </c>
      <c r="I384" s="13">
        <f t="shared" si="79"/>
        <v>161.44026738615099</v>
      </c>
      <c r="J384" s="11">
        <v>18418.542000000001</v>
      </c>
      <c r="K384" s="11">
        <v>161.41244699999999</v>
      </c>
      <c r="L384" s="12">
        <v>341.44026700000001</v>
      </c>
      <c r="M384" s="18">
        <f t="shared" si="80"/>
        <v>161.44026699999995</v>
      </c>
      <c r="N384" s="17">
        <f t="shared" si="71"/>
        <v>18418.541664633049</v>
      </c>
      <c r="O384" s="14">
        <f t="shared" si="72"/>
        <v>1.0285905790247254E-11</v>
      </c>
      <c r="P384" s="24">
        <f t="shared" si="73"/>
        <v>1.8945138435810804E-7</v>
      </c>
      <c r="Q384" s="2">
        <f t="shared" si="81"/>
        <v>1.8208116182077283E-8</v>
      </c>
      <c r="R384" s="19">
        <f t="shared" si="82"/>
        <v>3.3536695264047012E-4</v>
      </c>
      <c r="S384" s="16">
        <f t="shared" si="83"/>
        <v>161.4124469471864</v>
      </c>
      <c r="T384" s="23">
        <f t="shared" si="74"/>
        <v>7.5340267358114943E-10</v>
      </c>
      <c r="U384" s="22">
        <f t="shared" si="75"/>
        <v>5.2813589945799322E-8</v>
      </c>
      <c r="V384" s="16">
        <f t="shared" si="84"/>
        <v>161.44026738690354</v>
      </c>
      <c r="W384" s="23">
        <f t="shared" si="76"/>
        <v>7.5255002229823731E-10</v>
      </c>
      <c r="X384" s="22">
        <f t="shared" si="77"/>
        <v>3.8690359360771254E-7</v>
      </c>
    </row>
    <row r="385" spans="1:24" x14ac:dyDescent="0.45">
      <c r="A385">
        <v>48.04907</v>
      </c>
      <c r="B385">
        <v>81.865170000000006</v>
      </c>
      <c r="C385">
        <v>48.16534</v>
      </c>
      <c r="D385">
        <v>81.815770000000001</v>
      </c>
      <c r="E385" s="13">
        <v>13441.5739148146</v>
      </c>
      <c r="F385" s="13">
        <v>-15.8656838993408</v>
      </c>
      <c r="G385" s="13">
        <f t="shared" si="78"/>
        <v>344.13431610065919</v>
      </c>
      <c r="H385" s="13">
        <v>-15.9024570580609</v>
      </c>
      <c r="I385" s="13">
        <f t="shared" si="79"/>
        <v>344.09754294193908</v>
      </c>
      <c r="J385" s="9">
        <v>13441.574000000001</v>
      </c>
      <c r="K385" s="9">
        <v>344.13431600000001</v>
      </c>
      <c r="L385" s="10">
        <v>164.097543</v>
      </c>
      <c r="M385" s="18">
        <f t="shared" si="80"/>
        <v>344.09754299999997</v>
      </c>
      <c r="N385" s="17">
        <f t="shared" si="71"/>
        <v>13441.573914766874</v>
      </c>
      <c r="O385" s="14">
        <f t="shared" si="72"/>
        <v>3.5506737732278782E-12</v>
      </c>
      <c r="P385" s="24">
        <f t="shared" si="73"/>
        <v>4.7726643970236182E-8</v>
      </c>
      <c r="Q385" s="2">
        <f t="shared" si="81"/>
        <v>6.3410078916825843E-9</v>
      </c>
      <c r="R385" s="19">
        <f t="shared" si="82"/>
        <v>8.523312681063544E-5</v>
      </c>
      <c r="S385" s="16">
        <f t="shared" si="83"/>
        <v>344.13431610069853</v>
      </c>
      <c r="T385" s="23">
        <f t="shared" si="74"/>
        <v>3.9335645851679146E-11</v>
      </c>
      <c r="U385" s="22">
        <f t="shared" si="75"/>
        <v>1.0069851441585342E-7</v>
      </c>
      <c r="V385" s="16">
        <f t="shared" si="84"/>
        <v>344.09754294197865</v>
      </c>
      <c r="W385" s="23">
        <f t="shared" si="76"/>
        <v>3.9563019527122378E-11</v>
      </c>
      <c r="X385" s="22">
        <f t="shared" si="77"/>
        <v>5.8021328186441679E-8</v>
      </c>
    </row>
    <row r="386" spans="1:24" x14ac:dyDescent="0.45">
      <c r="A386">
        <v>89.605909999999994</v>
      </c>
      <c r="B386">
        <v>-10.43768</v>
      </c>
      <c r="C386">
        <v>89.674090000000007</v>
      </c>
      <c r="D386">
        <v>-10.542590000000001</v>
      </c>
      <c r="E386" s="13">
        <v>7615.6451806068299</v>
      </c>
      <c r="F386" s="13">
        <v>-0.50146502866712495</v>
      </c>
      <c r="G386" s="13">
        <f t="shared" si="78"/>
        <v>359.4985349713329</v>
      </c>
      <c r="H386" s="13">
        <v>-0.60637297640365095</v>
      </c>
      <c r="I386" s="13">
        <f t="shared" si="79"/>
        <v>359.39362702359637</v>
      </c>
      <c r="J386" s="11">
        <v>7615.6450000000004</v>
      </c>
      <c r="K386" s="11">
        <v>359.498535</v>
      </c>
      <c r="L386" s="12">
        <v>179.39362700000001</v>
      </c>
      <c r="M386" s="18">
        <f t="shared" si="80"/>
        <v>359.39362700000004</v>
      </c>
      <c r="N386" s="17">
        <f t="shared" si="71"/>
        <v>7615.6451806113828</v>
      </c>
      <c r="O386" s="14">
        <f t="shared" si="72"/>
        <v>5.9783910215109206E-13</v>
      </c>
      <c r="P386" s="24">
        <f t="shared" si="73"/>
        <v>4.5529304770752788E-9</v>
      </c>
      <c r="Q386" s="2">
        <f t="shared" si="81"/>
        <v>2.3715835276947155E-8</v>
      </c>
      <c r="R386" s="19">
        <f t="shared" si="82"/>
        <v>1.8061138234770624E-4</v>
      </c>
      <c r="S386" s="16">
        <f t="shared" si="83"/>
        <v>359.49853497133284</v>
      </c>
      <c r="T386" s="23">
        <f t="shared" si="74"/>
        <v>5.6843418860808015E-14</v>
      </c>
      <c r="U386" s="22">
        <f t="shared" si="75"/>
        <v>2.8667159313044976E-8</v>
      </c>
      <c r="V386" s="16">
        <f t="shared" si="84"/>
        <v>359.39362702359631</v>
      </c>
      <c r="W386" s="23">
        <f t="shared" si="76"/>
        <v>5.6843418860808015E-14</v>
      </c>
      <c r="X386" s="22">
        <f t="shared" si="77"/>
        <v>2.3596271603310015E-8</v>
      </c>
    </row>
    <row r="387" spans="1:24" x14ac:dyDescent="0.45">
      <c r="A387">
        <v>68.535939999999997</v>
      </c>
      <c r="B387">
        <v>175.52838</v>
      </c>
      <c r="C387">
        <v>68.527690000000007</v>
      </c>
      <c r="D387">
        <v>175.40531999999999</v>
      </c>
      <c r="E387" s="13">
        <v>5111.7233145229002</v>
      </c>
      <c r="F387" s="13">
        <v>-100.3138465159</v>
      </c>
      <c r="G387" s="13">
        <f t="shared" si="78"/>
        <v>259.68615348410003</v>
      </c>
      <c r="H387" s="13">
        <v>-100.428368734244</v>
      </c>
      <c r="I387" s="13">
        <f t="shared" si="79"/>
        <v>259.57163126575597</v>
      </c>
      <c r="J387" s="9">
        <v>5111.723</v>
      </c>
      <c r="K387" s="9">
        <v>259.68615299999999</v>
      </c>
      <c r="L387" s="10">
        <v>79.571630999999996</v>
      </c>
      <c r="M387" s="18">
        <f t="shared" si="80"/>
        <v>259.57163100000002</v>
      </c>
      <c r="N387" s="17">
        <f t="shared" ref="N387:N450" si="85">VincentyInvDistance($A387,$B387,$C387,$D387)</f>
        <v>5111.7233140687858</v>
      </c>
      <c r="O387" s="14">
        <f t="shared" ref="O387:O450" si="86">ABS((E387-N387)/E387)</f>
        <v>8.8837817431128836E-11</v>
      </c>
      <c r="P387" s="24">
        <f t="shared" ref="P387:P450" si="87">ABS(E387-N387)</f>
        <v>4.5411434257403016E-7</v>
      </c>
      <c r="Q387" s="2">
        <f t="shared" si="81"/>
        <v>6.1440885173773501E-8</v>
      </c>
      <c r="R387" s="19">
        <f t="shared" si="82"/>
        <v>3.1406878588313702E-4</v>
      </c>
      <c r="S387" s="16">
        <f t="shared" si="83"/>
        <v>259.68615348317041</v>
      </c>
      <c r="T387" s="23">
        <f t="shared" ref="T387:T450" si="88">ABS(G387-S387)</f>
        <v>9.2961727204965428E-10</v>
      </c>
      <c r="U387" s="22">
        <f t="shared" ref="U387:U450" si="89">ABS(K387-S387)</f>
        <v>4.8317042455892079E-7</v>
      </c>
      <c r="V387" s="16">
        <f t="shared" si="84"/>
        <v>259.57163126483812</v>
      </c>
      <c r="W387" s="23">
        <f t="shared" ref="W387:W450" si="90">ABS(I387-V387)</f>
        <v>9.1785068434546702E-10</v>
      </c>
      <c r="X387" s="22">
        <f t="shared" ref="X387:X450" si="91">ABS(M387-V387)</f>
        <v>2.6483809278943227E-7</v>
      </c>
    </row>
    <row r="388" spans="1:24" x14ac:dyDescent="0.45">
      <c r="A388">
        <v>34.945880000000002</v>
      </c>
      <c r="B388">
        <v>-84.280659999999997</v>
      </c>
      <c r="C388">
        <v>35.013550000000002</v>
      </c>
      <c r="D388">
        <v>-84.443359999999998</v>
      </c>
      <c r="E388" s="13">
        <v>16645.358181914002</v>
      </c>
      <c r="F388" s="13">
        <v>-63.144495045000902</v>
      </c>
      <c r="G388" s="13">
        <f t="shared" ref="G388:G451" si="92">NormalizeAzimuth(F388, TRUE)</f>
        <v>296.85550495499911</v>
      </c>
      <c r="H388" s="13">
        <v>-63.237768798874598</v>
      </c>
      <c r="I388" s="13">
        <f t="shared" ref="I388:I451" si="93">NormalizeAzimuth(H388, TRUE)</f>
        <v>296.76223120112542</v>
      </c>
      <c r="J388" s="11">
        <v>16645.358</v>
      </c>
      <c r="K388" s="11">
        <v>296.85550499999999</v>
      </c>
      <c r="L388" s="12">
        <v>116.762231</v>
      </c>
      <c r="M388" s="18">
        <f t="shared" ref="M388:M451" si="94">NormalizeAzimuth(L388+180, TRUE)</f>
        <v>296.76223099999999</v>
      </c>
      <c r="N388" s="17">
        <f t="shared" si="85"/>
        <v>16645.358181561987</v>
      </c>
      <c r="O388" s="14">
        <f t="shared" si="86"/>
        <v>2.1147905830917008E-11</v>
      </c>
      <c r="P388" s="24">
        <f t="shared" si="87"/>
        <v>3.5201446735300124E-7</v>
      </c>
      <c r="Q388" s="2">
        <f t="shared" ref="Q388:Q451" si="95">ABS((J388-N388)/J388)</f>
        <v>1.0907664894891056E-8</v>
      </c>
      <c r="R388" s="19">
        <f t="shared" ref="R388:R451" si="96">ABS(J388-N388)</f>
        <v>1.8156198711949401E-4</v>
      </c>
      <c r="S388" s="16">
        <f t="shared" ref="S388:S451" si="97">VincentyInvFwdAzimuth($A388,$B388,$C388,$D388)</f>
        <v>296.85550495546772</v>
      </c>
      <c r="T388" s="23">
        <f t="shared" si="88"/>
        <v>4.6861714508850127E-10</v>
      </c>
      <c r="U388" s="22">
        <f t="shared" si="89"/>
        <v>4.4532271203934215E-8</v>
      </c>
      <c r="V388" s="16">
        <f t="shared" ref="V388:V451" si="98">VincentyInvRevAzimuth($A388,$B388,$C388,$D388)</f>
        <v>296.76223120159659</v>
      </c>
      <c r="W388" s="23">
        <f t="shared" si="90"/>
        <v>4.7117509893723764E-10</v>
      </c>
      <c r="X388" s="22">
        <f t="shared" si="91"/>
        <v>2.0159660607532714E-7</v>
      </c>
    </row>
    <row r="389" spans="1:24" x14ac:dyDescent="0.45">
      <c r="A389">
        <v>-10.40157</v>
      </c>
      <c r="B389">
        <v>60.462679999999999</v>
      </c>
      <c r="C389">
        <v>-10.39433</v>
      </c>
      <c r="D389">
        <v>60.520389999999999</v>
      </c>
      <c r="E389" s="13">
        <v>6369.9765593348502</v>
      </c>
      <c r="F389" s="13">
        <v>82.782996516056599</v>
      </c>
      <c r="G389" s="13">
        <f t="shared" si="92"/>
        <v>82.782996516056599</v>
      </c>
      <c r="H389" s="13">
        <v>82.772580786211094</v>
      </c>
      <c r="I389" s="13">
        <f t="shared" si="93"/>
        <v>82.772580786211094</v>
      </c>
      <c r="J389" s="9">
        <v>6369.9769999999999</v>
      </c>
      <c r="K389" s="9">
        <v>82.782996999999995</v>
      </c>
      <c r="L389" s="10">
        <v>262.772581</v>
      </c>
      <c r="M389" s="18">
        <f t="shared" si="94"/>
        <v>82.772581000000002</v>
      </c>
      <c r="N389" s="17">
        <f t="shared" si="85"/>
        <v>6369.9765586049034</v>
      </c>
      <c r="O389" s="14">
        <f t="shared" si="86"/>
        <v>1.1459175688060087E-10</v>
      </c>
      <c r="P389" s="24">
        <f t="shared" si="87"/>
        <v>7.2994680522242561E-7</v>
      </c>
      <c r="Q389" s="2">
        <f t="shared" si="95"/>
        <v>6.9293043987288892E-8</v>
      </c>
      <c r="R389" s="19">
        <f t="shared" si="96"/>
        <v>4.4139509645901853E-4</v>
      </c>
      <c r="S389" s="16">
        <f t="shared" si="97"/>
        <v>82.782996515281894</v>
      </c>
      <c r="T389" s="23">
        <f t="shared" si="88"/>
        <v>7.7470474479923723E-10</v>
      </c>
      <c r="U389" s="22">
        <f t="shared" si="89"/>
        <v>4.8471810032424401E-7</v>
      </c>
      <c r="V389" s="16">
        <f t="shared" si="98"/>
        <v>82.772580785436929</v>
      </c>
      <c r="W389" s="23">
        <f t="shared" si="90"/>
        <v>7.7416473232005956E-10</v>
      </c>
      <c r="X389" s="22">
        <f t="shared" si="91"/>
        <v>2.1456307308653777E-7</v>
      </c>
    </row>
    <row r="390" spans="1:24" x14ac:dyDescent="0.45">
      <c r="A390">
        <v>-11.86347</v>
      </c>
      <c r="B390">
        <v>-58.650460000000002</v>
      </c>
      <c r="C390">
        <v>-11.822430000000001</v>
      </c>
      <c r="D390">
        <v>-58.487209999999997</v>
      </c>
      <c r="E390" s="13">
        <v>18358.764963214599</v>
      </c>
      <c r="F390" s="13">
        <v>75.699719337563707</v>
      </c>
      <c r="G390" s="13">
        <f t="shared" si="92"/>
        <v>75.699719337563707</v>
      </c>
      <c r="H390" s="13">
        <v>75.6662155533039</v>
      </c>
      <c r="I390" s="13">
        <f t="shared" si="93"/>
        <v>75.6662155533039</v>
      </c>
      <c r="J390" s="11">
        <v>18358.764999999999</v>
      </c>
      <c r="K390" s="11">
        <v>75.699719000000002</v>
      </c>
      <c r="L390" s="12">
        <v>255.66621599999999</v>
      </c>
      <c r="M390" s="18">
        <f t="shared" si="94"/>
        <v>75.666215999999963</v>
      </c>
      <c r="N390" s="17">
        <f t="shared" si="85"/>
        <v>18358.764961292916</v>
      </c>
      <c r="O390" s="14">
        <f t="shared" si="86"/>
        <v>1.0467383144579226E-10</v>
      </c>
      <c r="P390" s="24">
        <f t="shared" si="87"/>
        <v>1.9216822693124413E-6</v>
      </c>
      <c r="Q390" s="2">
        <f t="shared" si="95"/>
        <v>2.1083707509381734E-9</v>
      </c>
      <c r="R390" s="19">
        <f t="shared" si="96"/>
        <v>3.8707083149347454E-5</v>
      </c>
      <c r="S390" s="16">
        <f t="shared" si="97"/>
        <v>75.699719336130855</v>
      </c>
      <c r="T390" s="23">
        <f t="shared" si="88"/>
        <v>1.4328520592243876E-9</v>
      </c>
      <c r="U390" s="22">
        <f t="shared" si="89"/>
        <v>3.3613085292927281E-7</v>
      </c>
      <c r="V390" s="16">
        <f t="shared" si="98"/>
        <v>75.666215551874089</v>
      </c>
      <c r="W390" s="23">
        <f t="shared" si="90"/>
        <v>1.4298109363153344E-9</v>
      </c>
      <c r="X390" s="22">
        <f t="shared" si="91"/>
        <v>4.4812587418618932E-7</v>
      </c>
    </row>
    <row r="391" spans="1:24" x14ac:dyDescent="0.45">
      <c r="A391">
        <v>7.6256599999999999</v>
      </c>
      <c r="B391">
        <v>-113.48932000000001</v>
      </c>
      <c r="C391">
        <v>7.6935399999999996</v>
      </c>
      <c r="D391">
        <v>-113.61476999999999</v>
      </c>
      <c r="E391" s="13">
        <v>15746.016058684299</v>
      </c>
      <c r="F391" s="13">
        <v>-61.517438002010401</v>
      </c>
      <c r="G391" s="13">
        <f t="shared" si="92"/>
        <v>298.48256199798959</v>
      </c>
      <c r="H391" s="13">
        <v>-61.534158915517096</v>
      </c>
      <c r="I391" s="13">
        <f t="shared" si="93"/>
        <v>298.46584108448292</v>
      </c>
      <c r="J391" s="9">
        <v>15746.016</v>
      </c>
      <c r="K391" s="9">
        <v>298.48256199999997</v>
      </c>
      <c r="L391" s="10">
        <v>118.465841</v>
      </c>
      <c r="M391" s="18">
        <f t="shared" si="94"/>
        <v>298.46584100000001</v>
      </c>
      <c r="N391" s="17">
        <f t="shared" si="85"/>
        <v>15746.016057149465</v>
      </c>
      <c r="O391" s="14">
        <f t="shared" si="86"/>
        <v>9.747444364093861E-11</v>
      </c>
      <c r="P391" s="24">
        <f t="shared" si="87"/>
        <v>1.534834154881537E-6</v>
      </c>
      <c r="Q391" s="2">
        <f t="shared" si="95"/>
        <v>3.6294555808240007E-9</v>
      </c>
      <c r="R391" s="19">
        <f t="shared" si="96"/>
        <v>5.7149465646944009E-5</v>
      </c>
      <c r="S391" s="16">
        <f t="shared" si="97"/>
        <v>298.48256200080112</v>
      </c>
      <c r="T391" s="23">
        <f t="shared" si="88"/>
        <v>2.8115323402744252E-9</v>
      </c>
      <c r="U391" s="22">
        <f t="shared" si="89"/>
        <v>8.0115114542422816E-10</v>
      </c>
      <c r="V391" s="16">
        <f t="shared" si="98"/>
        <v>298.46584108729644</v>
      </c>
      <c r="W391" s="23">
        <f t="shared" si="90"/>
        <v>2.8135218599345535E-9</v>
      </c>
      <c r="X391" s="22">
        <f t="shared" si="91"/>
        <v>8.7296427864202997E-8</v>
      </c>
    </row>
    <row r="392" spans="1:24" x14ac:dyDescent="0.45">
      <c r="A392">
        <v>-10.32147</v>
      </c>
      <c r="B392">
        <v>31.61589</v>
      </c>
      <c r="C392">
        <v>-10.39404</v>
      </c>
      <c r="D392">
        <v>31.6038600000001</v>
      </c>
      <c r="E392" s="13">
        <v>8134.3842102037297</v>
      </c>
      <c r="F392" s="13">
        <v>-170.68005536342599</v>
      </c>
      <c r="G392" s="13">
        <f t="shared" si="92"/>
        <v>189.31994463657401</v>
      </c>
      <c r="H392" s="13">
        <v>-170.67789244242701</v>
      </c>
      <c r="I392" s="13">
        <f t="shared" si="93"/>
        <v>189.32210755757299</v>
      </c>
      <c r="J392" s="11">
        <v>8134.384</v>
      </c>
      <c r="K392" s="11">
        <v>189.31994499999999</v>
      </c>
      <c r="L392" s="12">
        <v>9.3221080000000001</v>
      </c>
      <c r="M392" s="18">
        <f t="shared" si="94"/>
        <v>189.32210800000001</v>
      </c>
      <c r="N392" s="17">
        <f t="shared" si="85"/>
        <v>8134.38421012862</v>
      </c>
      <c r="O392" s="14">
        <f t="shared" si="86"/>
        <v>9.2336074262386408E-12</v>
      </c>
      <c r="P392" s="24">
        <f t="shared" si="87"/>
        <v>7.5109710451215506E-8</v>
      </c>
      <c r="Q392" s="2">
        <f t="shared" si="95"/>
        <v>2.5832149058017426E-8</v>
      </c>
      <c r="R392" s="19">
        <f t="shared" si="96"/>
        <v>2.1012861998315202E-4</v>
      </c>
      <c r="S392" s="16">
        <f t="shared" si="97"/>
        <v>189.31994463552178</v>
      </c>
      <c r="T392" s="23">
        <f t="shared" si="88"/>
        <v>1.0522285265324172E-9</v>
      </c>
      <c r="U392" s="22">
        <f t="shared" si="89"/>
        <v>3.6447821116780688E-7</v>
      </c>
      <c r="V392" s="16">
        <f t="shared" si="98"/>
        <v>189.32210755652048</v>
      </c>
      <c r="W392" s="23">
        <f t="shared" si="90"/>
        <v>1.0525127436267212E-9</v>
      </c>
      <c r="X392" s="22">
        <f t="shared" si="91"/>
        <v>4.4347953576107102E-7</v>
      </c>
    </row>
    <row r="393" spans="1:24" x14ac:dyDescent="0.45">
      <c r="A393">
        <v>80.641319999999993</v>
      </c>
      <c r="B393">
        <v>-6.3725699999999996</v>
      </c>
      <c r="C393">
        <v>80.595309999999998</v>
      </c>
      <c r="D393">
        <v>-6.4451400000000403</v>
      </c>
      <c r="E393" s="13">
        <v>5304.8156502318398</v>
      </c>
      <c r="F393" s="13">
        <v>-165.54266096213999</v>
      </c>
      <c r="G393" s="13">
        <f t="shared" si="92"/>
        <v>194.45733903786001</v>
      </c>
      <c r="H393" s="13">
        <v>-165.61426029503301</v>
      </c>
      <c r="I393" s="13">
        <f t="shared" si="93"/>
        <v>194.38573970496699</v>
      </c>
      <c r="J393" s="9">
        <v>5304.8159999999998</v>
      </c>
      <c r="K393" s="9">
        <v>194.45733899999999</v>
      </c>
      <c r="L393" s="10">
        <v>14.38574</v>
      </c>
      <c r="M393" s="18">
        <f t="shared" si="94"/>
        <v>194.38574</v>
      </c>
      <c r="N393" s="17">
        <f t="shared" si="85"/>
        <v>5304.8156502293286</v>
      </c>
      <c r="O393" s="14">
        <f t="shared" si="86"/>
        <v>4.7336515294085857E-13</v>
      </c>
      <c r="P393" s="24">
        <f t="shared" si="87"/>
        <v>2.5111148715950549E-9</v>
      </c>
      <c r="Q393" s="2">
        <f t="shared" si="95"/>
        <v>6.5934552897621954E-8</v>
      </c>
      <c r="R393" s="19">
        <f t="shared" si="96"/>
        <v>3.4977067116415128E-4</v>
      </c>
      <c r="S393" s="16">
        <f t="shared" si="97"/>
        <v>194.45733903785703</v>
      </c>
      <c r="T393" s="23">
        <f t="shared" si="88"/>
        <v>2.9842794901924208E-12</v>
      </c>
      <c r="U393" s="22">
        <f t="shared" si="89"/>
        <v>3.7857034840271808E-8</v>
      </c>
      <c r="V393" s="16">
        <f t="shared" si="98"/>
        <v>194.38573970496449</v>
      </c>
      <c r="W393" s="23">
        <f t="shared" si="90"/>
        <v>2.5011104298755527E-12</v>
      </c>
      <c r="X393" s="22">
        <f t="shared" si="91"/>
        <v>2.9503550535991963E-7</v>
      </c>
    </row>
    <row r="394" spans="1:24" x14ac:dyDescent="0.45">
      <c r="A394">
        <v>-19.90672</v>
      </c>
      <c r="B394">
        <v>120.17301</v>
      </c>
      <c r="C394">
        <v>-19.882909999999999</v>
      </c>
      <c r="D394">
        <v>120.19853000000001</v>
      </c>
      <c r="E394" s="13">
        <v>3753.5537322056498</v>
      </c>
      <c r="F394" s="13">
        <v>45.398582519686997</v>
      </c>
      <c r="G394" s="13">
        <f t="shared" si="92"/>
        <v>45.398582519686997</v>
      </c>
      <c r="H394" s="13">
        <v>45.389898204824803</v>
      </c>
      <c r="I394" s="13">
        <f t="shared" si="93"/>
        <v>45.389898204824803</v>
      </c>
      <c r="J394" s="11">
        <v>3753.5540000000001</v>
      </c>
      <c r="K394" s="11">
        <v>45.398583000000002</v>
      </c>
      <c r="L394" s="12">
        <v>225.38989799999999</v>
      </c>
      <c r="M394" s="18">
        <f t="shared" si="94"/>
        <v>45.389898000000017</v>
      </c>
      <c r="N394" s="17">
        <f t="shared" si="85"/>
        <v>3753.5537320391932</v>
      </c>
      <c r="O394" s="14">
        <f t="shared" si="86"/>
        <v>4.4346409213481657E-11</v>
      </c>
      <c r="P394" s="24">
        <f t="shared" si="87"/>
        <v>1.664566298131831E-7</v>
      </c>
      <c r="Q394" s="2">
        <f t="shared" si="95"/>
        <v>7.138855786354183E-8</v>
      </c>
      <c r="R394" s="19">
        <f t="shared" si="96"/>
        <v>2.679608069229289E-4</v>
      </c>
      <c r="S394" s="16">
        <f t="shared" si="97"/>
        <v>45.398582517551411</v>
      </c>
      <c r="T394" s="23">
        <f t="shared" si="88"/>
        <v>2.1355859303184843E-9</v>
      </c>
      <c r="U394" s="22">
        <f t="shared" si="89"/>
        <v>4.8244859129908946E-7</v>
      </c>
      <c r="V394" s="16">
        <f t="shared" si="98"/>
        <v>45.389898202690219</v>
      </c>
      <c r="W394" s="23">
        <f t="shared" si="90"/>
        <v>2.1345840650610626E-9</v>
      </c>
      <c r="X394" s="22">
        <f t="shared" si="91"/>
        <v>2.0269020239993552E-7</v>
      </c>
    </row>
    <row r="395" spans="1:24" x14ac:dyDescent="0.45">
      <c r="A395">
        <v>74.393379999999993</v>
      </c>
      <c r="B395">
        <v>28.14359</v>
      </c>
      <c r="C395">
        <v>74.549109999999999</v>
      </c>
      <c r="D395">
        <v>28.147810000000099</v>
      </c>
      <c r="E395" s="13">
        <v>17381.965354819102</v>
      </c>
      <c r="F395" s="13">
        <v>0.41382882510220698</v>
      </c>
      <c r="G395" s="13">
        <f t="shared" si="92"/>
        <v>0.41382882510220698</v>
      </c>
      <c r="H395" s="13">
        <v>0.41789478287749698</v>
      </c>
      <c r="I395" s="13">
        <f t="shared" si="93"/>
        <v>0.41789478287749698</v>
      </c>
      <c r="J395" s="9">
        <v>17381.965</v>
      </c>
      <c r="K395" s="9">
        <v>0.413829</v>
      </c>
      <c r="L395" s="10">
        <v>180.41789499999999</v>
      </c>
      <c r="M395" s="18">
        <f t="shared" si="94"/>
        <v>0.41789499999998725</v>
      </c>
      <c r="N395" s="17">
        <f t="shared" si="85"/>
        <v>17381.965354801316</v>
      </c>
      <c r="O395" s="14">
        <f t="shared" si="86"/>
        <v>1.0232489839211562E-12</v>
      </c>
      <c r="P395" s="24">
        <f t="shared" si="87"/>
        <v>1.7786078387871385E-8</v>
      </c>
      <c r="Q395" s="2">
        <f t="shared" si="95"/>
        <v>2.0412037163365719E-8</v>
      </c>
      <c r="R395" s="19">
        <f t="shared" si="96"/>
        <v>3.5480131555232219E-4</v>
      </c>
      <c r="S395" s="16">
        <f t="shared" si="97"/>
        <v>0.41382882510133223</v>
      </c>
      <c r="T395" s="23">
        <f t="shared" si="88"/>
        <v>8.7474472110216084E-13</v>
      </c>
      <c r="U395" s="22">
        <f t="shared" si="89"/>
        <v>1.7489866777076202E-7</v>
      </c>
      <c r="V395" s="16">
        <f t="shared" si="98"/>
        <v>0.41789478287661402</v>
      </c>
      <c r="W395" s="23">
        <f t="shared" si="90"/>
        <v>8.82960371484387E-13</v>
      </c>
      <c r="X395" s="22">
        <f t="shared" si="91"/>
        <v>2.1712337322510322E-7</v>
      </c>
    </row>
    <row r="396" spans="1:24" x14ac:dyDescent="0.45">
      <c r="A396">
        <v>-57.052860000000003</v>
      </c>
      <c r="B396">
        <v>86.024870000000007</v>
      </c>
      <c r="C396">
        <v>-57.11871</v>
      </c>
      <c r="D396">
        <v>86.007220000000004</v>
      </c>
      <c r="E396" s="13">
        <v>7410.8241120225503</v>
      </c>
      <c r="F396" s="13">
        <v>-171.70458440885</v>
      </c>
      <c r="G396" s="13">
        <f t="shared" si="92"/>
        <v>188.29541559115</v>
      </c>
      <c r="H396" s="13">
        <v>-171.68976749474101</v>
      </c>
      <c r="I396" s="13">
        <f t="shared" si="93"/>
        <v>188.31023250525899</v>
      </c>
      <c r="J396" s="11">
        <v>7410.8239999999996</v>
      </c>
      <c r="K396" s="11">
        <v>188.29541599999999</v>
      </c>
      <c r="L396" s="12">
        <v>8.3102330000000002</v>
      </c>
      <c r="M396" s="18">
        <f t="shared" si="94"/>
        <v>188.31023300000001</v>
      </c>
      <c r="N396" s="17">
        <f t="shared" si="85"/>
        <v>7410.8241118489677</v>
      </c>
      <c r="O396" s="14">
        <f t="shared" si="86"/>
        <v>2.3422836404924488E-11</v>
      </c>
      <c r="P396" s="24">
        <f t="shared" si="87"/>
        <v>1.7358252080157399E-7</v>
      </c>
      <c r="Q396" s="2">
        <f t="shared" si="95"/>
        <v>1.5092649362278214E-8</v>
      </c>
      <c r="R396" s="19">
        <f t="shared" si="96"/>
        <v>1.1184896811755607E-4</v>
      </c>
      <c r="S396" s="16">
        <f t="shared" si="97"/>
        <v>188.29541558311541</v>
      </c>
      <c r="T396" s="23">
        <f t="shared" si="88"/>
        <v>8.0345898822997697E-9</v>
      </c>
      <c r="U396" s="22">
        <f t="shared" si="89"/>
        <v>4.1688457486088737E-7</v>
      </c>
      <c r="V396" s="16">
        <f t="shared" si="98"/>
        <v>188.31023249721031</v>
      </c>
      <c r="W396" s="23">
        <f t="shared" si="90"/>
        <v>8.0486870501772501E-9</v>
      </c>
      <c r="X396" s="22">
        <f t="shared" si="91"/>
        <v>5.0278970320505323E-7</v>
      </c>
    </row>
    <row r="397" spans="1:24" x14ac:dyDescent="0.45">
      <c r="A397">
        <v>13.37185</v>
      </c>
      <c r="B397">
        <v>20.81917</v>
      </c>
      <c r="C397">
        <v>13.512829999999999</v>
      </c>
      <c r="D397">
        <v>20.748799999999999</v>
      </c>
      <c r="E397" s="13">
        <v>17359.226581971201</v>
      </c>
      <c r="F397" s="13">
        <v>-26.030546122181502</v>
      </c>
      <c r="G397" s="13">
        <f t="shared" si="92"/>
        <v>333.96945387781852</v>
      </c>
      <c r="H397" s="13">
        <v>-26.046904817876499</v>
      </c>
      <c r="I397" s="13">
        <f t="shared" si="93"/>
        <v>333.95309518212349</v>
      </c>
      <c r="J397" s="9">
        <v>17359.226999999999</v>
      </c>
      <c r="K397" s="9">
        <v>333.96945399999998</v>
      </c>
      <c r="L397" s="10">
        <v>153.95309499999999</v>
      </c>
      <c r="M397" s="18">
        <f t="shared" si="94"/>
        <v>333.95309499999996</v>
      </c>
      <c r="N397" s="17">
        <f t="shared" si="85"/>
        <v>17359.226581519521</v>
      </c>
      <c r="O397" s="14">
        <f t="shared" si="86"/>
        <v>2.6019623202636709E-11</v>
      </c>
      <c r="P397" s="24">
        <f t="shared" si="87"/>
        <v>4.516805347520858E-7</v>
      </c>
      <c r="Q397" s="2">
        <f t="shared" si="95"/>
        <v>2.4107091773254738E-8</v>
      </c>
      <c r="R397" s="19">
        <f t="shared" si="96"/>
        <v>4.184804784017615E-4</v>
      </c>
      <c r="S397" s="16">
        <f t="shared" si="97"/>
        <v>333.96945388009976</v>
      </c>
      <c r="T397" s="23">
        <f t="shared" si="88"/>
        <v>2.2812400857219473E-9</v>
      </c>
      <c r="U397" s="22">
        <f t="shared" si="89"/>
        <v>1.1990022130703437E-7</v>
      </c>
      <c r="V397" s="16">
        <f t="shared" si="98"/>
        <v>333.95309518440632</v>
      </c>
      <c r="W397" s="23">
        <f t="shared" si="90"/>
        <v>2.2828317014500499E-9</v>
      </c>
      <c r="X397" s="22">
        <f t="shared" si="91"/>
        <v>1.8440636040395475E-7</v>
      </c>
    </row>
    <row r="398" spans="1:24" x14ac:dyDescent="0.45">
      <c r="A398">
        <v>-35.134920000000001</v>
      </c>
      <c r="B398">
        <v>28.194500000000001</v>
      </c>
      <c r="C398">
        <v>-34.986539999999998</v>
      </c>
      <c r="D398">
        <v>28.040780000000002</v>
      </c>
      <c r="E398" s="13">
        <v>21624.302207762001</v>
      </c>
      <c r="F398" s="13">
        <v>-40.469567262957398</v>
      </c>
      <c r="G398" s="13">
        <f t="shared" si="92"/>
        <v>319.53043273704259</v>
      </c>
      <c r="H398" s="13">
        <v>-40.381263565310199</v>
      </c>
      <c r="I398" s="13">
        <f t="shared" si="93"/>
        <v>319.61873643468982</v>
      </c>
      <c r="J398" s="11">
        <v>21624.302</v>
      </c>
      <c r="K398" s="11">
        <v>319.53043300000002</v>
      </c>
      <c r="L398" s="12">
        <v>139.61873600000001</v>
      </c>
      <c r="M398" s="18">
        <f t="shared" si="94"/>
        <v>319.61873600000001</v>
      </c>
      <c r="N398" s="17">
        <f t="shared" si="85"/>
        <v>21624.30220745863</v>
      </c>
      <c r="O398" s="14">
        <f t="shared" si="86"/>
        <v>1.4029171892283465E-11</v>
      </c>
      <c r="P398" s="24">
        <f t="shared" si="87"/>
        <v>3.0337105272337794E-7</v>
      </c>
      <c r="Q398" s="2">
        <f t="shared" si="95"/>
        <v>9.5937723228975323E-9</v>
      </c>
      <c r="R398" s="19">
        <f t="shared" si="96"/>
        <v>2.0745863002957776E-4</v>
      </c>
      <c r="S398" s="16">
        <f t="shared" si="97"/>
        <v>319.53043273766764</v>
      </c>
      <c r="T398" s="23">
        <f t="shared" si="88"/>
        <v>6.2505023379344493E-10</v>
      </c>
      <c r="U398" s="22">
        <f t="shared" si="89"/>
        <v>2.6233237804262899E-7</v>
      </c>
      <c r="V398" s="16">
        <f t="shared" si="98"/>
        <v>319.61873643531277</v>
      </c>
      <c r="W398" s="23">
        <f t="shared" si="90"/>
        <v>6.2294702729559503E-10</v>
      </c>
      <c r="X398" s="22">
        <f t="shared" si="91"/>
        <v>4.3531275650821044E-7</v>
      </c>
    </row>
    <row r="399" spans="1:24" x14ac:dyDescent="0.45">
      <c r="A399">
        <v>81.20993</v>
      </c>
      <c r="B399">
        <v>11.69046</v>
      </c>
      <c r="C399">
        <v>81.060100000000006</v>
      </c>
      <c r="D399">
        <v>11.607729999999901</v>
      </c>
      <c r="E399" s="13">
        <v>16791.568706009701</v>
      </c>
      <c r="F399" s="13">
        <v>-175.094692498303</v>
      </c>
      <c r="G399" s="13">
        <f t="shared" si="92"/>
        <v>184.905307501697</v>
      </c>
      <c r="H399" s="13">
        <v>-175.17643429488399</v>
      </c>
      <c r="I399" s="13">
        <f t="shared" si="93"/>
        <v>184.82356570511601</v>
      </c>
      <c r="J399" s="9">
        <v>16791.569</v>
      </c>
      <c r="K399" s="9">
        <v>184.90530799999999</v>
      </c>
      <c r="L399" s="10">
        <v>4.8235659999999996</v>
      </c>
      <c r="M399" s="18">
        <f t="shared" si="94"/>
        <v>184.823566</v>
      </c>
      <c r="N399" s="17">
        <f t="shared" si="85"/>
        <v>16791.56870600862</v>
      </c>
      <c r="O399" s="14">
        <f t="shared" si="86"/>
        <v>6.4346561338222983E-14</v>
      </c>
      <c r="P399" s="24">
        <f t="shared" si="87"/>
        <v>1.0804797057062387E-9</v>
      </c>
      <c r="Q399" s="2">
        <f t="shared" si="95"/>
        <v>1.7508273306342702E-8</v>
      </c>
      <c r="R399" s="19">
        <f t="shared" si="96"/>
        <v>2.9399137929431163E-4</v>
      </c>
      <c r="S399" s="16">
        <f t="shared" si="97"/>
        <v>184.90530750169751</v>
      </c>
      <c r="T399" s="23">
        <f t="shared" si="88"/>
        <v>5.1159076974727213E-13</v>
      </c>
      <c r="U399" s="22">
        <f t="shared" si="89"/>
        <v>4.9830248372018104E-7</v>
      </c>
      <c r="V399" s="16">
        <f t="shared" si="98"/>
        <v>184.82356570511715</v>
      </c>
      <c r="W399" s="23">
        <f t="shared" si="90"/>
        <v>1.1368683772161603E-12</v>
      </c>
      <c r="X399" s="22">
        <f t="shared" si="91"/>
        <v>2.9488285235856893E-7</v>
      </c>
    </row>
    <row r="400" spans="1:24" x14ac:dyDescent="0.45">
      <c r="A400">
        <v>-54.009599999999999</v>
      </c>
      <c r="B400">
        <v>-69.937709999999996</v>
      </c>
      <c r="C400">
        <v>-54.102760000000004</v>
      </c>
      <c r="D400">
        <v>-69.805099999999996</v>
      </c>
      <c r="E400" s="13">
        <v>13525.4781792045</v>
      </c>
      <c r="F400" s="13">
        <v>140.10740767632601</v>
      </c>
      <c r="G400" s="13">
        <f t="shared" si="92"/>
        <v>140.10740767632601</v>
      </c>
      <c r="H400" s="13">
        <v>140.000047503926</v>
      </c>
      <c r="I400" s="13">
        <f t="shared" si="93"/>
        <v>140.000047503926</v>
      </c>
      <c r="J400" s="11">
        <v>13525.477999999999</v>
      </c>
      <c r="K400" s="11">
        <v>140.10740799999999</v>
      </c>
      <c r="L400" s="12">
        <v>320.00004799999999</v>
      </c>
      <c r="M400" s="18">
        <f t="shared" si="94"/>
        <v>140.00004799999999</v>
      </c>
      <c r="N400" s="17">
        <f t="shared" si="85"/>
        <v>13525.478179161111</v>
      </c>
      <c r="O400" s="14">
        <f t="shared" si="86"/>
        <v>3.2078979883675506E-12</v>
      </c>
      <c r="P400" s="24">
        <f t="shared" si="87"/>
        <v>4.3388354242779315E-8</v>
      </c>
      <c r="Q400" s="2">
        <f t="shared" si="95"/>
        <v>1.3246194485747628E-8</v>
      </c>
      <c r="R400" s="19">
        <f t="shared" si="96"/>
        <v>1.7916111210070085E-4</v>
      </c>
      <c r="S400" s="16">
        <f t="shared" si="97"/>
        <v>140.10740767634476</v>
      </c>
      <c r="T400" s="23">
        <f t="shared" si="88"/>
        <v>1.8758328224066645E-11</v>
      </c>
      <c r="U400" s="22">
        <f t="shared" si="89"/>
        <v>3.2365522883992526E-7</v>
      </c>
      <c r="V400" s="16">
        <f t="shared" si="98"/>
        <v>140.00004750394436</v>
      </c>
      <c r="W400" s="23">
        <f t="shared" si="90"/>
        <v>1.8360424292040989E-11</v>
      </c>
      <c r="X400" s="22">
        <f t="shared" si="91"/>
        <v>4.9605563390286989E-7</v>
      </c>
    </row>
    <row r="401" spans="1:24" x14ac:dyDescent="0.45">
      <c r="A401">
        <v>29.51418</v>
      </c>
      <c r="B401">
        <v>-122.42158999999999</v>
      </c>
      <c r="C401">
        <v>29.616009999999999</v>
      </c>
      <c r="D401">
        <v>-122.31140000000001</v>
      </c>
      <c r="E401" s="13">
        <v>15537.7434050546</v>
      </c>
      <c r="F401" s="13">
        <v>43.383406019468801</v>
      </c>
      <c r="G401" s="13">
        <f t="shared" si="92"/>
        <v>43.383406019468801</v>
      </c>
      <c r="H401" s="13">
        <v>43.4377751300093</v>
      </c>
      <c r="I401" s="13">
        <f t="shared" si="93"/>
        <v>43.4377751300093</v>
      </c>
      <c r="J401" s="9">
        <v>15537.743</v>
      </c>
      <c r="K401" s="9">
        <v>43.383406000000001</v>
      </c>
      <c r="L401" s="10">
        <v>223.43777499999999</v>
      </c>
      <c r="M401" s="18">
        <f t="shared" si="94"/>
        <v>43.437774999999988</v>
      </c>
      <c r="N401" s="17">
        <f t="shared" si="85"/>
        <v>15537.743404690182</v>
      </c>
      <c r="O401" s="14">
        <f t="shared" si="86"/>
        <v>2.3453737559936224E-11</v>
      </c>
      <c r="P401" s="24">
        <f t="shared" si="87"/>
        <v>3.6441815609578043E-7</v>
      </c>
      <c r="Q401" s="2">
        <f t="shared" si="95"/>
        <v>2.6045622025838431E-8</v>
      </c>
      <c r="R401" s="19">
        <f t="shared" si="96"/>
        <v>4.0469018131261691E-4</v>
      </c>
      <c r="S401" s="16">
        <f t="shared" si="97"/>
        <v>43.38340601838231</v>
      </c>
      <c r="T401" s="23">
        <f t="shared" si="88"/>
        <v>1.0864908972507692E-9</v>
      </c>
      <c r="U401" s="22">
        <f t="shared" si="89"/>
        <v>1.83823090083024E-8</v>
      </c>
      <c r="V401" s="16">
        <f t="shared" si="98"/>
        <v>43.437775128920087</v>
      </c>
      <c r="W401" s="23">
        <f t="shared" si="90"/>
        <v>1.0892122759287304E-9</v>
      </c>
      <c r="X401" s="22">
        <f t="shared" si="91"/>
        <v>1.289200994847306E-7</v>
      </c>
    </row>
    <row r="402" spans="1:24" x14ac:dyDescent="0.45">
      <c r="A402">
        <v>-31.293890000000001</v>
      </c>
      <c r="B402">
        <v>-34.172840000000001</v>
      </c>
      <c r="C402">
        <v>-31.367519999999999</v>
      </c>
      <c r="D402">
        <v>-34.061619999999998</v>
      </c>
      <c r="E402" s="13">
        <v>13367.572612726501</v>
      </c>
      <c r="F402" s="13">
        <v>127.669910968466</v>
      </c>
      <c r="G402" s="13">
        <f t="shared" si="92"/>
        <v>127.669910968466</v>
      </c>
      <c r="H402" s="13">
        <v>127.612079107396</v>
      </c>
      <c r="I402" s="13">
        <f t="shared" si="93"/>
        <v>127.612079107396</v>
      </c>
      <c r="J402" s="11">
        <v>13367.573</v>
      </c>
      <c r="K402" s="11">
        <v>127.669911</v>
      </c>
      <c r="L402" s="12">
        <v>307.61207899999999</v>
      </c>
      <c r="M402" s="18">
        <f t="shared" si="94"/>
        <v>127.61207899999999</v>
      </c>
      <c r="N402" s="17">
        <f t="shared" si="85"/>
        <v>13367.572612393287</v>
      </c>
      <c r="O402" s="14">
        <f t="shared" si="86"/>
        <v>2.4926993294258815E-11</v>
      </c>
      <c r="P402" s="24">
        <f t="shared" si="87"/>
        <v>3.3321339287795126E-7</v>
      </c>
      <c r="Q402" s="2">
        <f t="shared" si="95"/>
        <v>2.8996042366682175E-8</v>
      </c>
      <c r="R402" s="19">
        <f t="shared" si="96"/>
        <v>3.8760671304771677E-4</v>
      </c>
      <c r="S402" s="16">
        <f t="shared" si="97"/>
        <v>127.66991096934454</v>
      </c>
      <c r="T402" s="23">
        <f t="shared" si="88"/>
        <v>8.7854346020321827E-10</v>
      </c>
      <c r="U402" s="22">
        <f t="shared" si="89"/>
        <v>3.065545683966775E-8</v>
      </c>
      <c r="V402" s="16">
        <f t="shared" si="98"/>
        <v>127.61207910827611</v>
      </c>
      <c r="W402" s="23">
        <f t="shared" si="90"/>
        <v>8.8010665422189049E-10</v>
      </c>
      <c r="X402" s="22">
        <f t="shared" si="91"/>
        <v>1.0827611163222173E-7</v>
      </c>
    </row>
    <row r="403" spans="1:24" x14ac:dyDescent="0.45">
      <c r="A403">
        <v>-31.357489999999999</v>
      </c>
      <c r="B403">
        <v>15.415240000000001</v>
      </c>
      <c r="C403">
        <v>-31.363990000000001</v>
      </c>
      <c r="D403">
        <v>15.418200000000001</v>
      </c>
      <c r="E403" s="13">
        <v>773.76244101551197</v>
      </c>
      <c r="F403" s="13">
        <v>158.65683811230099</v>
      </c>
      <c r="G403" s="13">
        <f t="shared" si="92"/>
        <v>158.65683811230099</v>
      </c>
      <c r="H403" s="13">
        <v>158.65529765535601</v>
      </c>
      <c r="I403" s="13">
        <f t="shared" si="93"/>
        <v>158.65529765535601</v>
      </c>
      <c r="J403" s="9">
        <v>773.76199999999994</v>
      </c>
      <c r="K403" s="9">
        <v>158.65683799999999</v>
      </c>
      <c r="L403" s="10">
        <v>338.65529800000002</v>
      </c>
      <c r="M403" s="18">
        <f t="shared" si="94"/>
        <v>158.65529800000002</v>
      </c>
      <c r="N403" s="17">
        <f t="shared" si="85"/>
        <v>773.76243950946252</v>
      </c>
      <c r="O403" s="14">
        <f t="shared" si="86"/>
        <v>1.9463977101314168E-9</v>
      </c>
      <c r="P403" s="24">
        <f t="shared" si="87"/>
        <v>1.5060494433782878E-6</v>
      </c>
      <c r="Q403" s="2">
        <f t="shared" si="95"/>
        <v>5.6801634427723907E-7</v>
      </c>
      <c r="R403" s="19">
        <f t="shared" si="96"/>
        <v>4.3950946258064505E-4</v>
      </c>
      <c r="S403" s="16">
        <f t="shared" si="97"/>
        <v>158.65683839692139</v>
      </c>
      <c r="T403" s="23">
        <f t="shared" si="88"/>
        <v>2.8462039836085751E-7</v>
      </c>
      <c r="U403" s="22">
        <f t="shared" si="89"/>
        <v>3.9692139353064704E-7</v>
      </c>
      <c r="V403" s="16">
        <f t="shared" si="98"/>
        <v>158.65529793999985</v>
      </c>
      <c r="W403" s="23">
        <f t="shared" si="90"/>
        <v>2.8464384627113759E-7</v>
      </c>
      <c r="X403" s="22">
        <f t="shared" si="91"/>
        <v>6.0000161283824127E-8</v>
      </c>
    </row>
    <row r="404" spans="1:24" x14ac:dyDescent="0.45">
      <c r="A404">
        <v>35.88373</v>
      </c>
      <c r="B404">
        <v>-3.7313999999999998</v>
      </c>
      <c r="C404">
        <v>35.87426</v>
      </c>
      <c r="D404">
        <v>-3.7232500000000099</v>
      </c>
      <c r="E404" s="13">
        <v>1282.85907337394</v>
      </c>
      <c r="F404" s="13">
        <v>144.990127437121</v>
      </c>
      <c r="G404" s="13">
        <f t="shared" si="92"/>
        <v>144.990127437121</v>
      </c>
      <c r="H404" s="13">
        <v>144.99490395125201</v>
      </c>
      <c r="I404" s="13">
        <f t="shared" si="93"/>
        <v>144.99490395125201</v>
      </c>
      <c r="J404" s="11">
        <v>1282.8589999999999</v>
      </c>
      <c r="K404" s="11">
        <v>144.990127</v>
      </c>
      <c r="L404" s="12">
        <v>324.99490400000002</v>
      </c>
      <c r="M404" s="18">
        <f t="shared" si="94"/>
        <v>144.99490400000002</v>
      </c>
      <c r="N404" s="17">
        <f t="shared" si="85"/>
        <v>1282.8590733585308</v>
      </c>
      <c r="O404" s="14">
        <f t="shared" si="86"/>
        <v>1.2011540709815942E-11</v>
      </c>
      <c r="P404" s="24">
        <f t="shared" si="87"/>
        <v>1.5409113984787837E-8</v>
      </c>
      <c r="Q404" s="2">
        <f t="shared" si="95"/>
        <v>5.7183627293623668E-8</v>
      </c>
      <c r="R404" s="19">
        <f t="shared" si="96"/>
        <v>7.335853092627076E-5</v>
      </c>
      <c r="S404" s="16">
        <f t="shared" si="97"/>
        <v>144.990127437654</v>
      </c>
      <c r="T404" s="23">
        <f t="shared" si="88"/>
        <v>5.3299231694836635E-10</v>
      </c>
      <c r="U404" s="22">
        <f t="shared" si="89"/>
        <v>4.3765399482253997E-7</v>
      </c>
      <c r="V404" s="16">
        <f t="shared" si="98"/>
        <v>144.99490395177924</v>
      </c>
      <c r="W404" s="23">
        <f t="shared" si="90"/>
        <v>5.2722270993399434E-10</v>
      </c>
      <c r="X404" s="22">
        <f t="shared" si="91"/>
        <v>4.8220783810393186E-8</v>
      </c>
    </row>
    <row r="405" spans="1:24" x14ac:dyDescent="0.45">
      <c r="A405">
        <v>-57.968539999999997</v>
      </c>
      <c r="B405">
        <v>-116.19098</v>
      </c>
      <c r="C405">
        <v>-57.964480000000002</v>
      </c>
      <c r="D405">
        <v>-116.20393</v>
      </c>
      <c r="E405" s="13">
        <v>889.93056935902405</v>
      </c>
      <c r="F405" s="13">
        <v>-59.466854169763799</v>
      </c>
      <c r="G405" s="13">
        <f t="shared" si="92"/>
        <v>300.53314583023621</v>
      </c>
      <c r="H405" s="13">
        <v>-59.455875959952898</v>
      </c>
      <c r="I405" s="13">
        <f t="shared" si="93"/>
        <v>300.54412404004711</v>
      </c>
      <c r="J405" s="9">
        <v>889.93100000000004</v>
      </c>
      <c r="K405" s="9">
        <v>300.53314599999999</v>
      </c>
      <c r="L405" s="10">
        <v>120.544124</v>
      </c>
      <c r="M405" s="18">
        <f t="shared" si="94"/>
        <v>300.54412400000001</v>
      </c>
      <c r="N405" s="17">
        <f t="shared" si="85"/>
        <v>889.93056879589039</v>
      </c>
      <c r="O405" s="14">
        <f t="shared" si="86"/>
        <v>6.3278380682185884E-10</v>
      </c>
      <c r="P405" s="24">
        <f t="shared" si="87"/>
        <v>5.6313365348614752E-7</v>
      </c>
      <c r="Q405" s="2">
        <f t="shared" si="95"/>
        <v>4.8453656479600975E-7</v>
      </c>
      <c r="R405" s="19">
        <f t="shared" si="96"/>
        <v>4.3120410964547773E-4</v>
      </c>
      <c r="S405" s="16">
        <f t="shared" si="97"/>
        <v>300.53314585142255</v>
      </c>
      <c r="T405" s="23">
        <f t="shared" si="88"/>
        <v>2.1186338017287198E-8</v>
      </c>
      <c r="U405" s="22">
        <f t="shared" si="89"/>
        <v>1.4857744190521771E-7</v>
      </c>
      <c r="V405" s="16">
        <f t="shared" si="98"/>
        <v>300.54412406122088</v>
      </c>
      <c r="W405" s="23">
        <f t="shared" si="90"/>
        <v>2.117377562171896E-8</v>
      </c>
      <c r="X405" s="22">
        <f t="shared" si="91"/>
        <v>6.1220873703859979E-8</v>
      </c>
    </row>
    <row r="406" spans="1:24" x14ac:dyDescent="0.45">
      <c r="A406">
        <v>-0.67023999999999995</v>
      </c>
      <c r="B406">
        <v>57.202910000000003</v>
      </c>
      <c r="C406">
        <v>-0.67528000000000099</v>
      </c>
      <c r="D406">
        <v>57.217170000000003</v>
      </c>
      <c r="E406" s="13">
        <v>1682.2966841263899</v>
      </c>
      <c r="F406" s="13">
        <v>109.345986301135</v>
      </c>
      <c r="G406" s="13">
        <f t="shared" si="92"/>
        <v>109.345986301135</v>
      </c>
      <c r="H406" s="13">
        <v>109.345818865814</v>
      </c>
      <c r="I406" s="13">
        <f t="shared" si="93"/>
        <v>109.345818865814</v>
      </c>
      <c r="J406" s="11">
        <v>1682.297</v>
      </c>
      <c r="K406" s="11">
        <v>109.345986</v>
      </c>
      <c r="L406" s="12">
        <v>289.34581900000001</v>
      </c>
      <c r="M406" s="18">
        <f t="shared" si="94"/>
        <v>109.34581900000001</v>
      </c>
      <c r="N406" s="17">
        <f t="shared" si="85"/>
        <v>1682.2966839245557</v>
      </c>
      <c r="O406" s="14">
        <f t="shared" si="86"/>
        <v>1.1997536262609836E-10</v>
      </c>
      <c r="P406" s="24">
        <f t="shared" si="87"/>
        <v>2.0183415472274646E-7</v>
      </c>
      <c r="Q406" s="2">
        <f t="shared" si="95"/>
        <v>1.8788325978635116E-7</v>
      </c>
      <c r="R406" s="19">
        <f t="shared" si="96"/>
        <v>3.1607544428879919E-4</v>
      </c>
      <c r="S406" s="16">
        <f t="shared" si="97"/>
        <v>109.34598630340632</v>
      </c>
      <c r="T406" s="23">
        <f t="shared" si="88"/>
        <v>2.2713209091307363E-9</v>
      </c>
      <c r="U406" s="22">
        <f t="shared" si="89"/>
        <v>3.0340632406478107E-7</v>
      </c>
      <c r="V406" s="16">
        <f t="shared" si="98"/>
        <v>109.34581886808552</v>
      </c>
      <c r="W406" s="23">
        <f t="shared" si="90"/>
        <v>2.2715198610967491E-9</v>
      </c>
      <c r="X406" s="22">
        <f t="shared" si="91"/>
        <v>1.3191448999805289E-7</v>
      </c>
    </row>
    <row r="407" spans="1:24" x14ac:dyDescent="0.45">
      <c r="A407">
        <v>72.937640000000002</v>
      </c>
      <c r="B407">
        <v>-118.24793</v>
      </c>
      <c r="C407">
        <v>72.931610000000006</v>
      </c>
      <c r="D407">
        <v>-118.24165000000001</v>
      </c>
      <c r="E407" s="13">
        <v>703.69103214560198</v>
      </c>
      <c r="F407" s="13">
        <v>162.99300809941599</v>
      </c>
      <c r="G407" s="13">
        <f t="shared" si="92"/>
        <v>162.99300809941599</v>
      </c>
      <c r="H407" s="13">
        <v>162.99901159438301</v>
      </c>
      <c r="I407" s="13">
        <f t="shared" si="93"/>
        <v>162.99901159438301</v>
      </c>
      <c r="J407" s="9">
        <v>703.69100000000003</v>
      </c>
      <c r="K407" s="9">
        <v>162.993008</v>
      </c>
      <c r="L407" s="10">
        <v>342.99901199999999</v>
      </c>
      <c r="M407" s="18">
        <f t="shared" si="94"/>
        <v>162.99901199999999</v>
      </c>
      <c r="N407" s="17">
        <f t="shared" si="85"/>
        <v>703.69103214447557</v>
      </c>
      <c r="O407" s="14">
        <f t="shared" si="86"/>
        <v>1.6007155650559779E-12</v>
      </c>
      <c r="P407" s="24">
        <f t="shared" si="87"/>
        <v>1.1264091881457716E-9</v>
      </c>
      <c r="Q407" s="2">
        <f t="shared" si="95"/>
        <v>4.5679816197745867E-8</v>
      </c>
      <c r="R407" s="19">
        <f t="shared" si="96"/>
        <v>3.2144475540007988E-5</v>
      </c>
      <c r="S407" s="16">
        <f t="shared" si="97"/>
        <v>162.99300809985979</v>
      </c>
      <c r="T407" s="23">
        <f t="shared" si="88"/>
        <v>4.4380499275575858E-10</v>
      </c>
      <c r="U407" s="22">
        <f t="shared" si="89"/>
        <v>9.9859789770562202E-8</v>
      </c>
      <c r="V407" s="16">
        <f t="shared" si="98"/>
        <v>162.99901159483042</v>
      </c>
      <c r="W407" s="23">
        <f t="shared" si="90"/>
        <v>4.4741454985341989E-10</v>
      </c>
      <c r="X407" s="22">
        <f t="shared" si="91"/>
        <v>4.0516957255931629E-7</v>
      </c>
    </row>
    <row r="408" spans="1:24" x14ac:dyDescent="0.45">
      <c r="A408">
        <v>-37.222470000000001</v>
      </c>
      <c r="B408">
        <v>152.83313000000001</v>
      </c>
      <c r="C408">
        <v>-37.231000000000002</v>
      </c>
      <c r="D408">
        <v>152.83815000000001</v>
      </c>
      <c r="E408" s="13">
        <v>1046.26588459351</v>
      </c>
      <c r="F408" s="13">
        <v>154.79970511001</v>
      </c>
      <c r="G408" s="13">
        <f t="shared" si="92"/>
        <v>154.79970511001</v>
      </c>
      <c r="H408" s="13">
        <v>154.79666815698201</v>
      </c>
      <c r="I408" s="13">
        <f t="shared" si="93"/>
        <v>154.79666815698201</v>
      </c>
      <c r="J408" s="11">
        <v>1046.2660000000001</v>
      </c>
      <c r="K408" s="11">
        <v>154.79970499999999</v>
      </c>
      <c r="L408" s="12">
        <v>334.79666800000001</v>
      </c>
      <c r="M408" s="18">
        <f t="shared" si="94"/>
        <v>154.79666799999995</v>
      </c>
      <c r="N408" s="17">
        <f t="shared" si="85"/>
        <v>1046.2658827564085</v>
      </c>
      <c r="O408" s="14">
        <f t="shared" si="86"/>
        <v>1.7558648932704662E-9</v>
      </c>
      <c r="P408" s="24">
        <f t="shared" si="87"/>
        <v>1.8371015357843135E-6</v>
      </c>
      <c r="Q408" s="2">
        <f t="shared" si="95"/>
        <v>1.1205906681786035E-7</v>
      </c>
      <c r="R408" s="19">
        <f t="shared" si="96"/>
        <v>1.1724359160325548E-4</v>
      </c>
      <c r="S408" s="16">
        <f t="shared" si="97"/>
        <v>154.79970532327161</v>
      </c>
      <c r="T408" s="23">
        <f t="shared" si="88"/>
        <v>2.1326161459001014E-7</v>
      </c>
      <c r="U408" s="22">
        <f t="shared" si="89"/>
        <v>3.2327162102774309E-7</v>
      </c>
      <c r="V408" s="16">
        <f t="shared" si="98"/>
        <v>154.79666837026789</v>
      </c>
      <c r="W408" s="23">
        <f t="shared" si="90"/>
        <v>2.1328588672986371E-7</v>
      </c>
      <c r="X408" s="22">
        <f t="shared" si="91"/>
        <v>3.7026794075245562E-7</v>
      </c>
    </row>
    <row r="409" spans="1:24" x14ac:dyDescent="0.45">
      <c r="A409">
        <v>-55.760240000000003</v>
      </c>
      <c r="B409">
        <v>-153.09700000000001</v>
      </c>
      <c r="C409">
        <v>-55.767009999999999</v>
      </c>
      <c r="D409">
        <v>-153.08922999999999</v>
      </c>
      <c r="E409" s="13">
        <v>897.79918623567801</v>
      </c>
      <c r="F409" s="13">
        <v>147.096751791918</v>
      </c>
      <c r="G409" s="13">
        <f t="shared" si="92"/>
        <v>147.096751791918</v>
      </c>
      <c r="H409" s="13">
        <v>147.090328149832</v>
      </c>
      <c r="I409" s="13">
        <f t="shared" si="93"/>
        <v>147.090328149832</v>
      </c>
      <c r="J409" s="9">
        <v>897.79899999999998</v>
      </c>
      <c r="K409" s="9">
        <v>147.09675200000001</v>
      </c>
      <c r="L409" s="10">
        <v>327.090328</v>
      </c>
      <c r="M409" s="18">
        <f t="shared" si="94"/>
        <v>147.090328</v>
      </c>
      <c r="N409" s="17">
        <f t="shared" si="85"/>
        <v>897.79918591358103</v>
      </c>
      <c r="O409" s="14">
        <f t="shared" si="86"/>
        <v>3.5876283375705957E-10</v>
      </c>
      <c r="P409" s="24">
        <f t="shared" si="87"/>
        <v>3.2209698019869393E-7</v>
      </c>
      <c r="Q409" s="2">
        <f t="shared" si="95"/>
        <v>2.0707706407462611E-7</v>
      </c>
      <c r="R409" s="19">
        <f t="shared" si="96"/>
        <v>1.8591358104913525E-4</v>
      </c>
      <c r="S409" s="16">
        <f t="shared" si="97"/>
        <v>147.09675182345413</v>
      </c>
      <c r="T409" s="23">
        <f t="shared" si="88"/>
        <v>3.1536131928078248E-8</v>
      </c>
      <c r="U409" s="22">
        <f t="shared" si="89"/>
        <v>1.7654588191362564E-7</v>
      </c>
      <c r="V409" s="16">
        <f t="shared" si="98"/>
        <v>147.09032818138382</v>
      </c>
      <c r="W409" s="23">
        <f t="shared" si="90"/>
        <v>3.1551820711683831E-8</v>
      </c>
      <c r="X409" s="22">
        <f t="shared" si="91"/>
        <v>1.8138382529286901E-7</v>
      </c>
    </row>
    <row r="410" spans="1:24" x14ac:dyDescent="0.45">
      <c r="A410">
        <v>28.16131</v>
      </c>
      <c r="B410">
        <v>-129.42841000000001</v>
      </c>
      <c r="C410">
        <v>28.159269999999999</v>
      </c>
      <c r="D410">
        <v>-129.43432000000001</v>
      </c>
      <c r="E410" s="13">
        <v>622.92869744428197</v>
      </c>
      <c r="F410" s="13">
        <v>-111.27860046798899</v>
      </c>
      <c r="G410" s="13">
        <f t="shared" si="92"/>
        <v>248.72139953201099</v>
      </c>
      <c r="H410" s="13">
        <v>-111.281389632483</v>
      </c>
      <c r="I410" s="13">
        <f t="shared" si="93"/>
        <v>248.71861036751699</v>
      </c>
      <c r="J410" s="11">
        <v>622.92899999999997</v>
      </c>
      <c r="K410" s="11">
        <v>248.72139999999999</v>
      </c>
      <c r="L410" s="12">
        <v>68.718609999999998</v>
      </c>
      <c r="M410" s="18">
        <f t="shared" si="94"/>
        <v>248.71861000000001</v>
      </c>
      <c r="N410" s="17">
        <f t="shared" si="85"/>
        <v>622.92869741844481</v>
      </c>
      <c r="O410" s="14">
        <f t="shared" si="86"/>
        <v>4.147690252133841E-11</v>
      </c>
      <c r="P410" s="24">
        <f t="shared" si="87"/>
        <v>2.5837152861640789E-8</v>
      </c>
      <c r="Q410" s="2">
        <f t="shared" si="95"/>
        <v>4.8574003644226103E-7</v>
      </c>
      <c r="R410" s="19">
        <f t="shared" si="96"/>
        <v>3.0258155516094121E-4</v>
      </c>
      <c r="S410" s="16">
        <f t="shared" si="97"/>
        <v>248.72139953128027</v>
      </c>
      <c r="T410" s="23">
        <f t="shared" si="88"/>
        <v>7.3072214945568703E-10</v>
      </c>
      <c r="U410" s="22">
        <f t="shared" si="89"/>
        <v>4.687197190378356E-7</v>
      </c>
      <c r="V410" s="16">
        <f t="shared" si="98"/>
        <v>248.71861036679817</v>
      </c>
      <c r="W410" s="23">
        <f t="shared" si="90"/>
        <v>7.1881345320434775E-10</v>
      </c>
      <c r="X410" s="22">
        <f t="shared" si="91"/>
        <v>3.6679816162177303E-7</v>
      </c>
    </row>
    <row r="411" spans="1:24" x14ac:dyDescent="0.45">
      <c r="A411">
        <v>-86.595160000000007</v>
      </c>
      <c r="B411">
        <v>100.38227999999999</v>
      </c>
      <c r="C411">
        <v>-86.607830000000007</v>
      </c>
      <c r="D411">
        <v>100.39197</v>
      </c>
      <c r="E411" s="13">
        <v>1416.5661404861901</v>
      </c>
      <c r="F411" s="13">
        <v>177.408904197749</v>
      </c>
      <c r="G411" s="13">
        <f t="shared" si="92"/>
        <v>177.408904197749</v>
      </c>
      <c r="H411" s="13">
        <v>177.39923123876599</v>
      </c>
      <c r="I411" s="13">
        <f t="shared" si="93"/>
        <v>177.39923123876599</v>
      </c>
      <c r="J411" s="9">
        <v>1416.566</v>
      </c>
      <c r="K411" s="9">
        <v>177.40890400000001</v>
      </c>
      <c r="L411" s="10">
        <v>357.39923099999999</v>
      </c>
      <c r="M411" s="18">
        <f t="shared" si="94"/>
        <v>177.39923099999999</v>
      </c>
      <c r="N411" s="17">
        <f t="shared" si="85"/>
        <v>1416.5661404875525</v>
      </c>
      <c r="O411" s="14">
        <f t="shared" si="86"/>
        <v>9.6177864507494098E-13</v>
      </c>
      <c r="P411" s="24">
        <f t="shared" si="87"/>
        <v>1.3624230632558465E-9</v>
      </c>
      <c r="Q411" s="2">
        <f t="shared" si="95"/>
        <v>9.9174731337130353E-8</v>
      </c>
      <c r="R411" s="19">
        <f t="shared" si="96"/>
        <v>1.4048755247131339E-4</v>
      </c>
      <c r="S411" s="16">
        <f t="shared" si="97"/>
        <v>177.40890419811734</v>
      </c>
      <c r="T411" s="23">
        <f t="shared" si="88"/>
        <v>3.6834535421803594E-10</v>
      </c>
      <c r="U411" s="22">
        <f t="shared" si="89"/>
        <v>1.9811733409369481E-7</v>
      </c>
      <c r="V411" s="16">
        <f t="shared" si="98"/>
        <v>177.3992312391353</v>
      </c>
      <c r="W411" s="23">
        <f t="shared" si="90"/>
        <v>3.6931169233866967E-10</v>
      </c>
      <c r="X411" s="22">
        <f t="shared" si="91"/>
        <v>2.3913531776997843E-7</v>
      </c>
    </row>
    <row r="412" spans="1:24" x14ac:dyDescent="0.45">
      <c r="A412">
        <v>1.2164999999999999</v>
      </c>
      <c r="B412">
        <v>-159.40684999999999</v>
      </c>
      <c r="C412">
        <v>1.2302599999999999</v>
      </c>
      <c r="D412">
        <v>-159.39254</v>
      </c>
      <c r="E412" s="13">
        <v>2202.5966510834401</v>
      </c>
      <c r="F412" s="13">
        <v>46.307988858261602</v>
      </c>
      <c r="G412" s="13">
        <f t="shared" si="92"/>
        <v>46.307988858261602</v>
      </c>
      <c r="H412" s="13">
        <v>46.308294382297902</v>
      </c>
      <c r="I412" s="13">
        <f t="shared" si="93"/>
        <v>46.308294382297902</v>
      </c>
      <c r="J412" s="11">
        <v>2202.5970000000002</v>
      </c>
      <c r="K412" s="11">
        <v>46.307988999999999</v>
      </c>
      <c r="L412" s="12">
        <v>226.30829399999999</v>
      </c>
      <c r="M412" s="18">
        <f t="shared" si="94"/>
        <v>46.308293999999989</v>
      </c>
      <c r="N412" s="17">
        <f t="shared" si="85"/>
        <v>2202.5966509223781</v>
      </c>
      <c r="O412" s="14">
        <f t="shared" si="86"/>
        <v>7.3123675145148274E-11</v>
      </c>
      <c r="P412" s="24">
        <f t="shared" si="87"/>
        <v>1.6106196198961698E-7</v>
      </c>
      <c r="Q412" s="2">
        <f t="shared" si="95"/>
        <v>1.584845625887225E-7</v>
      </c>
      <c r="R412" s="19">
        <f t="shared" si="96"/>
        <v>3.4907762210423243E-4</v>
      </c>
      <c r="S412" s="16">
        <f t="shared" si="97"/>
        <v>46.307988854647988</v>
      </c>
      <c r="T412" s="23">
        <f t="shared" si="88"/>
        <v>3.6136142966824991E-9</v>
      </c>
      <c r="U412" s="22">
        <f t="shared" si="89"/>
        <v>1.4535201131593567E-7</v>
      </c>
      <c r="V412" s="16">
        <f t="shared" si="98"/>
        <v>46.308294378684415</v>
      </c>
      <c r="W412" s="23">
        <f t="shared" si="90"/>
        <v>3.6134863989900623E-9</v>
      </c>
      <c r="X412" s="22">
        <f t="shared" si="91"/>
        <v>3.7868442603894437E-7</v>
      </c>
    </row>
    <row r="413" spans="1:24" x14ac:dyDescent="0.45">
      <c r="A413">
        <v>-80.48818</v>
      </c>
      <c r="B413">
        <v>-30.765319999999999</v>
      </c>
      <c r="C413">
        <v>-80.485659999999996</v>
      </c>
      <c r="D413">
        <v>-30.767679999999999</v>
      </c>
      <c r="E413" s="13">
        <v>284.74299032766299</v>
      </c>
      <c r="F413" s="13">
        <v>-8.8011394565815806</v>
      </c>
      <c r="G413" s="13">
        <f t="shared" si="92"/>
        <v>351.19886054341839</v>
      </c>
      <c r="H413" s="13">
        <v>-8.7988119115434493</v>
      </c>
      <c r="I413" s="13">
        <f t="shared" si="93"/>
        <v>351.20118808845655</v>
      </c>
      <c r="J413" s="9">
        <v>284.74299999999999</v>
      </c>
      <c r="K413" s="9">
        <v>351.19886100000002</v>
      </c>
      <c r="L413" s="10">
        <v>171.201188</v>
      </c>
      <c r="M413" s="18">
        <f t="shared" si="94"/>
        <v>351.201188</v>
      </c>
      <c r="N413" s="17">
        <f t="shared" si="85"/>
        <v>284.74299027087125</v>
      </c>
      <c r="O413" s="14">
        <f t="shared" si="86"/>
        <v>1.9944915282273123E-10</v>
      </c>
      <c r="P413" s="24">
        <f t="shared" si="87"/>
        <v>5.679174819306354E-8</v>
      </c>
      <c r="Q413" s="2">
        <f t="shared" si="95"/>
        <v>3.416810509427373E-8</v>
      </c>
      <c r="R413" s="19">
        <f t="shared" si="96"/>
        <v>9.7291287488587841E-6</v>
      </c>
      <c r="S413" s="16">
        <f t="shared" si="97"/>
        <v>351.1988606167493</v>
      </c>
      <c r="T413" s="23">
        <f t="shared" si="88"/>
        <v>7.333090934480424E-8</v>
      </c>
      <c r="U413" s="22">
        <f t="shared" si="89"/>
        <v>3.8325072182487929E-7</v>
      </c>
      <c r="V413" s="16">
        <f t="shared" si="98"/>
        <v>351.20118816176841</v>
      </c>
      <c r="W413" s="23">
        <f t="shared" si="90"/>
        <v>7.331186679948587E-8</v>
      </c>
      <c r="X413" s="22">
        <f t="shared" si="91"/>
        <v>1.617684119992191E-7</v>
      </c>
    </row>
    <row r="414" spans="1:24" x14ac:dyDescent="0.45">
      <c r="A414">
        <v>19.130179999999999</v>
      </c>
      <c r="B414">
        <v>28.10445</v>
      </c>
      <c r="C414">
        <v>19.12434</v>
      </c>
      <c r="D414">
        <v>28.0916999999999</v>
      </c>
      <c r="E414" s="13">
        <v>1489.08847434217</v>
      </c>
      <c r="F414" s="13">
        <v>-115.72754309618701</v>
      </c>
      <c r="G414" s="13">
        <f t="shared" si="92"/>
        <v>244.27245690381301</v>
      </c>
      <c r="H414" s="13">
        <v>-115.731720856153</v>
      </c>
      <c r="I414" s="13">
        <f t="shared" si="93"/>
        <v>244.268279143847</v>
      </c>
      <c r="J414" s="11">
        <v>1489.088</v>
      </c>
      <c r="K414" s="11">
        <v>244.272457</v>
      </c>
      <c r="L414" s="12">
        <v>64.268279000000007</v>
      </c>
      <c r="M414" s="18">
        <f t="shared" si="94"/>
        <v>244.26827900000001</v>
      </c>
      <c r="N414" s="17">
        <f t="shared" si="85"/>
        <v>1489.0884742444073</v>
      </c>
      <c r="O414" s="14">
        <f t="shared" si="86"/>
        <v>6.5652729200753238E-11</v>
      </c>
      <c r="P414" s="24">
        <f t="shared" si="87"/>
        <v>9.7762722361949272E-8</v>
      </c>
      <c r="Q414" s="2">
        <f t="shared" si="95"/>
        <v>3.1847977239388975E-7</v>
      </c>
      <c r="R414" s="19">
        <f t="shared" si="96"/>
        <v>4.7424440731447248E-4</v>
      </c>
      <c r="S414" s="16">
        <f t="shared" si="97"/>
        <v>244.27245690218263</v>
      </c>
      <c r="T414" s="23">
        <f t="shared" si="88"/>
        <v>1.6303829397656955E-9</v>
      </c>
      <c r="U414" s="22">
        <f t="shared" si="89"/>
        <v>9.7817377309183939E-8</v>
      </c>
      <c r="V414" s="16">
        <f t="shared" si="98"/>
        <v>244.2682791422103</v>
      </c>
      <c r="W414" s="23">
        <f t="shared" si="90"/>
        <v>1.6366925592592452E-9</v>
      </c>
      <c r="X414" s="22">
        <f t="shared" si="91"/>
        <v>1.4221029687178088E-7</v>
      </c>
    </row>
    <row r="415" spans="1:24" x14ac:dyDescent="0.45">
      <c r="A415">
        <v>-60.211750000000002</v>
      </c>
      <c r="B415">
        <v>-149.5446</v>
      </c>
      <c r="C415">
        <v>-60.22401</v>
      </c>
      <c r="D415">
        <v>-149.54175000000001</v>
      </c>
      <c r="E415" s="13">
        <v>1375.0655408976299</v>
      </c>
      <c r="F415" s="13">
        <v>173.40387784133799</v>
      </c>
      <c r="G415" s="13">
        <f t="shared" si="92"/>
        <v>173.40387784133799</v>
      </c>
      <c r="H415" s="13">
        <v>173.401404267901</v>
      </c>
      <c r="I415" s="13">
        <f t="shared" si="93"/>
        <v>173.401404267901</v>
      </c>
      <c r="J415" s="9">
        <v>1375.066</v>
      </c>
      <c r="K415" s="9">
        <v>173.40387799999999</v>
      </c>
      <c r="L415" s="10">
        <v>353.40140400000001</v>
      </c>
      <c r="M415" s="18">
        <f t="shared" si="94"/>
        <v>173.40140399999996</v>
      </c>
      <c r="N415" s="17">
        <f t="shared" si="85"/>
        <v>1375.0655408814928</v>
      </c>
      <c r="O415" s="14">
        <f t="shared" si="86"/>
        <v>1.1735560243203298E-11</v>
      </c>
      <c r="P415" s="24">
        <f t="shared" si="87"/>
        <v>1.6137164493557066E-8</v>
      </c>
      <c r="Q415" s="2">
        <f t="shared" si="95"/>
        <v>3.3388834226963113E-7</v>
      </c>
      <c r="R415" s="19">
        <f t="shared" si="96"/>
        <v>4.5911850725133263E-4</v>
      </c>
      <c r="S415" s="16">
        <f t="shared" si="97"/>
        <v>173.40387784513422</v>
      </c>
      <c r="T415" s="23">
        <f t="shared" si="88"/>
        <v>3.7962308852002025E-9</v>
      </c>
      <c r="U415" s="22">
        <f t="shared" si="89"/>
        <v>1.5486577353840403E-7</v>
      </c>
      <c r="V415" s="16">
        <f t="shared" si="98"/>
        <v>173.40140427169771</v>
      </c>
      <c r="W415" s="23">
        <f t="shared" si="90"/>
        <v>3.7967140542605193E-9</v>
      </c>
      <c r="X415" s="22">
        <f t="shared" si="91"/>
        <v>2.7169775762558857E-7</v>
      </c>
    </row>
    <row r="416" spans="1:24" x14ac:dyDescent="0.45">
      <c r="A416">
        <v>-59.913670000000003</v>
      </c>
      <c r="B416">
        <v>6.8497899999999996</v>
      </c>
      <c r="C416">
        <v>-59.921709999999997</v>
      </c>
      <c r="D416">
        <v>6.8356499999999896</v>
      </c>
      <c r="E416" s="13">
        <v>1194.9861123968701</v>
      </c>
      <c r="F416" s="13">
        <v>-138.560549926612</v>
      </c>
      <c r="G416" s="13">
        <f t="shared" si="92"/>
        <v>221.439450073388</v>
      </c>
      <c r="H416" s="13">
        <v>-138.54831449661401</v>
      </c>
      <c r="I416" s="13">
        <f t="shared" si="93"/>
        <v>221.45168550338599</v>
      </c>
      <c r="J416" s="11">
        <v>1194.9860000000001</v>
      </c>
      <c r="K416" s="11">
        <v>221.43944999999999</v>
      </c>
      <c r="L416" s="12">
        <v>41.451686000000002</v>
      </c>
      <c r="M416" s="18">
        <f t="shared" si="94"/>
        <v>221.451686</v>
      </c>
      <c r="N416" s="17">
        <f t="shared" si="85"/>
        <v>1194.986112078677</v>
      </c>
      <c r="O416" s="14">
        <f t="shared" si="86"/>
        <v>2.6627346090236017E-10</v>
      </c>
      <c r="P416" s="24">
        <f t="shared" si="87"/>
        <v>3.1819308787817135E-7</v>
      </c>
      <c r="Q416" s="2">
        <f t="shared" si="95"/>
        <v>9.3790786603898361E-8</v>
      </c>
      <c r="R416" s="19">
        <f t="shared" si="96"/>
        <v>1.120786769206461E-4</v>
      </c>
      <c r="S416" s="16">
        <f t="shared" si="97"/>
        <v>221.4394500562058</v>
      </c>
      <c r="T416" s="23">
        <f t="shared" si="88"/>
        <v>1.7182202327603591E-8</v>
      </c>
      <c r="U416" s="22">
        <f t="shared" si="89"/>
        <v>5.6205806231446331E-8</v>
      </c>
      <c r="V416" s="16">
        <f t="shared" si="98"/>
        <v>221.45168548619429</v>
      </c>
      <c r="W416" s="23">
        <f t="shared" si="90"/>
        <v>1.7191695178553346E-8</v>
      </c>
      <c r="X416" s="22">
        <f t="shared" si="91"/>
        <v>5.1380570198489295E-7</v>
      </c>
    </row>
    <row r="417" spans="1:24" x14ac:dyDescent="0.45">
      <c r="A417">
        <v>-77.136579999999995</v>
      </c>
      <c r="B417">
        <v>54.015700000000002</v>
      </c>
      <c r="C417">
        <v>-77.140180000000001</v>
      </c>
      <c r="D417">
        <v>54.011600000000001</v>
      </c>
      <c r="E417" s="13">
        <v>414.61903108173499</v>
      </c>
      <c r="F417" s="13">
        <v>-165.77189412617699</v>
      </c>
      <c r="G417" s="13">
        <f t="shared" si="92"/>
        <v>194.22810587382301</v>
      </c>
      <c r="H417" s="13">
        <v>-165.76789699303799</v>
      </c>
      <c r="I417" s="13">
        <f t="shared" si="93"/>
        <v>194.23210300696201</v>
      </c>
      <c r="J417" s="9">
        <v>414.61900000000003</v>
      </c>
      <c r="K417" s="9">
        <v>194.228106</v>
      </c>
      <c r="L417" s="10">
        <v>14.232103</v>
      </c>
      <c r="M417" s="18">
        <f t="shared" si="94"/>
        <v>194.232103</v>
      </c>
      <c r="N417" s="17">
        <f t="shared" si="85"/>
        <v>414.61903108092849</v>
      </c>
      <c r="O417" s="14">
        <f t="shared" si="86"/>
        <v>1.9451457032568233E-12</v>
      </c>
      <c r="P417" s="24">
        <f t="shared" si="87"/>
        <v>8.0649442679714411E-10</v>
      </c>
      <c r="Q417" s="2">
        <f t="shared" si="95"/>
        <v>7.4962624639967875E-8</v>
      </c>
      <c r="R417" s="19">
        <f t="shared" si="96"/>
        <v>3.1080928465598845E-5</v>
      </c>
      <c r="S417" s="16">
        <f t="shared" si="97"/>
        <v>194.22810587393701</v>
      </c>
      <c r="T417" s="23">
        <f t="shared" si="88"/>
        <v>1.1399947652535047E-10</v>
      </c>
      <c r="U417" s="22">
        <f t="shared" si="89"/>
        <v>1.2606298582795716E-7</v>
      </c>
      <c r="V417" s="16">
        <f t="shared" si="98"/>
        <v>194.23210300707547</v>
      </c>
      <c r="W417" s="23">
        <f t="shared" si="90"/>
        <v>1.134594640461728E-10</v>
      </c>
      <c r="X417" s="22">
        <f t="shared" si="91"/>
        <v>7.075470875861356E-9</v>
      </c>
    </row>
    <row r="418" spans="1:24" x14ac:dyDescent="0.45">
      <c r="A418">
        <v>-29.75432</v>
      </c>
      <c r="B418">
        <v>121.91710999999999</v>
      </c>
      <c r="C418">
        <v>-29.739920000000001</v>
      </c>
      <c r="D418">
        <v>121.92086</v>
      </c>
      <c r="E418" s="13">
        <v>1636.9109366350001</v>
      </c>
      <c r="F418" s="13">
        <v>12.803881693783101</v>
      </c>
      <c r="G418" s="13">
        <f t="shared" si="92"/>
        <v>12.803881693783101</v>
      </c>
      <c r="H418" s="13">
        <v>12.802021045533101</v>
      </c>
      <c r="I418" s="13">
        <f t="shared" si="93"/>
        <v>12.802021045533101</v>
      </c>
      <c r="J418" s="11">
        <v>1636.9110000000001</v>
      </c>
      <c r="K418" s="11">
        <v>12.803882</v>
      </c>
      <c r="L418" s="12">
        <v>192.802021</v>
      </c>
      <c r="M418" s="18">
        <f t="shared" si="94"/>
        <v>12.802020999999968</v>
      </c>
      <c r="N418" s="17">
        <f t="shared" si="85"/>
        <v>1636.910936623452</v>
      </c>
      <c r="O418" s="14">
        <f t="shared" si="86"/>
        <v>7.0548014211608353E-12</v>
      </c>
      <c r="P418" s="24">
        <f t="shared" si="87"/>
        <v>1.1548081602086313E-8</v>
      </c>
      <c r="Q418" s="2">
        <f t="shared" si="95"/>
        <v>3.8717161801442137E-8</v>
      </c>
      <c r="R418" s="19">
        <f t="shared" si="96"/>
        <v>6.3376548041560454E-5</v>
      </c>
      <c r="S418" s="16">
        <f t="shared" si="97"/>
        <v>12.803881693512436</v>
      </c>
      <c r="T418" s="23">
        <f t="shared" si="88"/>
        <v>2.7066526797625556E-10</v>
      </c>
      <c r="U418" s="22">
        <f t="shared" si="89"/>
        <v>3.0648756421669532E-7</v>
      </c>
      <c r="V418" s="16">
        <f t="shared" si="98"/>
        <v>12.802021045263258</v>
      </c>
      <c r="W418" s="23">
        <f t="shared" si="90"/>
        <v>2.6984281475961325E-10</v>
      </c>
      <c r="X418" s="22">
        <f t="shared" si="91"/>
        <v>4.5263290004982082E-8</v>
      </c>
    </row>
    <row r="419" spans="1:24" x14ac:dyDescent="0.45">
      <c r="A419">
        <v>89.371139999999997</v>
      </c>
      <c r="B419">
        <v>-99.241519999999994</v>
      </c>
      <c r="C419">
        <v>89.373689999999996</v>
      </c>
      <c r="D419">
        <v>-99.257840000000002</v>
      </c>
      <c r="E419" s="13">
        <v>285.51825579718701</v>
      </c>
      <c r="F419" s="13">
        <v>-4.0017476856959799</v>
      </c>
      <c r="G419" s="13">
        <f t="shared" si="92"/>
        <v>355.99825231430401</v>
      </c>
      <c r="H419" s="13">
        <v>-4.0180667066933298</v>
      </c>
      <c r="I419" s="13">
        <f t="shared" si="93"/>
        <v>355.98193329330667</v>
      </c>
      <c r="J419" s="9">
        <v>285.51799999999997</v>
      </c>
      <c r="K419" s="9">
        <v>355.99825199999998</v>
      </c>
      <c r="L419" s="10">
        <v>175.981933</v>
      </c>
      <c r="M419" s="18">
        <f t="shared" si="94"/>
        <v>355.98193300000003</v>
      </c>
      <c r="N419" s="17">
        <f t="shared" si="85"/>
        <v>285.51825579657816</v>
      </c>
      <c r="O419" s="14">
        <f t="shared" si="86"/>
        <v>2.1324375834328462E-12</v>
      </c>
      <c r="P419" s="24">
        <f t="shared" si="87"/>
        <v>6.0884985941811465E-10</v>
      </c>
      <c r="Q419" s="2">
        <f t="shared" si="95"/>
        <v>8.9590350936728417E-7</v>
      </c>
      <c r="R419" s="19">
        <f t="shared" si="96"/>
        <v>2.5579657818752821E-4</v>
      </c>
      <c r="S419" s="16">
        <f t="shared" si="97"/>
        <v>355.9982523142894</v>
      </c>
      <c r="T419" s="23">
        <f t="shared" si="88"/>
        <v>1.460875864722766E-11</v>
      </c>
      <c r="U419" s="22">
        <f t="shared" si="89"/>
        <v>3.1428942293132422E-7</v>
      </c>
      <c r="V419" s="16">
        <f t="shared" si="98"/>
        <v>355.98193329329206</v>
      </c>
      <c r="W419" s="23">
        <f t="shared" si="90"/>
        <v>1.460875864722766E-11</v>
      </c>
      <c r="X419" s="22">
        <f t="shared" si="91"/>
        <v>2.9329203243833035E-7</v>
      </c>
    </row>
    <row r="420" spans="1:24" x14ac:dyDescent="0.45">
      <c r="A420">
        <v>19.44462</v>
      </c>
      <c r="B420">
        <v>70.114400000000003</v>
      </c>
      <c r="C420">
        <v>19.431850000000001</v>
      </c>
      <c r="D420">
        <v>70.130390000000006</v>
      </c>
      <c r="E420" s="13">
        <v>2194.9640773023102</v>
      </c>
      <c r="F420" s="13">
        <v>130.08973120518201</v>
      </c>
      <c r="G420" s="13">
        <f t="shared" si="92"/>
        <v>130.08973120518201</v>
      </c>
      <c r="H420" s="13">
        <v>130.09505252526901</v>
      </c>
      <c r="I420" s="13">
        <f t="shared" si="93"/>
        <v>130.09505252526901</v>
      </c>
      <c r="J420" s="11">
        <v>2194.9639999999999</v>
      </c>
      <c r="K420" s="11">
        <v>130.089731</v>
      </c>
      <c r="L420" s="12">
        <v>310.09505300000001</v>
      </c>
      <c r="M420" s="18">
        <f t="shared" si="94"/>
        <v>130.09505300000001</v>
      </c>
      <c r="N420" s="17">
        <f t="shared" si="85"/>
        <v>2194.964077187688</v>
      </c>
      <c r="O420" s="14">
        <f t="shared" si="86"/>
        <v>5.2220559875068368E-11</v>
      </c>
      <c r="P420" s="24">
        <f t="shared" si="87"/>
        <v>1.1462225302238949E-7</v>
      </c>
      <c r="Q420" s="2">
        <f t="shared" si="95"/>
        <v>3.5165810473787076E-8</v>
      </c>
      <c r="R420" s="19">
        <f t="shared" si="96"/>
        <v>7.7187688020785572E-5</v>
      </c>
      <c r="S420" s="16">
        <f t="shared" si="97"/>
        <v>130.08973120738594</v>
      </c>
      <c r="T420" s="23">
        <f t="shared" si="88"/>
        <v>2.2039330360712484E-9</v>
      </c>
      <c r="U420" s="22">
        <f t="shared" si="89"/>
        <v>2.0738593775604386E-7</v>
      </c>
      <c r="V420" s="16">
        <f t="shared" si="98"/>
        <v>130.09505252746817</v>
      </c>
      <c r="W420" s="23">
        <f t="shared" si="90"/>
        <v>2.1991581888869405E-9</v>
      </c>
      <c r="X420" s="22">
        <f t="shared" si="91"/>
        <v>4.725318376586074E-7</v>
      </c>
    </row>
    <row r="421" spans="1:24" x14ac:dyDescent="0.45">
      <c r="A421">
        <v>12.11539</v>
      </c>
      <c r="B421">
        <v>-142.04301000000001</v>
      </c>
      <c r="C421">
        <v>12.10069</v>
      </c>
      <c r="D421">
        <v>-142.05652000000001</v>
      </c>
      <c r="E421" s="13">
        <v>2192.5590772844598</v>
      </c>
      <c r="F421" s="13">
        <v>-137.87264473731</v>
      </c>
      <c r="G421" s="13">
        <f t="shared" si="92"/>
        <v>222.12735526269</v>
      </c>
      <c r="H421" s="13">
        <v>-137.875478537768</v>
      </c>
      <c r="I421" s="13">
        <f t="shared" si="93"/>
        <v>222.124521462232</v>
      </c>
      <c r="J421" s="9">
        <v>2192.5590000000002</v>
      </c>
      <c r="K421" s="9">
        <v>222.12735499999999</v>
      </c>
      <c r="L421" s="10">
        <v>42.124521000000001</v>
      </c>
      <c r="M421" s="18">
        <f t="shared" si="94"/>
        <v>222.12452100000002</v>
      </c>
      <c r="N421" s="17">
        <f t="shared" si="85"/>
        <v>2192.5590771687816</v>
      </c>
      <c r="O421" s="14">
        <f t="shared" si="86"/>
        <v>5.2759434201617142E-11</v>
      </c>
      <c r="P421" s="24">
        <f t="shared" si="87"/>
        <v>1.1567817637114786E-7</v>
      </c>
      <c r="Q421" s="2">
        <f t="shared" si="95"/>
        <v>3.519576049945525E-8</v>
      </c>
      <c r="R421" s="19">
        <f t="shared" si="96"/>
        <v>7.7168781444925116E-5</v>
      </c>
      <c r="S421" s="16">
        <f t="shared" si="97"/>
        <v>222.12735525976129</v>
      </c>
      <c r="T421" s="23">
        <f t="shared" si="88"/>
        <v>2.9287150482559809E-9</v>
      </c>
      <c r="U421" s="22">
        <f t="shared" si="89"/>
        <v>2.5976129336413578E-7</v>
      </c>
      <c r="V421" s="16">
        <f t="shared" si="98"/>
        <v>222.12452145930143</v>
      </c>
      <c r="W421" s="23">
        <f t="shared" si="90"/>
        <v>2.9305624593689572E-9</v>
      </c>
      <c r="X421" s="22">
        <f t="shared" si="91"/>
        <v>4.5930141823191661E-7</v>
      </c>
    </row>
    <row r="422" spans="1:24" x14ac:dyDescent="0.45">
      <c r="A422">
        <v>18.57124</v>
      </c>
      <c r="B422">
        <v>127.5219</v>
      </c>
      <c r="C422">
        <v>18.559010000000001</v>
      </c>
      <c r="D422">
        <v>127.53417</v>
      </c>
      <c r="E422" s="13">
        <v>1873.54861243092</v>
      </c>
      <c r="F422" s="13">
        <v>136.262070604472</v>
      </c>
      <c r="G422" s="13">
        <f t="shared" si="92"/>
        <v>136.262070604472</v>
      </c>
      <c r="H422" s="13">
        <v>136.26597715605499</v>
      </c>
      <c r="I422" s="13">
        <f t="shared" si="93"/>
        <v>136.26597715605499</v>
      </c>
      <c r="J422" s="11">
        <v>1873.549</v>
      </c>
      <c r="K422" s="11">
        <v>136.26207099999999</v>
      </c>
      <c r="L422" s="12">
        <v>316.26597700000002</v>
      </c>
      <c r="M422" s="18">
        <f t="shared" si="94"/>
        <v>136.26597700000002</v>
      </c>
      <c r="N422" s="17">
        <f t="shared" si="85"/>
        <v>1873.5486123458313</v>
      </c>
      <c r="O422" s="14">
        <f t="shared" si="86"/>
        <v>4.541578785546745E-11</v>
      </c>
      <c r="P422" s="24">
        <f t="shared" si="87"/>
        <v>8.5088686319068074E-8</v>
      </c>
      <c r="Q422" s="2">
        <f t="shared" si="95"/>
        <v>2.0690900993903329E-7</v>
      </c>
      <c r="R422" s="19">
        <f t="shared" si="96"/>
        <v>3.8765416866226587E-4</v>
      </c>
      <c r="S422" s="16">
        <f t="shared" si="97"/>
        <v>136.26207060679485</v>
      </c>
      <c r="T422" s="23">
        <f t="shared" si="88"/>
        <v>2.3228494683280587E-9</v>
      </c>
      <c r="U422" s="22">
        <f t="shared" si="89"/>
        <v>3.9320514133578399E-7</v>
      </c>
      <c r="V422" s="16">
        <f t="shared" si="98"/>
        <v>136.26597715837946</v>
      </c>
      <c r="W422" s="23">
        <f t="shared" si="90"/>
        <v>2.3244695057655917E-9</v>
      </c>
      <c r="X422" s="22">
        <f t="shared" si="91"/>
        <v>1.5837943578844715E-7</v>
      </c>
    </row>
    <row r="423" spans="1:24" x14ac:dyDescent="0.45">
      <c r="A423">
        <v>-4.56813</v>
      </c>
      <c r="B423">
        <v>117.96935000000001</v>
      </c>
      <c r="C423">
        <v>-4.5796999999999999</v>
      </c>
      <c r="D423">
        <v>117.96642</v>
      </c>
      <c r="E423" s="13">
        <v>1320.0921835295401</v>
      </c>
      <c r="F423" s="13">
        <v>-165.74164209752999</v>
      </c>
      <c r="G423" s="13">
        <f t="shared" si="92"/>
        <v>194.25835790247001</v>
      </c>
      <c r="H423" s="13">
        <v>-165.74140844434601</v>
      </c>
      <c r="I423" s="13">
        <f t="shared" si="93"/>
        <v>194.25859155565399</v>
      </c>
      <c r="J423" s="9">
        <v>1320.0920000000001</v>
      </c>
      <c r="K423" s="9">
        <v>194.25835799999999</v>
      </c>
      <c r="L423" s="10">
        <v>14.258592</v>
      </c>
      <c r="M423" s="18">
        <f t="shared" si="94"/>
        <v>194.25859199999999</v>
      </c>
      <c r="N423" s="17">
        <f t="shared" si="85"/>
        <v>1320.0921835107874</v>
      </c>
      <c r="O423" s="14">
        <f t="shared" si="86"/>
        <v>1.4205556336256369E-11</v>
      </c>
      <c r="P423" s="24">
        <f t="shared" si="87"/>
        <v>1.8752643882180564E-8</v>
      </c>
      <c r="Q423" s="2">
        <f t="shared" si="95"/>
        <v>1.3901363491149242E-7</v>
      </c>
      <c r="R423" s="19">
        <f t="shared" si="96"/>
        <v>1.8351078733758186E-4</v>
      </c>
      <c r="S423" s="16">
        <f t="shared" si="97"/>
        <v>194.25835790063539</v>
      </c>
      <c r="T423" s="23">
        <f t="shared" si="88"/>
        <v>1.8346213437325787E-9</v>
      </c>
      <c r="U423" s="22">
        <f t="shared" si="89"/>
        <v>9.9364598327156273E-8</v>
      </c>
      <c r="V423" s="16">
        <f t="shared" si="98"/>
        <v>194.25859155381897</v>
      </c>
      <c r="W423" s="23">
        <f t="shared" si="90"/>
        <v>1.8350192476646043E-9</v>
      </c>
      <c r="X423" s="22">
        <f t="shared" si="91"/>
        <v>4.4618101924243092E-7</v>
      </c>
    </row>
    <row r="424" spans="1:24" x14ac:dyDescent="0.45">
      <c r="A424">
        <v>2.3120699999999998</v>
      </c>
      <c r="B424">
        <v>93.526420000000002</v>
      </c>
      <c r="C424">
        <v>2.29691</v>
      </c>
      <c r="D424">
        <v>93.53295</v>
      </c>
      <c r="E424" s="13">
        <v>1826.92412167356</v>
      </c>
      <c r="F424" s="13">
        <v>156.57344223219201</v>
      </c>
      <c r="G424" s="13">
        <f t="shared" si="92"/>
        <v>156.57344223219201</v>
      </c>
      <c r="H424" s="13">
        <v>156.573704804112</v>
      </c>
      <c r="I424" s="13">
        <f t="shared" si="93"/>
        <v>156.573704804112</v>
      </c>
      <c r="J424" s="11">
        <v>1826.924</v>
      </c>
      <c r="K424" s="11">
        <v>156.573442</v>
      </c>
      <c r="L424" s="12">
        <v>336.57370500000002</v>
      </c>
      <c r="M424" s="18">
        <f t="shared" si="94"/>
        <v>156.57370500000002</v>
      </c>
      <c r="N424" s="17">
        <f t="shared" si="85"/>
        <v>1826.924121623674</v>
      </c>
      <c r="O424" s="14">
        <f t="shared" si="86"/>
        <v>2.7306011877615535E-11</v>
      </c>
      <c r="P424" s="24">
        <f t="shared" si="87"/>
        <v>4.9886011765920557E-8</v>
      </c>
      <c r="Q424" s="2">
        <f t="shared" si="95"/>
        <v>6.6572924750291129E-8</v>
      </c>
      <c r="R424" s="19">
        <f t="shared" si="96"/>
        <v>1.2162367397650087E-4</v>
      </c>
      <c r="S424" s="16">
        <f t="shared" si="97"/>
        <v>156.57344223492592</v>
      </c>
      <c r="T424" s="23">
        <f t="shared" si="88"/>
        <v>2.7339126518199919E-9</v>
      </c>
      <c r="U424" s="22">
        <f t="shared" si="89"/>
        <v>2.3492592049478844E-7</v>
      </c>
      <c r="V424" s="16">
        <f t="shared" si="98"/>
        <v>156.57370480684614</v>
      </c>
      <c r="W424" s="23">
        <f t="shared" si="90"/>
        <v>2.7341400254954351E-9</v>
      </c>
      <c r="X424" s="22">
        <f t="shared" si="91"/>
        <v>1.9315388044560677E-7</v>
      </c>
    </row>
    <row r="425" spans="1:24" x14ac:dyDescent="0.45">
      <c r="A425">
        <v>14.01699</v>
      </c>
      <c r="B425">
        <v>-115.60964</v>
      </c>
      <c r="C425">
        <v>14.01942</v>
      </c>
      <c r="D425">
        <v>-115.59381999999999</v>
      </c>
      <c r="E425" s="13">
        <v>1729.9818979268</v>
      </c>
      <c r="F425" s="13">
        <v>81.057595681721097</v>
      </c>
      <c r="G425" s="13">
        <f t="shared" si="92"/>
        <v>81.057595681721097</v>
      </c>
      <c r="H425" s="13">
        <v>81.061427763230895</v>
      </c>
      <c r="I425" s="13">
        <f t="shared" si="93"/>
        <v>81.061427763230895</v>
      </c>
      <c r="J425" s="9">
        <v>1729.982</v>
      </c>
      <c r="K425" s="9">
        <v>81.057596000000004</v>
      </c>
      <c r="L425" s="10">
        <v>261.06142799999998</v>
      </c>
      <c r="M425" s="18">
        <f t="shared" si="94"/>
        <v>81.061427999999978</v>
      </c>
      <c r="N425" s="17">
        <f t="shared" si="85"/>
        <v>1729.9818977534453</v>
      </c>
      <c r="O425" s="14">
        <f t="shared" si="86"/>
        <v>1.0020607301528826E-10</v>
      </c>
      <c r="P425" s="24">
        <f t="shared" si="87"/>
        <v>1.7335469237877987E-7</v>
      </c>
      <c r="Q425" s="2">
        <f t="shared" si="95"/>
        <v>5.910266965851574E-8</v>
      </c>
      <c r="R425" s="19">
        <f t="shared" si="96"/>
        <v>1.0224655466117838E-4</v>
      </c>
      <c r="S425" s="16">
        <f t="shared" si="97"/>
        <v>81.057595680852884</v>
      </c>
      <c r="T425" s="23">
        <f t="shared" si="88"/>
        <v>8.6821216882526642E-10</v>
      </c>
      <c r="U425" s="22">
        <f t="shared" si="89"/>
        <v>3.1914711939862173E-7</v>
      </c>
      <c r="V425" s="16">
        <f t="shared" si="98"/>
        <v>81.061427762364886</v>
      </c>
      <c r="W425" s="23">
        <f t="shared" si="90"/>
        <v>8.6600948634441011E-10</v>
      </c>
      <c r="X425" s="22">
        <f t="shared" si="91"/>
        <v>2.3763509204854927E-7</v>
      </c>
    </row>
    <row r="426" spans="1:24" x14ac:dyDescent="0.45">
      <c r="A426">
        <v>-4.3835199999999999</v>
      </c>
      <c r="B426">
        <v>-30.060279999999999</v>
      </c>
      <c r="C426">
        <v>-4.3853699999999902</v>
      </c>
      <c r="D426">
        <v>-30.047789999999999</v>
      </c>
      <c r="E426" s="13">
        <v>1401.3513498790201</v>
      </c>
      <c r="F426" s="13">
        <v>98.394722988523796</v>
      </c>
      <c r="G426" s="13">
        <f t="shared" si="92"/>
        <v>98.394722988523796</v>
      </c>
      <c r="H426" s="13">
        <v>98.393768148759804</v>
      </c>
      <c r="I426" s="13">
        <f t="shared" si="93"/>
        <v>98.393768148759804</v>
      </c>
      <c r="J426" s="11">
        <v>1401.3510000000001</v>
      </c>
      <c r="K426" s="11">
        <v>98.394722999999999</v>
      </c>
      <c r="L426" s="12">
        <v>278.39376800000002</v>
      </c>
      <c r="M426" s="18">
        <f t="shared" si="94"/>
        <v>98.393768000000023</v>
      </c>
      <c r="N426" s="17">
        <f t="shared" si="85"/>
        <v>1401.3513497014189</v>
      </c>
      <c r="O426" s="14">
        <f t="shared" si="86"/>
        <v>1.2673561356093184E-10</v>
      </c>
      <c r="P426" s="24">
        <f t="shared" si="87"/>
        <v>1.7760112314135768E-7</v>
      </c>
      <c r="Q426" s="2">
        <f t="shared" si="95"/>
        <v>2.4954591592467062E-7</v>
      </c>
      <c r="R426" s="19">
        <f t="shared" si="96"/>
        <v>3.4970141882695316E-4</v>
      </c>
      <c r="S426" s="16">
        <f t="shared" si="97"/>
        <v>98.394722989505709</v>
      </c>
      <c r="T426" s="23">
        <f t="shared" si="88"/>
        <v>9.8191321740159765E-10</v>
      </c>
      <c r="U426" s="22">
        <f t="shared" si="89"/>
        <v>1.0494289881535224E-8</v>
      </c>
      <c r="V426" s="16">
        <f t="shared" si="98"/>
        <v>98.393768149742939</v>
      </c>
      <c r="W426" s="23">
        <f t="shared" si="90"/>
        <v>9.8313535090710502E-10</v>
      </c>
      <c r="X426" s="22">
        <f t="shared" si="91"/>
        <v>1.4974291673297557E-7</v>
      </c>
    </row>
    <row r="427" spans="1:24" x14ac:dyDescent="0.45">
      <c r="A427">
        <v>75.179220000000001</v>
      </c>
      <c r="B427">
        <v>148.47328999999999</v>
      </c>
      <c r="C427">
        <v>75.16525</v>
      </c>
      <c r="D427">
        <v>148.47783000000001</v>
      </c>
      <c r="E427" s="13">
        <v>1564.72066250894</v>
      </c>
      <c r="F427" s="13">
        <v>175.24150845799201</v>
      </c>
      <c r="G427" s="13">
        <f t="shared" si="92"/>
        <v>175.24150845799201</v>
      </c>
      <c r="H427" s="13">
        <v>175.24589727370301</v>
      </c>
      <c r="I427" s="13">
        <f t="shared" si="93"/>
        <v>175.24589727370301</v>
      </c>
      <c r="J427" s="9">
        <v>1564.721</v>
      </c>
      <c r="K427" s="9">
        <v>175.24150800000001</v>
      </c>
      <c r="L427" s="10">
        <v>355.24589700000001</v>
      </c>
      <c r="M427" s="18">
        <f t="shared" si="94"/>
        <v>175.24589700000001</v>
      </c>
      <c r="N427" s="17">
        <f t="shared" si="85"/>
        <v>1564.7206625081872</v>
      </c>
      <c r="O427" s="14">
        <f t="shared" si="86"/>
        <v>4.8113011953546692E-13</v>
      </c>
      <c r="P427" s="24">
        <f t="shared" si="87"/>
        <v>7.5283423939254135E-10</v>
      </c>
      <c r="Q427" s="2">
        <f t="shared" si="95"/>
        <v>2.1568817242366349E-7</v>
      </c>
      <c r="R427" s="19">
        <f t="shared" si="96"/>
        <v>3.3749181284292717E-4</v>
      </c>
      <c r="S427" s="16">
        <f t="shared" si="97"/>
        <v>175.24150845807628</v>
      </c>
      <c r="T427" s="23">
        <f t="shared" si="88"/>
        <v>8.4270368461147882E-11</v>
      </c>
      <c r="U427" s="22">
        <f t="shared" si="89"/>
        <v>4.5807627202520962E-7</v>
      </c>
      <c r="V427" s="16">
        <f t="shared" si="98"/>
        <v>175.2458972737862</v>
      </c>
      <c r="W427" s="23">
        <f t="shared" si="90"/>
        <v>8.319034350279253E-11</v>
      </c>
      <c r="X427" s="22">
        <f t="shared" si="91"/>
        <v>2.7378618483453465E-7</v>
      </c>
    </row>
    <row r="428" spans="1:24" x14ac:dyDescent="0.45">
      <c r="A428">
        <v>58.645299999999999</v>
      </c>
      <c r="B428">
        <v>-57.553820000000002</v>
      </c>
      <c r="C428">
        <v>58.636800000000001</v>
      </c>
      <c r="D428">
        <v>-57.546149999999997</v>
      </c>
      <c r="E428" s="13">
        <v>1046.3437249226799</v>
      </c>
      <c r="F428" s="13">
        <v>154.80256968931201</v>
      </c>
      <c r="G428" s="13">
        <f t="shared" si="92"/>
        <v>154.80256968931201</v>
      </c>
      <c r="H428" s="13">
        <v>154.80911928533499</v>
      </c>
      <c r="I428" s="13">
        <f t="shared" si="93"/>
        <v>154.80911928533499</v>
      </c>
      <c r="J428" s="11">
        <v>1046.3440000000001</v>
      </c>
      <c r="K428" s="11">
        <v>154.80257</v>
      </c>
      <c r="L428" s="12">
        <v>334.80911900000001</v>
      </c>
      <c r="M428" s="18">
        <f t="shared" si="94"/>
        <v>154.80911900000001</v>
      </c>
      <c r="N428" s="17">
        <f t="shared" si="85"/>
        <v>1046.3437247757508</v>
      </c>
      <c r="O428" s="14">
        <f t="shared" si="86"/>
        <v>1.4042144368567739E-10</v>
      </c>
      <c r="P428" s="24">
        <f t="shared" si="87"/>
        <v>1.46929096445092E-7</v>
      </c>
      <c r="Q428" s="2">
        <f t="shared" si="95"/>
        <v>2.6303419258665878E-7</v>
      </c>
      <c r="R428" s="19">
        <f t="shared" si="96"/>
        <v>2.752242492078949E-4</v>
      </c>
      <c r="S428" s="16">
        <f t="shared" si="97"/>
        <v>154.80256970595636</v>
      </c>
      <c r="T428" s="23">
        <f t="shared" si="88"/>
        <v>1.6644349898342625E-8</v>
      </c>
      <c r="U428" s="22">
        <f t="shared" si="89"/>
        <v>2.9404364454421739E-7</v>
      </c>
      <c r="V428" s="16">
        <f t="shared" si="98"/>
        <v>154.80911930196956</v>
      </c>
      <c r="W428" s="23">
        <f t="shared" si="90"/>
        <v>1.6634572830298566E-8</v>
      </c>
      <c r="X428" s="22">
        <f t="shared" si="91"/>
        <v>3.0196954980965529E-7</v>
      </c>
    </row>
    <row r="429" spans="1:24" x14ac:dyDescent="0.45">
      <c r="A429">
        <v>25.317689999999999</v>
      </c>
      <c r="B429">
        <v>-83.560019999999994</v>
      </c>
      <c r="C429">
        <v>25.330220000000001</v>
      </c>
      <c r="D429">
        <v>-83.569770000000005</v>
      </c>
      <c r="E429" s="13">
        <v>1700.09965670786</v>
      </c>
      <c r="F429" s="13">
        <v>-35.267007293432101</v>
      </c>
      <c r="G429" s="13">
        <f t="shared" si="92"/>
        <v>324.73299270656787</v>
      </c>
      <c r="H429" s="13">
        <v>-35.271177717682797</v>
      </c>
      <c r="I429" s="13">
        <f t="shared" si="93"/>
        <v>324.7288222823172</v>
      </c>
      <c r="J429" s="9">
        <v>1700.1</v>
      </c>
      <c r="K429" s="9">
        <v>324.73299300000002</v>
      </c>
      <c r="L429" s="10">
        <v>144.72882200000001</v>
      </c>
      <c r="M429" s="18">
        <f t="shared" si="94"/>
        <v>324.72882200000004</v>
      </c>
      <c r="N429" s="17">
        <f t="shared" si="85"/>
        <v>1700.0996566675619</v>
      </c>
      <c r="O429" s="14">
        <f t="shared" si="86"/>
        <v>2.3703386128472735E-11</v>
      </c>
      <c r="P429" s="24">
        <f t="shared" si="87"/>
        <v>4.0298118619830348E-8</v>
      </c>
      <c r="Q429" s="2">
        <f t="shared" si="95"/>
        <v>2.0194837831801706E-7</v>
      </c>
      <c r="R429" s="19">
        <f t="shared" si="96"/>
        <v>3.433324379784608E-4</v>
      </c>
      <c r="S429" s="16">
        <f t="shared" si="97"/>
        <v>324.73299270802863</v>
      </c>
      <c r="T429" s="23">
        <f t="shared" si="88"/>
        <v>1.4607621778850444E-9</v>
      </c>
      <c r="U429" s="22">
        <f t="shared" si="89"/>
        <v>2.919713892879372E-7</v>
      </c>
      <c r="V429" s="16">
        <f t="shared" si="98"/>
        <v>324.72882228377676</v>
      </c>
      <c r="W429" s="23">
        <f t="shared" si="90"/>
        <v>1.4595684660889674E-9</v>
      </c>
      <c r="X429" s="22">
        <f t="shared" si="91"/>
        <v>2.8377672833812539E-7</v>
      </c>
    </row>
    <row r="430" spans="1:24" x14ac:dyDescent="0.45">
      <c r="A430">
        <v>23.195959999999999</v>
      </c>
      <c r="B430">
        <v>103.46209</v>
      </c>
      <c r="C430">
        <v>23.201090000000001</v>
      </c>
      <c r="D430">
        <v>103.47753</v>
      </c>
      <c r="E430" s="13">
        <v>1679.6260555886399</v>
      </c>
      <c r="F430" s="13">
        <v>70.226758030741806</v>
      </c>
      <c r="G430" s="13">
        <f t="shared" si="92"/>
        <v>70.226758030741806</v>
      </c>
      <c r="H430" s="13">
        <v>70.232840128522199</v>
      </c>
      <c r="I430" s="13">
        <f t="shared" si="93"/>
        <v>70.232840128522199</v>
      </c>
      <c r="J430" s="11">
        <v>1679.626</v>
      </c>
      <c r="K430" s="11">
        <v>70.226758000000004</v>
      </c>
      <c r="L430" s="12">
        <v>250.23284000000001</v>
      </c>
      <c r="M430" s="18">
        <f t="shared" si="94"/>
        <v>70.23284000000001</v>
      </c>
      <c r="N430" s="17">
        <f t="shared" si="85"/>
        <v>1679.6260554904886</v>
      </c>
      <c r="O430" s="14">
        <f t="shared" si="86"/>
        <v>5.8436402344856313E-11</v>
      </c>
      <c r="P430" s="24">
        <f t="shared" si="87"/>
        <v>9.8151303973281756E-8</v>
      </c>
      <c r="Q430" s="2">
        <f t="shared" si="95"/>
        <v>3.3037407523164037E-8</v>
      </c>
      <c r="R430" s="19">
        <f t="shared" si="96"/>
        <v>5.5490488648501923E-5</v>
      </c>
      <c r="S430" s="16">
        <f t="shared" si="97"/>
        <v>70.226758029644103</v>
      </c>
      <c r="T430" s="23">
        <f t="shared" si="88"/>
        <v>1.0977032616210636E-9</v>
      </c>
      <c r="U430" s="22">
        <f t="shared" si="89"/>
        <v>2.9644098731296253E-8</v>
      </c>
      <c r="V430" s="16">
        <f t="shared" si="98"/>
        <v>70.232840127430336</v>
      </c>
      <c r="W430" s="23">
        <f t="shared" si="90"/>
        <v>1.0918626003331156E-9</v>
      </c>
      <c r="X430" s="22">
        <f t="shared" si="91"/>
        <v>1.2743032584694447E-7</v>
      </c>
    </row>
    <row r="431" spans="1:24" x14ac:dyDescent="0.45">
      <c r="A431">
        <v>6.0963099999999999</v>
      </c>
      <c r="B431">
        <v>-145.72367</v>
      </c>
      <c r="C431">
        <v>6.1054000000000004</v>
      </c>
      <c r="D431">
        <v>-145.70702</v>
      </c>
      <c r="E431" s="13">
        <v>2099.356778934</v>
      </c>
      <c r="F431" s="13">
        <v>61.390125813125699</v>
      </c>
      <c r="G431" s="13">
        <f t="shared" si="92"/>
        <v>61.390125813125699</v>
      </c>
      <c r="H431" s="13">
        <v>61.391895356985103</v>
      </c>
      <c r="I431" s="13">
        <f t="shared" si="93"/>
        <v>61.391895356985103</v>
      </c>
      <c r="J431" s="9">
        <v>2099.357</v>
      </c>
      <c r="K431" s="9">
        <v>61.390126000000002</v>
      </c>
      <c r="L431" s="10">
        <v>241.39189500000001</v>
      </c>
      <c r="M431" s="18">
        <f t="shared" si="94"/>
        <v>61.391894999999977</v>
      </c>
      <c r="N431" s="17">
        <f t="shared" si="85"/>
        <v>2099.3567787241191</v>
      </c>
      <c r="O431" s="14">
        <f t="shared" si="86"/>
        <v>9.9973911629853906E-11</v>
      </c>
      <c r="P431" s="24">
        <f t="shared" si="87"/>
        <v>2.0988090909668244E-7</v>
      </c>
      <c r="Q431" s="2">
        <f t="shared" si="95"/>
        <v>1.0540174010599632E-7</v>
      </c>
      <c r="R431" s="19">
        <f t="shared" si="96"/>
        <v>2.2127588090370409E-4</v>
      </c>
      <c r="S431" s="16">
        <f t="shared" si="97"/>
        <v>61.390125810238004</v>
      </c>
      <c r="T431" s="23">
        <f t="shared" si="88"/>
        <v>2.8876954161205504E-9</v>
      </c>
      <c r="U431" s="22">
        <f t="shared" si="89"/>
        <v>1.8976199811504557E-7</v>
      </c>
      <c r="V431" s="16">
        <f t="shared" si="98"/>
        <v>61.39189535409713</v>
      </c>
      <c r="W431" s="23">
        <f t="shared" si="90"/>
        <v>2.8879725277874968E-9</v>
      </c>
      <c r="X431" s="22">
        <f t="shared" si="91"/>
        <v>3.5409715337664238E-7</v>
      </c>
    </row>
    <row r="432" spans="1:24" x14ac:dyDescent="0.45">
      <c r="A432">
        <v>39.415179999999999</v>
      </c>
      <c r="B432">
        <v>-69.277289999999994</v>
      </c>
      <c r="C432">
        <v>39.424509999999998</v>
      </c>
      <c r="D432">
        <v>-69.269720000000007</v>
      </c>
      <c r="E432" s="13">
        <v>1223.8940906058499</v>
      </c>
      <c r="F432" s="13">
        <v>32.180154899387702</v>
      </c>
      <c r="G432" s="13">
        <f t="shared" si="92"/>
        <v>32.180154899387702</v>
      </c>
      <c r="H432" s="13">
        <v>32.184961835173098</v>
      </c>
      <c r="I432" s="13">
        <f t="shared" si="93"/>
        <v>32.184961835173098</v>
      </c>
      <c r="J432" s="11">
        <v>1223.894</v>
      </c>
      <c r="K432" s="11">
        <v>32.180154999999999</v>
      </c>
      <c r="L432" s="12">
        <v>212.18496200000001</v>
      </c>
      <c r="M432" s="18">
        <f t="shared" si="94"/>
        <v>32.184962000000041</v>
      </c>
      <c r="N432" s="17">
        <f t="shared" si="85"/>
        <v>1223.8940905964896</v>
      </c>
      <c r="O432" s="14">
        <f t="shared" si="86"/>
        <v>7.6479592219764848E-12</v>
      </c>
      <c r="P432" s="24">
        <f t="shared" si="87"/>
        <v>9.3602920969715342E-9</v>
      </c>
      <c r="Q432" s="2">
        <f t="shared" si="95"/>
        <v>7.4023150370205969E-8</v>
      </c>
      <c r="R432" s="19">
        <f t="shared" si="96"/>
        <v>9.0596489599192864E-5</v>
      </c>
      <c r="S432" s="16">
        <f t="shared" si="97"/>
        <v>32.18015489902389</v>
      </c>
      <c r="T432" s="23">
        <f t="shared" si="88"/>
        <v>3.638120915638865E-10</v>
      </c>
      <c r="U432" s="22">
        <f t="shared" si="89"/>
        <v>1.0097610925186018E-7</v>
      </c>
      <c r="V432" s="16">
        <f t="shared" si="98"/>
        <v>32.184961834804803</v>
      </c>
      <c r="W432" s="23">
        <f t="shared" si="90"/>
        <v>3.6829561622653273E-10</v>
      </c>
      <c r="X432" s="22">
        <f t="shared" si="91"/>
        <v>1.6519523882152498E-7</v>
      </c>
    </row>
    <row r="433" spans="1:24" x14ac:dyDescent="0.45">
      <c r="A433">
        <v>-64.940110000000004</v>
      </c>
      <c r="B433">
        <v>-35.817340000000002</v>
      </c>
      <c r="C433">
        <v>-64.925200000000004</v>
      </c>
      <c r="D433">
        <v>-35.818510000000003</v>
      </c>
      <c r="E433" s="13">
        <v>1663.2604008989399</v>
      </c>
      <c r="F433" s="13">
        <v>-1.9070302718891401</v>
      </c>
      <c r="G433" s="13">
        <f t="shared" si="92"/>
        <v>358.09296972811086</v>
      </c>
      <c r="H433" s="13">
        <v>-1.9059704736899501</v>
      </c>
      <c r="I433" s="13">
        <f t="shared" si="93"/>
        <v>358.09402952631007</v>
      </c>
      <c r="J433" s="9">
        <v>1663.26</v>
      </c>
      <c r="K433" s="9">
        <v>358.09296999999998</v>
      </c>
      <c r="L433" s="10">
        <v>178.09403</v>
      </c>
      <c r="M433" s="18">
        <f t="shared" si="94"/>
        <v>358.09402999999998</v>
      </c>
      <c r="N433" s="17">
        <f t="shared" si="85"/>
        <v>1663.2604008937828</v>
      </c>
      <c r="O433" s="14">
        <f t="shared" si="86"/>
        <v>3.1005742275477227E-12</v>
      </c>
      <c r="P433" s="24">
        <f t="shared" si="87"/>
        <v>5.1570623327279463E-9</v>
      </c>
      <c r="Q433" s="2">
        <f t="shared" si="95"/>
        <v>2.4102893285055726E-7</v>
      </c>
      <c r="R433" s="19">
        <f t="shared" si="96"/>
        <v>4.0089378285301791E-4</v>
      </c>
      <c r="S433" s="16">
        <f t="shared" si="97"/>
        <v>358.09296972853019</v>
      </c>
      <c r="T433" s="23">
        <f t="shared" si="88"/>
        <v>4.1933390093618073E-10</v>
      </c>
      <c r="U433" s="22">
        <f t="shared" si="89"/>
        <v>2.7146978709424729E-7</v>
      </c>
      <c r="V433" s="16">
        <f t="shared" si="98"/>
        <v>358.09402952672889</v>
      </c>
      <c r="W433" s="23">
        <f t="shared" si="90"/>
        <v>4.1882231016643345E-10</v>
      </c>
      <c r="X433" s="22">
        <f t="shared" si="91"/>
        <v>4.7327108632089221E-7</v>
      </c>
    </row>
    <row r="434" spans="1:24" x14ac:dyDescent="0.45">
      <c r="A434">
        <v>6.6522899999999998</v>
      </c>
      <c r="B434">
        <v>-54.307290000000002</v>
      </c>
      <c r="C434">
        <v>6.6649799999999999</v>
      </c>
      <c r="D434">
        <v>-54.301430000000003</v>
      </c>
      <c r="E434" s="13">
        <v>1545.74277701094</v>
      </c>
      <c r="F434" s="13">
        <v>24.7831701035959</v>
      </c>
      <c r="G434" s="13">
        <f t="shared" si="92"/>
        <v>24.7831701035959</v>
      </c>
      <c r="H434" s="13">
        <v>24.783849592176001</v>
      </c>
      <c r="I434" s="13">
        <f t="shared" si="93"/>
        <v>24.783849592176001</v>
      </c>
      <c r="J434" s="11">
        <v>1545.7429999999999</v>
      </c>
      <c r="K434" s="11">
        <v>24.783169999999998</v>
      </c>
      <c r="L434" s="12">
        <v>204.78385</v>
      </c>
      <c r="M434" s="18">
        <f t="shared" si="94"/>
        <v>24.783850000000029</v>
      </c>
      <c r="N434" s="17">
        <f t="shared" si="85"/>
        <v>1545.7427769674052</v>
      </c>
      <c r="O434" s="14">
        <f t="shared" si="86"/>
        <v>2.8164312676879899E-11</v>
      </c>
      <c r="P434" s="24">
        <f t="shared" si="87"/>
        <v>4.3534782889764756E-8</v>
      </c>
      <c r="Q434" s="2">
        <f t="shared" si="95"/>
        <v>1.4428827735523249E-7</v>
      </c>
      <c r="R434" s="19">
        <f t="shared" si="96"/>
        <v>2.2303259470390913E-4</v>
      </c>
      <c r="S434" s="16">
        <f t="shared" si="97"/>
        <v>24.78317010089474</v>
      </c>
      <c r="T434" s="23">
        <f t="shared" si="88"/>
        <v>2.7011601844151301E-9</v>
      </c>
      <c r="U434" s="22">
        <f t="shared" si="89"/>
        <v>1.0089474145047461E-7</v>
      </c>
      <c r="V434" s="16">
        <f t="shared" si="98"/>
        <v>24.783849589475693</v>
      </c>
      <c r="W434" s="23">
        <f t="shared" si="90"/>
        <v>2.7003075331322179E-9</v>
      </c>
      <c r="X434" s="22">
        <f t="shared" si="91"/>
        <v>4.1052433630284213E-7</v>
      </c>
    </row>
    <row r="435" spans="1:24" x14ac:dyDescent="0.45">
      <c r="A435">
        <v>74.239410000000007</v>
      </c>
      <c r="B435">
        <v>179.54470000000001</v>
      </c>
      <c r="C435">
        <v>74.23348</v>
      </c>
      <c r="D435">
        <v>179.53985</v>
      </c>
      <c r="E435" s="13">
        <v>678.00785547277997</v>
      </c>
      <c r="F435" s="13">
        <v>-167.46454890986601</v>
      </c>
      <c r="G435" s="13">
        <f t="shared" si="92"/>
        <v>192.53545109013399</v>
      </c>
      <c r="H435" s="13">
        <v>-167.469216506186</v>
      </c>
      <c r="I435" s="13">
        <f t="shared" si="93"/>
        <v>192.530783493814</v>
      </c>
      <c r="J435" s="9">
        <v>678.00800000000004</v>
      </c>
      <c r="K435" s="9">
        <v>192.53545099999999</v>
      </c>
      <c r="L435" s="10">
        <v>12.530783</v>
      </c>
      <c r="M435" s="18">
        <f t="shared" si="94"/>
        <v>192.53078299999999</v>
      </c>
      <c r="N435" s="17">
        <f t="shared" si="85"/>
        <v>678.00785546913835</v>
      </c>
      <c r="O435" s="14">
        <f t="shared" si="86"/>
        <v>5.3710539730538638E-12</v>
      </c>
      <c r="P435" s="24">
        <f t="shared" si="87"/>
        <v>3.6416167858988047E-9</v>
      </c>
      <c r="Q435" s="2">
        <f t="shared" si="95"/>
        <v>2.1316984709534118E-7</v>
      </c>
      <c r="R435" s="19">
        <f t="shared" si="96"/>
        <v>1.4453086168941809E-4</v>
      </c>
      <c r="S435" s="16">
        <f t="shared" si="97"/>
        <v>192.53545109000086</v>
      </c>
      <c r="T435" s="23">
        <f t="shared" si="88"/>
        <v>1.3312728697201237E-10</v>
      </c>
      <c r="U435" s="22">
        <f t="shared" si="89"/>
        <v>9.000086720334366E-8</v>
      </c>
      <c r="V435" s="16">
        <f t="shared" si="98"/>
        <v>192.53078349368383</v>
      </c>
      <c r="W435" s="23">
        <f t="shared" si="90"/>
        <v>1.3017142919125035E-10</v>
      </c>
      <c r="X435" s="22">
        <f t="shared" si="91"/>
        <v>4.9368384225090267E-7</v>
      </c>
    </row>
    <row r="436" spans="1:24" x14ac:dyDescent="0.45">
      <c r="A436">
        <v>78.508849999999995</v>
      </c>
      <c r="B436">
        <v>105.3862</v>
      </c>
      <c r="C436">
        <v>78.503609999999995</v>
      </c>
      <c r="D436">
        <v>105.37600999999999</v>
      </c>
      <c r="E436" s="13">
        <v>627.45069884547195</v>
      </c>
      <c r="F436" s="13">
        <v>-158.80874444647301</v>
      </c>
      <c r="G436" s="13">
        <f t="shared" si="92"/>
        <v>201.19125555352699</v>
      </c>
      <c r="H436" s="13">
        <v>-158.81873010006501</v>
      </c>
      <c r="I436" s="13">
        <f t="shared" si="93"/>
        <v>201.18126989993499</v>
      </c>
      <c r="J436" s="11">
        <v>627.45100000000002</v>
      </c>
      <c r="K436" s="11">
        <v>201.19125600000001</v>
      </c>
      <c r="L436" s="12">
        <v>21.181270000000001</v>
      </c>
      <c r="M436" s="18">
        <f t="shared" si="94"/>
        <v>201.18127000000001</v>
      </c>
      <c r="N436" s="17">
        <f t="shared" si="85"/>
        <v>627.45069884408872</v>
      </c>
      <c r="O436" s="14">
        <f t="shared" si="86"/>
        <v>2.2045202230296066E-12</v>
      </c>
      <c r="P436" s="24">
        <f t="shared" si="87"/>
        <v>1.3832277545589022E-9</v>
      </c>
      <c r="Q436" s="2">
        <f t="shared" si="95"/>
        <v>4.7996721863854822E-7</v>
      </c>
      <c r="R436" s="19">
        <f t="shared" si="96"/>
        <v>3.0115591130197572E-4</v>
      </c>
      <c r="S436" s="16">
        <f t="shared" si="97"/>
        <v>201.19125555343197</v>
      </c>
      <c r="T436" s="23">
        <f t="shared" si="88"/>
        <v>9.5013774625840597E-11</v>
      </c>
      <c r="U436" s="22">
        <f t="shared" si="89"/>
        <v>4.4656803765974473E-7</v>
      </c>
      <c r="V436" s="16">
        <f t="shared" si="98"/>
        <v>201.18126989984273</v>
      </c>
      <c r="W436" s="23">
        <f t="shared" si="90"/>
        <v>9.2256868811091408E-11</v>
      </c>
      <c r="X436" s="22">
        <f t="shared" si="91"/>
        <v>1.0015727980317024E-7</v>
      </c>
    </row>
    <row r="437" spans="1:24" x14ac:dyDescent="0.45">
      <c r="A437">
        <v>21.391670000000001</v>
      </c>
      <c r="B437">
        <v>142.4187</v>
      </c>
      <c r="C437">
        <v>21.399940000000001</v>
      </c>
      <c r="D437">
        <v>142.40584000000001</v>
      </c>
      <c r="E437" s="13">
        <v>1617.61736738067</v>
      </c>
      <c r="F437" s="13">
        <v>-55.5215422671045</v>
      </c>
      <c r="G437" s="13">
        <f t="shared" si="92"/>
        <v>304.47845773289549</v>
      </c>
      <c r="H437" s="13">
        <v>-55.526233705918401</v>
      </c>
      <c r="I437" s="13">
        <f t="shared" si="93"/>
        <v>304.4737662940816</v>
      </c>
      <c r="J437" s="9">
        <v>1617.617</v>
      </c>
      <c r="K437" s="9">
        <v>304.47845799999999</v>
      </c>
      <c r="L437" s="10">
        <v>124.473766</v>
      </c>
      <c r="M437" s="18">
        <f t="shared" si="94"/>
        <v>304.47376600000001</v>
      </c>
      <c r="N437" s="17">
        <f t="shared" si="85"/>
        <v>1617.617367296863</v>
      </c>
      <c r="O437" s="14">
        <f t="shared" si="86"/>
        <v>5.1808902773032904E-11</v>
      </c>
      <c r="P437" s="24">
        <f t="shared" si="87"/>
        <v>8.3806980910594575E-8</v>
      </c>
      <c r="Q437" s="2">
        <f t="shared" si="95"/>
        <v>2.2706046179819253E-7</v>
      </c>
      <c r="R437" s="19">
        <f t="shared" si="96"/>
        <v>3.6729686303260678E-4</v>
      </c>
      <c r="S437" s="16">
        <f t="shared" si="97"/>
        <v>304.47845773474035</v>
      </c>
      <c r="T437" s="23">
        <f t="shared" si="88"/>
        <v>1.8448531591275241E-9</v>
      </c>
      <c r="U437" s="22">
        <f t="shared" si="89"/>
        <v>2.6525964358370402E-7</v>
      </c>
      <c r="V437" s="16">
        <f t="shared" si="98"/>
        <v>304.47376629592128</v>
      </c>
      <c r="W437" s="23">
        <f t="shared" si="90"/>
        <v>1.8396804080111906E-9</v>
      </c>
      <c r="X437" s="22">
        <f t="shared" si="91"/>
        <v>2.9592126793431817E-7</v>
      </c>
    </row>
    <row r="438" spans="1:24" x14ac:dyDescent="0.45">
      <c r="A438">
        <v>56.452249999999999</v>
      </c>
      <c r="B438">
        <v>31.864709999999999</v>
      </c>
      <c r="C438">
        <v>56.461089999999999</v>
      </c>
      <c r="D438">
        <v>31.865680000000001</v>
      </c>
      <c r="E438" s="13">
        <v>986.15003576171205</v>
      </c>
      <c r="F438" s="13">
        <v>3.4764511729966499</v>
      </c>
      <c r="G438" s="13">
        <f t="shared" si="92"/>
        <v>3.4764511729966499</v>
      </c>
      <c r="H438" s="13">
        <v>3.4772596371343099</v>
      </c>
      <c r="I438" s="13">
        <f t="shared" si="93"/>
        <v>3.4772596371343099</v>
      </c>
      <c r="J438" s="11">
        <v>986.15</v>
      </c>
      <c r="K438" s="11">
        <v>3.476451</v>
      </c>
      <c r="L438" s="12">
        <v>183.47726</v>
      </c>
      <c r="M438" s="18">
        <f t="shared" si="94"/>
        <v>3.4772600000000011</v>
      </c>
      <c r="N438" s="17">
        <f t="shared" si="85"/>
        <v>986.15003575423862</v>
      </c>
      <c r="O438" s="14">
        <f t="shared" si="86"/>
        <v>7.5783921110273245E-12</v>
      </c>
      <c r="P438" s="24">
        <f t="shared" si="87"/>
        <v>7.4734316513058729E-9</v>
      </c>
      <c r="Q438" s="2">
        <f t="shared" si="95"/>
        <v>3.625638963465928E-8</v>
      </c>
      <c r="R438" s="19">
        <f t="shared" si="96"/>
        <v>3.5754238638219249E-5</v>
      </c>
      <c r="S438" s="16">
        <f t="shared" si="97"/>
        <v>3.4764511692529707</v>
      </c>
      <c r="T438" s="23">
        <f t="shared" si="88"/>
        <v>3.7436791444633855E-9</v>
      </c>
      <c r="U438" s="22">
        <f t="shared" si="89"/>
        <v>1.6925297074976697E-7</v>
      </c>
      <c r="V438" s="16">
        <f t="shared" si="98"/>
        <v>3.4772596333891572</v>
      </c>
      <c r="W438" s="23">
        <f t="shared" si="90"/>
        <v>3.745152632461668E-9</v>
      </c>
      <c r="X438" s="22">
        <f t="shared" si="91"/>
        <v>3.6661084390487986E-7</v>
      </c>
    </row>
    <row r="439" spans="1:24" x14ac:dyDescent="0.45">
      <c r="A439">
        <v>-56.815989999999999</v>
      </c>
      <c r="B439">
        <v>102.50293000000001</v>
      </c>
      <c r="C439">
        <v>-56.801220000000001</v>
      </c>
      <c r="D439">
        <v>102.51172</v>
      </c>
      <c r="E439" s="13">
        <v>1730.15676372386</v>
      </c>
      <c r="F439" s="13">
        <v>18.0830495113951</v>
      </c>
      <c r="G439" s="13">
        <f t="shared" si="92"/>
        <v>18.0830495113951</v>
      </c>
      <c r="H439" s="13">
        <v>18.075693630242</v>
      </c>
      <c r="I439" s="13">
        <f t="shared" si="93"/>
        <v>18.075693630242</v>
      </c>
      <c r="J439" s="9">
        <v>1730.1569999999999</v>
      </c>
      <c r="K439" s="9">
        <v>18.08305</v>
      </c>
      <c r="L439" s="10">
        <v>198.075694</v>
      </c>
      <c r="M439" s="18">
        <f t="shared" si="94"/>
        <v>18.075693999999999</v>
      </c>
      <c r="N439" s="17">
        <f t="shared" si="85"/>
        <v>1730.156763548981</v>
      </c>
      <c r="O439" s="14">
        <f t="shared" si="86"/>
        <v>1.0107697126967548E-10</v>
      </c>
      <c r="P439" s="24">
        <f t="shared" si="87"/>
        <v>1.748790054989513E-7</v>
      </c>
      <c r="Q439" s="2">
        <f t="shared" si="95"/>
        <v>1.3666448707466135E-7</v>
      </c>
      <c r="R439" s="19">
        <f t="shared" si="96"/>
        <v>2.3645101896363485E-4</v>
      </c>
      <c r="S439" s="16">
        <f t="shared" si="97"/>
        <v>18.083049494121276</v>
      </c>
      <c r="T439" s="23">
        <f t="shared" si="88"/>
        <v>1.7273823260666177E-8</v>
      </c>
      <c r="U439" s="22">
        <f t="shared" si="89"/>
        <v>5.0587872379992405E-7</v>
      </c>
      <c r="V439" s="16">
        <f t="shared" si="98"/>
        <v>18.07569361297692</v>
      </c>
      <c r="W439" s="23">
        <f t="shared" si="90"/>
        <v>1.7265080032302649E-8</v>
      </c>
      <c r="X439" s="22">
        <f t="shared" si="91"/>
        <v>3.8702307847415796E-7</v>
      </c>
    </row>
    <row r="440" spans="1:24" x14ac:dyDescent="0.45">
      <c r="A440">
        <v>3.5921099999999999</v>
      </c>
      <c r="B440">
        <v>-66.121020000000001</v>
      </c>
      <c r="C440">
        <v>3.5897700000000001</v>
      </c>
      <c r="D440">
        <v>-66.107330000000005</v>
      </c>
      <c r="E440" s="13">
        <v>1542.8445930073799</v>
      </c>
      <c r="F440" s="13">
        <v>99.654404483610307</v>
      </c>
      <c r="G440" s="13">
        <f t="shared" si="92"/>
        <v>99.654404483610307</v>
      </c>
      <c r="H440" s="13">
        <v>99.655261925331601</v>
      </c>
      <c r="I440" s="13">
        <f t="shared" si="93"/>
        <v>99.655261925331601</v>
      </c>
      <c r="J440" s="11">
        <v>1542.845</v>
      </c>
      <c r="K440" s="11">
        <v>99.654404</v>
      </c>
      <c r="L440" s="12">
        <v>279.65526199999999</v>
      </c>
      <c r="M440" s="18">
        <f t="shared" si="94"/>
        <v>99.655261999999993</v>
      </c>
      <c r="N440" s="17">
        <f t="shared" si="85"/>
        <v>1542.8445928081583</v>
      </c>
      <c r="O440" s="14">
        <f t="shared" si="86"/>
        <v>1.2912618166135076E-10</v>
      </c>
      <c r="P440" s="24">
        <f t="shared" si="87"/>
        <v>1.9922163119190373E-7</v>
      </c>
      <c r="Q440" s="2">
        <f t="shared" si="95"/>
        <v>2.6392271534691648E-7</v>
      </c>
      <c r="R440" s="19">
        <f t="shared" si="96"/>
        <v>4.0719184175941336E-4</v>
      </c>
      <c r="S440" s="16">
        <f t="shared" si="97"/>
        <v>99.654404484805198</v>
      </c>
      <c r="T440" s="23">
        <f t="shared" si="88"/>
        <v>1.1948912970183301E-9</v>
      </c>
      <c r="U440" s="22">
        <f t="shared" si="89"/>
        <v>4.8480519865279348E-7</v>
      </c>
      <c r="V440" s="16">
        <f t="shared" si="98"/>
        <v>99.655261926526279</v>
      </c>
      <c r="W440" s="23">
        <f t="shared" si="90"/>
        <v>1.194678134197602E-9</v>
      </c>
      <c r="X440" s="22">
        <f t="shared" si="91"/>
        <v>7.3473714223837305E-8</v>
      </c>
    </row>
    <row r="441" spans="1:24" x14ac:dyDescent="0.45">
      <c r="A441">
        <v>3.76294</v>
      </c>
      <c r="B441">
        <v>-163.57273000000001</v>
      </c>
      <c r="C441">
        <v>3.7467999999999901</v>
      </c>
      <c r="D441">
        <v>-163.58038999999999</v>
      </c>
      <c r="E441" s="13">
        <v>1977.2023915823499</v>
      </c>
      <c r="F441" s="13">
        <v>-154.509974710503</v>
      </c>
      <c r="G441" s="13">
        <f t="shared" si="92"/>
        <v>205.490025289497</v>
      </c>
      <c r="H441" s="13">
        <v>-154.51047634816399</v>
      </c>
      <c r="I441" s="13">
        <f t="shared" si="93"/>
        <v>205.48952365183601</v>
      </c>
      <c r="J441" s="9">
        <v>1977.202</v>
      </c>
      <c r="K441" s="9">
        <v>205.490025</v>
      </c>
      <c r="L441" s="10">
        <v>25.489523999999999</v>
      </c>
      <c r="M441" s="18">
        <f t="shared" si="94"/>
        <v>205.48952399999999</v>
      </c>
      <c r="N441" s="17">
        <f t="shared" si="85"/>
        <v>1977.2023915254706</v>
      </c>
      <c r="O441" s="14">
        <f t="shared" si="86"/>
        <v>2.8767588054558062E-11</v>
      </c>
      <c r="P441" s="24">
        <f t="shared" si="87"/>
        <v>5.6879343901528046E-8</v>
      </c>
      <c r="Q441" s="2">
        <f t="shared" si="95"/>
        <v>1.9801996488188483E-7</v>
      </c>
      <c r="R441" s="19">
        <f t="shared" si="96"/>
        <v>3.9152547060439247E-4</v>
      </c>
      <c r="S441" s="16">
        <f t="shared" si="97"/>
        <v>205.49002528678764</v>
      </c>
      <c r="T441" s="23">
        <f t="shared" si="88"/>
        <v>2.7093562948721228E-9</v>
      </c>
      <c r="U441" s="22">
        <f t="shared" si="89"/>
        <v>2.867876389700541E-7</v>
      </c>
      <c r="V441" s="16">
        <f t="shared" si="98"/>
        <v>205.48952364912645</v>
      </c>
      <c r="W441" s="23">
        <f t="shared" si="90"/>
        <v>2.7095552468381356E-9</v>
      </c>
      <c r="X441" s="22">
        <f t="shared" si="91"/>
        <v>3.5087353467133653E-7</v>
      </c>
    </row>
    <row r="442" spans="1:24" x14ac:dyDescent="0.45">
      <c r="A442">
        <v>79.306939999999997</v>
      </c>
      <c r="B442">
        <v>33.284829999999999</v>
      </c>
      <c r="C442">
        <v>79.30641</v>
      </c>
      <c r="D442">
        <v>33.269520000000099</v>
      </c>
      <c r="E442" s="13">
        <v>322.735602264671</v>
      </c>
      <c r="F442" s="13">
        <v>-100.55808386557101</v>
      </c>
      <c r="G442" s="13">
        <f t="shared" si="92"/>
        <v>259.44191613442899</v>
      </c>
      <c r="H442" s="13">
        <v>-100.57312799854699</v>
      </c>
      <c r="I442" s="13">
        <f t="shared" si="93"/>
        <v>259.42687200145303</v>
      </c>
      <c r="J442" s="11">
        <v>322.73599999999999</v>
      </c>
      <c r="K442" s="11">
        <v>259.44191599999999</v>
      </c>
      <c r="L442" s="12">
        <v>79.426872000000003</v>
      </c>
      <c r="M442" s="18">
        <f t="shared" si="94"/>
        <v>259.426872</v>
      </c>
      <c r="N442" s="17">
        <f t="shared" si="85"/>
        <v>322.73560226345552</v>
      </c>
      <c r="O442" s="14">
        <f t="shared" si="86"/>
        <v>3.7661876067328236E-12</v>
      </c>
      <c r="P442" s="24">
        <f t="shared" si="87"/>
        <v>1.2154828255006578E-9</v>
      </c>
      <c r="Q442" s="2">
        <f t="shared" si="95"/>
        <v>1.2323897689479086E-6</v>
      </c>
      <c r="R442" s="19">
        <f t="shared" si="96"/>
        <v>3.9773654447117224E-4</v>
      </c>
      <c r="S442" s="16">
        <f t="shared" si="97"/>
        <v>259.44191613441694</v>
      </c>
      <c r="T442" s="23">
        <f t="shared" si="88"/>
        <v>1.2050804798491299E-11</v>
      </c>
      <c r="U442" s="22">
        <f t="shared" si="89"/>
        <v>1.3441695045912638E-7</v>
      </c>
      <c r="V442" s="16">
        <f t="shared" si="98"/>
        <v>259.42687200142279</v>
      </c>
      <c r="W442" s="23">
        <f t="shared" si="90"/>
        <v>3.0240698833949864E-11</v>
      </c>
      <c r="X442" s="22">
        <f t="shared" si="91"/>
        <v>1.4227907740860246E-9</v>
      </c>
    </row>
    <row r="443" spans="1:24" x14ac:dyDescent="0.45">
      <c r="A443">
        <v>52.785359999999997</v>
      </c>
      <c r="B443">
        <v>24.786860000000001</v>
      </c>
      <c r="C443">
        <v>52.79571</v>
      </c>
      <c r="D443">
        <v>24.794979999999999</v>
      </c>
      <c r="E443" s="13">
        <v>1275.40250437482</v>
      </c>
      <c r="F443" s="13">
        <v>25.432777840665501</v>
      </c>
      <c r="G443" s="13">
        <f t="shared" si="92"/>
        <v>25.432777840665501</v>
      </c>
      <c r="H443" s="13">
        <v>25.439244852540799</v>
      </c>
      <c r="I443" s="13">
        <f t="shared" si="93"/>
        <v>25.439244852540799</v>
      </c>
      <c r="J443" s="9">
        <v>1275.403</v>
      </c>
      <c r="K443" s="9">
        <v>25.432777999999999</v>
      </c>
      <c r="L443" s="10">
        <v>205.439245</v>
      </c>
      <c r="M443" s="18">
        <f t="shared" si="94"/>
        <v>25.439245000000028</v>
      </c>
      <c r="N443" s="17">
        <f t="shared" si="85"/>
        <v>1275.4025039341022</v>
      </c>
      <c r="O443" s="14">
        <f t="shared" si="86"/>
        <v>3.4555186419884166E-10</v>
      </c>
      <c r="P443" s="24">
        <f t="shared" si="87"/>
        <v>4.4071771299059037E-7</v>
      </c>
      <c r="Q443" s="2">
        <f t="shared" si="95"/>
        <v>3.889483541891881E-7</v>
      </c>
      <c r="R443" s="19">
        <f t="shared" si="96"/>
        <v>4.9606589777795307E-4</v>
      </c>
      <c r="S443" s="16">
        <f t="shared" si="97"/>
        <v>25.432777799279805</v>
      </c>
      <c r="T443" s="23">
        <f t="shared" si="88"/>
        <v>4.138569664746683E-8</v>
      </c>
      <c r="U443" s="22">
        <f t="shared" si="89"/>
        <v>2.0072019424333121E-7</v>
      </c>
      <c r="V443" s="16">
        <f t="shared" si="98"/>
        <v>25.439244811147066</v>
      </c>
      <c r="W443" s="23">
        <f t="shared" si="90"/>
        <v>4.1393732885808276E-8</v>
      </c>
      <c r="X443" s="22">
        <f t="shared" si="91"/>
        <v>1.8885296171333721E-7</v>
      </c>
    </row>
    <row r="444" spans="1:24" x14ac:dyDescent="0.45">
      <c r="A444">
        <v>-14.77899</v>
      </c>
      <c r="B444">
        <v>168.72504000000001</v>
      </c>
      <c r="C444">
        <v>-14.77366</v>
      </c>
      <c r="D444">
        <v>168.72167999999999</v>
      </c>
      <c r="E444" s="13">
        <v>691.85120461310203</v>
      </c>
      <c r="F444" s="13">
        <v>-31.5248383516441</v>
      </c>
      <c r="G444" s="13">
        <f t="shared" si="92"/>
        <v>328.47516164835588</v>
      </c>
      <c r="H444" s="13">
        <v>-31.523981396282501</v>
      </c>
      <c r="I444" s="13">
        <f t="shared" si="93"/>
        <v>328.47601860371748</v>
      </c>
      <c r="J444" s="11">
        <v>691.851</v>
      </c>
      <c r="K444" s="11">
        <v>328.47516200000001</v>
      </c>
      <c r="L444" s="12">
        <v>148.47601900000001</v>
      </c>
      <c r="M444" s="18">
        <f t="shared" si="94"/>
        <v>328.47601900000001</v>
      </c>
      <c r="N444" s="17">
        <f t="shared" si="85"/>
        <v>691.85120459072812</v>
      </c>
      <c r="O444" s="14">
        <f t="shared" si="86"/>
        <v>3.2339194576728632E-11</v>
      </c>
      <c r="P444" s="24">
        <f t="shared" si="87"/>
        <v>2.23739107241272E-8</v>
      </c>
      <c r="Q444" s="2">
        <f t="shared" si="95"/>
        <v>2.9571501395124406E-7</v>
      </c>
      <c r="R444" s="19">
        <f t="shared" si="96"/>
        <v>2.0459072811718215E-4</v>
      </c>
      <c r="S444" s="16">
        <f t="shared" si="97"/>
        <v>328.47516165089735</v>
      </c>
      <c r="T444" s="23">
        <f t="shared" si="88"/>
        <v>2.5414692572667263E-9</v>
      </c>
      <c r="U444" s="22">
        <f t="shared" si="89"/>
        <v>3.4910266322185635E-7</v>
      </c>
      <c r="V444" s="16">
        <f t="shared" si="98"/>
        <v>328.4760186062619</v>
      </c>
      <c r="W444" s="23">
        <f t="shared" si="90"/>
        <v>2.5444251150474884E-9</v>
      </c>
      <c r="X444" s="22">
        <f t="shared" si="91"/>
        <v>3.9373810523102293E-7</v>
      </c>
    </row>
    <row r="445" spans="1:24" x14ac:dyDescent="0.45">
      <c r="A445">
        <v>-76.711770000000001</v>
      </c>
      <c r="B445">
        <v>152.99822</v>
      </c>
      <c r="C445">
        <v>-76.696039999999996</v>
      </c>
      <c r="D445">
        <v>152.98639</v>
      </c>
      <c r="E445" s="13">
        <v>1782.0986076353399</v>
      </c>
      <c r="F445" s="13">
        <v>-9.8221344709112408</v>
      </c>
      <c r="G445" s="13">
        <f t="shared" si="92"/>
        <v>350.17786552908876</v>
      </c>
      <c r="H445" s="13">
        <v>-9.8106215792790596</v>
      </c>
      <c r="I445" s="13">
        <f t="shared" si="93"/>
        <v>350.18937842072091</v>
      </c>
      <c r="J445" s="9">
        <v>1782.0989999999999</v>
      </c>
      <c r="K445" s="9">
        <v>350.17786599999999</v>
      </c>
      <c r="L445" s="10">
        <v>170.189378</v>
      </c>
      <c r="M445" s="18">
        <f t="shared" si="94"/>
        <v>350.18937800000003</v>
      </c>
      <c r="N445" s="17">
        <f t="shared" si="85"/>
        <v>1782.0986076342108</v>
      </c>
      <c r="O445" s="14">
        <f t="shared" si="86"/>
        <v>6.335999968875679E-13</v>
      </c>
      <c r="P445" s="24">
        <f t="shared" si="87"/>
        <v>1.1291376722510904E-9</v>
      </c>
      <c r="Q445" s="2">
        <f t="shared" si="95"/>
        <v>2.2017059048860279E-7</v>
      </c>
      <c r="R445" s="19">
        <f t="shared" si="96"/>
        <v>3.9236578913914855E-4</v>
      </c>
      <c r="S445" s="16">
        <f t="shared" si="97"/>
        <v>350.17786552911997</v>
      </c>
      <c r="T445" s="23">
        <f t="shared" si="88"/>
        <v>3.12070369545836E-11</v>
      </c>
      <c r="U445" s="22">
        <f t="shared" si="89"/>
        <v>4.7088002474993118E-7</v>
      </c>
      <c r="V445" s="16">
        <f t="shared" si="98"/>
        <v>350.18937842075144</v>
      </c>
      <c r="W445" s="23">
        <f t="shared" si="90"/>
        <v>3.0524915928253904E-11</v>
      </c>
      <c r="X445" s="22">
        <f t="shared" si="91"/>
        <v>4.207514052723127E-7</v>
      </c>
    </row>
    <row r="446" spans="1:24" x14ac:dyDescent="0.45">
      <c r="A446">
        <v>-87.185119999999998</v>
      </c>
      <c r="B446">
        <v>-4.5728299999999997</v>
      </c>
      <c r="C446">
        <v>-87.177499999999995</v>
      </c>
      <c r="D446">
        <v>-4.5648200000000498</v>
      </c>
      <c r="E446" s="13">
        <v>852.22369310244903</v>
      </c>
      <c r="F446" s="13">
        <v>2.96317313189589</v>
      </c>
      <c r="G446" s="13">
        <f t="shared" si="92"/>
        <v>2.96317313189589</v>
      </c>
      <c r="H446" s="13">
        <v>2.95517282278227</v>
      </c>
      <c r="I446" s="13">
        <f t="shared" si="93"/>
        <v>2.95517282278227</v>
      </c>
      <c r="J446" s="11">
        <v>852.22400000000005</v>
      </c>
      <c r="K446" s="11">
        <v>2.9631729999999998</v>
      </c>
      <c r="L446" s="12">
        <v>182.955173</v>
      </c>
      <c r="M446" s="18">
        <f t="shared" si="94"/>
        <v>2.955173000000002</v>
      </c>
      <c r="N446" s="17">
        <f t="shared" si="85"/>
        <v>852.22369310285796</v>
      </c>
      <c r="O446" s="14">
        <f t="shared" si="86"/>
        <v>4.7984063174302485E-13</v>
      </c>
      <c r="P446" s="24">
        <f t="shared" si="87"/>
        <v>4.0893155528465286E-10</v>
      </c>
      <c r="Q446" s="2">
        <f t="shared" si="95"/>
        <v>3.6011323558319457E-7</v>
      </c>
      <c r="R446" s="19">
        <f t="shared" si="96"/>
        <v>3.0689714208165242E-4</v>
      </c>
      <c r="S446" s="16">
        <f t="shared" si="97"/>
        <v>2.9631731317010841</v>
      </c>
      <c r="T446" s="23">
        <f t="shared" si="88"/>
        <v>1.9480594914966787E-10</v>
      </c>
      <c r="U446" s="22">
        <f t="shared" si="89"/>
        <v>1.3170108426052707E-7</v>
      </c>
      <c r="V446" s="16">
        <f t="shared" si="98"/>
        <v>2.955172822588001</v>
      </c>
      <c r="W446" s="23">
        <f t="shared" si="90"/>
        <v>1.9426904529495914E-10</v>
      </c>
      <c r="X446" s="22">
        <f t="shared" si="91"/>
        <v>1.7741200109000488E-7</v>
      </c>
    </row>
    <row r="447" spans="1:24" x14ac:dyDescent="0.45">
      <c r="A447">
        <v>-74.809799999999996</v>
      </c>
      <c r="B447">
        <v>-119.45243000000001</v>
      </c>
      <c r="C447">
        <v>-74.807069999999996</v>
      </c>
      <c r="D447">
        <v>-119.4568</v>
      </c>
      <c r="E447" s="13">
        <v>330.457819188234</v>
      </c>
      <c r="F447" s="13">
        <v>-22.768024720859401</v>
      </c>
      <c r="G447" s="13">
        <f t="shared" si="92"/>
        <v>337.23197527914061</v>
      </c>
      <c r="H447" s="13">
        <v>-22.763807430144801</v>
      </c>
      <c r="I447" s="13">
        <f t="shared" si="93"/>
        <v>337.23619256985518</v>
      </c>
      <c r="J447" s="9">
        <v>330.45800000000003</v>
      </c>
      <c r="K447" s="9">
        <v>337.23197499999998</v>
      </c>
      <c r="L447" s="10">
        <v>157.23619299999999</v>
      </c>
      <c r="M447" s="18">
        <f t="shared" si="94"/>
        <v>337.23619299999996</v>
      </c>
      <c r="N447" s="17">
        <f t="shared" si="85"/>
        <v>330.45781918839549</v>
      </c>
      <c r="O447" s="14">
        <f t="shared" si="86"/>
        <v>4.8869218280341879E-13</v>
      </c>
      <c r="P447" s="24">
        <f t="shared" si="87"/>
        <v>1.6149215298355557E-10</v>
      </c>
      <c r="Q447" s="2">
        <f t="shared" si="95"/>
        <v>5.4715456892179014E-7</v>
      </c>
      <c r="R447" s="19">
        <f t="shared" si="96"/>
        <v>1.8081160453675693E-4</v>
      </c>
      <c r="S447" s="16">
        <f t="shared" si="97"/>
        <v>337.23197527936549</v>
      </c>
      <c r="T447" s="23">
        <f t="shared" si="88"/>
        <v>2.2487256501335651E-10</v>
      </c>
      <c r="U447" s="22">
        <f t="shared" si="89"/>
        <v>2.7936550850427011E-7</v>
      </c>
      <c r="V447" s="16">
        <f t="shared" si="98"/>
        <v>337.23619257007459</v>
      </c>
      <c r="W447" s="23">
        <f t="shared" si="90"/>
        <v>2.1941559680271894E-10</v>
      </c>
      <c r="X447" s="22">
        <f t="shared" si="91"/>
        <v>4.299253646422585E-7</v>
      </c>
    </row>
    <row r="448" spans="1:24" x14ac:dyDescent="0.45">
      <c r="A448">
        <v>-39.632620000000003</v>
      </c>
      <c r="B448">
        <v>163.01391000000001</v>
      </c>
      <c r="C448">
        <v>-39.625340000000001</v>
      </c>
      <c r="D448">
        <v>163.00027</v>
      </c>
      <c r="E448" s="13">
        <v>1422.9121222127101</v>
      </c>
      <c r="F448" s="13">
        <v>-55.390234278961401</v>
      </c>
      <c r="G448" s="13">
        <f t="shared" si="92"/>
        <v>304.60976572103857</v>
      </c>
      <c r="H448" s="13">
        <v>-55.381534500991997</v>
      </c>
      <c r="I448" s="13">
        <f t="shared" si="93"/>
        <v>304.61846549900798</v>
      </c>
      <c r="J448" s="11">
        <v>1422.912</v>
      </c>
      <c r="K448" s="11">
        <v>304.60976599999998</v>
      </c>
      <c r="L448" s="12">
        <v>124.618465</v>
      </c>
      <c r="M448" s="18">
        <f t="shared" si="94"/>
        <v>304.61846500000001</v>
      </c>
      <c r="N448" s="17">
        <f t="shared" si="85"/>
        <v>1422.9121221945563</v>
      </c>
      <c r="O448" s="14">
        <f t="shared" si="86"/>
        <v>1.2758160773015961E-11</v>
      </c>
      <c r="P448" s="24">
        <f t="shared" si="87"/>
        <v>1.8153741621063091E-8</v>
      </c>
      <c r="Q448" s="2">
        <f t="shared" si="95"/>
        <v>8.5876397343948493E-8</v>
      </c>
      <c r="R448" s="19">
        <f t="shared" si="96"/>
        <v>1.2219455629747245E-4</v>
      </c>
      <c r="S448" s="16">
        <f t="shared" si="97"/>
        <v>304.60976572129999</v>
      </c>
      <c r="T448" s="23">
        <f t="shared" si="88"/>
        <v>2.6142288334085606E-10</v>
      </c>
      <c r="U448" s="22">
        <f t="shared" si="89"/>
        <v>2.7869998575624777E-7</v>
      </c>
      <c r="V448" s="16">
        <f t="shared" si="98"/>
        <v>304.61846549925917</v>
      </c>
      <c r="W448" s="23">
        <f t="shared" si="90"/>
        <v>2.5119106794591062E-10</v>
      </c>
      <c r="X448" s="22">
        <f t="shared" si="91"/>
        <v>4.9925915845960844E-7</v>
      </c>
    </row>
    <row r="449" spans="1:24" x14ac:dyDescent="0.45">
      <c r="A449">
        <v>40.855229999999999</v>
      </c>
      <c r="B449">
        <v>149.37409</v>
      </c>
      <c r="C449">
        <v>40.846080000000001</v>
      </c>
      <c r="D449">
        <v>149.37535</v>
      </c>
      <c r="E449" s="13">
        <v>1021.6566764596</v>
      </c>
      <c r="F449" s="13">
        <v>174.030203887292</v>
      </c>
      <c r="G449" s="13">
        <f t="shared" si="92"/>
        <v>174.030203887292</v>
      </c>
      <c r="H449" s="13">
        <v>174.03102804019801</v>
      </c>
      <c r="I449" s="13">
        <f t="shared" si="93"/>
        <v>174.03102804019801</v>
      </c>
      <c r="J449" s="9">
        <v>1021.657</v>
      </c>
      <c r="K449" s="9">
        <v>174.030204</v>
      </c>
      <c r="L449" s="10">
        <v>354.03102799999999</v>
      </c>
      <c r="M449" s="18">
        <f t="shared" si="94"/>
        <v>174.03102799999999</v>
      </c>
      <c r="N449" s="17">
        <f t="shared" si="85"/>
        <v>1021.6566763765353</v>
      </c>
      <c r="O449" s="14">
        <f t="shared" si="86"/>
        <v>8.1303946287473629E-11</v>
      </c>
      <c r="P449" s="24">
        <f t="shared" si="87"/>
        <v>8.3064719547110144E-8</v>
      </c>
      <c r="Q449" s="2">
        <f t="shared" si="95"/>
        <v>3.1676332148408501E-7</v>
      </c>
      <c r="R449" s="19">
        <f t="shared" si="96"/>
        <v>3.2362346473746584E-4</v>
      </c>
      <c r="S449" s="16">
        <f t="shared" si="97"/>
        <v>174.03020392951743</v>
      </c>
      <c r="T449" s="23">
        <f t="shared" si="88"/>
        <v>4.2225423158015474E-8</v>
      </c>
      <c r="U449" s="22">
        <f t="shared" si="89"/>
        <v>7.0482570890817442E-8</v>
      </c>
      <c r="V449" s="16">
        <f t="shared" si="98"/>
        <v>174.0310280824163</v>
      </c>
      <c r="W449" s="23">
        <f t="shared" si="90"/>
        <v>4.2218289308948442E-8</v>
      </c>
      <c r="X449" s="22">
        <f t="shared" si="91"/>
        <v>8.2416306668164907E-8</v>
      </c>
    </row>
    <row r="450" spans="1:24" x14ac:dyDescent="0.45">
      <c r="A450">
        <v>17.782340000000001</v>
      </c>
      <c r="B450">
        <v>-165.09997000000001</v>
      </c>
      <c r="C450">
        <v>17.77101</v>
      </c>
      <c r="D450">
        <v>-165.10229000000001</v>
      </c>
      <c r="E450" s="13">
        <v>1277.88321186337</v>
      </c>
      <c r="F450" s="13">
        <v>-168.90026748061601</v>
      </c>
      <c r="G450" s="13">
        <f t="shared" si="92"/>
        <v>191.09973251938399</v>
      </c>
      <c r="H450" s="13">
        <v>-168.900975794413</v>
      </c>
      <c r="I450" s="13">
        <f t="shared" si="93"/>
        <v>191.099024205587</v>
      </c>
      <c r="J450" s="11">
        <v>1277.883</v>
      </c>
      <c r="K450" s="11">
        <v>191.09973299999999</v>
      </c>
      <c r="L450" s="12">
        <v>11.099024</v>
      </c>
      <c r="M450" s="18">
        <f t="shared" si="94"/>
        <v>191.09902399999999</v>
      </c>
      <c r="N450" s="17">
        <f t="shared" si="85"/>
        <v>1277.8832118512678</v>
      </c>
      <c r="O450" s="14">
        <f t="shared" si="86"/>
        <v>9.4704986627803227E-12</v>
      </c>
      <c r="P450" s="24">
        <f t="shared" si="87"/>
        <v>1.210219124914147E-8</v>
      </c>
      <c r="Q450" s="2">
        <f t="shared" si="95"/>
        <v>1.6578299245690524E-7</v>
      </c>
      <c r="R450" s="19">
        <f t="shared" si="96"/>
        <v>2.1185126774980745E-4</v>
      </c>
      <c r="S450" s="16">
        <f t="shared" si="97"/>
        <v>191.0997325183406</v>
      </c>
      <c r="T450" s="23">
        <f t="shared" si="88"/>
        <v>1.0433893748995615E-9</v>
      </c>
      <c r="U450" s="22">
        <f t="shared" si="89"/>
        <v>4.8165938437705336E-7</v>
      </c>
      <c r="V450" s="16">
        <f t="shared" si="98"/>
        <v>191.09902420454387</v>
      </c>
      <c r="W450" s="23">
        <f t="shared" si="90"/>
        <v>1.0431335795146879E-9</v>
      </c>
      <c r="X450" s="22">
        <f t="shared" si="91"/>
        <v>2.0454388049984118E-7</v>
      </c>
    </row>
    <row r="451" spans="1:24" x14ac:dyDescent="0.45">
      <c r="A451">
        <v>-71.849580000000003</v>
      </c>
      <c r="B451">
        <v>164.75148999999999</v>
      </c>
      <c r="C451">
        <v>-71.835279999999997</v>
      </c>
      <c r="D451">
        <v>164.7542</v>
      </c>
      <c r="E451" s="13">
        <v>1598.4409779345699</v>
      </c>
      <c r="F451" s="13">
        <v>3.3833089803695202</v>
      </c>
      <c r="G451" s="13">
        <f t="shared" si="92"/>
        <v>3.3833089803695202</v>
      </c>
      <c r="H451" s="13">
        <v>3.38073392997955</v>
      </c>
      <c r="I451" s="13">
        <f t="shared" si="93"/>
        <v>3.38073392997955</v>
      </c>
      <c r="J451" s="9">
        <v>1598.441</v>
      </c>
      <c r="K451" s="9">
        <v>3.3833090000000001</v>
      </c>
      <c r="L451" s="10">
        <v>183.38073399999999</v>
      </c>
      <c r="M451" s="18">
        <f t="shared" si="94"/>
        <v>3.3807339999999613</v>
      </c>
      <c r="N451" s="17">
        <f t="shared" ref="N451:N514" si="99">VincentyInvDistance($A451,$B451,$C451,$D451)</f>
        <v>1598.4409779325279</v>
      </c>
      <c r="O451" s="14">
        <f t="shared" ref="O451:O514" si="100">ABS((E451-N451)/E451)</f>
        <v>1.2775216647625607E-12</v>
      </c>
      <c r="P451" s="24">
        <f t="shared" ref="P451:P514" si="101">ABS(E451-N451)</f>
        <v>2.0420429791556671E-9</v>
      </c>
      <c r="Q451" s="2">
        <f t="shared" si="95"/>
        <v>1.3805621961116122E-8</v>
      </c>
      <c r="R451" s="19">
        <f t="shared" si="96"/>
        <v>2.2067472173148417E-5</v>
      </c>
      <c r="S451" s="16">
        <f t="shared" si="97"/>
        <v>3.3833089802880689</v>
      </c>
      <c r="T451" s="23">
        <f t="shared" ref="T451:T514" si="102">ABS(G451-S451)</f>
        <v>8.1451290157019685E-11</v>
      </c>
      <c r="U451" s="22">
        <f t="shared" ref="U451:U514" si="103">ABS(K451-S451)</f>
        <v>1.9711931198429511E-8</v>
      </c>
      <c r="V451" s="16">
        <f t="shared" si="98"/>
        <v>3.3807339298978416</v>
      </c>
      <c r="W451" s="23">
        <f t="shared" ref="W451:W514" si="104">ABS(I451-V451)</f>
        <v>8.1708417809522871E-11</v>
      </c>
      <c r="X451" s="22">
        <f t="shared" ref="X451:X514" si="105">ABS(M451-V451)</f>
        <v>7.0102119664738893E-8</v>
      </c>
    </row>
    <row r="452" spans="1:24" x14ac:dyDescent="0.45">
      <c r="A452">
        <v>2.82131</v>
      </c>
      <c r="B452">
        <v>29.210039999999999</v>
      </c>
      <c r="C452">
        <v>2.8199299999999998</v>
      </c>
      <c r="D452">
        <v>29.196370000000002</v>
      </c>
      <c r="E452" s="13">
        <v>1527.5471660875701</v>
      </c>
      <c r="F452" s="13">
        <v>-95.732858906729106</v>
      </c>
      <c r="G452" s="13">
        <f t="shared" ref="G452:G515" si="106">NormalizeAzimuth(F452, TRUE)</f>
        <v>264.26714109327088</v>
      </c>
      <c r="H452" s="13">
        <v>-95.733531596822502</v>
      </c>
      <c r="I452" s="13">
        <f t="shared" ref="I452:I515" si="107">NormalizeAzimuth(H452, TRUE)</f>
        <v>264.2664684031775</v>
      </c>
      <c r="J452" s="11">
        <v>1527.547</v>
      </c>
      <c r="K452" s="11">
        <v>264.26714099999998</v>
      </c>
      <c r="L452" s="12">
        <v>84.266468000000003</v>
      </c>
      <c r="M452" s="18">
        <f t="shared" ref="M452:M515" si="108">NormalizeAzimuth(L452+180, TRUE)</f>
        <v>264.26646800000003</v>
      </c>
      <c r="N452" s="17">
        <f t="shared" si="99"/>
        <v>1527.5471658872866</v>
      </c>
      <c r="O452" s="14">
        <f t="shared" si="100"/>
        <v>1.3111442363459035E-10</v>
      </c>
      <c r="P452" s="24">
        <f t="shared" si="101"/>
        <v>2.0028346625622362E-7</v>
      </c>
      <c r="Q452" s="2">
        <f t="shared" ref="Q452:Q515" si="109">ABS((J452-N452)/J452)</f>
        <v>1.0859717349752289E-7</v>
      </c>
      <c r="R452" s="19">
        <f t="shared" ref="R452:R515" si="110">ABS(J452-N452)</f>
        <v>1.658872865846206E-4</v>
      </c>
      <c r="S452" s="16">
        <f t="shared" ref="S452:S515" si="111">VincentyInvFwdAzimuth($A452,$B452,$C452,$D452)</f>
        <v>264.26714109255965</v>
      </c>
      <c r="T452" s="23">
        <f t="shared" si="102"/>
        <v>7.1122485678642988E-10</v>
      </c>
      <c r="U452" s="22">
        <f t="shared" si="103"/>
        <v>9.2559673703362932E-8</v>
      </c>
      <c r="V452" s="16">
        <f t="shared" ref="V452:V515" si="112">VincentyInvRevAzimuth($A452,$B452,$C452,$D452)</f>
        <v>264.26646840246508</v>
      </c>
      <c r="W452" s="23">
        <f t="shared" si="104"/>
        <v>7.1241856858250685E-10</v>
      </c>
      <c r="X452" s="22">
        <f t="shared" si="105"/>
        <v>4.0246504795504734E-7</v>
      </c>
    </row>
    <row r="453" spans="1:24" x14ac:dyDescent="0.45">
      <c r="A453">
        <v>55.192619999999998</v>
      </c>
      <c r="B453">
        <v>139.84251</v>
      </c>
      <c r="C453">
        <v>55.192869999999999</v>
      </c>
      <c r="D453">
        <v>139.84404000000001</v>
      </c>
      <c r="E453" s="13">
        <v>101.337927667706</v>
      </c>
      <c r="F453" s="13">
        <v>74.058621788094001</v>
      </c>
      <c r="G453" s="13">
        <f t="shared" si="106"/>
        <v>74.058621788094001</v>
      </c>
      <c r="H453" s="13">
        <v>74.059878035807102</v>
      </c>
      <c r="I453" s="13">
        <f t="shared" si="107"/>
        <v>74.059878035807102</v>
      </c>
      <c r="J453" s="9">
        <v>101.33799999999999</v>
      </c>
      <c r="K453" s="9">
        <v>74.058622</v>
      </c>
      <c r="L453" s="10">
        <v>254.059878</v>
      </c>
      <c r="M453" s="18">
        <f t="shared" si="108"/>
        <v>74.059878000000026</v>
      </c>
      <c r="N453" s="17">
        <f t="shared" si="99"/>
        <v>101.33792754813719</v>
      </c>
      <c r="O453" s="14">
        <f t="shared" si="100"/>
        <v>1.179901866123565E-9</v>
      </c>
      <c r="P453" s="24">
        <f t="shared" si="101"/>
        <v>1.1956880996422115E-7</v>
      </c>
      <c r="Q453" s="2">
        <f t="shared" si="109"/>
        <v>7.1495256277145051E-7</v>
      </c>
      <c r="R453" s="19">
        <f t="shared" si="110"/>
        <v>7.2451862806133249E-5</v>
      </c>
      <c r="S453" s="16">
        <f t="shared" si="111"/>
        <v>74.058621768191514</v>
      </c>
      <c r="T453" s="23">
        <f t="shared" si="102"/>
        <v>1.9902486769751704E-8</v>
      </c>
      <c r="U453" s="22">
        <f t="shared" si="103"/>
        <v>2.3180848529591458E-7</v>
      </c>
      <c r="V453" s="16">
        <f t="shared" si="112"/>
        <v>74.059878015882589</v>
      </c>
      <c r="W453" s="23">
        <f t="shared" si="104"/>
        <v>1.9924513594560267E-8</v>
      </c>
      <c r="X453" s="22">
        <f t="shared" si="105"/>
        <v>1.5882562820479507E-8</v>
      </c>
    </row>
    <row r="454" spans="1:24" x14ac:dyDescent="0.45">
      <c r="A454">
        <v>-24.45692</v>
      </c>
      <c r="B454">
        <v>-6.3863899999999996</v>
      </c>
      <c r="C454">
        <v>-24.45722</v>
      </c>
      <c r="D454">
        <v>-6.39733999999999</v>
      </c>
      <c r="E454" s="13">
        <v>1110.70861406991</v>
      </c>
      <c r="F454" s="13">
        <v>-91.716660499033097</v>
      </c>
      <c r="G454" s="13">
        <f t="shared" si="106"/>
        <v>268.28333950096692</v>
      </c>
      <c r="H454" s="13">
        <v>-91.7121270750701</v>
      </c>
      <c r="I454" s="13">
        <f t="shared" si="107"/>
        <v>268.2878729249299</v>
      </c>
      <c r="J454" s="11">
        <v>1110.7090000000001</v>
      </c>
      <c r="K454" s="11">
        <v>268.28334000000001</v>
      </c>
      <c r="L454" s="12">
        <v>88.287873000000005</v>
      </c>
      <c r="M454" s="18">
        <f t="shared" si="108"/>
        <v>268.28787299999999</v>
      </c>
      <c r="N454" s="17">
        <f t="shared" si="99"/>
        <v>1110.7086140046815</v>
      </c>
      <c r="O454" s="14">
        <f t="shared" si="100"/>
        <v>5.8726928410854947E-11</v>
      </c>
      <c r="P454" s="24">
        <f t="shared" si="101"/>
        <v>6.5228505263803527E-8</v>
      </c>
      <c r="Q454" s="2">
        <f t="shared" si="109"/>
        <v>3.4752155473515986E-7</v>
      </c>
      <c r="R454" s="19">
        <f t="shared" si="110"/>
        <v>3.8599531853833469E-4</v>
      </c>
      <c r="S454" s="16">
        <f t="shared" si="111"/>
        <v>268.28333950090212</v>
      </c>
      <c r="T454" s="23">
        <f t="shared" si="102"/>
        <v>6.4801497501321137E-11</v>
      </c>
      <c r="U454" s="22">
        <f t="shared" si="103"/>
        <v>4.9909789368030033E-7</v>
      </c>
      <c r="V454" s="16">
        <f t="shared" si="112"/>
        <v>268.2878729248755</v>
      </c>
      <c r="W454" s="23">
        <f t="shared" si="104"/>
        <v>5.439915184979327E-11</v>
      </c>
      <c r="X454" s="22">
        <f t="shared" si="105"/>
        <v>7.5124489740119316E-8</v>
      </c>
    </row>
    <row r="455" spans="1:24" x14ac:dyDescent="0.45">
      <c r="A455">
        <v>15.65471</v>
      </c>
      <c r="B455">
        <v>-160.46109000000001</v>
      </c>
      <c r="C455">
        <v>15.668010000000001</v>
      </c>
      <c r="D455">
        <v>-160.46944999999999</v>
      </c>
      <c r="E455" s="13">
        <v>1723.1645399239101</v>
      </c>
      <c r="F455" s="13">
        <v>-31.340989772206299</v>
      </c>
      <c r="G455" s="13">
        <f t="shared" si="106"/>
        <v>328.65901022779371</v>
      </c>
      <c r="H455" s="13">
        <v>-31.3432465638374</v>
      </c>
      <c r="I455" s="13">
        <f t="shared" si="107"/>
        <v>328.6567534361626</v>
      </c>
      <c r="J455" s="9">
        <v>1723.165</v>
      </c>
      <c r="K455" s="9">
        <v>328.65901000000002</v>
      </c>
      <c r="L455" s="10">
        <v>148.65675300000001</v>
      </c>
      <c r="M455" s="18">
        <f t="shared" si="108"/>
        <v>328.65675299999998</v>
      </c>
      <c r="N455" s="17">
        <f t="shared" si="99"/>
        <v>1723.1645398701785</v>
      </c>
      <c r="O455" s="14">
        <f t="shared" si="100"/>
        <v>3.118192226789008E-11</v>
      </c>
      <c r="P455" s="24">
        <f t="shared" si="101"/>
        <v>5.3731582738691941E-8</v>
      </c>
      <c r="Q455" s="2">
        <f t="shared" si="109"/>
        <v>2.6702597921649103E-7</v>
      </c>
      <c r="R455" s="19">
        <f t="shared" si="110"/>
        <v>4.6012982147658477E-4</v>
      </c>
      <c r="S455" s="16">
        <f t="shared" si="111"/>
        <v>328.65901023014248</v>
      </c>
      <c r="T455" s="23">
        <f t="shared" si="102"/>
        <v>2.3487700673285872E-9</v>
      </c>
      <c r="U455" s="22">
        <f t="shared" si="103"/>
        <v>2.3014246153252316E-7</v>
      </c>
      <c r="V455" s="16">
        <f t="shared" si="112"/>
        <v>328.65675343850916</v>
      </c>
      <c r="W455" s="23">
        <f t="shared" si="104"/>
        <v>2.3465531739930157E-9</v>
      </c>
      <c r="X455" s="22">
        <f t="shared" si="105"/>
        <v>4.385091756375914E-7</v>
      </c>
    </row>
    <row r="456" spans="1:24" x14ac:dyDescent="0.45">
      <c r="A456">
        <v>62.698320000000002</v>
      </c>
      <c r="B456">
        <v>-127.27108</v>
      </c>
      <c r="C456">
        <v>62.69576</v>
      </c>
      <c r="D456">
        <v>-127.27967</v>
      </c>
      <c r="E456" s="13">
        <v>524.23572813843202</v>
      </c>
      <c r="F456" s="13">
        <v>-122.971457117672</v>
      </c>
      <c r="G456" s="13">
        <f t="shared" si="106"/>
        <v>237.028542882328</v>
      </c>
      <c r="H456" s="13">
        <v>-122.97909013615801</v>
      </c>
      <c r="I456" s="13">
        <f t="shared" si="107"/>
        <v>237.02090986384201</v>
      </c>
      <c r="J456" s="11">
        <v>524.23599999999999</v>
      </c>
      <c r="K456" s="11">
        <v>237.02854300000001</v>
      </c>
      <c r="L456" s="12">
        <v>57.020910000000001</v>
      </c>
      <c r="M456" s="18">
        <f t="shared" si="108"/>
        <v>237.02091000000001</v>
      </c>
      <c r="N456" s="17">
        <f t="shared" si="99"/>
        <v>524.23572800660338</v>
      </c>
      <c r="O456" s="14">
        <f t="shared" si="100"/>
        <v>2.5146825206447414E-10</v>
      </c>
      <c r="P456" s="24">
        <f t="shared" si="101"/>
        <v>1.3182864222471835E-7</v>
      </c>
      <c r="Q456" s="2">
        <f t="shared" si="109"/>
        <v>5.1883769258331141E-7</v>
      </c>
      <c r="R456" s="19">
        <f t="shared" si="110"/>
        <v>2.7199339660910482E-4</v>
      </c>
      <c r="S456" s="16">
        <f t="shared" si="111"/>
        <v>237.02854287290677</v>
      </c>
      <c r="T456" s="23">
        <f t="shared" si="102"/>
        <v>9.4212282419903204E-9</v>
      </c>
      <c r="U456" s="22">
        <f t="shared" si="103"/>
        <v>1.2709324437309988E-7</v>
      </c>
      <c r="V456" s="16">
        <f t="shared" si="112"/>
        <v>237.02090985444013</v>
      </c>
      <c r="W456" s="23">
        <f t="shared" si="104"/>
        <v>9.4018730578682153E-9</v>
      </c>
      <c r="X456" s="22">
        <f t="shared" si="105"/>
        <v>1.4555988059328229E-7</v>
      </c>
    </row>
    <row r="457" spans="1:24" x14ac:dyDescent="0.45">
      <c r="A457">
        <v>5.4274500000000003</v>
      </c>
      <c r="B457">
        <v>-103.73072999999999</v>
      </c>
      <c r="C457">
        <v>5.4354500000000003</v>
      </c>
      <c r="D457">
        <v>-103.73578999999999</v>
      </c>
      <c r="E457" s="13">
        <v>1047.4275437235201</v>
      </c>
      <c r="F457" s="13">
        <v>-32.368970869597099</v>
      </c>
      <c r="G457" s="13">
        <f t="shared" si="106"/>
        <v>327.63102913040291</v>
      </c>
      <c r="H457" s="13">
        <v>-32.369449822730203</v>
      </c>
      <c r="I457" s="13">
        <f t="shared" si="107"/>
        <v>327.63055017726981</v>
      </c>
      <c r="J457" s="9">
        <v>1047.4280000000001</v>
      </c>
      <c r="K457" s="9">
        <v>327.63102900000001</v>
      </c>
      <c r="L457" s="10">
        <v>147.63055</v>
      </c>
      <c r="M457" s="18">
        <f t="shared" si="108"/>
        <v>327.63054999999997</v>
      </c>
      <c r="N457" s="17">
        <f t="shared" si="99"/>
        <v>1047.4275436786281</v>
      </c>
      <c r="O457" s="14">
        <f t="shared" si="100"/>
        <v>4.2859266617047389E-11</v>
      </c>
      <c r="P457" s="24">
        <f t="shared" si="101"/>
        <v>4.4891976358485408E-8</v>
      </c>
      <c r="Q457" s="2">
        <f t="shared" si="109"/>
        <v>4.3565893978852345E-7</v>
      </c>
      <c r="R457" s="19">
        <f t="shared" si="110"/>
        <v>4.563213719848136E-4</v>
      </c>
      <c r="S457" s="16">
        <f t="shared" si="111"/>
        <v>327.63102913363508</v>
      </c>
      <c r="T457" s="23">
        <f t="shared" si="102"/>
        <v>3.2321736398444045E-9</v>
      </c>
      <c r="U457" s="22">
        <f t="shared" si="103"/>
        <v>1.3363506923269597E-7</v>
      </c>
      <c r="V457" s="16">
        <f t="shared" si="112"/>
        <v>327.63055018050028</v>
      </c>
      <c r="W457" s="23">
        <f t="shared" si="104"/>
        <v>3.2304683372785803E-9</v>
      </c>
      <c r="X457" s="22">
        <f t="shared" si="105"/>
        <v>1.8050030803351547E-7</v>
      </c>
    </row>
    <row r="458" spans="1:24" x14ac:dyDescent="0.45">
      <c r="A458">
        <v>-18.43451</v>
      </c>
      <c r="B458">
        <v>126.04848</v>
      </c>
      <c r="C458">
        <v>-18.418959999999998</v>
      </c>
      <c r="D458">
        <v>126.06346000000001</v>
      </c>
      <c r="E458" s="13">
        <v>2338.1601294455099</v>
      </c>
      <c r="F458" s="13">
        <v>42.600787098091203</v>
      </c>
      <c r="G458" s="13">
        <f t="shared" si="106"/>
        <v>42.600787098091203</v>
      </c>
      <c r="H458" s="13">
        <v>42.596052043440402</v>
      </c>
      <c r="I458" s="13">
        <f t="shared" si="107"/>
        <v>42.596052043440402</v>
      </c>
      <c r="J458" s="11">
        <v>2338.16</v>
      </c>
      <c r="K458" s="11">
        <v>42.600786999999997</v>
      </c>
      <c r="L458" s="12">
        <v>222.59605199999999</v>
      </c>
      <c r="M458" s="18">
        <f t="shared" si="108"/>
        <v>42.596051999999986</v>
      </c>
      <c r="N458" s="17">
        <f t="shared" si="99"/>
        <v>2338.1601293463773</v>
      </c>
      <c r="O458" s="14">
        <f t="shared" si="100"/>
        <v>4.2397715839934306E-11</v>
      </c>
      <c r="P458" s="24">
        <f t="shared" si="101"/>
        <v>9.9132648756494746E-8</v>
      </c>
      <c r="Q458" s="2">
        <f t="shared" si="109"/>
        <v>5.5319728946931882E-8</v>
      </c>
      <c r="R458" s="19">
        <f t="shared" si="110"/>
        <v>1.2934637743455824E-4</v>
      </c>
      <c r="S458" s="16">
        <f t="shared" si="111"/>
        <v>42.600787095872477</v>
      </c>
      <c r="T458" s="23">
        <f t="shared" si="102"/>
        <v>2.2187265358297736E-9</v>
      </c>
      <c r="U458" s="22">
        <f t="shared" si="103"/>
        <v>9.5872479732861393E-8</v>
      </c>
      <c r="V458" s="16">
        <f t="shared" si="112"/>
        <v>42.596052041220489</v>
      </c>
      <c r="W458" s="23">
        <f t="shared" si="104"/>
        <v>2.219913142198493E-9</v>
      </c>
      <c r="X458" s="22">
        <f t="shared" si="105"/>
        <v>4.1220502566829964E-8</v>
      </c>
    </row>
    <row r="459" spans="1:24" x14ac:dyDescent="0.45">
      <c r="A459">
        <v>77.062939999999998</v>
      </c>
      <c r="B459">
        <v>-82.266030000000001</v>
      </c>
      <c r="C459">
        <v>77.065079999999995</v>
      </c>
      <c r="D459">
        <v>-82.258409999999998</v>
      </c>
      <c r="E459" s="13">
        <v>305.55685174909399</v>
      </c>
      <c r="F459" s="13">
        <v>38.564675829636599</v>
      </c>
      <c r="G459" s="13">
        <f t="shared" si="106"/>
        <v>38.564675829636599</v>
      </c>
      <c r="H459" s="13">
        <v>38.572102439895701</v>
      </c>
      <c r="I459" s="13">
        <f t="shared" si="107"/>
        <v>38.572102439895701</v>
      </c>
      <c r="J459" s="9">
        <v>305.55700000000002</v>
      </c>
      <c r="K459" s="9">
        <v>38.564675999999999</v>
      </c>
      <c r="L459" s="10">
        <v>218.572102</v>
      </c>
      <c r="M459" s="18">
        <f t="shared" si="108"/>
        <v>38.572101999999973</v>
      </c>
      <c r="N459" s="17">
        <f t="shared" si="99"/>
        <v>305.55685174822042</v>
      </c>
      <c r="O459" s="14">
        <f t="shared" si="100"/>
        <v>2.8589431264667683E-12</v>
      </c>
      <c r="P459" s="24">
        <f t="shared" si="101"/>
        <v>8.7356966105289757E-10</v>
      </c>
      <c r="Q459" s="2">
        <f t="shared" si="109"/>
        <v>4.851853486979556E-7</v>
      </c>
      <c r="R459" s="19">
        <f t="shared" si="110"/>
        <v>1.4825177959210123E-4</v>
      </c>
      <c r="S459" s="16">
        <f t="shared" si="111"/>
        <v>38.564675829735897</v>
      </c>
      <c r="T459" s="23">
        <f t="shared" si="102"/>
        <v>9.9298347322474001E-11</v>
      </c>
      <c r="U459" s="22">
        <f t="shared" si="103"/>
        <v>1.7026410148446303E-7</v>
      </c>
      <c r="V459" s="16">
        <f t="shared" si="112"/>
        <v>38.572102440011292</v>
      </c>
      <c r="W459" s="23">
        <f t="shared" si="104"/>
        <v>1.155910922534531E-10</v>
      </c>
      <c r="X459" s="22">
        <f t="shared" si="105"/>
        <v>4.4001131982440711E-7</v>
      </c>
    </row>
    <row r="460" spans="1:24" x14ac:dyDescent="0.45">
      <c r="A460">
        <v>-14.81948</v>
      </c>
      <c r="B460">
        <v>-162.23168999999999</v>
      </c>
      <c r="C460">
        <v>-14.82006</v>
      </c>
      <c r="D460">
        <v>-162.22567000000001</v>
      </c>
      <c r="E460" s="13">
        <v>651.16316291827104</v>
      </c>
      <c r="F460" s="13">
        <v>95.656723633755604</v>
      </c>
      <c r="G460" s="13">
        <f t="shared" si="106"/>
        <v>95.656723633755604</v>
      </c>
      <c r="H460" s="13">
        <v>95.655183842087297</v>
      </c>
      <c r="I460" s="13">
        <f t="shared" si="107"/>
        <v>95.655183842087297</v>
      </c>
      <c r="J460" s="11">
        <v>651.16300000000001</v>
      </c>
      <c r="K460" s="11">
        <v>95.656723999999997</v>
      </c>
      <c r="L460" s="12">
        <v>275.65518400000002</v>
      </c>
      <c r="M460" s="18">
        <f t="shared" si="108"/>
        <v>95.65518400000002</v>
      </c>
      <c r="N460" s="17">
        <f t="shared" si="99"/>
        <v>651.16316285616847</v>
      </c>
      <c r="O460" s="14">
        <f t="shared" si="100"/>
        <v>9.5371752442950468E-11</v>
      </c>
      <c r="P460" s="24">
        <f t="shared" si="101"/>
        <v>6.2102571973809972E-8</v>
      </c>
      <c r="Q460" s="2">
        <f t="shared" si="109"/>
        <v>2.5010046402874145E-7</v>
      </c>
      <c r="R460" s="19">
        <f t="shared" si="110"/>
        <v>1.6285616845834738E-4</v>
      </c>
      <c r="S460" s="16">
        <f t="shared" si="111"/>
        <v>95.656723634271813</v>
      </c>
      <c r="T460" s="23">
        <f t="shared" si="102"/>
        <v>5.1620929752971279E-10</v>
      </c>
      <c r="U460" s="22">
        <f t="shared" si="103"/>
        <v>3.6572818373770133E-7</v>
      </c>
      <c r="V460" s="16">
        <f t="shared" si="112"/>
        <v>95.655183842612004</v>
      </c>
      <c r="W460" s="23">
        <f t="shared" si="104"/>
        <v>5.2470738864940358E-10</v>
      </c>
      <c r="X460" s="22">
        <f t="shared" si="105"/>
        <v>1.5738801550924109E-7</v>
      </c>
    </row>
    <row r="461" spans="1:24" x14ac:dyDescent="0.45">
      <c r="A461">
        <v>49.494030000000002</v>
      </c>
      <c r="B461">
        <v>-40.086910000000003</v>
      </c>
      <c r="C461">
        <v>49.502299999999998</v>
      </c>
      <c r="D461">
        <v>-40.075180000000003</v>
      </c>
      <c r="E461" s="13">
        <v>1252.20386799311</v>
      </c>
      <c r="F461" s="13">
        <v>42.727825046284799</v>
      </c>
      <c r="G461" s="13">
        <f t="shared" si="106"/>
        <v>42.727825046284799</v>
      </c>
      <c r="H461" s="13">
        <v>42.736744364312301</v>
      </c>
      <c r="I461" s="13">
        <f t="shared" si="107"/>
        <v>42.736744364312301</v>
      </c>
      <c r="J461" s="9">
        <v>1252.204</v>
      </c>
      <c r="K461" s="9">
        <v>42.727825000000003</v>
      </c>
      <c r="L461" s="10">
        <v>222.73674399999999</v>
      </c>
      <c r="M461" s="18">
        <f t="shared" si="108"/>
        <v>42.736743999999987</v>
      </c>
      <c r="N461" s="17">
        <f t="shared" si="99"/>
        <v>1252.2038663446008</v>
      </c>
      <c r="O461" s="14">
        <f t="shared" si="100"/>
        <v>1.3164862458172032E-9</v>
      </c>
      <c r="P461" s="24">
        <f t="shared" si="101"/>
        <v>1.6485091691720299E-6</v>
      </c>
      <c r="Q461" s="2">
        <f t="shared" si="109"/>
        <v>1.0673612220354248E-7</v>
      </c>
      <c r="R461" s="19">
        <f t="shared" si="110"/>
        <v>1.336553991677647E-4</v>
      </c>
      <c r="S461" s="16">
        <f t="shared" si="111"/>
        <v>42.727824964822489</v>
      </c>
      <c r="T461" s="23">
        <f t="shared" si="102"/>
        <v>8.1462310674851324E-8</v>
      </c>
      <c r="U461" s="22">
        <f t="shared" si="103"/>
        <v>3.5177514234874252E-8</v>
      </c>
      <c r="V461" s="16">
        <f t="shared" si="112"/>
        <v>42.736744282830372</v>
      </c>
      <c r="W461" s="23">
        <f t="shared" si="104"/>
        <v>8.148192875978566E-8</v>
      </c>
      <c r="X461" s="22">
        <f t="shared" si="105"/>
        <v>2.8283038489007595E-7</v>
      </c>
    </row>
    <row r="462" spans="1:24" x14ac:dyDescent="0.45">
      <c r="A462">
        <v>25.447900000000001</v>
      </c>
      <c r="B462">
        <v>-168.38059000000001</v>
      </c>
      <c r="C462">
        <v>25.450330000000001</v>
      </c>
      <c r="D462">
        <v>-168.37137999999999</v>
      </c>
      <c r="E462" s="13">
        <v>964.66340266958298</v>
      </c>
      <c r="F462" s="13">
        <v>73.794188906976302</v>
      </c>
      <c r="G462" s="13">
        <f t="shared" si="106"/>
        <v>73.794188906976302</v>
      </c>
      <c r="H462" s="13">
        <v>73.798146529926399</v>
      </c>
      <c r="I462" s="13">
        <f t="shared" si="107"/>
        <v>73.798146529926399</v>
      </c>
      <c r="J462" s="11">
        <v>964.66300000000001</v>
      </c>
      <c r="K462" s="11">
        <v>73.794189000000003</v>
      </c>
      <c r="L462" s="12">
        <v>253.798147</v>
      </c>
      <c r="M462" s="18">
        <f t="shared" si="108"/>
        <v>73.798146999999972</v>
      </c>
      <c r="N462" s="17">
        <f t="shared" si="99"/>
        <v>964.66340261952621</v>
      </c>
      <c r="O462" s="14">
        <f t="shared" si="100"/>
        <v>5.1890399550405558E-11</v>
      </c>
      <c r="P462" s="24">
        <f t="shared" si="101"/>
        <v>5.0056769396178424E-8</v>
      </c>
      <c r="Q462" s="2">
        <f t="shared" si="109"/>
        <v>4.1736806138369321E-7</v>
      </c>
      <c r="R462" s="19">
        <f t="shared" si="110"/>
        <v>4.0261952619857766E-4</v>
      </c>
      <c r="S462" s="16">
        <f t="shared" si="111"/>
        <v>73.794188906233899</v>
      </c>
      <c r="T462" s="23">
        <f t="shared" si="102"/>
        <v>7.4240347203158308E-10</v>
      </c>
      <c r="U462" s="22">
        <f t="shared" si="103"/>
        <v>9.3766104214410007E-8</v>
      </c>
      <c r="V462" s="16">
        <f t="shared" si="112"/>
        <v>73.798146529173735</v>
      </c>
      <c r="W462" s="23">
        <f t="shared" si="104"/>
        <v>7.5266370913595892E-10</v>
      </c>
      <c r="X462" s="22">
        <f t="shared" si="105"/>
        <v>4.7082623666483414E-7</v>
      </c>
    </row>
    <row r="463" spans="1:24" x14ac:dyDescent="0.45">
      <c r="A463">
        <v>1.2677400000000001</v>
      </c>
      <c r="B463">
        <v>-32.323030000000003</v>
      </c>
      <c r="C463">
        <v>1.25127999999999</v>
      </c>
      <c r="D463">
        <v>-32.32385</v>
      </c>
      <c r="E463" s="13">
        <v>1822.3479193457899</v>
      </c>
      <c r="F463" s="13">
        <v>-177.12951542945501</v>
      </c>
      <c r="G463" s="13">
        <f t="shared" si="106"/>
        <v>182.87048457054499</v>
      </c>
      <c r="H463" s="13">
        <v>-177.12953345373199</v>
      </c>
      <c r="I463" s="13">
        <f t="shared" si="107"/>
        <v>182.87046654626801</v>
      </c>
      <c r="J463" s="9">
        <v>1822.348</v>
      </c>
      <c r="K463" s="9">
        <v>182.870485</v>
      </c>
      <c r="L463" s="10">
        <v>2.8704670000000001</v>
      </c>
      <c r="M463" s="18">
        <f t="shared" si="108"/>
        <v>182.87046699999999</v>
      </c>
      <c r="N463" s="17">
        <f t="shared" si="99"/>
        <v>1822.3479191639349</v>
      </c>
      <c r="O463" s="14">
        <f t="shared" si="100"/>
        <v>9.9791623380298198E-11</v>
      </c>
      <c r="P463" s="24">
        <f t="shared" si="101"/>
        <v>1.818550572352251E-7</v>
      </c>
      <c r="Q463" s="2">
        <f t="shared" si="109"/>
        <v>4.4358193430015921E-8</v>
      </c>
      <c r="R463" s="19">
        <f t="shared" si="110"/>
        <v>8.0836065080802655E-5</v>
      </c>
      <c r="S463" s="16">
        <f t="shared" si="111"/>
        <v>182.8704844627116</v>
      </c>
      <c r="T463" s="23">
        <f t="shared" si="102"/>
        <v>1.0783338666442432E-7</v>
      </c>
      <c r="U463" s="22">
        <f t="shared" si="103"/>
        <v>5.3728840043731907E-7</v>
      </c>
      <c r="V463" s="16">
        <f t="shared" si="112"/>
        <v>182.87046643843473</v>
      </c>
      <c r="W463" s="23">
        <f t="shared" si="104"/>
        <v>1.078332729775866E-7</v>
      </c>
      <c r="X463" s="22">
        <f t="shared" si="105"/>
        <v>5.6156525829464954E-7</v>
      </c>
    </row>
    <row r="464" spans="1:24" x14ac:dyDescent="0.45">
      <c r="A464">
        <v>18.417760000000001</v>
      </c>
      <c r="B464">
        <v>-152.83123000000001</v>
      </c>
      <c r="C464">
        <v>18.4071</v>
      </c>
      <c r="D464">
        <v>-152.83159000000001</v>
      </c>
      <c r="E464" s="13">
        <v>1180.5165198348</v>
      </c>
      <c r="F464" s="13">
        <v>-178.15355657384899</v>
      </c>
      <c r="G464" s="13">
        <f t="shared" si="106"/>
        <v>181.84644342615101</v>
      </c>
      <c r="H464" s="13">
        <v>-178.15367028160699</v>
      </c>
      <c r="I464" s="13">
        <f t="shared" si="107"/>
        <v>181.84632971839301</v>
      </c>
      <c r="J464" s="11">
        <v>1180.5170000000001</v>
      </c>
      <c r="K464" s="11">
        <v>181.84644299999999</v>
      </c>
      <c r="L464" s="12">
        <v>1.84633</v>
      </c>
      <c r="M464" s="18">
        <f t="shared" si="108"/>
        <v>181.84632999999999</v>
      </c>
      <c r="N464" s="17">
        <f t="shared" si="99"/>
        <v>1180.5165197936471</v>
      </c>
      <c r="O464" s="14">
        <f t="shared" si="100"/>
        <v>3.4860008796471844E-11</v>
      </c>
      <c r="P464" s="24">
        <f t="shared" si="101"/>
        <v>4.1152816265821457E-8</v>
      </c>
      <c r="Q464" s="2">
        <f t="shared" si="109"/>
        <v>4.0677631317815275E-7</v>
      </c>
      <c r="R464" s="19">
        <f t="shared" si="110"/>
        <v>4.8020635290413338E-4</v>
      </c>
      <c r="S464" s="16">
        <f t="shared" si="111"/>
        <v>181.84644337531893</v>
      </c>
      <c r="T464" s="23">
        <f t="shared" si="102"/>
        <v>5.0832085207730415E-8</v>
      </c>
      <c r="U464" s="22">
        <f t="shared" si="103"/>
        <v>3.7531893326558929E-7</v>
      </c>
      <c r="V464" s="16">
        <f t="shared" si="112"/>
        <v>181.84632966756354</v>
      </c>
      <c r="W464" s="23">
        <f t="shared" si="104"/>
        <v>5.0829470410462818E-8</v>
      </c>
      <c r="X464" s="22">
        <f t="shared" si="105"/>
        <v>3.3243645702896174E-7</v>
      </c>
    </row>
    <row r="465" spans="1:24" x14ac:dyDescent="0.45">
      <c r="A465">
        <v>3.4719099999999998</v>
      </c>
      <c r="B465">
        <v>-43.696249999999999</v>
      </c>
      <c r="C465">
        <v>3.48285</v>
      </c>
      <c r="D465">
        <v>-43.703949999999999</v>
      </c>
      <c r="E465" s="13">
        <v>1481.7147053291601</v>
      </c>
      <c r="F465" s="13">
        <v>-35.270031195239604</v>
      </c>
      <c r="G465" s="13">
        <f t="shared" si="106"/>
        <v>324.7299688047604</v>
      </c>
      <c r="H465" s="13">
        <v>-35.270498234720598</v>
      </c>
      <c r="I465" s="13">
        <f t="shared" si="107"/>
        <v>324.72950176527939</v>
      </c>
      <c r="J465" s="9">
        <v>1481.7149999999999</v>
      </c>
      <c r="K465" s="9">
        <v>324.72996899999998</v>
      </c>
      <c r="L465" s="10">
        <v>144.729502</v>
      </c>
      <c r="M465" s="18">
        <f t="shared" si="108"/>
        <v>324.72950200000002</v>
      </c>
      <c r="N465" s="17">
        <f t="shared" si="99"/>
        <v>1481.7147052559023</v>
      </c>
      <c r="O465" s="14">
        <f t="shared" si="100"/>
        <v>4.9441199173667048E-11</v>
      </c>
      <c r="P465" s="24">
        <f t="shared" si="101"/>
        <v>7.325775186473038E-8</v>
      </c>
      <c r="Q465" s="2">
        <f t="shared" si="109"/>
        <v>1.9892091095327354E-7</v>
      </c>
      <c r="R465" s="19">
        <f t="shared" si="110"/>
        <v>2.9474409757312969E-4</v>
      </c>
      <c r="S465" s="16">
        <f t="shared" si="111"/>
        <v>324.72996880821398</v>
      </c>
      <c r="T465" s="23">
        <f t="shared" si="102"/>
        <v>3.4535787563072518E-9</v>
      </c>
      <c r="U465" s="22">
        <f t="shared" si="103"/>
        <v>1.9178600041414029E-7</v>
      </c>
      <c r="V465" s="16">
        <f t="shared" si="112"/>
        <v>324.72950176873331</v>
      </c>
      <c r="W465" s="23">
        <f t="shared" si="104"/>
        <v>3.4539198168204166E-9</v>
      </c>
      <c r="X465" s="22">
        <f t="shared" si="105"/>
        <v>2.3126671067075222E-7</v>
      </c>
    </row>
    <row r="466" spans="1:24" x14ac:dyDescent="0.45">
      <c r="A466">
        <v>24.707519999999999</v>
      </c>
      <c r="B466">
        <v>-38.407380000000003</v>
      </c>
      <c r="C466">
        <v>24.69511</v>
      </c>
      <c r="D466">
        <v>-38.417729999999999</v>
      </c>
      <c r="E466" s="13">
        <v>1728.16594175565</v>
      </c>
      <c r="F466" s="13">
        <v>-142.69381026252699</v>
      </c>
      <c r="G466" s="13">
        <f t="shared" si="106"/>
        <v>217.30618973747301</v>
      </c>
      <c r="H466" s="13">
        <v>-142.69813540258599</v>
      </c>
      <c r="I466" s="13">
        <f t="shared" si="107"/>
        <v>217.30186459741401</v>
      </c>
      <c r="J466" s="11">
        <v>1728.1659999999999</v>
      </c>
      <c r="K466" s="11">
        <v>217.30618999999999</v>
      </c>
      <c r="L466" s="12">
        <v>37.301864999999999</v>
      </c>
      <c r="M466" s="18">
        <f t="shared" si="108"/>
        <v>217.30186499999999</v>
      </c>
      <c r="N466" s="17">
        <f t="shared" si="99"/>
        <v>1728.1659417101348</v>
      </c>
      <c r="O466" s="14">
        <f t="shared" si="100"/>
        <v>2.6337290015469372E-11</v>
      </c>
      <c r="P466" s="24">
        <f t="shared" si="101"/>
        <v>4.5515207602875307E-8</v>
      </c>
      <c r="Q466" s="2">
        <f t="shared" si="109"/>
        <v>3.37293206424266E-8</v>
      </c>
      <c r="R466" s="19">
        <f t="shared" si="110"/>
        <v>5.8289865137339802E-5</v>
      </c>
      <c r="S466" s="16">
        <f t="shared" si="111"/>
        <v>217.30618973590626</v>
      </c>
      <c r="T466" s="23">
        <f t="shared" si="102"/>
        <v>1.5667467323510209E-9</v>
      </c>
      <c r="U466" s="22">
        <f t="shared" si="103"/>
        <v>2.6409372821944999E-7</v>
      </c>
      <c r="V466" s="16">
        <f t="shared" si="112"/>
        <v>217.30186459584996</v>
      </c>
      <c r="W466" s="23">
        <f t="shared" si="104"/>
        <v>1.5640466699551325E-9</v>
      </c>
      <c r="X466" s="22">
        <f t="shared" si="105"/>
        <v>4.0415002899862884E-7</v>
      </c>
    </row>
    <row r="467" spans="1:24" x14ac:dyDescent="0.45">
      <c r="A467">
        <v>-66.522019999999998</v>
      </c>
      <c r="B467">
        <v>-15.89439</v>
      </c>
      <c r="C467">
        <v>-66.536630000000002</v>
      </c>
      <c r="D467">
        <v>-15.880409999999999</v>
      </c>
      <c r="E467" s="13">
        <v>1743.7785213463501</v>
      </c>
      <c r="F467" s="13">
        <v>159.12391848451799</v>
      </c>
      <c r="G467" s="13">
        <f t="shared" si="106"/>
        <v>159.12391848451799</v>
      </c>
      <c r="H467" s="13">
        <v>159.11109513310799</v>
      </c>
      <c r="I467" s="13">
        <f t="shared" si="107"/>
        <v>159.11109513310799</v>
      </c>
      <c r="J467" s="9">
        <v>1743.779</v>
      </c>
      <c r="K467" s="9">
        <v>159.123918</v>
      </c>
      <c r="L467" s="10">
        <v>339.11109499999998</v>
      </c>
      <c r="M467" s="18">
        <f t="shared" si="108"/>
        <v>159.11109499999998</v>
      </c>
      <c r="N467" s="17">
        <f t="shared" si="99"/>
        <v>1743.7785213090879</v>
      </c>
      <c r="O467" s="14">
        <f t="shared" si="100"/>
        <v>2.1368668583291533E-11</v>
      </c>
      <c r="P467" s="24">
        <f t="shared" si="101"/>
        <v>3.7262225305312313E-8</v>
      </c>
      <c r="Q467" s="2">
        <f t="shared" si="109"/>
        <v>2.7451352042440665E-7</v>
      </c>
      <c r="R467" s="19">
        <f t="shared" si="110"/>
        <v>4.7869091213215142E-4</v>
      </c>
      <c r="S467" s="16">
        <f t="shared" si="111"/>
        <v>159.12391848744193</v>
      </c>
      <c r="T467" s="23">
        <f t="shared" si="102"/>
        <v>2.9239402010716731E-9</v>
      </c>
      <c r="U467" s="22">
        <f t="shared" si="103"/>
        <v>4.874419232692162E-7</v>
      </c>
      <c r="V467" s="16">
        <f t="shared" si="112"/>
        <v>159.11109513603213</v>
      </c>
      <c r="W467" s="23">
        <f t="shared" si="104"/>
        <v>2.9241391530376859E-9</v>
      </c>
      <c r="X467" s="22">
        <f t="shared" si="105"/>
        <v>1.3603215620605624E-7</v>
      </c>
    </row>
    <row r="468" spans="1:24" x14ac:dyDescent="0.45">
      <c r="A468">
        <v>72.773300000000006</v>
      </c>
      <c r="B468">
        <v>27.295100000000001</v>
      </c>
      <c r="C468">
        <v>72.786540000000002</v>
      </c>
      <c r="D468">
        <v>27.278549999999999</v>
      </c>
      <c r="E468" s="13">
        <v>1575.55178653808</v>
      </c>
      <c r="F468" s="13">
        <v>-20.310281544378402</v>
      </c>
      <c r="G468" s="13">
        <f t="shared" si="106"/>
        <v>339.68971845562157</v>
      </c>
      <c r="H468" s="13">
        <v>-20.326089685265401</v>
      </c>
      <c r="I468" s="13">
        <f t="shared" si="107"/>
        <v>339.6739103147346</v>
      </c>
      <c r="J468" s="11">
        <v>1575.5519999999999</v>
      </c>
      <c r="K468" s="11">
        <v>339.68971800000003</v>
      </c>
      <c r="L468" s="12">
        <v>159.67391000000001</v>
      </c>
      <c r="M468" s="18">
        <f t="shared" si="108"/>
        <v>339.67390999999998</v>
      </c>
      <c r="N468" s="17">
        <f t="shared" si="99"/>
        <v>1575.55178653197</v>
      </c>
      <c r="O468" s="14">
        <f t="shared" si="100"/>
        <v>3.8779971935647055E-12</v>
      </c>
      <c r="P468" s="24">
        <f t="shared" si="101"/>
        <v>6.1099854065105319E-9</v>
      </c>
      <c r="Q468" s="2">
        <f t="shared" si="109"/>
        <v>1.3548777182190478E-7</v>
      </c>
      <c r="R468" s="19">
        <f t="shared" si="110"/>
        <v>2.1346802986954572E-4</v>
      </c>
      <c r="S468" s="16">
        <f t="shared" si="111"/>
        <v>339.68971845610326</v>
      </c>
      <c r="T468" s="23">
        <f t="shared" si="102"/>
        <v>4.8169113142648712E-10</v>
      </c>
      <c r="U468" s="22">
        <f t="shared" si="103"/>
        <v>4.5610323695655097E-7</v>
      </c>
      <c r="V468" s="16">
        <f t="shared" si="112"/>
        <v>339.67391031521413</v>
      </c>
      <c r="W468" s="23">
        <f t="shared" si="104"/>
        <v>4.7953108150977641E-10</v>
      </c>
      <c r="X468" s="22">
        <f t="shared" si="105"/>
        <v>3.1521415166935185E-7</v>
      </c>
    </row>
    <row r="469" spans="1:24" x14ac:dyDescent="0.45">
      <c r="A469">
        <v>73.23706</v>
      </c>
      <c r="B469">
        <v>-64.701459999999997</v>
      </c>
      <c r="C469">
        <v>73.229299999999995</v>
      </c>
      <c r="D469">
        <v>-64.704139999999995</v>
      </c>
      <c r="E469" s="13">
        <v>870.30879423491103</v>
      </c>
      <c r="F469" s="13">
        <v>-174.306013266402</v>
      </c>
      <c r="G469" s="13">
        <f t="shared" si="106"/>
        <v>185.693986733598</v>
      </c>
      <c r="H469" s="13">
        <v>-174.308579330805</v>
      </c>
      <c r="I469" s="13">
        <f t="shared" si="107"/>
        <v>185.691420669195</v>
      </c>
      <c r="J469" s="9">
        <v>870.30899999999997</v>
      </c>
      <c r="K469" s="9">
        <v>185.69398699999999</v>
      </c>
      <c r="L469" s="10">
        <v>5.6914210000000001</v>
      </c>
      <c r="M469" s="18">
        <f t="shared" si="108"/>
        <v>185.69142099999999</v>
      </c>
      <c r="N469" s="17">
        <f t="shared" si="99"/>
        <v>870.30879423374176</v>
      </c>
      <c r="O469" s="14">
        <f t="shared" si="100"/>
        <v>1.343510640949832E-12</v>
      </c>
      <c r="P469" s="24">
        <f t="shared" si="101"/>
        <v>1.1692691259668209E-9</v>
      </c>
      <c r="Q469" s="2">
        <f t="shared" si="109"/>
        <v>2.364289674180963E-7</v>
      </c>
      <c r="R469" s="19">
        <f t="shared" si="110"/>
        <v>2.0576625820467598E-4</v>
      </c>
      <c r="S469" s="16">
        <f t="shared" si="111"/>
        <v>185.6939867334749</v>
      </c>
      <c r="T469" s="23">
        <f t="shared" si="102"/>
        <v>1.2309442354307976E-10</v>
      </c>
      <c r="U469" s="22">
        <f t="shared" si="103"/>
        <v>2.6652509177438333E-7</v>
      </c>
      <c r="V469" s="16">
        <f t="shared" si="112"/>
        <v>185.69142066907071</v>
      </c>
      <c r="W469" s="23">
        <f t="shared" si="104"/>
        <v>1.2428813533915672E-10</v>
      </c>
      <c r="X469" s="22">
        <f t="shared" si="105"/>
        <v>3.3092928219957685E-7</v>
      </c>
    </row>
    <row r="470" spans="1:24" x14ac:dyDescent="0.45">
      <c r="A470">
        <v>25.774840000000001</v>
      </c>
      <c r="B470">
        <v>-162.11797000000001</v>
      </c>
      <c r="C470">
        <v>25.788270000000001</v>
      </c>
      <c r="D470">
        <v>-162.12857</v>
      </c>
      <c r="E470" s="13">
        <v>1828.6776334804299</v>
      </c>
      <c r="F470" s="13">
        <v>-35.547136962631399</v>
      </c>
      <c r="G470" s="13">
        <f t="shared" si="106"/>
        <v>324.45286303736862</v>
      </c>
      <c r="H470" s="13">
        <v>-35.551747339826598</v>
      </c>
      <c r="I470" s="13">
        <f t="shared" si="107"/>
        <v>324.44825266017341</v>
      </c>
      <c r="J470" s="11">
        <v>1828.6780000000001</v>
      </c>
      <c r="K470" s="11">
        <v>324.45286299999998</v>
      </c>
      <c r="L470" s="12">
        <v>144.44825299999999</v>
      </c>
      <c r="M470" s="18">
        <f t="shared" si="108"/>
        <v>324.44825300000002</v>
      </c>
      <c r="N470" s="17">
        <f t="shared" si="99"/>
        <v>1828.6776334392318</v>
      </c>
      <c r="O470" s="14">
        <f t="shared" si="100"/>
        <v>2.2528882550405818E-11</v>
      </c>
      <c r="P470" s="24">
        <f t="shared" si="101"/>
        <v>4.119806362723466E-8</v>
      </c>
      <c r="Q470" s="2">
        <f t="shared" si="109"/>
        <v>2.0045123759927884E-7</v>
      </c>
      <c r="R470" s="19">
        <f t="shared" si="110"/>
        <v>3.6656076827057404E-4</v>
      </c>
      <c r="S470" s="16">
        <f t="shared" si="111"/>
        <v>324.45286303869483</v>
      </c>
      <c r="T470" s="23">
        <f t="shared" si="102"/>
        <v>1.3262138054415118E-9</v>
      </c>
      <c r="U470" s="22">
        <f t="shared" si="103"/>
        <v>3.8694849990861258E-8</v>
      </c>
      <c r="V470" s="16">
        <f t="shared" si="112"/>
        <v>324.44825266150474</v>
      </c>
      <c r="W470" s="23">
        <f t="shared" si="104"/>
        <v>1.3313297131389845E-9</v>
      </c>
      <c r="X470" s="22">
        <f t="shared" si="105"/>
        <v>3.3849528335849755E-7</v>
      </c>
    </row>
    <row r="471" spans="1:24" x14ac:dyDescent="0.45">
      <c r="A471">
        <v>-16.951160000000002</v>
      </c>
      <c r="B471">
        <v>80.837779999999995</v>
      </c>
      <c r="C471">
        <v>-16.949269999999999</v>
      </c>
      <c r="D471">
        <v>80.842320000000001</v>
      </c>
      <c r="E471" s="13">
        <v>526.87047834932901</v>
      </c>
      <c r="F471" s="13">
        <v>66.610333241879701</v>
      </c>
      <c r="G471" s="13">
        <f t="shared" si="106"/>
        <v>66.610333241879701</v>
      </c>
      <c r="H471" s="13">
        <v>66.6090096473297</v>
      </c>
      <c r="I471" s="13">
        <f t="shared" si="107"/>
        <v>66.6090096473297</v>
      </c>
      <c r="J471" s="9">
        <v>526.87</v>
      </c>
      <c r="K471" s="9">
        <v>66.610332999999997</v>
      </c>
      <c r="L471" s="10">
        <v>246.60901000000001</v>
      </c>
      <c r="M471" s="18">
        <f t="shared" si="108"/>
        <v>66.609010000000012</v>
      </c>
      <c r="N471" s="17">
        <f t="shared" si="99"/>
        <v>526.87047831147629</v>
      </c>
      <c r="O471" s="14">
        <f t="shared" si="100"/>
        <v>7.1844440514165683E-11</v>
      </c>
      <c r="P471" s="24">
        <f t="shared" si="101"/>
        <v>3.7852714740438387E-8</v>
      </c>
      <c r="Q471" s="2">
        <f t="shared" si="109"/>
        <v>9.0783585378908102E-7</v>
      </c>
      <c r="R471" s="19">
        <f t="shared" si="110"/>
        <v>4.7831147628585313E-4</v>
      </c>
      <c r="S471" s="16">
        <f t="shared" si="111"/>
        <v>66.610333240147284</v>
      </c>
      <c r="T471" s="23">
        <f t="shared" si="102"/>
        <v>1.7324168766208459E-9</v>
      </c>
      <c r="U471" s="22">
        <f t="shared" si="103"/>
        <v>2.4014728694510268E-7</v>
      </c>
      <c r="V471" s="16">
        <f t="shared" si="112"/>
        <v>66.609009645582148</v>
      </c>
      <c r="W471" s="23">
        <f t="shared" si="104"/>
        <v>1.747551436892536E-9</v>
      </c>
      <c r="X471" s="22">
        <f t="shared" si="105"/>
        <v>3.5441786394585506E-7</v>
      </c>
    </row>
    <row r="472" spans="1:24" x14ac:dyDescent="0.45">
      <c r="A472">
        <v>3.0989</v>
      </c>
      <c r="B472">
        <v>47.998019999999997</v>
      </c>
      <c r="C472">
        <v>3.1054100000000102</v>
      </c>
      <c r="D472">
        <v>48.005000000000003</v>
      </c>
      <c r="E472" s="13">
        <v>1058.3885353989101</v>
      </c>
      <c r="F472" s="13">
        <v>47.144686072638201</v>
      </c>
      <c r="G472" s="13">
        <f t="shared" si="106"/>
        <v>47.144686072638201</v>
      </c>
      <c r="H472" s="13">
        <v>47.145063804900097</v>
      </c>
      <c r="I472" s="13">
        <f t="shared" si="107"/>
        <v>47.145063804900097</v>
      </c>
      <c r="J472" s="11">
        <v>1058.3889999999999</v>
      </c>
      <c r="K472" s="11">
        <v>47.144686</v>
      </c>
      <c r="L472" s="12">
        <v>227.14506399999999</v>
      </c>
      <c r="M472" s="18">
        <f t="shared" si="108"/>
        <v>47.145063999999991</v>
      </c>
      <c r="N472" s="17">
        <f t="shared" si="99"/>
        <v>1058.38853532128</v>
      </c>
      <c r="O472" s="14">
        <f t="shared" si="100"/>
        <v>7.3347494844362303E-11</v>
      </c>
      <c r="P472" s="24">
        <f t="shared" si="101"/>
        <v>7.7630147643503733E-8</v>
      </c>
      <c r="Q472" s="2">
        <f t="shared" si="109"/>
        <v>4.3904341403422886E-7</v>
      </c>
      <c r="R472" s="19">
        <f t="shared" si="110"/>
        <v>4.6467871993627341E-4</v>
      </c>
      <c r="S472" s="16">
        <f t="shared" si="111"/>
        <v>47.14468606908239</v>
      </c>
      <c r="T472" s="23">
        <f t="shared" si="102"/>
        <v>3.555811645128415E-9</v>
      </c>
      <c r="U472" s="22">
        <f t="shared" si="103"/>
        <v>6.9082389586583304E-8</v>
      </c>
      <c r="V472" s="16">
        <f t="shared" si="112"/>
        <v>47.145063801344442</v>
      </c>
      <c r="W472" s="23">
        <f t="shared" si="104"/>
        <v>3.5556553257265477E-9</v>
      </c>
      <c r="X472" s="22">
        <f t="shared" si="105"/>
        <v>1.9865554889975101E-7</v>
      </c>
    </row>
    <row r="473" spans="1:24" x14ac:dyDescent="0.45">
      <c r="A473">
        <v>-74.779300000000006</v>
      </c>
      <c r="B473">
        <v>86.325599999999994</v>
      </c>
      <c r="C473">
        <v>-74.790959999999998</v>
      </c>
      <c r="D473">
        <v>86.309099999999901</v>
      </c>
      <c r="E473" s="13">
        <v>1388.37389902475</v>
      </c>
      <c r="F473" s="13">
        <v>-159.62545169863199</v>
      </c>
      <c r="G473" s="13">
        <f t="shared" si="106"/>
        <v>200.37454830136801</v>
      </c>
      <c r="H473" s="13">
        <v>-159.60953004967899</v>
      </c>
      <c r="I473" s="13">
        <f t="shared" si="107"/>
        <v>200.39046995032101</v>
      </c>
      <c r="J473" s="9">
        <v>1388.374</v>
      </c>
      <c r="K473" s="9">
        <v>200.374548</v>
      </c>
      <c r="L473" s="10">
        <v>20.390470000000001</v>
      </c>
      <c r="M473" s="18">
        <f t="shared" si="108"/>
        <v>200.39046999999999</v>
      </c>
      <c r="N473" s="17">
        <f t="shared" si="99"/>
        <v>1388.3738990203485</v>
      </c>
      <c r="O473" s="14">
        <f t="shared" si="100"/>
        <v>3.1702552261475656E-12</v>
      </c>
      <c r="P473" s="24">
        <f t="shared" si="101"/>
        <v>4.4014996092300862E-9</v>
      </c>
      <c r="Q473" s="2">
        <f t="shared" si="109"/>
        <v>7.2732312407427611E-8</v>
      </c>
      <c r="R473" s="19">
        <f t="shared" si="110"/>
        <v>1.0097965150634991E-4</v>
      </c>
      <c r="S473" s="16">
        <f t="shared" si="111"/>
        <v>200.374548301213</v>
      </c>
      <c r="T473" s="23">
        <f t="shared" si="102"/>
        <v>1.5501200323342346E-10</v>
      </c>
      <c r="U473" s="22">
        <f t="shared" si="103"/>
        <v>3.0121299232632737E-7</v>
      </c>
      <c r="V473" s="16">
        <f t="shared" si="112"/>
        <v>200.39046995016352</v>
      </c>
      <c r="W473" s="23">
        <f t="shared" si="104"/>
        <v>1.5748469195386861E-10</v>
      </c>
      <c r="X473" s="22">
        <f t="shared" si="105"/>
        <v>4.9836472726383363E-8</v>
      </c>
    </row>
    <row r="474" spans="1:24" x14ac:dyDescent="0.45">
      <c r="A474">
        <v>83.092399999999998</v>
      </c>
      <c r="B474">
        <v>1.341E-2</v>
      </c>
      <c r="C474">
        <v>83.097160000000002</v>
      </c>
      <c r="D474">
        <v>1.3300000000526801E-3</v>
      </c>
      <c r="E474" s="13">
        <v>555.783693713861</v>
      </c>
      <c r="F474" s="13">
        <v>-16.963275937283999</v>
      </c>
      <c r="G474" s="13">
        <f t="shared" si="106"/>
        <v>343.03672406271602</v>
      </c>
      <c r="H474" s="13">
        <v>-16.975268313717599</v>
      </c>
      <c r="I474" s="13">
        <f t="shared" si="107"/>
        <v>343.02473168628239</v>
      </c>
      <c r="J474" s="11">
        <v>555.78399999999999</v>
      </c>
      <c r="K474" s="11">
        <v>343.03672399999999</v>
      </c>
      <c r="L474" s="12">
        <v>163.024732</v>
      </c>
      <c r="M474" s="18">
        <f t="shared" si="108"/>
        <v>343.02473199999997</v>
      </c>
      <c r="N474" s="17">
        <f t="shared" si="99"/>
        <v>555.78369360164152</v>
      </c>
      <c r="O474" s="14">
        <f t="shared" si="100"/>
        <v>2.0191215211311701E-10</v>
      </c>
      <c r="P474" s="24">
        <f t="shared" si="101"/>
        <v>1.1221948170714313E-7</v>
      </c>
      <c r="Q474" s="2">
        <f t="shared" si="109"/>
        <v>5.5129035466158617E-7</v>
      </c>
      <c r="R474" s="19">
        <f t="shared" si="110"/>
        <v>3.06398358475235E-4</v>
      </c>
      <c r="S474" s="16">
        <f t="shared" si="111"/>
        <v>343.03672410063547</v>
      </c>
      <c r="T474" s="23">
        <f t="shared" si="102"/>
        <v>3.7919448914180975E-8</v>
      </c>
      <c r="U474" s="22">
        <f t="shared" si="103"/>
        <v>1.0063547506433679E-7</v>
      </c>
      <c r="V474" s="16">
        <f t="shared" si="112"/>
        <v>343.02473172422822</v>
      </c>
      <c r="W474" s="23">
        <f t="shared" si="104"/>
        <v>3.794582426053239E-8</v>
      </c>
      <c r="X474" s="22">
        <f t="shared" si="105"/>
        <v>2.7577175387705211E-7</v>
      </c>
    </row>
    <row r="475" spans="1:24" x14ac:dyDescent="0.45">
      <c r="A475">
        <v>-18.602350000000001</v>
      </c>
      <c r="B475">
        <v>-89.789479999999998</v>
      </c>
      <c r="C475">
        <v>-18.603459999999998</v>
      </c>
      <c r="D475">
        <v>-89.805620000000005</v>
      </c>
      <c r="E475" s="13">
        <v>1707.8287096479801</v>
      </c>
      <c r="F475" s="13">
        <v>-94.128056253384699</v>
      </c>
      <c r="G475" s="13">
        <f t="shared" si="106"/>
        <v>265.87194374661533</v>
      </c>
      <c r="H475" s="13">
        <v>-94.122907474523402</v>
      </c>
      <c r="I475" s="13">
        <f t="shared" si="107"/>
        <v>265.8770925254766</v>
      </c>
      <c r="J475" s="9">
        <v>1707.829</v>
      </c>
      <c r="K475" s="9">
        <v>265.87194399999998</v>
      </c>
      <c r="L475" s="10">
        <v>85.877093000000002</v>
      </c>
      <c r="M475" s="18">
        <f t="shared" si="108"/>
        <v>265.877093</v>
      </c>
      <c r="N475" s="17">
        <f t="shared" si="99"/>
        <v>1707.8287095081844</v>
      </c>
      <c r="O475" s="14">
        <f t="shared" si="100"/>
        <v>8.1855809857082422E-11</v>
      </c>
      <c r="P475" s="24">
        <f t="shared" si="101"/>
        <v>1.3979570212541148E-7</v>
      </c>
      <c r="Q475" s="2">
        <f t="shared" si="109"/>
        <v>1.7009420473383932E-7</v>
      </c>
      <c r="R475" s="19">
        <f t="shared" si="110"/>
        <v>2.9049181557638803E-4</v>
      </c>
      <c r="S475" s="16">
        <f t="shared" si="111"/>
        <v>265.87194374629735</v>
      </c>
      <c r="T475" s="23">
        <f t="shared" si="102"/>
        <v>3.1798208510736004E-10</v>
      </c>
      <c r="U475" s="22">
        <f t="shared" si="103"/>
        <v>2.5370263756485656E-7</v>
      </c>
      <c r="V475" s="16">
        <f t="shared" si="112"/>
        <v>265.8770925251581</v>
      </c>
      <c r="W475" s="23">
        <f t="shared" si="104"/>
        <v>3.1849367587710731E-10</v>
      </c>
      <c r="X475" s="22">
        <f t="shared" si="105"/>
        <v>4.7484189735769178E-7</v>
      </c>
    </row>
    <row r="476" spans="1:24" x14ac:dyDescent="0.45">
      <c r="A476">
        <v>46.249429999999997</v>
      </c>
      <c r="B476">
        <v>42.868259999999999</v>
      </c>
      <c r="C476">
        <v>46.245919999999998</v>
      </c>
      <c r="D476">
        <v>42.869599999999998</v>
      </c>
      <c r="E476" s="13">
        <v>403.610981884951</v>
      </c>
      <c r="F476" s="13">
        <v>165.16486281634499</v>
      </c>
      <c r="G476" s="13">
        <f t="shared" si="106"/>
        <v>165.16486281634499</v>
      </c>
      <c r="H476" s="13">
        <v>165.165830746452</v>
      </c>
      <c r="I476" s="13">
        <f t="shared" si="107"/>
        <v>165.165830746452</v>
      </c>
      <c r="J476" s="11">
        <v>403.61099999999999</v>
      </c>
      <c r="K476" s="11">
        <v>165.164863</v>
      </c>
      <c r="L476" s="12">
        <v>345.16583100000003</v>
      </c>
      <c r="M476" s="18">
        <f t="shared" si="108"/>
        <v>165.16583100000003</v>
      </c>
      <c r="N476" s="17">
        <f t="shared" si="99"/>
        <v>403.61098177567845</v>
      </c>
      <c r="O476" s="14">
        <f t="shared" si="100"/>
        <v>2.7073730212398015E-10</v>
      </c>
      <c r="P476" s="24">
        <f t="shared" si="101"/>
        <v>1.0927254834314226E-7</v>
      </c>
      <c r="Q476" s="2">
        <f t="shared" si="109"/>
        <v>4.5153183476933749E-8</v>
      </c>
      <c r="R476" s="19">
        <f t="shared" si="110"/>
        <v>1.8224321536308707E-5</v>
      </c>
      <c r="S476" s="16">
        <f t="shared" si="111"/>
        <v>165.16486287524086</v>
      </c>
      <c r="T476" s="23">
        <f t="shared" si="102"/>
        <v>5.889586418561521E-8</v>
      </c>
      <c r="U476" s="22">
        <f t="shared" si="103"/>
        <v>1.2475913990783738E-7</v>
      </c>
      <c r="V476" s="16">
        <f t="shared" si="112"/>
        <v>165.1658308053448</v>
      </c>
      <c r="W476" s="23">
        <f t="shared" si="104"/>
        <v>5.8892794640996726E-8</v>
      </c>
      <c r="X476" s="22">
        <f t="shared" si="105"/>
        <v>1.9465522882455844E-7</v>
      </c>
    </row>
    <row r="477" spans="1:24" x14ac:dyDescent="0.45">
      <c r="A477">
        <v>-49.310519999999997</v>
      </c>
      <c r="B477">
        <v>59.918729999999996</v>
      </c>
      <c r="C477">
        <v>-49.30592</v>
      </c>
      <c r="D477">
        <v>59.926160000000003</v>
      </c>
      <c r="E477" s="13">
        <v>744.07987511404497</v>
      </c>
      <c r="F477" s="13">
        <v>46.566321857391301</v>
      </c>
      <c r="G477" s="13">
        <f t="shared" si="106"/>
        <v>46.566321857391301</v>
      </c>
      <c r="H477" s="13">
        <v>46.560688224217301</v>
      </c>
      <c r="I477" s="13">
        <f t="shared" si="107"/>
        <v>46.560688224217301</v>
      </c>
      <c r="J477" s="9">
        <v>744.08</v>
      </c>
      <c r="K477" s="9">
        <v>46.566322</v>
      </c>
      <c r="L477" s="10">
        <v>226.560688</v>
      </c>
      <c r="M477" s="18">
        <f t="shared" si="108"/>
        <v>46.560688000000027</v>
      </c>
      <c r="N477" s="17">
        <f t="shared" si="99"/>
        <v>744.07987396848182</v>
      </c>
      <c r="O477" s="14">
        <f t="shared" si="100"/>
        <v>1.5395701253034553E-9</v>
      </c>
      <c r="P477" s="24">
        <f t="shared" si="101"/>
        <v>1.1455631465651095E-6</v>
      </c>
      <c r="Q477" s="2">
        <f t="shared" si="109"/>
        <v>1.6937898911510927E-7</v>
      </c>
      <c r="R477" s="19">
        <f t="shared" si="110"/>
        <v>1.2603151822077052E-4</v>
      </c>
      <c r="S477" s="16">
        <f t="shared" si="111"/>
        <v>46.566321773900768</v>
      </c>
      <c r="T477" s="23">
        <f t="shared" si="102"/>
        <v>8.3490533597796457E-8</v>
      </c>
      <c r="U477" s="22">
        <f t="shared" si="103"/>
        <v>2.2609923178151803E-7</v>
      </c>
      <c r="V477" s="16">
        <f t="shared" si="112"/>
        <v>46.560688140730079</v>
      </c>
      <c r="W477" s="23">
        <f t="shared" si="104"/>
        <v>8.3487222468647815E-8</v>
      </c>
      <c r="X477" s="22">
        <f t="shared" si="105"/>
        <v>1.407300516120813E-7</v>
      </c>
    </row>
    <row r="478" spans="1:24" x14ac:dyDescent="0.45">
      <c r="A478">
        <v>-36.255200000000002</v>
      </c>
      <c r="B478">
        <v>-113.85174000000001</v>
      </c>
      <c r="C478">
        <v>-36.267449999999997</v>
      </c>
      <c r="D478">
        <v>-113.86118</v>
      </c>
      <c r="E478" s="13">
        <v>1602.3036094839399</v>
      </c>
      <c r="F478" s="13">
        <v>-148.034970805813</v>
      </c>
      <c r="G478" s="13">
        <f t="shared" si="106"/>
        <v>211.965029194187</v>
      </c>
      <c r="H478" s="13">
        <v>-148.029387338059</v>
      </c>
      <c r="I478" s="13">
        <f t="shared" si="107"/>
        <v>211.970612661941</v>
      </c>
      <c r="J478" s="11">
        <v>1602.3040000000001</v>
      </c>
      <c r="K478" s="11">
        <v>211.96502899999999</v>
      </c>
      <c r="L478" s="12">
        <v>31.970613</v>
      </c>
      <c r="M478" s="18">
        <f t="shared" si="108"/>
        <v>211.97061300000001</v>
      </c>
      <c r="N478" s="17">
        <f t="shared" si="99"/>
        <v>1602.3036094691488</v>
      </c>
      <c r="O478" s="14">
        <f t="shared" si="100"/>
        <v>9.2311545997808514E-12</v>
      </c>
      <c r="P478" s="24">
        <f t="shared" si="101"/>
        <v>1.4791112334933132E-8</v>
      </c>
      <c r="Q478" s="2">
        <f t="shared" si="109"/>
        <v>2.4373080969108216E-7</v>
      </c>
      <c r="R478" s="19">
        <f t="shared" si="110"/>
        <v>3.9053085129125975E-4</v>
      </c>
      <c r="S478" s="16">
        <f t="shared" si="111"/>
        <v>211.96502919369772</v>
      </c>
      <c r="T478" s="23">
        <f t="shared" si="102"/>
        <v>4.8927972784440499E-10</v>
      </c>
      <c r="U478" s="22">
        <f t="shared" si="103"/>
        <v>1.9369772985555755E-7</v>
      </c>
      <c r="V478" s="16">
        <f t="shared" si="112"/>
        <v>211.97061266144888</v>
      </c>
      <c r="W478" s="23">
        <f t="shared" si="104"/>
        <v>4.9212189878744539E-10</v>
      </c>
      <c r="X478" s="22">
        <f t="shared" si="105"/>
        <v>3.3855113201752829E-7</v>
      </c>
    </row>
    <row r="479" spans="1:24" x14ac:dyDescent="0.45">
      <c r="A479">
        <v>-88.887569999999997</v>
      </c>
      <c r="B479">
        <v>-109.3514</v>
      </c>
      <c r="C479">
        <v>-88.892169999999993</v>
      </c>
      <c r="D479">
        <v>-109.36293000000001</v>
      </c>
      <c r="E479" s="13">
        <v>514.39582473871803</v>
      </c>
      <c r="F479" s="13">
        <v>-177.22555011067101</v>
      </c>
      <c r="G479" s="13">
        <f t="shared" si="106"/>
        <v>182.77444988932899</v>
      </c>
      <c r="H479" s="13">
        <v>-177.21402227481599</v>
      </c>
      <c r="I479" s="13">
        <f t="shared" si="107"/>
        <v>182.78597772518401</v>
      </c>
      <c r="J479" s="9">
        <v>514.39599999999996</v>
      </c>
      <c r="K479" s="9">
        <v>182.77445</v>
      </c>
      <c r="L479" s="10">
        <v>2.7859780000000001</v>
      </c>
      <c r="M479" s="18">
        <f t="shared" si="108"/>
        <v>182.785978</v>
      </c>
      <c r="N479" s="17">
        <f t="shared" si="99"/>
        <v>514.3958247389503</v>
      </c>
      <c r="O479" s="14">
        <f t="shared" si="100"/>
        <v>4.515242898467084E-13</v>
      </c>
      <c r="P479" s="24">
        <f t="shared" si="101"/>
        <v>2.3226220946526155E-10</v>
      </c>
      <c r="Q479" s="2">
        <f t="shared" si="109"/>
        <v>3.4071231048135569E-7</v>
      </c>
      <c r="R479" s="19">
        <f t="shared" si="110"/>
        <v>1.7526104966236744E-4</v>
      </c>
      <c r="S479" s="16">
        <f t="shared" si="111"/>
        <v>182.7744498893249</v>
      </c>
      <c r="T479" s="23">
        <f t="shared" si="102"/>
        <v>4.0927261579781771E-12</v>
      </c>
      <c r="U479" s="22">
        <f t="shared" si="103"/>
        <v>1.1067510286011384E-7</v>
      </c>
      <c r="V479" s="16">
        <f t="shared" si="112"/>
        <v>182.78597772518023</v>
      </c>
      <c r="W479" s="23">
        <f t="shared" si="104"/>
        <v>3.780087354243733E-12</v>
      </c>
      <c r="X479" s="22">
        <f t="shared" si="105"/>
        <v>2.7481976871968072E-7</v>
      </c>
    </row>
    <row r="480" spans="1:24" x14ac:dyDescent="0.45">
      <c r="A480">
        <v>-14.742050000000001</v>
      </c>
      <c r="B480">
        <v>-79.951920000000001</v>
      </c>
      <c r="C480">
        <v>-14.74389</v>
      </c>
      <c r="D480">
        <v>-79.951059999999998</v>
      </c>
      <c r="E480" s="13">
        <v>223.66003786377701</v>
      </c>
      <c r="F480" s="13">
        <v>155.54157851552</v>
      </c>
      <c r="G480" s="13">
        <f t="shared" si="106"/>
        <v>155.54157851552</v>
      </c>
      <c r="H480" s="13">
        <v>155.541359659888</v>
      </c>
      <c r="I480" s="13">
        <f t="shared" si="107"/>
        <v>155.541359659888</v>
      </c>
      <c r="J480" s="11">
        <v>223.66</v>
      </c>
      <c r="K480" s="11">
        <v>155.54157900000001</v>
      </c>
      <c r="L480" s="12">
        <v>335.54136</v>
      </c>
      <c r="M480" s="18">
        <f t="shared" si="108"/>
        <v>155.54135999999994</v>
      </c>
      <c r="N480" s="17">
        <f t="shared" si="99"/>
        <v>223.66003667914177</v>
      </c>
      <c r="O480" s="14">
        <f t="shared" si="100"/>
        <v>5.2965887389626468E-9</v>
      </c>
      <c r="P480" s="24">
        <f t="shared" si="101"/>
        <v>1.1846352379052405E-6</v>
      </c>
      <c r="Q480" s="2">
        <f t="shared" si="109"/>
        <v>1.6399508974271635E-7</v>
      </c>
      <c r="R480" s="19">
        <f t="shared" si="110"/>
        <v>3.6679141771855939E-5</v>
      </c>
      <c r="S480" s="16">
        <f t="shared" si="111"/>
        <v>155.54157918236859</v>
      </c>
      <c r="T480" s="23">
        <f t="shared" si="102"/>
        <v>6.6684859234555915E-7</v>
      </c>
      <c r="U480" s="22">
        <f t="shared" si="103"/>
        <v>1.8236858068121364E-7</v>
      </c>
      <c r="V480" s="16">
        <f t="shared" si="112"/>
        <v>155.5413603267402</v>
      </c>
      <c r="W480" s="23">
        <f t="shared" si="104"/>
        <v>6.6685220190265682E-7</v>
      </c>
      <c r="X480" s="22">
        <f t="shared" si="105"/>
        <v>3.2674026329004846E-7</v>
      </c>
    </row>
    <row r="481" spans="1:24" x14ac:dyDescent="0.45">
      <c r="A481">
        <v>-48.245060000000002</v>
      </c>
      <c r="B481">
        <v>-65.124889999999994</v>
      </c>
      <c r="C481">
        <v>-48.250770000000003</v>
      </c>
      <c r="D481">
        <v>-65.111949999999993</v>
      </c>
      <c r="E481" s="13">
        <v>1151.8165821693501</v>
      </c>
      <c r="F481" s="13">
        <v>123.45676524309</v>
      </c>
      <c r="G481" s="13">
        <f t="shared" si="106"/>
        <v>123.45676524309</v>
      </c>
      <c r="H481" s="13">
        <v>123.44711157418899</v>
      </c>
      <c r="I481" s="13">
        <f t="shared" si="107"/>
        <v>123.44711157418899</v>
      </c>
      <c r="J481" s="9">
        <v>1151.817</v>
      </c>
      <c r="K481" s="9">
        <v>123.456765</v>
      </c>
      <c r="L481" s="10">
        <v>303.447112</v>
      </c>
      <c r="M481" s="18">
        <f t="shared" si="108"/>
        <v>123.447112</v>
      </c>
      <c r="N481" s="17">
        <f t="shared" si="99"/>
        <v>1151.8165795103241</v>
      </c>
      <c r="O481" s="14">
        <f t="shared" si="100"/>
        <v>2.308549847351853E-9</v>
      </c>
      <c r="P481" s="24">
        <f t="shared" si="101"/>
        <v>2.6590259949443862E-6</v>
      </c>
      <c r="Q481" s="2">
        <f t="shared" si="109"/>
        <v>3.6506639152682877E-7</v>
      </c>
      <c r="R481" s="19">
        <f t="shared" si="110"/>
        <v>4.2048967588925734E-4</v>
      </c>
      <c r="S481" s="16">
        <f t="shared" si="111"/>
        <v>123.45676533039223</v>
      </c>
      <c r="T481" s="23">
        <f t="shared" si="102"/>
        <v>8.7302225892926799E-8</v>
      </c>
      <c r="U481" s="22">
        <f t="shared" si="103"/>
        <v>3.3039222557817993E-7</v>
      </c>
      <c r="V481" s="16">
        <f t="shared" si="112"/>
        <v>123.44711166153537</v>
      </c>
      <c r="W481" s="23">
        <f t="shared" si="104"/>
        <v>8.7346379018526932E-8</v>
      </c>
      <c r="X481" s="22">
        <f t="shared" si="105"/>
        <v>3.3846463054487685E-7</v>
      </c>
    </row>
    <row r="482" spans="1:24" x14ac:dyDescent="0.45">
      <c r="A482">
        <v>50.44847</v>
      </c>
      <c r="B482">
        <v>179.70865000000001</v>
      </c>
      <c r="C482">
        <v>50.435049999999997</v>
      </c>
      <c r="D482">
        <v>179.70292000000001</v>
      </c>
      <c r="E482" s="13">
        <v>1547.30660959137</v>
      </c>
      <c r="F482" s="13">
        <v>-164.74586853802401</v>
      </c>
      <c r="G482" s="13">
        <f t="shared" si="106"/>
        <v>195.25413146197599</v>
      </c>
      <c r="H482" s="13">
        <v>-164.75028623984301</v>
      </c>
      <c r="I482" s="13">
        <f t="shared" si="107"/>
        <v>195.24971376015699</v>
      </c>
      <c r="J482" s="11">
        <v>1547.307</v>
      </c>
      <c r="K482" s="11">
        <v>195.254131</v>
      </c>
      <c r="L482" s="12">
        <v>15.249714000000001</v>
      </c>
      <c r="M482" s="18">
        <f t="shared" si="108"/>
        <v>195.24971400000001</v>
      </c>
      <c r="N482" s="17">
        <f t="shared" si="99"/>
        <v>1547.306609313292</v>
      </c>
      <c r="O482" s="14">
        <f t="shared" si="100"/>
        <v>1.7971745440970537E-10</v>
      </c>
      <c r="P482" s="24">
        <f t="shared" si="101"/>
        <v>2.7807800506707281E-7</v>
      </c>
      <c r="Q482" s="2">
        <f t="shared" si="109"/>
        <v>2.5249462969384705E-7</v>
      </c>
      <c r="R482" s="19">
        <f t="shared" si="110"/>
        <v>3.9068670798769745E-4</v>
      </c>
      <c r="S482" s="16">
        <f t="shared" si="111"/>
        <v>195.25413142494716</v>
      </c>
      <c r="T482" s="23">
        <f t="shared" si="102"/>
        <v>3.7028826227469835E-8</v>
      </c>
      <c r="U482" s="22">
        <f t="shared" si="103"/>
        <v>4.2494716012697609E-7</v>
      </c>
      <c r="V482" s="16">
        <f t="shared" si="112"/>
        <v>195.24971372313925</v>
      </c>
      <c r="W482" s="23">
        <f t="shared" si="104"/>
        <v>3.7017741760791978E-8</v>
      </c>
      <c r="X482" s="22">
        <f t="shared" si="105"/>
        <v>2.7686076009558747E-7</v>
      </c>
    </row>
    <row r="483" spans="1:24" x14ac:dyDescent="0.45">
      <c r="A483">
        <v>84.651309999999995</v>
      </c>
      <c r="B483">
        <v>137.88408000000001</v>
      </c>
      <c r="C483">
        <v>84.663629999999998</v>
      </c>
      <c r="D483">
        <v>137.88800000000001</v>
      </c>
      <c r="E483" s="13">
        <v>1376.55300113713</v>
      </c>
      <c r="F483" s="13">
        <v>1.69508492937739</v>
      </c>
      <c r="G483" s="13">
        <f t="shared" si="106"/>
        <v>1.69508492937739</v>
      </c>
      <c r="H483" s="13">
        <v>1.6989879003643</v>
      </c>
      <c r="I483" s="13">
        <f t="shared" si="107"/>
        <v>1.6989879003643</v>
      </c>
      <c r="J483" s="9">
        <v>1376.5530000000001</v>
      </c>
      <c r="K483" s="9">
        <v>1.695085</v>
      </c>
      <c r="L483" s="10">
        <v>181.69898800000001</v>
      </c>
      <c r="M483" s="18">
        <f t="shared" si="108"/>
        <v>1.6989879999999857</v>
      </c>
      <c r="N483" s="17">
        <f t="shared" si="99"/>
        <v>1376.5530011345966</v>
      </c>
      <c r="O483" s="14">
        <f t="shared" si="100"/>
        <v>1.8403922621909411E-12</v>
      </c>
      <c r="P483" s="24">
        <f t="shared" si="101"/>
        <v>2.5333974917884916E-9</v>
      </c>
      <c r="Q483" s="2">
        <f t="shared" si="109"/>
        <v>8.2423013095110138E-10</v>
      </c>
      <c r="R483" s="19">
        <f t="shared" si="110"/>
        <v>1.1345964594511315E-6</v>
      </c>
      <c r="S483" s="16">
        <f t="shared" si="111"/>
        <v>1.6950849279219402</v>
      </c>
      <c r="T483" s="23">
        <f t="shared" si="102"/>
        <v>1.455449760712213E-9</v>
      </c>
      <c r="U483" s="22">
        <f t="shared" si="103"/>
        <v>7.2078059742963774E-8</v>
      </c>
      <c r="V483" s="16">
        <f t="shared" si="112"/>
        <v>1.6989878989054807</v>
      </c>
      <c r="W483" s="23">
        <f t="shared" si="104"/>
        <v>1.4588192875919503E-9</v>
      </c>
      <c r="X483" s="22">
        <f t="shared" si="105"/>
        <v>1.0109450498951844E-7</v>
      </c>
    </row>
    <row r="484" spans="1:24" x14ac:dyDescent="0.45">
      <c r="A484">
        <v>40.485939999999999</v>
      </c>
      <c r="B484">
        <v>91.830160000000006</v>
      </c>
      <c r="C484">
        <v>40.482050000000001</v>
      </c>
      <c r="D484">
        <v>91.817999999999998</v>
      </c>
      <c r="E484" s="13">
        <v>1117.8525951716399</v>
      </c>
      <c r="F484" s="13">
        <v>-112.72799629067499</v>
      </c>
      <c r="G484" s="13">
        <f t="shared" si="106"/>
        <v>247.27200370932502</v>
      </c>
      <c r="H484" s="13">
        <v>-112.73589099573</v>
      </c>
      <c r="I484" s="13">
        <f t="shared" si="107"/>
        <v>247.26410900426998</v>
      </c>
      <c r="J484" s="11">
        <v>1117.8530000000001</v>
      </c>
      <c r="K484" s="11">
        <v>247.27200400000001</v>
      </c>
      <c r="L484" s="12">
        <v>67.264109000000005</v>
      </c>
      <c r="M484" s="18">
        <f t="shared" si="108"/>
        <v>247.26410900000002</v>
      </c>
      <c r="N484" s="17">
        <f t="shared" si="99"/>
        <v>1117.8525951574925</v>
      </c>
      <c r="O484" s="14">
        <f t="shared" si="100"/>
        <v>1.2655888192110952E-11</v>
      </c>
      <c r="P484" s="24">
        <f t="shared" si="101"/>
        <v>1.4147417459753342E-8</v>
      </c>
      <c r="Q484" s="2">
        <f t="shared" si="109"/>
        <v>3.6216077389244917E-7</v>
      </c>
      <c r="R484" s="19">
        <f t="shared" si="110"/>
        <v>4.04842507577996E-4</v>
      </c>
      <c r="S484" s="16">
        <f t="shared" si="111"/>
        <v>247.27200370898021</v>
      </c>
      <c r="T484" s="23">
        <f t="shared" si="102"/>
        <v>3.4481217880966142E-10</v>
      </c>
      <c r="U484" s="22">
        <f t="shared" si="103"/>
        <v>2.9101980203449784E-7</v>
      </c>
      <c r="V484" s="16">
        <f t="shared" si="112"/>
        <v>247.2641090039335</v>
      </c>
      <c r="W484" s="23">
        <f t="shared" si="104"/>
        <v>3.3648461794655304E-10</v>
      </c>
      <c r="X484" s="22">
        <f t="shared" si="105"/>
        <v>3.9334793200396234E-9</v>
      </c>
    </row>
    <row r="485" spans="1:24" x14ac:dyDescent="0.45">
      <c r="A485">
        <v>-12.19533</v>
      </c>
      <c r="B485">
        <v>-172.8569</v>
      </c>
      <c r="C485">
        <v>-12.195349999999999</v>
      </c>
      <c r="D485">
        <v>-172.85661999999999</v>
      </c>
      <c r="E485" s="13">
        <v>30.550828955712401</v>
      </c>
      <c r="F485" s="13">
        <v>94.152998849920493</v>
      </c>
      <c r="G485" s="13">
        <f t="shared" si="106"/>
        <v>94.152998849920493</v>
      </c>
      <c r="H485" s="13">
        <v>94.152939701236406</v>
      </c>
      <c r="I485" s="13">
        <f t="shared" si="107"/>
        <v>94.152939701236406</v>
      </c>
      <c r="J485" s="9">
        <v>30.550999999999998</v>
      </c>
      <c r="K485" s="9">
        <v>94.152998999999994</v>
      </c>
      <c r="L485" s="10">
        <v>274.15294</v>
      </c>
      <c r="M485" s="18">
        <f t="shared" si="108"/>
        <v>94.152940000000001</v>
      </c>
      <c r="N485" s="17">
        <f t="shared" si="99"/>
        <v>30.550827958870414</v>
      </c>
      <c r="O485" s="14">
        <f t="shared" si="100"/>
        <v>3.2628966899016123E-8</v>
      </c>
      <c r="P485" s="24">
        <f t="shared" si="101"/>
        <v>9.9684198673344326E-7</v>
      </c>
      <c r="Q485" s="2">
        <f t="shared" si="109"/>
        <v>5.6312765403503614E-6</v>
      </c>
      <c r="R485" s="19">
        <f t="shared" si="110"/>
        <v>1.7204112958424389E-4</v>
      </c>
      <c r="S485" s="16">
        <f t="shared" si="111"/>
        <v>94.152998984623963</v>
      </c>
      <c r="T485" s="23">
        <f t="shared" si="102"/>
        <v>1.3470346971189429E-7</v>
      </c>
      <c r="U485" s="22">
        <f t="shared" si="103"/>
        <v>1.5376031115010846E-8</v>
      </c>
      <c r="V485" s="16">
        <f t="shared" si="112"/>
        <v>94.152939835672626</v>
      </c>
      <c r="W485" s="23">
        <f t="shared" si="104"/>
        <v>1.344362203781202E-7</v>
      </c>
      <c r="X485" s="22">
        <f t="shared" si="105"/>
        <v>1.6432737481864024E-7</v>
      </c>
    </row>
    <row r="486" spans="1:24" x14ac:dyDescent="0.45">
      <c r="A486">
        <v>-39.377989999999997</v>
      </c>
      <c r="B486">
        <v>148.34419</v>
      </c>
      <c r="C486">
        <v>-39.377670000000002</v>
      </c>
      <c r="D486">
        <v>148.35400000000001</v>
      </c>
      <c r="E486" s="13">
        <v>846.01321451907995</v>
      </c>
      <c r="F486" s="13">
        <v>87.596339727492193</v>
      </c>
      <c r="G486" s="13">
        <f t="shared" si="106"/>
        <v>87.596339727492193</v>
      </c>
      <c r="H486" s="13">
        <v>87.590115954815801</v>
      </c>
      <c r="I486" s="13">
        <f t="shared" si="107"/>
        <v>87.590115954815801</v>
      </c>
      <c r="J486" s="11">
        <v>846.01300000000003</v>
      </c>
      <c r="K486" s="11">
        <v>87.596339999999998</v>
      </c>
      <c r="L486" s="12">
        <v>267.59011600000002</v>
      </c>
      <c r="M486" s="18">
        <f t="shared" si="108"/>
        <v>87.590116000000023</v>
      </c>
      <c r="N486" s="17">
        <f t="shared" si="99"/>
        <v>846.01321450494504</v>
      </c>
      <c r="O486" s="14">
        <f t="shared" si="100"/>
        <v>1.6707672723101636E-11</v>
      </c>
      <c r="P486" s="24">
        <f t="shared" si="101"/>
        <v>1.4134911907603964E-8</v>
      </c>
      <c r="Q486" s="2">
        <f t="shared" si="109"/>
        <v>2.5354804832361995E-7</v>
      </c>
      <c r="R486" s="19">
        <f t="shared" si="110"/>
        <v>2.1450494500641071E-4</v>
      </c>
      <c r="S486" s="16">
        <f t="shared" si="111"/>
        <v>87.596339727429779</v>
      </c>
      <c r="T486" s="23">
        <f t="shared" si="102"/>
        <v>6.24140739091672E-11</v>
      </c>
      <c r="U486" s="22">
        <f t="shared" si="103"/>
        <v>2.7257021883997368E-7</v>
      </c>
      <c r="V486" s="16">
        <f t="shared" si="112"/>
        <v>87.590115954751255</v>
      </c>
      <c r="W486" s="23">
        <f t="shared" si="104"/>
        <v>6.4545702116447501E-11</v>
      </c>
      <c r="X486" s="22">
        <f t="shared" si="105"/>
        <v>4.5248768287819985E-8</v>
      </c>
    </row>
    <row r="487" spans="1:24" x14ac:dyDescent="0.45">
      <c r="A487">
        <v>-5.1102600000000002</v>
      </c>
      <c r="B487">
        <v>-45.360810000000001</v>
      </c>
      <c r="C487">
        <v>-5.1181000000000001</v>
      </c>
      <c r="D487">
        <v>-45.346850000000003</v>
      </c>
      <c r="E487" s="13">
        <v>1774.13524002295</v>
      </c>
      <c r="F487" s="13">
        <v>119.25400280795</v>
      </c>
      <c r="G487" s="13">
        <f t="shared" si="106"/>
        <v>119.25400280795</v>
      </c>
      <c r="H487" s="13">
        <v>119.252758402344</v>
      </c>
      <c r="I487" s="13">
        <f t="shared" si="107"/>
        <v>119.252758402344</v>
      </c>
      <c r="J487" s="9">
        <v>1774.135</v>
      </c>
      <c r="K487" s="9">
        <v>119.254003</v>
      </c>
      <c r="L487" s="10">
        <v>299.25275799999997</v>
      </c>
      <c r="M487" s="18">
        <f t="shared" si="108"/>
        <v>119.25275799999997</v>
      </c>
      <c r="N487" s="17">
        <f t="shared" si="99"/>
        <v>1774.1352398470931</v>
      </c>
      <c r="O487" s="14">
        <f t="shared" si="100"/>
        <v>9.9122623636492202E-11</v>
      </c>
      <c r="P487" s="24">
        <f t="shared" si="101"/>
        <v>1.7585693967703264E-7</v>
      </c>
      <c r="Q487" s="2">
        <f t="shared" si="109"/>
        <v>1.3519100468590785E-7</v>
      </c>
      <c r="R487" s="19">
        <f t="shared" si="110"/>
        <v>2.3984709309843311E-4</v>
      </c>
      <c r="S487" s="16">
        <f t="shared" si="111"/>
        <v>119.25400281090864</v>
      </c>
      <c r="T487" s="23">
        <f t="shared" si="102"/>
        <v>2.9586431082861964E-9</v>
      </c>
      <c r="U487" s="22">
        <f t="shared" si="103"/>
        <v>1.890913523538984E-7</v>
      </c>
      <c r="V487" s="16">
        <f t="shared" si="112"/>
        <v>119.25275840530378</v>
      </c>
      <c r="W487" s="23">
        <f t="shared" si="104"/>
        <v>2.9597799766634125E-9</v>
      </c>
      <c r="X487" s="22">
        <f t="shared" si="105"/>
        <v>4.0530380829295609E-7</v>
      </c>
    </row>
    <row r="488" spans="1:24" x14ac:dyDescent="0.45">
      <c r="A488">
        <v>22.790019999999998</v>
      </c>
      <c r="B488">
        <v>-124.90221</v>
      </c>
      <c r="C488">
        <v>22.799029999999998</v>
      </c>
      <c r="D488">
        <v>-124.90714</v>
      </c>
      <c r="E488" s="13">
        <v>1118.83721855204</v>
      </c>
      <c r="F488" s="13">
        <v>-26.898878612968801</v>
      </c>
      <c r="G488" s="13">
        <f t="shared" si="106"/>
        <v>333.10112138703118</v>
      </c>
      <c r="H488" s="13">
        <v>-26.900788630523099</v>
      </c>
      <c r="I488" s="13">
        <f t="shared" si="107"/>
        <v>333.0992113694769</v>
      </c>
      <c r="J488" s="11">
        <v>1118.837</v>
      </c>
      <c r="K488" s="11">
        <v>333.10112099999998</v>
      </c>
      <c r="L488" s="12">
        <v>153.099211</v>
      </c>
      <c r="M488" s="18">
        <f t="shared" si="108"/>
        <v>333.09921099999997</v>
      </c>
      <c r="N488" s="17">
        <f t="shared" si="99"/>
        <v>1118.8372185283674</v>
      </c>
      <c r="O488" s="14">
        <f t="shared" si="100"/>
        <v>2.115817661308891E-11</v>
      </c>
      <c r="P488" s="24">
        <f t="shared" si="101"/>
        <v>2.3672555471421219E-8</v>
      </c>
      <c r="Q488" s="2">
        <f t="shared" si="109"/>
        <v>1.9531743001057359E-7</v>
      </c>
      <c r="R488" s="19">
        <f t="shared" si="110"/>
        <v>2.1852836744074011E-4</v>
      </c>
      <c r="S488" s="16">
        <f t="shared" si="111"/>
        <v>333.10112138860723</v>
      </c>
      <c r="T488" s="23">
        <f t="shared" si="102"/>
        <v>1.576040631334763E-9</v>
      </c>
      <c r="U488" s="22">
        <f t="shared" si="103"/>
        <v>3.8860724771438981E-7</v>
      </c>
      <c r="V488" s="16">
        <f t="shared" si="112"/>
        <v>333.09921137105414</v>
      </c>
      <c r="W488" s="23">
        <f t="shared" si="104"/>
        <v>1.57723434313084E-9</v>
      </c>
      <c r="X488" s="22">
        <f t="shared" si="105"/>
        <v>3.7105417050042888E-7</v>
      </c>
    </row>
    <row r="489" spans="1:24" x14ac:dyDescent="0.45">
      <c r="A489">
        <v>83.619240000000005</v>
      </c>
      <c r="B489">
        <v>133.93875</v>
      </c>
      <c r="C489">
        <v>83.610709999999997</v>
      </c>
      <c r="D489">
        <v>133.94125</v>
      </c>
      <c r="E489" s="13">
        <v>953.13649792774299</v>
      </c>
      <c r="F489" s="13">
        <v>178.131790256611</v>
      </c>
      <c r="G489" s="13">
        <f t="shared" si="106"/>
        <v>178.131790256611</v>
      </c>
      <c r="H489" s="13">
        <v>178.134274749166</v>
      </c>
      <c r="I489" s="13">
        <f t="shared" si="107"/>
        <v>178.134274749166</v>
      </c>
      <c r="J489" s="9">
        <v>953.13599999999997</v>
      </c>
      <c r="K489" s="9">
        <v>178.13179</v>
      </c>
      <c r="L489" s="10">
        <v>358.134275</v>
      </c>
      <c r="M489" s="18">
        <f t="shared" si="108"/>
        <v>178.134275</v>
      </c>
      <c r="N489" s="17">
        <f t="shared" si="99"/>
        <v>953.13649792518038</v>
      </c>
      <c r="O489" s="14">
        <f t="shared" si="100"/>
        <v>2.6886128216204536E-12</v>
      </c>
      <c r="P489" s="24">
        <f t="shared" si="101"/>
        <v>2.5626150090829469E-9</v>
      </c>
      <c r="Q489" s="2">
        <f t="shared" si="109"/>
        <v>5.2240727494458794E-7</v>
      </c>
      <c r="R489" s="19">
        <f t="shared" si="110"/>
        <v>4.9792518041158473E-4</v>
      </c>
      <c r="S489" s="16">
        <f t="shared" si="111"/>
        <v>178.13179025983013</v>
      </c>
      <c r="T489" s="23">
        <f t="shared" si="102"/>
        <v>3.2191280752158491E-9</v>
      </c>
      <c r="U489" s="22">
        <f t="shared" si="103"/>
        <v>2.5983013074437622E-7</v>
      </c>
      <c r="V489" s="16">
        <f t="shared" si="112"/>
        <v>178.13427475238046</v>
      </c>
      <c r="W489" s="23">
        <f t="shared" si="104"/>
        <v>3.2144669148692628E-9</v>
      </c>
      <c r="X489" s="22">
        <f t="shared" si="105"/>
        <v>2.4761953909546719E-7</v>
      </c>
    </row>
    <row r="490" spans="1:24" x14ac:dyDescent="0.45">
      <c r="A490">
        <v>77.58775</v>
      </c>
      <c r="B490">
        <v>100.61530999999999</v>
      </c>
      <c r="C490">
        <v>77.602279999999993</v>
      </c>
      <c r="D490">
        <v>100.62383</v>
      </c>
      <c r="E490" s="13">
        <v>1634.9834791406299</v>
      </c>
      <c r="F490" s="13">
        <v>7.17748911169463</v>
      </c>
      <c r="G490" s="13">
        <f t="shared" si="106"/>
        <v>7.17748911169463</v>
      </c>
      <c r="H490" s="13">
        <v>7.1858102003632096</v>
      </c>
      <c r="I490" s="13">
        <f t="shared" si="107"/>
        <v>7.1858102003632096</v>
      </c>
      <c r="J490" s="11">
        <v>1634.9829999999999</v>
      </c>
      <c r="K490" s="11">
        <v>7.1774889999999996</v>
      </c>
      <c r="L490" s="12">
        <v>187.18581</v>
      </c>
      <c r="M490" s="18">
        <f t="shared" si="108"/>
        <v>7.1858100000000036</v>
      </c>
      <c r="N490" s="17">
        <f t="shared" si="99"/>
        <v>1634.9834791365904</v>
      </c>
      <c r="O490" s="14">
        <f t="shared" si="100"/>
        <v>2.4706798383355466E-12</v>
      </c>
      <c r="P490" s="24">
        <f t="shared" si="101"/>
        <v>4.0395207179244608E-9</v>
      </c>
      <c r="Q490" s="2">
        <f t="shared" si="109"/>
        <v>2.9305294945367577E-7</v>
      </c>
      <c r="R490" s="19">
        <f t="shared" si="110"/>
        <v>4.7913659045661916E-4</v>
      </c>
      <c r="S490" s="16">
        <f t="shared" si="111"/>
        <v>7.177489111682763</v>
      </c>
      <c r="T490" s="23">
        <f t="shared" si="102"/>
        <v>1.1866951865613373E-11</v>
      </c>
      <c r="U490" s="22">
        <f t="shared" si="103"/>
        <v>1.1168276348172412E-7</v>
      </c>
      <c r="V490" s="16">
        <f t="shared" si="112"/>
        <v>7.18581020035184</v>
      </c>
      <c r="W490" s="23">
        <f t="shared" si="104"/>
        <v>1.1369571950581303E-11</v>
      </c>
      <c r="X490" s="22">
        <f t="shared" si="105"/>
        <v>2.003518364546153E-7</v>
      </c>
    </row>
    <row r="491" spans="1:24" x14ac:dyDescent="0.45">
      <c r="A491">
        <v>31.588640000000002</v>
      </c>
      <c r="B491">
        <v>147.37581</v>
      </c>
      <c r="C491">
        <v>31.588619999999999</v>
      </c>
      <c r="D491">
        <v>147.36421000000001</v>
      </c>
      <c r="E491" s="13">
        <v>1100.9882910502199</v>
      </c>
      <c r="F491" s="13">
        <v>-90.112366167920996</v>
      </c>
      <c r="G491" s="13">
        <f t="shared" si="106"/>
        <v>269.88763383207902</v>
      </c>
      <c r="H491" s="13">
        <v>-90.118442443693198</v>
      </c>
      <c r="I491" s="13">
        <f t="shared" si="107"/>
        <v>269.8815575563068</v>
      </c>
      <c r="J491" s="9">
        <v>1100.9880000000001</v>
      </c>
      <c r="K491" s="9">
        <v>269.88763399999999</v>
      </c>
      <c r="L491" s="10">
        <v>89.881557999999998</v>
      </c>
      <c r="M491" s="18">
        <f t="shared" si="108"/>
        <v>269.88155799999998</v>
      </c>
      <c r="N491" s="17">
        <f t="shared" si="99"/>
        <v>1100.9882910084752</v>
      </c>
      <c r="O491" s="14">
        <f t="shared" si="100"/>
        <v>3.7915634782255887E-11</v>
      </c>
      <c r="P491" s="24">
        <f t="shared" si="101"/>
        <v>4.174466994300019E-8</v>
      </c>
      <c r="Q491" s="2">
        <f t="shared" si="109"/>
        <v>2.6431575565535858E-7</v>
      </c>
      <c r="R491" s="19">
        <f t="shared" si="110"/>
        <v>2.9100847518748196E-4</v>
      </c>
      <c r="S491" s="16">
        <f t="shared" si="111"/>
        <v>269.8876338321806</v>
      </c>
      <c r="T491" s="23">
        <f t="shared" si="102"/>
        <v>1.0157918950426392E-10</v>
      </c>
      <c r="U491" s="22">
        <f t="shared" si="103"/>
        <v>1.6781939393695211E-7</v>
      </c>
      <c r="V491" s="16">
        <f t="shared" si="112"/>
        <v>269.88155755640582</v>
      </c>
      <c r="W491" s="23">
        <f t="shared" si="104"/>
        <v>9.9021235655527562E-11</v>
      </c>
      <c r="X491" s="22">
        <f t="shared" si="105"/>
        <v>4.4359416051520384E-7</v>
      </c>
    </row>
    <row r="492" spans="1:24" x14ac:dyDescent="0.45">
      <c r="A492">
        <v>-19.62322</v>
      </c>
      <c r="B492">
        <v>-178.74319</v>
      </c>
      <c r="C492">
        <v>-19.611070000000002</v>
      </c>
      <c r="D492">
        <v>-178.73658</v>
      </c>
      <c r="E492" s="13">
        <v>1513.2056886968301</v>
      </c>
      <c r="F492" s="13">
        <v>27.273122112384701</v>
      </c>
      <c r="G492" s="13">
        <f t="shared" si="106"/>
        <v>27.273122112384701</v>
      </c>
      <c r="H492" s="13">
        <v>27.270902914246399</v>
      </c>
      <c r="I492" s="13">
        <f t="shared" si="107"/>
        <v>27.270902914246399</v>
      </c>
      <c r="J492" s="11">
        <v>1513.2059999999999</v>
      </c>
      <c r="K492" s="11">
        <v>27.273122000000001</v>
      </c>
      <c r="L492" s="12">
        <v>207.270903</v>
      </c>
      <c r="M492" s="18">
        <f t="shared" si="108"/>
        <v>27.270902999999976</v>
      </c>
      <c r="N492" s="17">
        <f t="shared" si="99"/>
        <v>1513.205688662239</v>
      </c>
      <c r="O492" s="14">
        <f t="shared" si="100"/>
        <v>2.2859443117739639E-11</v>
      </c>
      <c r="P492" s="24">
        <f t="shared" si="101"/>
        <v>3.4591039366205223E-8</v>
      </c>
      <c r="Q492" s="2">
        <f t="shared" si="109"/>
        <v>2.0574710969755286E-7</v>
      </c>
      <c r="R492" s="19">
        <f t="shared" si="110"/>
        <v>3.1133776087699516E-4</v>
      </c>
      <c r="S492" s="16">
        <f t="shared" si="111"/>
        <v>27.273122110615503</v>
      </c>
      <c r="T492" s="23">
        <f t="shared" si="102"/>
        <v>1.7691981213374675E-9</v>
      </c>
      <c r="U492" s="22">
        <f t="shared" si="103"/>
        <v>1.1061550253543828E-7</v>
      </c>
      <c r="V492" s="16">
        <f t="shared" si="112"/>
        <v>27.270902912480548</v>
      </c>
      <c r="W492" s="23">
        <f t="shared" si="104"/>
        <v>1.7658514650520374E-9</v>
      </c>
      <c r="X492" s="22">
        <f t="shared" si="105"/>
        <v>8.7519428149107625E-8</v>
      </c>
    </row>
    <row r="493" spans="1:24" x14ac:dyDescent="0.45">
      <c r="A493">
        <v>70.463920000000002</v>
      </c>
      <c r="B493">
        <v>-123.86275000000001</v>
      </c>
      <c r="C493">
        <v>70.465059999999994</v>
      </c>
      <c r="D493">
        <v>-123.85974</v>
      </c>
      <c r="E493" s="13">
        <v>169.722661053107</v>
      </c>
      <c r="F493" s="13">
        <v>41.461590602352103</v>
      </c>
      <c r="G493" s="13">
        <f t="shared" si="106"/>
        <v>41.461590602352103</v>
      </c>
      <c r="H493" s="13">
        <v>41.464427329979898</v>
      </c>
      <c r="I493" s="13">
        <f t="shared" si="107"/>
        <v>41.464427329979898</v>
      </c>
      <c r="J493" s="9">
        <v>169.72300000000001</v>
      </c>
      <c r="K493" s="9">
        <v>41.461590999999999</v>
      </c>
      <c r="L493" s="10">
        <v>221.464427</v>
      </c>
      <c r="M493" s="18">
        <f t="shared" si="108"/>
        <v>41.464427000000001</v>
      </c>
      <c r="N493" s="17">
        <f t="shared" si="99"/>
        <v>169.72266104841913</v>
      </c>
      <c r="O493" s="14">
        <f t="shared" si="100"/>
        <v>2.7620806345853714E-11</v>
      </c>
      <c r="P493" s="24">
        <f t="shared" si="101"/>
        <v>4.687876753450837E-9</v>
      </c>
      <c r="Q493" s="2">
        <f t="shared" si="109"/>
        <v>1.9970869056418974E-6</v>
      </c>
      <c r="R493" s="19">
        <f t="shared" si="110"/>
        <v>3.3895158088625976E-4</v>
      </c>
      <c r="S493" s="16">
        <f t="shared" si="111"/>
        <v>41.461590600785534</v>
      </c>
      <c r="T493" s="23">
        <f t="shared" si="102"/>
        <v>1.5665690966670809E-9</v>
      </c>
      <c r="U493" s="22">
        <f t="shared" si="103"/>
        <v>3.9921446415291939E-7</v>
      </c>
      <c r="V493" s="16">
        <f t="shared" si="112"/>
        <v>41.464427328372395</v>
      </c>
      <c r="W493" s="23">
        <f t="shared" si="104"/>
        <v>1.6075034636742203E-9</v>
      </c>
      <c r="X493" s="22">
        <f t="shared" si="105"/>
        <v>3.2837239416494413E-7</v>
      </c>
    </row>
    <row r="494" spans="1:24" x14ac:dyDescent="0.45">
      <c r="A494">
        <v>12.90451</v>
      </c>
      <c r="B494">
        <v>66.452550000000002</v>
      </c>
      <c r="C494">
        <v>12.896240000000001</v>
      </c>
      <c r="D494">
        <v>66.468689999999995</v>
      </c>
      <c r="E494" s="13">
        <v>1976.18239207274</v>
      </c>
      <c r="F494" s="13">
        <v>117.576923989326</v>
      </c>
      <c r="G494" s="13">
        <f t="shared" si="106"/>
        <v>117.576923989326</v>
      </c>
      <c r="H494" s="13">
        <v>117.5805273492</v>
      </c>
      <c r="I494" s="13">
        <f t="shared" si="107"/>
        <v>117.5805273492</v>
      </c>
      <c r="J494" s="11">
        <v>1976.182</v>
      </c>
      <c r="K494" s="11">
        <v>117.57692400000001</v>
      </c>
      <c r="L494" s="12">
        <v>297.58052700000002</v>
      </c>
      <c r="M494" s="18">
        <f t="shared" si="108"/>
        <v>117.58052700000002</v>
      </c>
      <c r="N494" s="17">
        <f t="shared" si="99"/>
        <v>1976.1823918988071</v>
      </c>
      <c r="O494" s="14">
        <f t="shared" si="100"/>
        <v>8.8014600440296719E-11</v>
      </c>
      <c r="P494" s="24">
        <f t="shared" si="101"/>
        <v>1.7393290363543201E-7</v>
      </c>
      <c r="Q494" s="2">
        <f t="shared" si="109"/>
        <v>1.9831109029338399E-7</v>
      </c>
      <c r="R494" s="19">
        <f t="shared" si="110"/>
        <v>3.9189880703816016E-4</v>
      </c>
      <c r="S494" s="16">
        <f t="shared" si="111"/>
        <v>117.57692399178707</v>
      </c>
      <c r="T494" s="23">
        <f t="shared" si="102"/>
        <v>2.4610642412881134E-9</v>
      </c>
      <c r="U494" s="22">
        <f t="shared" si="103"/>
        <v>8.2129361089755548E-9</v>
      </c>
      <c r="V494" s="16">
        <f t="shared" si="112"/>
        <v>117.58052735165826</v>
      </c>
      <c r="W494" s="23">
        <f t="shared" si="104"/>
        <v>2.4582647029092186E-9</v>
      </c>
      <c r="X494" s="22">
        <f t="shared" si="105"/>
        <v>3.5165824385785527E-7</v>
      </c>
    </row>
    <row r="495" spans="1:24" x14ac:dyDescent="0.45">
      <c r="A495">
        <v>-28.81316</v>
      </c>
      <c r="B495">
        <v>9.3418799999999997</v>
      </c>
      <c r="C495">
        <v>-28.814530000000001</v>
      </c>
      <c r="D495">
        <v>9.3367699999999996</v>
      </c>
      <c r="E495" s="13">
        <v>521.40135862040495</v>
      </c>
      <c r="F495" s="13">
        <v>-106.93204528971</v>
      </c>
      <c r="G495" s="13">
        <f t="shared" si="106"/>
        <v>253.06795471029</v>
      </c>
      <c r="H495" s="13">
        <v>-106.929582446456</v>
      </c>
      <c r="I495" s="13">
        <f t="shared" si="107"/>
        <v>253.07041755354402</v>
      </c>
      <c r="J495" s="9">
        <v>521.40099999999995</v>
      </c>
      <c r="K495" s="9">
        <v>253.06795500000001</v>
      </c>
      <c r="L495" s="10">
        <v>73.070418000000004</v>
      </c>
      <c r="M495" s="18">
        <f t="shared" si="108"/>
        <v>253.07041800000002</v>
      </c>
      <c r="N495" s="17">
        <f t="shared" si="99"/>
        <v>521.40135860035559</v>
      </c>
      <c r="O495" s="14">
        <f t="shared" si="100"/>
        <v>3.8452826448865892E-11</v>
      </c>
      <c r="P495" s="24">
        <f t="shared" si="101"/>
        <v>2.0049355953233317E-8</v>
      </c>
      <c r="Q495" s="2">
        <f t="shared" si="109"/>
        <v>6.8776307609552446E-7</v>
      </c>
      <c r="R495" s="19">
        <f t="shared" si="110"/>
        <v>3.586003556392825E-4</v>
      </c>
      <c r="S495" s="16">
        <f t="shared" si="111"/>
        <v>253.06795470959008</v>
      </c>
      <c r="T495" s="23">
        <f t="shared" si="102"/>
        <v>6.9991301643312909E-10</v>
      </c>
      <c r="U495" s="22">
        <f t="shared" si="103"/>
        <v>2.9040992899354023E-7</v>
      </c>
      <c r="V495" s="16">
        <f t="shared" si="112"/>
        <v>253.07041755282</v>
      </c>
      <c r="W495" s="23">
        <f t="shared" si="104"/>
        <v>7.2401462603011169E-10</v>
      </c>
      <c r="X495" s="22">
        <f t="shared" si="105"/>
        <v>4.4718001390720019E-7</v>
      </c>
    </row>
    <row r="496" spans="1:24" x14ac:dyDescent="0.45">
      <c r="A496">
        <v>12.26254</v>
      </c>
      <c r="B496">
        <v>-95.605490000000003</v>
      </c>
      <c r="C496">
        <v>12.264290000000001</v>
      </c>
      <c r="D496">
        <v>-95.618639999999999</v>
      </c>
      <c r="E496" s="13">
        <v>1443.70307315641</v>
      </c>
      <c r="F496" s="13">
        <v>-82.292339392193796</v>
      </c>
      <c r="G496" s="13">
        <f t="shared" si="106"/>
        <v>277.70766060780619</v>
      </c>
      <c r="H496" s="13">
        <v>-82.295132537302806</v>
      </c>
      <c r="I496" s="13">
        <f t="shared" si="107"/>
        <v>277.70486746269717</v>
      </c>
      <c r="J496" s="11">
        <v>1443.703</v>
      </c>
      <c r="K496" s="11">
        <v>277.70766099999997</v>
      </c>
      <c r="L496" s="12">
        <v>97.704866999999993</v>
      </c>
      <c r="M496" s="18">
        <f t="shared" si="108"/>
        <v>277.70486699999998</v>
      </c>
      <c r="N496" s="17">
        <f t="shared" si="99"/>
        <v>1443.7030729977662</v>
      </c>
      <c r="O496" s="14">
        <f t="shared" si="100"/>
        <v>1.0988675296259538E-10</v>
      </c>
      <c r="P496" s="24">
        <f t="shared" si="101"/>
        <v>1.586438429512782E-7</v>
      </c>
      <c r="Q496" s="2">
        <f t="shared" si="109"/>
        <v>5.0562869378530073E-8</v>
      </c>
      <c r="R496" s="19">
        <f t="shared" si="110"/>
        <v>7.2997766210392001E-5</v>
      </c>
      <c r="S496" s="16">
        <f t="shared" si="111"/>
        <v>277.70766060860149</v>
      </c>
      <c r="T496" s="23">
        <f t="shared" si="102"/>
        <v>7.9529627328156494E-10</v>
      </c>
      <c r="U496" s="22">
        <f t="shared" si="103"/>
        <v>3.9139848695413093E-7</v>
      </c>
      <c r="V496" s="16">
        <f t="shared" si="112"/>
        <v>277.70486746349746</v>
      </c>
      <c r="W496" s="23">
        <f t="shared" si="104"/>
        <v>8.0029849414131604E-10</v>
      </c>
      <c r="X496" s="22">
        <f t="shared" si="105"/>
        <v>4.6349748572538374E-7</v>
      </c>
    </row>
    <row r="497" spans="1:24" x14ac:dyDescent="0.45">
      <c r="A497">
        <v>-38.911169999999998</v>
      </c>
      <c r="B497">
        <v>-157.9667</v>
      </c>
      <c r="C497">
        <v>-38.926670000000001</v>
      </c>
      <c r="D497">
        <v>-157.95722000000001</v>
      </c>
      <c r="E497" s="13">
        <v>1907.0400851981601</v>
      </c>
      <c r="F497" s="13">
        <v>154.464597875935</v>
      </c>
      <c r="G497" s="13">
        <f t="shared" si="106"/>
        <v>154.464597875935</v>
      </c>
      <c r="H497" s="13">
        <v>154.45864235015901</v>
      </c>
      <c r="I497" s="13">
        <f t="shared" si="107"/>
        <v>154.45864235015901</v>
      </c>
      <c r="J497" s="9">
        <v>1907.04</v>
      </c>
      <c r="K497" s="9">
        <v>154.464598</v>
      </c>
      <c r="L497" s="10">
        <v>334.458642</v>
      </c>
      <c r="M497" s="18">
        <f t="shared" si="108"/>
        <v>154.45864200000005</v>
      </c>
      <c r="N497" s="17">
        <f t="shared" si="99"/>
        <v>1907.0400851854045</v>
      </c>
      <c r="O497" s="14">
        <f t="shared" si="100"/>
        <v>6.6887231639076328E-12</v>
      </c>
      <c r="P497" s="24">
        <f t="shared" si="101"/>
        <v>1.2755663192365319E-8</v>
      </c>
      <c r="Q497" s="2">
        <f t="shared" si="109"/>
        <v>4.4668913335202744E-8</v>
      </c>
      <c r="R497" s="19">
        <f t="shared" si="110"/>
        <v>8.5185404486765037E-5</v>
      </c>
      <c r="S497" s="16">
        <f t="shared" si="111"/>
        <v>154.46459787625369</v>
      </c>
      <c r="T497" s="23">
        <f t="shared" si="102"/>
        <v>3.1869262784312014E-10</v>
      </c>
      <c r="U497" s="22">
        <f t="shared" si="103"/>
        <v>1.237463038705755E-7</v>
      </c>
      <c r="V497" s="16">
        <f t="shared" si="112"/>
        <v>154.45864235047472</v>
      </c>
      <c r="W497" s="23">
        <f t="shared" si="104"/>
        <v>3.1570834835292771E-10</v>
      </c>
      <c r="X497" s="22">
        <f t="shared" si="105"/>
        <v>3.5047466440119024E-7</v>
      </c>
    </row>
    <row r="498" spans="1:24" x14ac:dyDescent="0.45">
      <c r="A498">
        <v>57.40457</v>
      </c>
      <c r="B498">
        <v>-143.43868000000001</v>
      </c>
      <c r="C498">
        <v>57.402410000000003</v>
      </c>
      <c r="D498">
        <v>-143.44842</v>
      </c>
      <c r="E498" s="13">
        <v>632.98991593795301</v>
      </c>
      <c r="F498" s="13">
        <v>-112.33121650457601</v>
      </c>
      <c r="G498" s="13">
        <f t="shared" si="106"/>
        <v>247.66878349542401</v>
      </c>
      <c r="H498" s="13">
        <v>-112.33942231055801</v>
      </c>
      <c r="I498" s="13">
        <f t="shared" si="107"/>
        <v>247.66057768944199</v>
      </c>
      <c r="J498" s="11">
        <v>632.99</v>
      </c>
      <c r="K498" s="11">
        <v>247.66878299999999</v>
      </c>
      <c r="L498" s="12">
        <v>67.660578000000001</v>
      </c>
      <c r="M498" s="18">
        <f t="shared" si="108"/>
        <v>247.66057799999999</v>
      </c>
      <c r="N498" s="17">
        <f t="shared" si="99"/>
        <v>632.98991543404759</v>
      </c>
      <c r="O498" s="14">
        <f t="shared" si="100"/>
        <v>7.9607180642645032E-10</v>
      </c>
      <c r="P498" s="24">
        <f t="shared" si="101"/>
        <v>5.0390542583045317E-7</v>
      </c>
      <c r="Q498" s="2">
        <f t="shared" si="109"/>
        <v>1.3359761200056031E-7</v>
      </c>
      <c r="R498" s="19">
        <f t="shared" si="110"/>
        <v>8.456595242023468E-5</v>
      </c>
      <c r="S498" s="16">
        <f t="shared" si="111"/>
        <v>247.66878347661674</v>
      </c>
      <c r="T498" s="23">
        <f t="shared" si="102"/>
        <v>1.8807270407705801E-8</v>
      </c>
      <c r="U498" s="22">
        <f t="shared" si="103"/>
        <v>4.7661674784649222E-7</v>
      </c>
      <c r="V498" s="16">
        <f t="shared" si="112"/>
        <v>247.66057767062318</v>
      </c>
      <c r="W498" s="23">
        <f t="shared" si="104"/>
        <v>1.8818809621734545E-8</v>
      </c>
      <c r="X498" s="22">
        <f t="shared" si="105"/>
        <v>3.2937680316535989E-7</v>
      </c>
    </row>
    <row r="499" spans="1:24" x14ac:dyDescent="0.45">
      <c r="A499">
        <v>-13.688639999999999</v>
      </c>
      <c r="B499">
        <v>152.92078000000001</v>
      </c>
      <c r="C499">
        <v>-13.679270000000001</v>
      </c>
      <c r="D499">
        <v>152.91319999999999</v>
      </c>
      <c r="E499" s="13">
        <v>1321.77091609289</v>
      </c>
      <c r="F499" s="13">
        <v>-38.345015243030602</v>
      </c>
      <c r="G499" s="13">
        <f t="shared" si="106"/>
        <v>321.65498475696938</v>
      </c>
      <c r="H499" s="13">
        <v>-38.343222072241502</v>
      </c>
      <c r="I499" s="13">
        <f t="shared" si="107"/>
        <v>321.65677792775853</v>
      </c>
      <c r="J499" s="9">
        <v>1321.771</v>
      </c>
      <c r="K499" s="9">
        <v>321.65498500000001</v>
      </c>
      <c r="L499" s="10">
        <v>141.656778</v>
      </c>
      <c r="M499" s="18">
        <f t="shared" si="108"/>
        <v>321.65677800000003</v>
      </c>
      <c r="N499" s="17">
        <f t="shared" si="99"/>
        <v>1321.7709160319341</v>
      </c>
      <c r="O499" s="14">
        <f t="shared" si="100"/>
        <v>4.611686169395632E-11</v>
      </c>
      <c r="P499" s="24">
        <f t="shared" si="101"/>
        <v>6.0955926528549753E-8</v>
      </c>
      <c r="Q499" s="2">
        <f t="shared" si="109"/>
        <v>6.3526939112240628E-8</v>
      </c>
      <c r="R499" s="19">
        <f t="shared" si="110"/>
        <v>8.3968065837325412E-5</v>
      </c>
      <c r="S499" s="16">
        <f t="shared" si="111"/>
        <v>321.65498475985152</v>
      </c>
      <c r="T499" s="23">
        <f t="shared" si="102"/>
        <v>2.8821318664995488E-9</v>
      </c>
      <c r="U499" s="22">
        <f t="shared" si="103"/>
        <v>2.4014849486775347E-7</v>
      </c>
      <c r="V499" s="16">
        <f t="shared" si="112"/>
        <v>321.6567779306427</v>
      </c>
      <c r="W499" s="23">
        <f t="shared" si="104"/>
        <v>2.8841782295785379E-9</v>
      </c>
      <c r="X499" s="22">
        <f t="shared" si="105"/>
        <v>6.9357326992758317E-8</v>
      </c>
    </row>
    <row r="500" spans="1:24" x14ac:dyDescent="0.45">
      <c r="A500">
        <v>-18.93075</v>
      </c>
      <c r="B500">
        <v>-9.1449800000000003</v>
      </c>
      <c r="C500">
        <v>-18.925609999999999</v>
      </c>
      <c r="D500">
        <v>-9.1592199999999995</v>
      </c>
      <c r="E500" s="13">
        <v>1604.2781019315901</v>
      </c>
      <c r="F500" s="13">
        <v>-69.230482289597603</v>
      </c>
      <c r="G500" s="13">
        <f t="shared" si="106"/>
        <v>290.7695177104024</v>
      </c>
      <c r="H500" s="13">
        <v>-69.225863079984194</v>
      </c>
      <c r="I500" s="13">
        <f t="shared" si="107"/>
        <v>290.77413692001579</v>
      </c>
      <c r="J500" s="11">
        <v>1604.278</v>
      </c>
      <c r="K500" s="11">
        <v>290.76951800000001</v>
      </c>
      <c r="L500" s="12">
        <v>110.774137</v>
      </c>
      <c r="M500" s="18">
        <f t="shared" si="108"/>
        <v>290.774137</v>
      </c>
      <c r="N500" s="17">
        <f t="shared" si="99"/>
        <v>1604.2781018127905</v>
      </c>
      <c r="O500" s="14">
        <f t="shared" si="100"/>
        <v>7.4051725847653823E-11</v>
      </c>
      <c r="P500" s="24">
        <f t="shared" si="101"/>
        <v>1.1879956218763255E-7</v>
      </c>
      <c r="Q500" s="2">
        <f t="shared" si="109"/>
        <v>6.346330903367758E-8</v>
      </c>
      <c r="R500" s="19">
        <f t="shared" si="110"/>
        <v>1.0181279048993019E-4</v>
      </c>
      <c r="S500" s="16">
        <f t="shared" si="111"/>
        <v>290.76951771187487</v>
      </c>
      <c r="T500" s="23">
        <f t="shared" si="102"/>
        <v>1.4724719221703708E-9</v>
      </c>
      <c r="U500" s="22">
        <f t="shared" si="103"/>
        <v>2.8812513619413949E-7</v>
      </c>
      <c r="V500" s="16">
        <f t="shared" si="112"/>
        <v>290.77413692149162</v>
      </c>
      <c r="W500" s="23">
        <f t="shared" si="104"/>
        <v>1.4758256838831585E-9</v>
      </c>
      <c r="X500" s="22">
        <f t="shared" si="105"/>
        <v>7.8508378464903217E-8</v>
      </c>
    </row>
    <row r="501" spans="1:24" x14ac:dyDescent="0.45">
      <c r="A501">
        <v>-85.101470000000006</v>
      </c>
      <c r="B501">
        <v>-37.652180000000001</v>
      </c>
      <c r="C501">
        <v>-85.09648</v>
      </c>
      <c r="D501">
        <v>-37.640430000000002</v>
      </c>
      <c r="E501" s="13">
        <v>568.47854676916199</v>
      </c>
      <c r="F501" s="13">
        <v>11.380994722176499</v>
      </c>
      <c r="G501" s="13">
        <f t="shared" si="106"/>
        <v>11.380994722176499</v>
      </c>
      <c r="H501" s="13">
        <v>11.3692876828917</v>
      </c>
      <c r="I501" s="13">
        <f t="shared" si="107"/>
        <v>11.3692876828917</v>
      </c>
      <c r="J501" s="9">
        <v>568.47900000000004</v>
      </c>
      <c r="K501" s="9">
        <v>11.380995</v>
      </c>
      <c r="L501" s="10">
        <v>191.36928800000001</v>
      </c>
      <c r="M501" s="18">
        <f t="shared" si="108"/>
        <v>11.369287999999983</v>
      </c>
      <c r="N501" s="17">
        <f t="shared" si="99"/>
        <v>568.4785467566478</v>
      </c>
      <c r="O501" s="14">
        <f t="shared" si="100"/>
        <v>2.2013482162460838E-11</v>
      </c>
      <c r="P501" s="24">
        <f t="shared" si="101"/>
        <v>1.2514192349044606E-8</v>
      </c>
      <c r="Q501" s="2">
        <f t="shared" si="109"/>
        <v>7.9729128470876044E-7</v>
      </c>
      <c r="R501" s="19">
        <f t="shared" si="110"/>
        <v>4.5324335223995149E-4</v>
      </c>
      <c r="S501" s="16">
        <f t="shared" si="111"/>
        <v>11.380994715440474</v>
      </c>
      <c r="T501" s="23">
        <f t="shared" si="102"/>
        <v>6.7360250710635228E-9</v>
      </c>
      <c r="U501" s="22">
        <f t="shared" si="103"/>
        <v>2.8455952616468494E-7</v>
      </c>
      <c r="V501" s="16">
        <f t="shared" si="112"/>
        <v>11.369287676163822</v>
      </c>
      <c r="W501" s="23">
        <f t="shared" si="104"/>
        <v>6.7278786985980332E-9</v>
      </c>
      <c r="X501" s="22">
        <f t="shared" si="105"/>
        <v>3.2383616144215921E-7</v>
      </c>
    </row>
    <row r="502" spans="1:24" x14ac:dyDescent="0.45">
      <c r="A502">
        <v>43.873179999999998</v>
      </c>
      <c r="B502">
        <v>-15.186170000000001</v>
      </c>
      <c r="C502">
        <v>43.863869999999999</v>
      </c>
      <c r="D502">
        <v>-15.191190000000001</v>
      </c>
      <c r="E502" s="13">
        <v>1110.3506533643899</v>
      </c>
      <c r="F502" s="13">
        <v>-158.68790903663</v>
      </c>
      <c r="G502" s="13">
        <f t="shared" si="106"/>
        <v>201.31209096337</v>
      </c>
      <c r="H502" s="13">
        <v>-158.69138792623201</v>
      </c>
      <c r="I502" s="13">
        <f t="shared" si="107"/>
        <v>201.30861207376799</v>
      </c>
      <c r="J502" s="11">
        <v>1110.3510000000001</v>
      </c>
      <c r="K502" s="11">
        <v>201.31209100000001</v>
      </c>
      <c r="L502" s="12">
        <v>21.308612</v>
      </c>
      <c r="M502" s="18">
        <f t="shared" si="108"/>
        <v>201.30861200000001</v>
      </c>
      <c r="N502" s="17">
        <f t="shared" si="99"/>
        <v>1110.3506525773789</v>
      </c>
      <c r="O502" s="14">
        <f t="shared" si="100"/>
        <v>7.087950113213571E-10</v>
      </c>
      <c r="P502" s="24">
        <f t="shared" si="101"/>
        <v>7.87011003922089E-7</v>
      </c>
      <c r="Q502" s="2">
        <f t="shared" si="109"/>
        <v>3.1289441013630174E-7</v>
      </c>
      <c r="R502" s="19">
        <f t="shared" si="110"/>
        <v>3.4742262118925282E-4</v>
      </c>
      <c r="S502" s="16">
        <f t="shared" si="111"/>
        <v>201.31209086000672</v>
      </c>
      <c r="T502" s="23">
        <f t="shared" si="102"/>
        <v>1.0336327704862924E-7</v>
      </c>
      <c r="U502" s="22">
        <f t="shared" si="103"/>
        <v>1.3999328984937165E-7</v>
      </c>
      <c r="V502" s="16">
        <f t="shared" si="112"/>
        <v>201.30861197042344</v>
      </c>
      <c r="W502" s="23">
        <f t="shared" si="104"/>
        <v>1.0334454714211461E-7</v>
      </c>
      <c r="X502" s="22">
        <f t="shared" si="105"/>
        <v>2.9576568749689613E-8</v>
      </c>
    </row>
    <row r="503" spans="1:24" x14ac:dyDescent="0.45">
      <c r="A503">
        <v>-7.1382099999999999</v>
      </c>
      <c r="B503">
        <v>43.052140000000001</v>
      </c>
      <c r="C503">
        <v>-7.1384299999999996</v>
      </c>
      <c r="D503">
        <v>43.053280000000001</v>
      </c>
      <c r="E503" s="13">
        <v>128.25595099816101</v>
      </c>
      <c r="F503" s="13">
        <v>100.935329381567</v>
      </c>
      <c r="G503" s="13">
        <f t="shared" si="106"/>
        <v>100.935329381567</v>
      </c>
      <c r="H503" s="13">
        <v>100.93518771931799</v>
      </c>
      <c r="I503" s="13">
        <f t="shared" si="107"/>
        <v>100.93518771931799</v>
      </c>
      <c r="J503" s="9">
        <v>128.256</v>
      </c>
      <c r="K503" s="9">
        <v>100.935329</v>
      </c>
      <c r="L503" s="10">
        <v>280.93518799999998</v>
      </c>
      <c r="M503" s="18">
        <f t="shared" si="108"/>
        <v>100.93518799999998</v>
      </c>
      <c r="N503" s="17">
        <f t="shared" si="99"/>
        <v>128.25594655189292</v>
      </c>
      <c r="O503" s="14">
        <f t="shared" si="100"/>
        <v>3.4667148453211724E-8</v>
      </c>
      <c r="P503" s="24">
        <f t="shared" si="101"/>
        <v>4.4462680932610965E-6</v>
      </c>
      <c r="Q503" s="2">
        <f t="shared" si="109"/>
        <v>4.1672987682074764E-7</v>
      </c>
      <c r="R503" s="19">
        <f t="shared" si="110"/>
        <v>5.3448107081521812E-5</v>
      </c>
      <c r="S503" s="16">
        <f t="shared" si="111"/>
        <v>100.93532976526535</v>
      </c>
      <c r="T503" s="23">
        <f t="shared" si="102"/>
        <v>3.8369834953755344E-7</v>
      </c>
      <c r="U503" s="22">
        <f t="shared" si="103"/>
        <v>7.6526535508492088E-7</v>
      </c>
      <c r="V503" s="16">
        <f t="shared" si="112"/>
        <v>100.93518810299973</v>
      </c>
      <c r="W503" s="23">
        <f t="shared" si="104"/>
        <v>3.8368173704839137E-7</v>
      </c>
      <c r="X503" s="22">
        <f t="shared" si="105"/>
        <v>1.0299974917415966E-7</v>
      </c>
    </row>
    <row r="504" spans="1:24" x14ac:dyDescent="0.45">
      <c r="A504">
        <v>-51.1008</v>
      </c>
      <c r="B504">
        <v>26.07132</v>
      </c>
      <c r="C504">
        <v>-51.101260000000003</v>
      </c>
      <c r="D504">
        <v>26.071660000000001</v>
      </c>
      <c r="E504" s="13">
        <v>56.445203425066602</v>
      </c>
      <c r="F504" s="13">
        <v>155.044289885219</v>
      </c>
      <c r="G504" s="13">
        <f t="shared" si="106"/>
        <v>155.044289885219</v>
      </c>
      <c r="H504" s="13">
        <v>155.04402527871</v>
      </c>
      <c r="I504" s="13">
        <f t="shared" si="107"/>
        <v>155.04402527871</v>
      </c>
      <c r="J504" s="11">
        <v>56.445</v>
      </c>
      <c r="K504" s="11">
        <v>155.04428999999999</v>
      </c>
      <c r="L504" s="12">
        <v>335.04402499999998</v>
      </c>
      <c r="M504" s="18">
        <f t="shared" si="108"/>
        <v>155.04402499999992</v>
      </c>
      <c r="N504" s="17">
        <f t="shared" si="99"/>
        <v>56.445203403080214</v>
      </c>
      <c r="O504" s="14">
        <f t="shared" si="100"/>
        <v>3.8951738123610203E-10</v>
      </c>
      <c r="P504" s="24">
        <f t="shared" si="101"/>
        <v>2.1986387821470998E-8</v>
      </c>
      <c r="Q504" s="2">
        <f t="shared" si="109"/>
        <v>3.6035624096661249E-6</v>
      </c>
      <c r="R504" s="19">
        <f t="shared" si="110"/>
        <v>2.0340308021360443E-4</v>
      </c>
      <c r="S504" s="16">
        <f t="shared" si="111"/>
        <v>155.04428993319721</v>
      </c>
      <c r="T504" s="23">
        <f t="shared" si="102"/>
        <v>4.7978204520404688E-8</v>
      </c>
      <c r="U504" s="22">
        <f t="shared" si="103"/>
        <v>6.6802783749153605E-8</v>
      </c>
      <c r="V504" s="16">
        <f t="shared" si="112"/>
        <v>155.0440253267455</v>
      </c>
      <c r="W504" s="23">
        <f t="shared" si="104"/>
        <v>4.8035502686616383E-8</v>
      </c>
      <c r="X504" s="22">
        <f t="shared" si="105"/>
        <v>3.2674557814971195E-7</v>
      </c>
    </row>
    <row r="505" spans="1:24" x14ac:dyDescent="0.45">
      <c r="A505">
        <v>0.48569000000000001</v>
      </c>
      <c r="B505">
        <v>-57.818860000000001</v>
      </c>
      <c r="C505">
        <v>0.48427999999999799</v>
      </c>
      <c r="D505">
        <v>-57.817619999999998</v>
      </c>
      <c r="E505" s="13">
        <v>208.231857193862</v>
      </c>
      <c r="F505" s="13">
        <v>138.480647894448</v>
      </c>
      <c r="G505" s="13">
        <f t="shared" si="106"/>
        <v>138.480647894448</v>
      </c>
      <c r="H505" s="13">
        <v>138.480658390408</v>
      </c>
      <c r="I505" s="13">
        <f t="shared" si="107"/>
        <v>138.480658390408</v>
      </c>
      <c r="J505" s="9">
        <v>208.232</v>
      </c>
      <c r="K505" s="9">
        <v>138.480648</v>
      </c>
      <c r="L505" s="10">
        <v>318.48065800000001</v>
      </c>
      <c r="M505" s="18">
        <f t="shared" si="108"/>
        <v>138.48065800000001</v>
      </c>
      <c r="N505" s="17">
        <f t="shared" si="99"/>
        <v>208.23185374299331</v>
      </c>
      <c r="O505" s="14">
        <f t="shared" si="100"/>
        <v>1.6572241807635207E-8</v>
      </c>
      <c r="P505" s="24">
        <f t="shared" si="101"/>
        <v>3.4508686894696439E-6</v>
      </c>
      <c r="Q505" s="2">
        <f t="shared" si="109"/>
        <v>7.0237526744484763E-7</v>
      </c>
      <c r="R505" s="19">
        <f t="shared" si="110"/>
        <v>1.4625700669057551E-4</v>
      </c>
      <c r="S505" s="16">
        <f t="shared" si="111"/>
        <v>138.4806489665043</v>
      </c>
      <c r="T505" s="23">
        <f t="shared" si="102"/>
        <v>1.0720563068389311E-6</v>
      </c>
      <c r="U505" s="22">
        <f t="shared" si="103"/>
        <v>9.6650430236877583E-7</v>
      </c>
      <c r="V505" s="16">
        <f t="shared" si="112"/>
        <v>138.48065946246425</v>
      </c>
      <c r="W505" s="23">
        <f t="shared" si="104"/>
        <v>1.0720562499955122E-6</v>
      </c>
      <c r="X505" s="22">
        <f t="shared" si="105"/>
        <v>1.4624642403759935E-6</v>
      </c>
    </row>
    <row r="506" spans="1:24" x14ac:dyDescent="0.45">
      <c r="A506">
        <v>58.761620000000001</v>
      </c>
      <c r="B506">
        <v>-33.295389999999998</v>
      </c>
      <c r="C506">
        <v>58.760640000000002</v>
      </c>
      <c r="D506">
        <v>-33.296840000000003</v>
      </c>
      <c r="E506" s="13">
        <v>137.689630762787</v>
      </c>
      <c r="F506" s="13">
        <v>-142.449257227092</v>
      </c>
      <c r="G506" s="13">
        <f t="shared" si="106"/>
        <v>217.550742772908</v>
      </c>
      <c r="H506" s="13">
        <v>-142.450496995404</v>
      </c>
      <c r="I506" s="13">
        <f t="shared" si="107"/>
        <v>217.549503004596</v>
      </c>
      <c r="J506" s="11">
        <v>137.69</v>
      </c>
      <c r="K506" s="11">
        <v>217.55074300000001</v>
      </c>
      <c r="L506" s="12">
        <v>37.549503000000001</v>
      </c>
      <c r="M506" s="18">
        <f t="shared" si="108"/>
        <v>217.54950300000002</v>
      </c>
      <c r="N506" s="17">
        <f t="shared" si="99"/>
        <v>137.68963072389778</v>
      </c>
      <c r="O506" s="14">
        <f t="shared" si="100"/>
        <v>2.8244121104990481E-10</v>
      </c>
      <c r="P506" s="24">
        <f t="shared" si="101"/>
        <v>3.8889226061655791E-8</v>
      </c>
      <c r="Q506" s="2">
        <f t="shared" si="109"/>
        <v>2.6819384284942519E-6</v>
      </c>
      <c r="R506" s="19">
        <f t="shared" si="110"/>
        <v>3.6927610221937357E-4</v>
      </c>
      <c r="S506" s="16">
        <f t="shared" si="111"/>
        <v>217.55074275341997</v>
      </c>
      <c r="T506" s="23">
        <f t="shared" si="102"/>
        <v>1.9488027191982837E-8</v>
      </c>
      <c r="U506" s="22">
        <f t="shared" si="103"/>
        <v>2.4658004349475959E-7</v>
      </c>
      <c r="V506" s="16">
        <f t="shared" si="112"/>
        <v>217.54950298514129</v>
      </c>
      <c r="W506" s="23">
        <f t="shared" si="104"/>
        <v>1.9454716948530404E-8</v>
      </c>
      <c r="X506" s="22">
        <f t="shared" si="105"/>
        <v>1.4858727581668063E-8</v>
      </c>
    </row>
    <row r="507" spans="1:24" x14ac:dyDescent="0.45">
      <c r="A507">
        <v>86.058539999999994</v>
      </c>
      <c r="B507">
        <v>58.567529999999998</v>
      </c>
      <c r="C507">
        <v>86.05762</v>
      </c>
      <c r="D507">
        <v>58.56758</v>
      </c>
      <c r="E507" s="13">
        <v>102.754269274306</v>
      </c>
      <c r="F507" s="13">
        <v>179.785903423229</v>
      </c>
      <c r="G507" s="13">
        <f t="shared" si="106"/>
        <v>179.785903423229</v>
      </c>
      <c r="H507" s="13">
        <v>179.78595330494099</v>
      </c>
      <c r="I507" s="13">
        <f t="shared" si="107"/>
        <v>179.78595330494099</v>
      </c>
      <c r="J507" s="9">
        <v>102.754</v>
      </c>
      <c r="K507" s="9">
        <v>179.78590299999999</v>
      </c>
      <c r="L507" s="10">
        <v>359.78595300000001</v>
      </c>
      <c r="M507" s="18">
        <f t="shared" si="108"/>
        <v>179.78595300000006</v>
      </c>
      <c r="N507" s="17">
        <f t="shared" si="99"/>
        <v>102.75426927187726</v>
      </c>
      <c r="O507" s="14">
        <f t="shared" si="100"/>
        <v>2.363633709785274E-11</v>
      </c>
      <c r="P507" s="24">
        <f t="shared" si="101"/>
        <v>2.4287345468110288E-9</v>
      </c>
      <c r="Q507" s="2">
        <f t="shared" si="109"/>
        <v>2.6205488570556164E-6</v>
      </c>
      <c r="R507" s="19">
        <f t="shared" si="110"/>
        <v>2.6927187725789281E-4</v>
      </c>
      <c r="S507" s="16">
        <f t="shared" si="111"/>
        <v>179.78590342336955</v>
      </c>
      <c r="T507" s="23">
        <f t="shared" si="102"/>
        <v>1.4054535313334782E-10</v>
      </c>
      <c r="U507" s="22">
        <f t="shared" si="103"/>
        <v>4.2336955630162265E-7</v>
      </c>
      <c r="V507" s="16">
        <f t="shared" si="112"/>
        <v>179.78595330508202</v>
      </c>
      <c r="W507" s="23">
        <f t="shared" si="104"/>
        <v>1.4102852219366468E-10</v>
      </c>
      <c r="X507" s="22">
        <f t="shared" si="105"/>
        <v>3.0508195436595997E-7</v>
      </c>
    </row>
    <row r="508" spans="1:24" x14ac:dyDescent="0.45">
      <c r="A508">
        <v>-39.154330000000002</v>
      </c>
      <c r="B508">
        <v>163.07717</v>
      </c>
      <c r="C508">
        <v>-39.155110000000001</v>
      </c>
      <c r="D508">
        <v>163.07597000000001</v>
      </c>
      <c r="E508" s="13">
        <v>135.120109865431</v>
      </c>
      <c r="F508" s="13">
        <v>-129.85707762568799</v>
      </c>
      <c r="G508" s="13">
        <f t="shared" si="106"/>
        <v>230.14292237431201</v>
      </c>
      <c r="H508" s="13">
        <v>-129.856319925674</v>
      </c>
      <c r="I508" s="13">
        <f t="shared" si="107"/>
        <v>230.143680074326</v>
      </c>
      <c r="J508" s="11">
        <v>135.12</v>
      </c>
      <c r="K508" s="11">
        <v>230.142922</v>
      </c>
      <c r="L508" s="12">
        <v>50.143680000000003</v>
      </c>
      <c r="M508" s="18">
        <f t="shared" si="108"/>
        <v>230.14368000000002</v>
      </c>
      <c r="N508" s="17">
        <f t="shared" si="99"/>
        <v>135.12010920634197</v>
      </c>
      <c r="O508" s="14">
        <f t="shared" si="100"/>
        <v>4.8778012392220387E-9</v>
      </c>
      <c r="P508" s="24">
        <f t="shared" si="101"/>
        <v>6.590890393454174E-7</v>
      </c>
      <c r="Q508" s="2">
        <f t="shared" si="109"/>
        <v>8.0821745086252066E-7</v>
      </c>
      <c r="R508" s="19">
        <f t="shared" si="110"/>
        <v>1.092063419605438E-4</v>
      </c>
      <c r="S508" s="16">
        <f t="shared" si="111"/>
        <v>230.14292214166608</v>
      </c>
      <c r="T508" s="23">
        <f t="shared" si="102"/>
        <v>2.3264593096428143E-7</v>
      </c>
      <c r="U508" s="22">
        <f t="shared" si="103"/>
        <v>1.4166607797960751E-7</v>
      </c>
      <c r="V508" s="16">
        <f t="shared" si="112"/>
        <v>230.14367984175786</v>
      </c>
      <c r="W508" s="23">
        <f t="shared" si="104"/>
        <v>2.3256814074557042E-7</v>
      </c>
      <c r="X508" s="22">
        <f t="shared" si="105"/>
        <v>1.582421589318983E-7</v>
      </c>
    </row>
    <row r="509" spans="1:24" x14ac:dyDescent="0.45">
      <c r="A509">
        <v>-30.301030000000001</v>
      </c>
      <c r="B509">
        <v>39.062289999999997</v>
      </c>
      <c r="C509">
        <v>-30.302230000000002</v>
      </c>
      <c r="D509">
        <v>39.06268</v>
      </c>
      <c r="E509" s="13">
        <v>138.21768393786101</v>
      </c>
      <c r="F509" s="13">
        <v>164.25119201966501</v>
      </c>
      <c r="G509" s="13">
        <f t="shared" si="106"/>
        <v>164.25119201966501</v>
      </c>
      <c r="H509" s="13">
        <v>164.25099524431201</v>
      </c>
      <c r="I509" s="13">
        <f t="shared" si="107"/>
        <v>164.25099524431201</v>
      </c>
      <c r="J509" s="9">
        <v>138.21799999999999</v>
      </c>
      <c r="K509" s="9">
        <v>164.251192</v>
      </c>
      <c r="L509" s="10">
        <v>344.25099499999999</v>
      </c>
      <c r="M509" s="18">
        <f t="shared" si="108"/>
        <v>164.25099499999999</v>
      </c>
      <c r="N509" s="17">
        <f t="shared" si="99"/>
        <v>138.217683776748</v>
      </c>
      <c r="O509" s="14">
        <f t="shared" si="100"/>
        <v>1.1656468462616267E-9</v>
      </c>
      <c r="P509" s="24">
        <f t="shared" si="101"/>
        <v>1.6111300737975398E-7</v>
      </c>
      <c r="Q509" s="2">
        <f t="shared" si="109"/>
        <v>2.2878586868971328E-6</v>
      </c>
      <c r="R509" s="19">
        <f t="shared" si="110"/>
        <v>3.162232519855479E-4</v>
      </c>
      <c r="S509" s="16">
        <f t="shared" si="111"/>
        <v>164.25119225421224</v>
      </c>
      <c r="T509" s="23">
        <f t="shared" si="102"/>
        <v>2.3454722963833774E-7</v>
      </c>
      <c r="U509" s="22">
        <f t="shared" si="103"/>
        <v>2.542122388149437E-7</v>
      </c>
      <c r="V509" s="16">
        <f t="shared" si="112"/>
        <v>164.25099547889334</v>
      </c>
      <c r="W509" s="23">
        <f t="shared" si="104"/>
        <v>2.3458133568965422E-7</v>
      </c>
      <c r="X509" s="22">
        <f t="shared" si="105"/>
        <v>4.7889335519357701E-7</v>
      </c>
    </row>
    <row r="510" spans="1:24" x14ac:dyDescent="0.45">
      <c r="A510">
        <v>67.419740000000004</v>
      </c>
      <c r="B510">
        <v>-16.896070000000002</v>
      </c>
      <c r="C510">
        <v>67.421289999999999</v>
      </c>
      <c r="D510">
        <v>-16.896350000000002</v>
      </c>
      <c r="E510" s="13">
        <v>173.284122468417</v>
      </c>
      <c r="F510" s="13">
        <v>-3.9715595378866402</v>
      </c>
      <c r="G510" s="13">
        <f t="shared" si="106"/>
        <v>356.02844046211334</v>
      </c>
      <c r="H510" s="13">
        <v>-3.97181807525847</v>
      </c>
      <c r="I510" s="13">
        <f t="shared" si="107"/>
        <v>356.02818192474155</v>
      </c>
      <c r="J510" s="11">
        <v>173.28399999999999</v>
      </c>
      <c r="K510" s="11">
        <v>356.02843999999999</v>
      </c>
      <c r="L510" s="12">
        <v>176.02818199999999</v>
      </c>
      <c r="M510" s="18">
        <f t="shared" si="108"/>
        <v>356.02818200000002</v>
      </c>
      <c r="N510" s="17">
        <f t="shared" si="99"/>
        <v>173.28412246759157</v>
      </c>
      <c r="O510" s="14">
        <f t="shared" si="100"/>
        <v>4.7634097891930982E-12</v>
      </c>
      <c r="P510" s="24">
        <f t="shared" si="101"/>
        <v>8.2542328527779318E-10</v>
      </c>
      <c r="Q510" s="2">
        <f t="shared" si="109"/>
        <v>7.0674494806643337E-7</v>
      </c>
      <c r="R510" s="19">
        <f t="shared" si="110"/>
        <v>1.2246759158074383E-4</v>
      </c>
      <c r="S510" s="16">
        <f t="shared" si="111"/>
        <v>356.02844046233628</v>
      </c>
      <c r="T510" s="23">
        <f t="shared" si="102"/>
        <v>2.2293988877208903E-10</v>
      </c>
      <c r="U510" s="22">
        <f t="shared" si="103"/>
        <v>4.6233628836489515E-7</v>
      </c>
      <c r="V510" s="16">
        <f t="shared" si="112"/>
        <v>356.02818192496284</v>
      </c>
      <c r="W510" s="23">
        <f t="shared" si="104"/>
        <v>2.212914296251256E-10</v>
      </c>
      <c r="X510" s="22">
        <f t="shared" si="105"/>
        <v>7.5037178248749115E-8</v>
      </c>
    </row>
    <row r="511" spans="1:24" x14ac:dyDescent="0.45">
      <c r="A511">
        <v>52.261780000000002</v>
      </c>
      <c r="B511">
        <v>-128.93558999999999</v>
      </c>
      <c r="C511">
        <v>52.260379999999998</v>
      </c>
      <c r="D511">
        <v>-128.93509</v>
      </c>
      <c r="E511" s="13">
        <v>159.47807211550199</v>
      </c>
      <c r="F511" s="13">
        <v>167.63904654709799</v>
      </c>
      <c r="G511" s="13">
        <f t="shared" si="106"/>
        <v>167.63904654709799</v>
      </c>
      <c r="H511" s="13">
        <v>167.63944195107399</v>
      </c>
      <c r="I511" s="13">
        <f t="shared" si="107"/>
        <v>167.63944195107399</v>
      </c>
      <c r="J511" s="9">
        <v>159.47800000000001</v>
      </c>
      <c r="K511" s="9">
        <v>167.63904700000001</v>
      </c>
      <c r="L511" s="10">
        <v>347.63944199999997</v>
      </c>
      <c r="M511" s="18">
        <f t="shared" si="108"/>
        <v>167.63944199999992</v>
      </c>
      <c r="N511" s="17">
        <f t="shared" si="99"/>
        <v>159.47807210043376</v>
      </c>
      <c r="O511" s="14">
        <f t="shared" si="100"/>
        <v>9.4484613476932489E-11</v>
      </c>
      <c r="P511" s="24">
        <f t="shared" si="101"/>
        <v>1.5068224001879571E-8</v>
      </c>
      <c r="Q511" s="2">
        <f t="shared" si="109"/>
        <v>4.5210269601412254E-7</v>
      </c>
      <c r="R511" s="19">
        <f t="shared" si="110"/>
        <v>7.2100433754940241E-5</v>
      </c>
      <c r="S511" s="16">
        <f t="shared" si="111"/>
        <v>167.63904657103663</v>
      </c>
      <c r="T511" s="23">
        <f t="shared" si="102"/>
        <v>2.3938639515108662E-8</v>
      </c>
      <c r="U511" s="22">
        <f t="shared" si="103"/>
        <v>4.2896337504316762E-7</v>
      </c>
      <c r="V511" s="16">
        <f t="shared" si="112"/>
        <v>167.63944197503037</v>
      </c>
      <c r="W511" s="23">
        <f t="shared" si="104"/>
        <v>2.3956374661793234E-8</v>
      </c>
      <c r="X511" s="22">
        <f t="shared" si="105"/>
        <v>2.4969551759568276E-8</v>
      </c>
    </row>
    <row r="512" spans="1:24" x14ac:dyDescent="0.45">
      <c r="A512">
        <v>-54.0852</v>
      </c>
      <c r="B512">
        <v>-103.17334</v>
      </c>
      <c r="C512">
        <v>-54.084859999999999</v>
      </c>
      <c r="D512">
        <v>-103.17322</v>
      </c>
      <c r="E512" s="13">
        <v>38.650444012601298</v>
      </c>
      <c r="F512" s="13">
        <v>11.7231039176212</v>
      </c>
      <c r="G512" s="13">
        <f t="shared" si="106"/>
        <v>11.7231039176212</v>
      </c>
      <c r="H512" s="13">
        <v>11.723006731012299</v>
      </c>
      <c r="I512" s="13">
        <f t="shared" si="107"/>
        <v>11.723006731012299</v>
      </c>
      <c r="J512" s="11">
        <v>38.65</v>
      </c>
      <c r="K512" s="11">
        <v>11.723103999999999</v>
      </c>
      <c r="L512" s="12">
        <v>191.723007</v>
      </c>
      <c r="M512" s="18">
        <f t="shared" si="108"/>
        <v>11.723006999999996</v>
      </c>
      <c r="N512" s="17">
        <f t="shared" si="99"/>
        <v>38.650444010383652</v>
      </c>
      <c r="O512" s="14">
        <f t="shared" si="100"/>
        <v>5.7376999605706822E-11</v>
      </c>
      <c r="P512" s="24">
        <f t="shared" si="101"/>
        <v>2.2176465108714183E-9</v>
      </c>
      <c r="Q512" s="2">
        <f t="shared" si="109"/>
        <v>1.1487978878471862E-5</v>
      </c>
      <c r="R512" s="19">
        <f t="shared" si="110"/>
        <v>4.4401038365293743E-4</v>
      </c>
      <c r="S512" s="16">
        <f t="shared" si="111"/>
        <v>11.723103901064952</v>
      </c>
      <c r="T512" s="23">
        <f t="shared" si="102"/>
        <v>1.6556247928178891E-8</v>
      </c>
      <c r="U512" s="22">
        <f t="shared" si="103"/>
        <v>9.8935046821679862E-8</v>
      </c>
      <c r="V512" s="16">
        <f t="shared" si="112"/>
        <v>11.723006714417416</v>
      </c>
      <c r="W512" s="23">
        <f t="shared" si="104"/>
        <v>1.6594883689435846E-8</v>
      </c>
      <c r="X512" s="22">
        <f t="shared" si="105"/>
        <v>2.8558257980648705E-7</v>
      </c>
    </row>
    <row r="513" spans="1:24" x14ac:dyDescent="0.45">
      <c r="A513">
        <v>11.798870000000001</v>
      </c>
      <c r="B513">
        <v>-123.3344</v>
      </c>
      <c r="C513">
        <v>11.7989</v>
      </c>
      <c r="D513">
        <v>-123.33365000000001</v>
      </c>
      <c r="E513" s="13">
        <v>81.804378752454397</v>
      </c>
      <c r="F513" s="13">
        <v>87.674923105231599</v>
      </c>
      <c r="G513" s="13">
        <f t="shared" si="106"/>
        <v>87.674923105231599</v>
      </c>
      <c r="H513" s="13">
        <v>87.675076462983597</v>
      </c>
      <c r="I513" s="13">
        <f t="shared" si="107"/>
        <v>87.675076462983597</v>
      </c>
      <c r="J513" s="9">
        <v>81.804000000000002</v>
      </c>
      <c r="K513" s="9">
        <v>87.674923000000007</v>
      </c>
      <c r="L513" s="10">
        <v>267.67507599999999</v>
      </c>
      <c r="M513" s="18">
        <f t="shared" si="108"/>
        <v>87.67507599999999</v>
      </c>
      <c r="N513" s="17">
        <f t="shared" si="99"/>
        <v>81.804376045487473</v>
      </c>
      <c r="O513" s="14">
        <f t="shared" si="100"/>
        <v>3.3090733841819624E-8</v>
      </c>
      <c r="P513" s="24">
        <f t="shared" si="101"/>
        <v>2.7069669243928729E-6</v>
      </c>
      <c r="Q513" s="2">
        <f t="shared" si="109"/>
        <v>4.5969083109729722E-6</v>
      </c>
      <c r="R513" s="19">
        <f t="shared" si="110"/>
        <v>3.76045487470833E-4</v>
      </c>
      <c r="S513" s="16">
        <f t="shared" si="111"/>
        <v>87.67492302882728</v>
      </c>
      <c r="T513" s="23">
        <f t="shared" si="102"/>
        <v>7.6404319315770408E-8</v>
      </c>
      <c r="U513" s="22">
        <f t="shared" si="103"/>
        <v>2.8827273013121157E-8</v>
      </c>
      <c r="V513" s="16">
        <f t="shared" si="112"/>
        <v>87.675076386601006</v>
      </c>
      <c r="W513" s="23">
        <f t="shared" si="104"/>
        <v>7.6382590918910864E-8</v>
      </c>
      <c r="X513" s="22">
        <f t="shared" si="105"/>
        <v>3.8660101608911646E-7</v>
      </c>
    </row>
    <row r="514" spans="1:24" x14ac:dyDescent="0.45">
      <c r="A514">
        <v>-65.879980000000003</v>
      </c>
      <c r="B514">
        <v>12.37153</v>
      </c>
      <c r="C514">
        <v>-65.879959999999997</v>
      </c>
      <c r="D514">
        <v>12.37303</v>
      </c>
      <c r="E514" s="13">
        <v>68.463378386214899</v>
      </c>
      <c r="F514" s="13">
        <v>88.134011973008796</v>
      </c>
      <c r="G514" s="13">
        <f t="shared" si="106"/>
        <v>88.134011973008796</v>
      </c>
      <c r="H514" s="13">
        <v>88.132642935948596</v>
      </c>
      <c r="I514" s="13">
        <f t="shared" si="107"/>
        <v>88.132642935948596</v>
      </c>
      <c r="J514" s="11">
        <v>68.462999999999994</v>
      </c>
      <c r="K514" s="11">
        <v>88.134011999999998</v>
      </c>
      <c r="L514" s="12">
        <v>268.13264299999997</v>
      </c>
      <c r="M514" s="18">
        <f t="shared" si="108"/>
        <v>88.132642999999973</v>
      </c>
      <c r="N514" s="17">
        <f t="shared" si="99"/>
        <v>68.463378375360278</v>
      </c>
      <c r="O514" s="14">
        <f t="shared" si="100"/>
        <v>1.5854637281351958E-10</v>
      </c>
      <c r="P514" s="24">
        <f t="shared" si="101"/>
        <v>1.0854620313693886E-8</v>
      </c>
      <c r="Q514" s="2">
        <f t="shared" si="109"/>
        <v>5.5267131192705819E-6</v>
      </c>
      <c r="R514" s="19">
        <f t="shared" si="110"/>
        <v>3.7837536028462182E-4</v>
      </c>
      <c r="S514" s="16">
        <f t="shared" si="111"/>
        <v>88.134011972864798</v>
      </c>
      <c r="T514" s="23">
        <f t="shared" si="102"/>
        <v>1.439985908291419E-10</v>
      </c>
      <c r="U514" s="22">
        <f t="shared" si="103"/>
        <v>2.713520075303677E-8</v>
      </c>
      <c r="V514" s="16">
        <f t="shared" si="112"/>
        <v>88.13264293602343</v>
      </c>
      <c r="W514" s="23">
        <f t="shared" si="104"/>
        <v>7.4834360930253752E-11</v>
      </c>
      <c r="X514" s="22">
        <f t="shared" si="105"/>
        <v>6.3976543174248945E-8</v>
      </c>
    </row>
    <row r="515" spans="1:24" x14ac:dyDescent="0.45">
      <c r="A515">
        <v>25.50694</v>
      </c>
      <c r="B515">
        <v>-48.418329999999997</v>
      </c>
      <c r="C515">
        <v>25.506409999999999</v>
      </c>
      <c r="D515">
        <v>-48.417520000000003</v>
      </c>
      <c r="E515" s="13">
        <v>100.390788341274</v>
      </c>
      <c r="F515" s="13">
        <v>125.792293536804</v>
      </c>
      <c r="G515" s="13">
        <f t="shared" si="106"/>
        <v>125.792293536804</v>
      </c>
      <c r="H515" s="13">
        <v>125.792642335963</v>
      </c>
      <c r="I515" s="13">
        <f t="shared" si="107"/>
        <v>125.792642335963</v>
      </c>
      <c r="J515" s="9">
        <v>100.39100000000001</v>
      </c>
      <c r="K515" s="9">
        <v>125.792294</v>
      </c>
      <c r="L515" s="10">
        <v>305.792642</v>
      </c>
      <c r="M515" s="18">
        <f t="shared" si="108"/>
        <v>125.792642</v>
      </c>
      <c r="N515" s="17">
        <f t="shared" ref="N515:N578" si="113">VincentyInvDistance($A515,$B515,$C515,$D515)</f>
        <v>100.39078699400766</v>
      </c>
      <c r="O515" s="14">
        <f t="shared" ref="O515:O578" si="114">ABS((E515-N515)/E515)</f>
        <v>1.3420218832047454E-8</v>
      </c>
      <c r="P515" s="24">
        <f t="shared" ref="P515:P578" si="115">ABS(E515-N515)</f>
        <v>1.3472663482616554E-6</v>
      </c>
      <c r="Q515" s="2">
        <f t="shared" si="109"/>
        <v>2.1217638269385735E-6</v>
      </c>
      <c r="R515" s="19">
        <f t="shared" si="110"/>
        <v>2.1300599235019035E-4</v>
      </c>
      <c r="S515" s="16">
        <f t="shared" si="111"/>
        <v>125.79229409155229</v>
      </c>
      <c r="T515" s="23">
        <f t="shared" ref="T515:T578" si="116">ABS(G515-S515)</f>
        <v>5.5474829707691242E-7</v>
      </c>
      <c r="U515" s="22">
        <f t="shared" ref="U515:U578" si="117">ABS(K515-S515)</f>
        <v>9.1552294634311693E-8</v>
      </c>
      <c r="V515" s="16">
        <f t="shared" si="112"/>
        <v>125.79264289060974</v>
      </c>
      <c r="W515" s="23">
        <f t="shared" ref="W515:W578" si="118">ABS(I515-V515)</f>
        <v>5.5464674630911759E-7</v>
      </c>
      <c r="X515" s="22">
        <f t="shared" ref="X515:X578" si="119">ABS(M515-V515)</f>
        <v>8.9060974062249443E-7</v>
      </c>
    </row>
    <row r="516" spans="1:24" x14ac:dyDescent="0.45">
      <c r="A516">
        <v>-84.321169999999995</v>
      </c>
      <c r="B516">
        <v>-58.288170000000001</v>
      </c>
      <c r="C516">
        <v>-84.319969999999998</v>
      </c>
      <c r="D516">
        <v>-58.286900000000003</v>
      </c>
      <c r="E516" s="13">
        <v>134.752660819575</v>
      </c>
      <c r="F516" s="13">
        <v>5.9801163579766499</v>
      </c>
      <c r="G516" s="13">
        <f t="shared" ref="G516:G579" si="120">NormalizeAzimuth(F516, TRUE)</f>
        <v>5.9801163579766499</v>
      </c>
      <c r="H516" s="13">
        <v>5.9788525921995204</v>
      </c>
      <c r="I516" s="13">
        <f t="shared" ref="I516:I579" si="121">NormalizeAzimuth(H516, TRUE)</f>
        <v>5.9788525921995204</v>
      </c>
      <c r="J516" s="11">
        <v>134.75299999999999</v>
      </c>
      <c r="K516" s="11">
        <v>5.9801159999999998</v>
      </c>
      <c r="L516" s="12">
        <v>185.97885299999999</v>
      </c>
      <c r="M516" s="18">
        <f t="shared" ref="M516:M579" si="122">NormalizeAzimuth(L516+180, TRUE)</f>
        <v>5.9788529999999582</v>
      </c>
      <c r="N516" s="17">
        <f t="shared" si="113"/>
        <v>134.75266081842256</v>
      </c>
      <c r="O516" s="14">
        <f t="shared" si="114"/>
        <v>8.5522873312837084E-12</v>
      </c>
      <c r="P516" s="24">
        <f t="shared" si="115"/>
        <v>1.1524434739840217E-9</v>
      </c>
      <c r="Q516" s="2">
        <f t="shared" ref="Q516:Q579" si="123">ABS((J516-N516)/J516)</f>
        <v>2.5170614192688558E-6</v>
      </c>
      <c r="R516" s="19">
        <f t="shared" ref="R516:R579" si="124">ABS(J516-N516)</f>
        <v>3.3918157743073607E-4</v>
      </c>
      <c r="S516" s="16">
        <f t="shared" ref="S516:S579" si="125">VincentyInvFwdAzimuth($A516,$B516,$C516,$D516)</f>
        <v>5.980116351494015</v>
      </c>
      <c r="T516" s="23">
        <f t="shared" si="116"/>
        <v>6.4826348733504346E-9</v>
      </c>
      <c r="U516" s="22">
        <f t="shared" si="117"/>
        <v>3.5149401522716062E-7</v>
      </c>
      <c r="V516" s="16">
        <f t="shared" ref="V516:V579" si="126">VincentyInvRevAzimuth($A516,$B516,$C516,$D516)</f>
        <v>5.9788525857186672</v>
      </c>
      <c r="W516" s="23">
        <f t="shared" si="118"/>
        <v>6.4808531874405162E-9</v>
      </c>
      <c r="X516" s="22">
        <f t="shared" si="119"/>
        <v>4.1428129105014477E-7</v>
      </c>
    </row>
    <row r="517" spans="1:24" x14ac:dyDescent="0.45">
      <c r="A517">
        <v>-56.620559999999998</v>
      </c>
      <c r="B517">
        <v>-26.25235</v>
      </c>
      <c r="C517">
        <v>-56.618929999999999</v>
      </c>
      <c r="D517">
        <v>-26.251819999999999</v>
      </c>
      <c r="E517" s="13">
        <v>184.39873125818301</v>
      </c>
      <c r="F517" s="13">
        <v>10.1632372246827</v>
      </c>
      <c r="G517" s="13">
        <f t="shared" si="120"/>
        <v>10.1632372246827</v>
      </c>
      <c r="H517" s="13">
        <v>10.1627946547982</v>
      </c>
      <c r="I517" s="13">
        <f t="shared" si="121"/>
        <v>10.1627946547982</v>
      </c>
      <c r="J517" s="9">
        <v>184.399</v>
      </c>
      <c r="K517" s="9">
        <v>10.163237000000001</v>
      </c>
      <c r="L517" s="10">
        <v>190.16279499999999</v>
      </c>
      <c r="M517" s="18">
        <f t="shared" si="122"/>
        <v>10.16279499999996</v>
      </c>
      <c r="N517" s="17">
        <f t="shared" si="113"/>
        <v>184.39873125004331</v>
      </c>
      <c r="O517" s="14">
        <f t="shared" si="114"/>
        <v>4.4141807854289077E-11</v>
      </c>
      <c r="P517" s="24">
        <f t="shared" si="115"/>
        <v>8.1396933637734037E-9</v>
      </c>
      <c r="Q517" s="2">
        <f t="shared" si="123"/>
        <v>1.457437169881113E-6</v>
      </c>
      <c r="R517" s="19">
        <f t="shared" si="124"/>
        <v>2.6874995668890733E-4</v>
      </c>
      <c r="S517" s="16">
        <f t="shared" si="125"/>
        <v>10.163237213369896</v>
      </c>
      <c r="T517" s="23">
        <f t="shared" si="116"/>
        <v>1.131280313870775E-8</v>
      </c>
      <c r="U517" s="22">
        <f t="shared" si="117"/>
        <v>2.1336989597386946E-7</v>
      </c>
      <c r="V517" s="16">
        <f t="shared" si="126"/>
        <v>10.162794643480252</v>
      </c>
      <c r="W517" s="23">
        <f t="shared" si="118"/>
        <v>1.1317947468114653E-8</v>
      </c>
      <c r="X517" s="22">
        <f t="shared" si="119"/>
        <v>3.5651970797800914E-7</v>
      </c>
    </row>
    <row r="518" spans="1:24" x14ac:dyDescent="0.45">
      <c r="A518">
        <v>-46.946669999999997</v>
      </c>
      <c r="B518">
        <v>-103.06093</v>
      </c>
      <c r="C518">
        <v>-46.947200000000002</v>
      </c>
      <c r="D518">
        <v>-103.05946</v>
      </c>
      <c r="E518" s="13">
        <v>126.475599433808</v>
      </c>
      <c r="F518" s="13">
        <v>117.766469260796</v>
      </c>
      <c r="G518" s="13">
        <f t="shared" si="120"/>
        <v>117.766469260796</v>
      </c>
      <c r="H518" s="13">
        <v>117.765395099824</v>
      </c>
      <c r="I518" s="13">
        <f t="shared" si="121"/>
        <v>117.765395099824</v>
      </c>
      <c r="J518" s="11">
        <v>126.476</v>
      </c>
      <c r="K518" s="11">
        <v>117.766469</v>
      </c>
      <c r="L518" s="12">
        <v>297.76539500000001</v>
      </c>
      <c r="M518" s="18">
        <f t="shared" si="122"/>
        <v>117.76539500000001</v>
      </c>
      <c r="N518" s="17">
        <f t="shared" si="113"/>
        <v>126.47559905326834</v>
      </c>
      <c r="O518" s="14">
        <f t="shared" si="114"/>
        <v>3.0087990247209683E-9</v>
      </c>
      <c r="P518" s="24">
        <f t="shared" si="115"/>
        <v>3.8053966022744135E-7</v>
      </c>
      <c r="Q518" s="2">
        <f t="shared" si="123"/>
        <v>3.1701408303492071E-6</v>
      </c>
      <c r="R518" s="19">
        <f t="shared" si="124"/>
        <v>4.0094673165924632E-4</v>
      </c>
      <c r="S518" s="16">
        <f t="shared" si="125"/>
        <v>117.76646935165891</v>
      </c>
      <c r="T518" s="23">
        <f t="shared" si="116"/>
        <v>9.0862911861222528E-8</v>
      </c>
      <c r="U518" s="22">
        <f t="shared" si="117"/>
        <v>3.5165891176802688E-7</v>
      </c>
      <c r="V518" s="16">
        <f t="shared" si="126"/>
        <v>117.76539519058838</v>
      </c>
      <c r="W518" s="23">
        <f t="shared" si="118"/>
        <v>9.0764373794627318E-8</v>
      </c>
      <c r="X518" s="22">
        <f t="shared" si="119"/>
        <v>1.9058836642216193E-7</v>
      </c>
    </row>
    <row r="519" spans="1:24" x14ac:dyDescent="0.45">
      <c r="A519">
        <v>53.45382</v>
      </c>
      <c r="B519">
        <v>19.879010000000001</v>
      </c>
      <c r="C519">
        <v>53.454859999999996</v>
      </c>
      <c r="D519">
        <v>19.879519999999999</v>
      </c>
      <c r="E519" s="13">
        <v>120.60303947998101</v>
      </c>
      <c r="F519" s="13">
        <v>16.314748708155101</v>
      </c>
      <c r="G519" s="13">
        <f t="shared" si="120"/>
        <v>16.314748708155101</v>
      </c>
      <c r="H519" s="13">
        <v>16.3151584332713</v>
      </c>
      <c r="I519" s="13">
        <f t="shared" si="121"/>
        <v>16.3151584332713</v>
      </c>
      <c r="J519" s="9">
        <v>120.60299999999999</v>
      </c>
      <c r="K519" s="9">
        <v>16.314748999999999</v>
      </c>
      <c r="L519" s="10">
        <v>196.315158</v>
      </c>
      <c r="M519" s="18">
        <f t="shared" si="122"/>
        <v>16.315157999999997</v>
      </c>
      <c r="N519" s="17">
        <f t="shared" si="113"/>
        <v>120.60303946283211</v>
      </c>
      <c r="O519" s="14">
        <f t="shared" si="114"/>
        <v>1.4219286809100458E-10</v>
      </c>
      <c r="P519" s="24">
        <f t="shared" si="115"/>
        <v>1.7148892084151157E-8</v>
      </c>
      <c r="Q519" s="2">
        <f t="shared" si="123"/>
        <v>3.2721269056580032E-7</v>
      </c>
      <c r="R519" s="19">
        <f t="shared" si="124"/>
        <v>3.9462832120307212E-5</v>
      </c>
      <c r="S519" s="16">
        <f t="shared" si="125"/>
        <v>16.314748683476793</v>
      </c>
      <c r="T519" s="23">
        <f t="shared" si="116"/>
        <v>2.4678307397607568E-8</v>
      </c>
      <c r="U519" s="22">
        <f t="shared" si="117"/>
        <v>3.1652320586772476E-7</v>
      </c>
      <c r="V519" s="16">
        <f t="shared" si="126"/>
        <v>16.315158408560531</v>
      </c>
      <c r="W519" s="23">
        <f t="shared" si="118"/>
        <v>2.4710768542490769E-8</v>
      </c>
      <c r="X519" s="22">
        <f t="shared" si="119"/>
        <v>4.0856053473703469E-7</v>
      </c>
    </row>
    <row r="520" spans="1:24" x14ac:dyDescent="0.45">
      <c r="A520">
        <v>33.99091</v>
      </c>
      <c r="B520">
        <v>75.149780000000007</v>
      </c>
      <c r="C520">
        <v>33.989879999999999</v>
      </c>
      <c r="D520">
        <v>75.151349999999994</v>
      </c>
      <c r="E520" s="13">
        <v>184.64984503062499</v>
      </c>
      <c r="F520" s="13">
        <v>128.223597356315</v>
      </c>
      <c r="G520" s="13">
        <f t="shared" si="120"/>
        <v>128.223597356315</v>
      </c>
      <c r="H520" s="13">
        <v>128.22447507096399</v>
      </c>
      <c r="I520" s="13">
        <f t="shared" si="121"/>
        <v>128.22447507096399</v>
      </c>
      <c r="J520" s="11">
        <v>184.65</v>
      </c>
      <c r="K520" s="11">
        <v>128.22359700000001</v>
      </c>
      <c r="L520" s="12">
        <v>308.22447499999998</v>
      </c>
      <c r="M520" s="18">
        <f t="shared" si="122"/>
        <v>128.22447499999998</v>
      </c>
      <c r="N520" s="17">
        <f t="shared" si="113"/>
        <v>184.64984362951495</v>
      </c>
      <c r="O520" s="14">
        <f t="shared" si="114"/>
        <v>7.5879296849711149E-9</v>
      </c>
      <c r="P520" s="24">
        <f t="shared" si="115"/>
        <v>1.4011100404331955E-6</v>
      </c>
      <c r="Q520" s="2">
        <f t="shared" si="123"/>
        <v>8.4684801006353962E-7</v>
      </c>
      <c r="R520" s="19">
        <f t="shared" si="124"/>
        <v>1.5637048505823259E-4</v>
      </c>
      <c r="S520" s="16">
        <f t="shared" si="125"/>
        <v>128.22359769836882</v>
      </c>
      <c r="T520" s="23">
        <f t="shared" si="116"/>
        <v>3.4205382348773128E-7</v>
      </c>
      <c r="U520" s="22">
        <f t="shared" si="117"/>
        <v>6.9836880811635638E-7</v>
      </c>
      <c r="V520" s="16">
        <f t="shared" si="126"/>
        <v>128.22447541293914</v>
      </c>
      <c r="W520" s="23">
        <f t="shared" si="118"/>
        <v>3.4197515219602792E-7</v>
      </c>
      <c r="X520" s="22">
        <f t="shared" si="119"/>
        <v>4.1293915842288698E-7</v>
      </c>
    </row>
    <row r="521" spans="1:24" x14ac:dyDescent="0.45">
      <c r="A521">
        <v>-53.32526</v>
      </c>
      <c r="B521">
        <v>39.735790000000001</v>
      </c>
      <c r="C521">
        <v>-53.324240000000003</v>
      </c>
      <c r="D521">
        <v>39.734470000000002</v>
      </c>
      <c r="E521" s="13">
        <v>143.60510116571501</v>
      </c>
      <c r="F521" s="13">
        <v>-37.769316583332099</v>
      </c>
      <c r="G521" s="13">
        <f t="shared" si="120"/>
        <v>322.23068341666789</v>
      </c>
      <c r="H521" s="13">
        <v>-37.768257898815101</v>
      </c>
      <c r="I521" s="13">
        <f t="shared" si="121"/>
        <v>322.23174210118492</v>
      </c>
      <c r="J521" s="9">
        <v>143.60499999999999</v>
      </c>
      <c r="K521" s="9">
        <v>322.230683</v>
      </c>
      <c r="L521" s="10">
        <v>142.231742</v>
      </c>
      <c r="M521" s="18">
        <f t="shared" si="122"/>
        <v>322.231742</v>
      </c>
      <c r="N521" s="17">
        <f t="shared" si="113"/>
        <v>143.60510107138953</v>
      </c>
      <c r="O521" s="14">
        <f t="shared" si="114"/>
        <v>6.5683938330098987E-10</v>
      </c>
      <c r="P521" s="24">
        <f t="shared" si="115"/>
        <v>9.4325486088564503E-8</v>
      </c>
      <c r="Q521" s="2">
        <f t="shared" si="123"/>
        <v>7.0381525390380109E-7</v>
      </c>
      <c r="R521" s="19">
        <f t="shared" si="124"/>
        <v>1.0107138953685535E-4</v>
      </c>
      <c r="S521" s="16">
        <f t="shared" si="125"/>
        <v>322.23068346495148</v>
      </c>
      <c r="T521" s="23">
        <f t="shared" si="116"/>
        <v>4.8283595788234379E-8</v>
      </c>
      <c r="U521" s="22">
        <f t="shared" si="117"/>
        <v>4.6495148353642435E-7</v>
      </c>
      <c r="V521" s="16">
        <f t="shared" si="126"/>
        <v>322.23174214949142</v>
      </c>
      <c r="W521" s="23">
        <f t="shared" si="118"/>
        <v>4.8306503686035285E-8</v>
      </c>
      <c r="X521" s="22">
        <f t="shared" si="119"/>
        <v>1.4949142723708064E-7</v>
      </c>
    </row>
    <row r="522" spans="1:24" x14ac:dyDescent="0.45">
      <c r="A522">
        <v>22.478960000000001</v>
      </c>
      <c r="B522">
        <v>-175.04249999999999</v>
      </c>
      <c r="C522">
        <v>22.477550000000001</v>
      </c>
      <c r="D522">
        <v>-175.04356000000001</v>
      </c>
      <c r="E522" s="13">
        <v>190.471342223421</v>
      </c>
      <c r="F522" s="13">
        <v>-145.05956250334199</v>
      </c>
      <c r="G522" s="13">
        <f t="shared" si="120"/>
        <v>214.94043749665801</v>
      </c>
      <c r="H522" s="13">
        <v>-145.05996777608101</v>
      </c>
      <c r="I522" s="13">
        <f t="shared" si="121"/>
        <v>214.94003222391899</v>
      </c>
      <c r="J522" s="11">
        <v>190.471</v>
      </c>
      <c r="K522" s="11">
        <v>214.940437</v>
      </c>
      <c r="L522" s="12">
        <v>34.940032000000002</v>
      </c>
      <c r="M522" s="18">
        <f t="shared" si="122"/>
        <v>214.940032</v>
      </c>
      <c r="N522" s="17">
        <f t="shared" si="113"/>
        <v>190.47134075402033</v>
      </c>
      <c r="O522" s="14">
        <f t="shared" si="114"/>
        <v>7.7145498902702586E-9</v>
      </c>
      <c r="P522" s="24">
        <f t="shared" si="115"/>
        <v>1.4694006722493214E-6</v>
      </c>
      <c r="Q522" s="2">
        <f t="shared" si="123"/>
        <v>1.7890073571746055E-6</v>
      </c>
      <c r="R522" s="19">
        <f t="shared" si="124"/>
        <v>3.4075402032840429E-4</v>
      </c>
      <c r="S522" s="16">
        <f t="shared" si="125"/>
        <v>214.94043686419994</v>
      </c>
      <c r="T522" s="23">
        <f t="shared" si="116"/>
        <v>6.3245806813938543E-7</v>
      </c>
      <c r="U522" s="22">
        <f t="shared" si="117"/>
        <v>1.3580006452684756E-7</v>
      </c>
      <c r="V522" s="16">
        <f t="shared" si="126"/>
        <v>214.94003159142841</v>
      </c>
      <c r="W522" s="23">
        <f t="shared" si="118"/>
        <v>6.3249058257497381E-7</v>
      </c>
      <c r="X522" s="22">
        <f t="shared" si="119"/>
        <v>4.0857159433471679E-7</v>
      </c>
    </row>
    <row r="523" spans="1:24" x14ac:dyDescent="0.45">
      <c r="A523">
        <v>-39.14855</v>
      </c>
      <c r="B523">
        <v>113.84887000000001</v>
      </c>
      <c r="C523">
        <v>-39.149769999999997</v>
      </c>
      <c r="D523">
        <v>113.84848</v>
      </c>
      <c r="E523" s="13">
        <v>139.575128268752</v>
      </c>
      <c r="F523" s="13">
        <v>-166.02255739511801</v>
      </c>
      <c r="G523" s="13">
        <f t="shared" si="120"/>
        <v>193.97744260488199</v>
      </c>
      <c r="H523" s="13">
        <v>-166.022311171962</v>
      </c>
      <c r="I523" s="13">
        <f t="shared" si="121"/>
        <v>193.977688828038</v>
      </c>
      <c r="J523" s="9">
        <v>139.57499999999999</v>
      </c>
      <c r="K523" s="9">
        <v>193.97744299999999</v>
      </c>
      <c r="L523" s="10">
        <v>13.977689</v>
      </c>
      <c r="M523" s="18">
        <f t="shared" si="122"/>
        <v>193.977689</v>
      </c>
      <c r="N523" s="17">
        <f t="shared" si="113"/>
        <v>139.57512820071713</v>
      </c>
      <c r="O523" s="14">
        <f t="shared" si="114"/>
        <v>4.8744261027624097E-10</v>
      </c>
      <c r="P523" s="24">
        <f t="shared" si="115"/>
        <v>6.8034864852961618E-8</v>
      </c>
      <c r="Q523" s="2">
        <f t="shared" si="123"/>
        <v>9.1850773521468958E-7</v>
      </c>
      <c r="R523" s="19">
        <f t="shared" si="124"/>
        <v>1.2820071714259029E-4</v>
      </c>
      <c r="S523" s="16">
        <f t="shared" si="125"/>
        <v>193.97744249426799</v>
      </c>
      <c r="T523" s="23">
        <f t="shared" si="116"/>
        <v>1.1061399618483847E-7</v>
      </c>
      <c r="U523" s="22">
        <f t="shared" si="117"/>
        <v>5.0573200383041694E-7</v>
      </c>
      <c r="V523" s="16">
        <f t="shared" si="126"/>
        <v>193.97768871742792</v>
      </c>
      <c r="W523" s="23">
        <f t="shared" si="118"/>
        <v>1.1061007398893707E-7</v>
      </c>
      <c r="X523" s="22">
        <f t="shared" si="119"/>
        <v>2.8257207418391772E-7</v>
      </c>
    </row>
    <row r="524" spans="1:24" x14ac:dyDescent="0.45">
      <c r="A524">
        <v>-15.23931</v>
      </c>
      <c r="B524">
        <v>-124.52155</v>
      </c>
      <c r="C524">
        <v>-15.23865</v>
      </c>
      <c r="D524">
        <v>-124.52158</v>
      </c>
      <c r="E524" s="13">
        <v>73.100761599349696</v>
      </c>
      <c r="F524" s="13">
        <v>-2.5269082750477998</v>
      </c>
      <c r="G524" s="13">
        <f t="shared" si="120"/>
        <v>357.47309172495221</v>
      </c>
      <c r="H524" s="13">
        <v>-2.5269003896784001</v>
      </c>
      <c r="I524" s="13">
        <f t="shared" si="121"/>
        <v>357.47309961032158</v>
      </c>
      <c r="J524" s="11">
        <v>73.100999999999999</v>
      </c>
      <c r="K524" s="11">
        <v>357.47309200000001</v>
      </c>
      <c r="L524" s="12">
        <v>177.47309999999999</v>
      </c>
      <c r="M524" s="18">
        <f t="shared" si="122"/>
        <v>357.47309999999999</v>
      </c>
      <c r="N524" s="17">
        <f t="shared" si="113"/>
        <v>73.100761595006517</v>
      </c>
      <c r="O524" s="14">
        <f t="shared" si="114"/>
        <v>5.9413584297287736E-11</v>
      </c>
      <c r="P524" s="24">
        <f t="shared" si="115"/>
        <v>4.3431782614788972E-9</v>
      </c>
      <c r="Q524" s="2">
        <f t="shared" si="123"/>
        <v>3.2613096056390775E-6</v>
      </c>
      <c r="R524" s="19">
        <f t="shared" si="124"/>
        <v>2.384049934818222E-4</v>
      </c>
      <c r="S524" s="16">
        <f t="shared" si="125"/>
        <v>357.47309179938941</v>
      </c>
      <c r="T524" s="23">
        <f t="shared" si="116"/>
        <v>7.4437195962673286E-8</v>
      </c>
      <c r="U524" s="22">
        <f t="shared" si="117"/>
        <v>2.0061060013176757E-7</v>
      </c>
      <c r="V524" s="16">
        <f t="shared" si="126"/>
        <v>357.47309968475327</v>
      </c>
      <c r="W524" s="23">
        <f t="shared" si="118"/>
        <v>7.4431682151043788E-8</v>
      </c>
      <c r="X524" s="22">
        <f t="shared" si="119"/>
        <v>3.1524672294835909E-7</v>
      </c>
    </row>
    <row r="525" spans="1:24" x14ac:dyDescent="0.45">
      <c r="A525">
        <v>9.8937600000000003</v>
      </c>
      <c r="B525">
        <v>-160.16874000000001</v>
      </c>
      <c r="C525">
        <v>9.8933800000000094</v>
      </c>
      <c r="D525">
        <v>-160.16835</v>
      </c>
      <c r="E525" s="13">
        <v>59.967694852363003</v>
      </c>
      <c r="F525" s="13">
        <v>134.49832023704801</v>
      </c>
      <c r="G525" s="13">
        <f t="shared" si="120"/>
        <v>134.49832023704801</v>
      </c>
      <c r="H525" s="13">
        <v>134.498387246281</v>
      </c>
      <c r="I525" s="13">
        <f t="shared" si="121"/>
        <v>134.498387246281</v>
      </c>
      <c r="J525" s="9">
        <v>59.968000000000004</v>
      </c>
      <c r="K525" s="9">
        <v>134.49832000000001</v>
      </c>
      <c r="L525" s="10">
        <v>314.49838699999998</v>
      </c>
      <c r="M525" s="18">
        <f t="shared" si="122"/>
        <v>134.49838699999998</v>
      </c>
      <c r="N525" s="17">
        <f t="shared" si="113"/>
        <v>59.967693802533695</v>
      </c>
      <c r="O525" s="14">
        <f t="shared" si="114"/>
        <v>1.7506581010250079E-8</v>
      </c>
      <c r="P525" s="24">
        <f t="shared" si="115"/>
        <v>1.0498293079308496E-6</v>
      </c>
      <c r="Q525" s="2">
        <f t="shared" si="123"/>
        <v>5.1060143127723671E-6</v>
      </c>
      <c r="R525" s="19">
        <f t="shared" si="124"/>
        <v>3.0619746630833333E-4</v>
      </c>
      <c r="S525" s="16">
        <f t="shared" si="125"/>
        <v>134.49832122208372</v>
      </c>
      <c r="T525" s="23">
        <f t="shared" si="116"/>
        <v>9.8503571166475012E-7</v>
      </c>
      <c r="U525" s="22">
        <f t="shared" si="117"/>
        <v>1.2220837106724503E-6</v>
      </c>
      <c r="V525" s="16">
        <f t="shared" si="126"/>
        <v>134.49838823132717</v>
      </c>
      <c r="W525" s="23">
        <f t="shared" si="118"/>
        <v>9.8504617085382051E-7</v>
      </c>
      <c r="X525" s="22">
        <f t="shared" si="119"/>
        <v>1.2313271895436628E-6</v>
      </c>
    </row>
    <row r="526" spans="1:24" x14ac:dyDescent="0.45">
      <c r="A526">
        <v>0.93320999999999998</v>
      </c>
      <c r="B526">
        <v>69.211579999999998</v>
      </c>
      <c r="C526">
        <v>0.93219999999999503</v>
      </c>
      <c r="D526">
        <v>69.210130000000007</v>
      </c>
      <c r="E526" s="13">
        <v>196.26481201934601</v>
      </c>
      <c r="F526" s="13">
        <v>-124.682511724051</v>
      </c>
      <c r="G526" s="13">
        <f t="shared" si="120"/>
        <v>235.31748827594902</v>
      </c>
      <c r="H526" s="13">
        <v>-124.68253532723</v>
      </c>
      <c r="I526" s="13">
        <f t="shared" si="121"/>
        <v>235.31746467277</v>
      </c>
      <c r="J526" s="11">
        <v>196.26499999999999</v>
      </c>
      <c r="K526" s="11">
        <v>235.317488</v>
      </c>
      <c r="L526" s="12">
        <v>55.317464999999999</v>
      </c>
      <c r="M526" s="18">
        <f t="shared" si="122"/>
        <v>235.317465</v>
      </c>
      <c r="N526" s="17">
        <f t="shared" si="113"/>
        <v>196.26480702375881</v>
      </c>
      <c r="O526" s="14">
        <f t="shared" si="114"/>
        <v>2.5453300329026477E-8</v>
      </c>
      <c r="P526" s="24">
        <f t="shared" si="115"/>
        <v>4.9955872043483396E-6</v>
      </c>
      <c r="Q526" s="2">
        <f t="shared" si="123"/>
        <v>9.8324327404545584E-7</v>
      </c>
      <c r="R526" s="19">
        <f t="shared" si="124"/>
        <v>1.9297624118053136E-4</v>
      </c>
      <c r="S526" s="16">
        <f t="shared" si="125"/>
        <v>235.31748726705945</v>
      </c>
      <c r="T526" s="23">
        <f t="shared" si="116"/>
        <v>1.0088895692206279E-6</v>
      </c>
      <c r="U526" s="22">
        <f t="shared" si="117"/>
        <v>7.3294054914185836E-7</v>
      </c>
      <c r="V526" s="16">
        <f t="shared" si="126"/>
        <v>235.31746366388052</v>
      </c>
      <c r="W526" s="23">
        <f t="shared" si="118"/>
        <v>1.0088894839554996E-6</v>
      </c>
      <c r="X526" s="22">
        <f t="shared" si="119"/>
        <v>1.3361194817207434E-6</v>
      </c>
    </row>
    <row r="527" spans="1:24" x14ac:dyDescent="0.45">
      <c r="A527">
        <v>9.0167800000000007</v>
      </c>
      <c r="B527">
        <v>-46.973880000000001</v>
      </c>
      <c r="C527">
        <v>9.0157900000000009</v>
      </c>
      <c r="D527">
        <v>-46.974139999999998</v>
      </c>
      <c r="E527" s="13">
        <v>113.16595852504599</v>
      </c>
      <c r="F527" s="13">
        <v>-165.36747542182201</v>
      </c>
      <c r="G527" s="13">
        <f t="shared" si="120"/>
        <v>194.63252457817799</v>
      </c>
      <c r="H527" s="13">
        <v>-165.36751616776999</v>
      </c>
      <c r="I527" s="13">
        <f t="shared" si="121"/>
        <v>194.63248383223001</v>
      </c>
      <c r="J527" s="9">
        <v>113.166</v>
      </c>
      <c r="K527" s="9">
        <v>194.63252499999999</v>
      </c>
      <c r="L527" s="10">
        <v>14.632484</v>
      </c>
      <c r="M527" s="18">
        <f t="shared" si="122"/>
        <v>194.63248400000001</v>
      </c>
      <c r="N527" s="17">
        <f t="shared" si="113"/>
        <v>113.16595827180572</v>
      </c>
      <c r="O527" s="14">
        <f t="shared" si="114"/>
        <v>2.237777830864176E-9</v>
      </c>
      <c r="P527" s="24">
        <f t="shared" si="115"/>
        <v>2.5324027319584275E-7</v>
      </c>
      <c r="Q527" s="2">
        <f t="shared" si="123"/>
        <v>3.6873437495314244E-7</v>
      </c>
      <c r="R527" s="19">
        <f t="shared" si="124"/>
        <v>4.1728194275947317E-5</v>
      </c>
      <c r="S527" s="16">
        <f t="shared" si="125"/>
        <v>194.63252408930512</v>
      </c>
      <c r="T527" s="23">
        <f t="shared" si="116"/>
        <v>4.8887287107390875E-7</v>
      </c>
      <c r="U527" s="22">
        <f t="shared" si="117"/>
        <v>9.1069486529704591E-7</v>
      </c>
      <c r="V527" s="16">
        <f t="shared" si="126"/>
        <v>194.63248334336924</v>
      </c>
      <c r="W527" s="23">
        <f t="shared" si="118"/>
        <v>4.888607634256914E-7</v>
      </c>
      <c r="X527" s="22">
        <f t="shared" si="119"/>
        <v>6.5663076043165347E-7</v>
      </c>
    </row>
    <row r="528" spans="1:24" x14ac:dyDescent="0.45">
      <c r="A528">
        <v>-87.850409999999997</v>
      </c>
      <c r="B528">
        <v>-66.755480000000006</v>
      </c>
      <c r="C528">
        <v>-87.850179999999995</v>
      </c>
      <c r="D528">
        <v>-66.755359999999996</v>
      </c>
      <c r="E528" s="13">
        <v>25.694169192291099</v>
      </c>
      <c r="F528" s="13">
        <v>1.12124955087277</v>
      </c>
      <c r="G528" s="13">
        <f t="shared" si="120"/>
        <v>1.12124955087277</v>
      </c>
      <c r="H528" s="13">
        <v>1.12112963532531</v>
      </c>
      <c r="I528" s="13">
        <f t="shared" si="121"/>
        <v>1.12112963532531</v>
      </c>
      <c r="J528" s="11">
        <v>25.693999999999999</v>
      </c>
      <c r="K528" s="11">
        <v>1.1212500000000001</v>
      </c>
      <c r="L528" s="12">
        <v>181.12112999999999</v>
      </c>
      <c r="M528" s="18">
        <f t="shared" si="122"/>
        <v>1.1211299999999937</v>
      </c>
      <c r="N528" s="17">
        <f t="shared" si="113"/>
        <v>25.694169192773785</v>
      </c>
      <c r="O528" s="14">
        <f t="shared" si="114"/>
        <v>1.8785814308460663E-11</v>
      </c>
      <c r="P528" s="24">
        <f t="shared" si="115"/>
        <v>4.8268589125655126E-10</v>
      </c>
      <c r="Q528" s="2">
        <f t="shared" si="123"/>
        <v>6.5849137458515185E-6</v>
      </c>
      <c r="R528" s="19">
        <f t="shared" si="124"/>
        <v>1.6919277378590891E-4</v>
      </c>
      <c r="S528" s="16">
        <f t="shared" si="125"/>
        <v>1.1212495508268927</v>
      </c>
      <c r="T528" s="23">
        <f t="shared" si="116"/>
        <v>4.5877301957375494E-11</v>
      </c>
      <c r="U528" s="22">
        <f t="shared" si="117"/>
        <v>4.4917310737524474E-7</v>
      </c>
      <c r="V528" s="16">
        <f t="shared" si="126"/>
        <v>1.1211296352798681</v>
      </c>
      <c r="W528" s="23">
        <f t="shared" si="118"/>
        <v>4.5441872487117507E-11</v>
      </c>
      <c r="X528" s="22">
        <f t="shared" si="119"/>
        <v>3.6472012565624823E-7</v>
      </c>
    </row>
    <row r="529" spans="1:24" x14ac:dyDescent="0.45">
      <c r="A529">
        <v>55.552210000000002</v>
      </c>
      <c r="B529">
        <v>-27.560110000000002</v>
      </c>
      <c r="C529">
        <v>55.552399999999999</v>
      </c>
      <c r="D529">
        <v>-27.5605399999999</v>
      </c>
      <c r="E529" s="13">
        <v>34.408548280036896</v>
      </c>
      <c r="F529" s="13">
        <v>-52.064500101855302</v>
      </c>
      <c r="G529" s="13">
        <f t="shared" si="120"/>
        <v>307.93549989814471</v>
      </c>
      <c r="H529" s="13">
        <v>-52.064854698308402</v>
      </c>
      <c r="I529" s="13">
        <f t="shared" si="121"/>
        <v>307.93514530169159</v>
      </c>
      <c r="J529" s="9">
        <v>34.408999999999999</v>
      </c>
      <c r="K529" s="9">
        <v>307.93549999999999</v>
      </c>
      <c r="L529" s="10">
        <v>127.93514500000001</v>
      </c>
      <c r="M529" s="18">
        <f t="shared" si="122"/>
        <v>307.93514500000003</v>
      </c>
      <c r="N529" s="17">
        <f t="shared" si="113"/>
        <v>34.408548250924255</v>
      </c>
      <c r="O529" s="14">
        <f t="shared" si="114"/>
        <v>8.4608745913141763E-10</v>
      </c>
      <c r="P529" s="24">
        <f t="shared" si="115"/>
        <v>2.9112641186657129E-8</v>
      </c>
      <c r="Q529" s="2">
        <f t="shared" si="123"/>
        <v>1.3128805711983345E-5</v>
      </c>
      <c r="R529" s="19">
        <f t="shared" si="124"/>
        <v>4.5174907574363488E-4</v>
      </c>
      <c r="S529" s="16">
        <f t="shared" si="125"/>
        <v>307.93549993543763</v>
      </c>
      <c r="T529" s="23">
        <f t="shared" si="116"/>
        <v>3.7292920751497149E-8</v>
      </c>
      <c r="U529" s="22">
        <f t="shared" si="117"/>
        <v>6.4562357238173718E-8</v>
      </c>
      <c r="V529" s="16">
        <f t="shared" si="126"/>
        <v>307.93514533868887</v>
      </c>
      <c r="W529" s="23">
        <f t="shared" si="118"/>
        <v>3.6997278130002087E-8</v>
      </c>
      <c r="X529" s="22">
        <f t="shared" si="119"/>
        <v>3.386888351997186E-7</v>
      </c>
    </row>
    <row r="530" spans="1:24" x14ac:dyDescent="0.45">
      <c r="A530">
        <v>21.896550000000001</v>
      </c>
      <c r="B530">
        <v>-163.30045000000001</v>
      </c>
      <c r="C530">
        <v>21.895309999999998</v>
      </c>
      <c r="D530">
        <v>-163.30119999999999</v>
      </c>
      <c r="E530" s="13">
        <v>157.667521801535</v>
      </c>
      <c r="F530" s="13">
        <v>-150.556715551895</v>
      </c>
      <c r="G530" s="13">
        <f t="shared" si="120"/>
        <v>209.443284448105</v>
      </c>
      <c r="H530" s="13">
        <v>-150.55699524330001</v>
      </c>
      <c r="I530" s="13">
        <f t="shared" si="121"/>
        <v>209.44300475669999</v>
      </c>
      <c r="J530" s="11">
        <v>157.66800000000001</v>
      </c>
      <c r="K530" s="11">
        <v>209.44328400000001</v>
      </c>
      <c r="L530" s="12">
        <v>29.443004999999999</v>
      </c>
      <c r="M530" s="18">
        <f t="shared" si="122"/>
        <v>209.443005</v>
      </c>
      <c r="N530" s="17">
        <f t="shared" si="113"/>
        <v>157.66752088197973</v>
      </c>
      <c r="O530" s="14">
        <f t="shared" si="114"/>
        <v>5.8322428478710507E-9</v>
      </c>
      <c r="P530" s="24">
        <f t="shared" si="115"/>
        <v>9.195552763685555E-7</v>
      </c>
      <c r="Q530" s="2">
        <f t="shared" si="123"/>
        <v>3.0387778133807209E-6</v>
      </c>
      <c r="R530" s="19">
        <f t="shared" si="124"/>
        <v>4.7911802028011152E-4</v>
      </c>
      <c r="S530" s="16">
        <f t="shared" si="125"/>
        <v>209.44328385712319</v>
      </c>
      <c r="T530" s="23">
        <f t="shared" si="116"/>
        <v>5.9098181282024598E-7</v>
      </c>
      <c r="U530" s="22">
        <f t="shared" si="117"/>
        <v>1.4287681437963329E-7</v>
      </c>
      <c r="V530" s="16">
        <f t="shared" si="126"/>
        <v>209.44300416573009</v>
      </c>
      <c r="W530" s="23">
        <f t="shared" si="118"/>
        <v>5.9096990412399464E-7</v>
      </c>
      <c r="X530" s="22">
        <f t="shared" si="119"/>
        <v>8.3426991182022903E-7</v>
      </c>
    </row>
    <row r="531" spans="1:24" x14ac:dyDescent="0.45">
      <c r="A531">
        <v>-50.84901</v>
      </c>
      <c r="B531">
        <v>-26.023029999999999</v>
      </c>
      <c r="C531">
        <v>-50.848399999999998</v>
      </c>
      <c r="D531">
        <v>-26.0242</v>
      </c>
      <c r="E531" s="13">
        <v>106.7444756407</v>
      </c>
      <c r="F531" s="13">
        <v>-50.526990150305998</v>
      </c>
      <c r="G531" s="13">
        <f t="shared" si="120"/>
        <v>309.47300984969399</v>
      </c>
      <c r="H531" s="13">
        <v>-50.526082836982397</v>
      </c>
      <c r="I531" s="13">
        <f t="shared" si="121"/>
        <v>309.47391716301763</v>
      </c>
      <c r="J531" s="9">
        <v>106.744</v>
      </c>
      <c r="K531" s="9">
        <v>309.47300999999999</v>
      </c>
      <c r="L531" s="10">
        <v>129.473917</v>
      </c>
      <c r="M531" s="18">
        <f t="shared" si="122"/>
        <v>309.47391700000003</v>
      </c>
      <c r="N531" s="17">
        <f t="shared" si="113"/>
        <v>106.74447548968408</v>
      </c>
      <c r="O531" s="14">
        <f t="shared" si="114"/>
        <v>1.4147423011068065E-9</v>
      </c>
      <c r="P531" s="24">
        <f t="shared" si="115"/>
        <v>1.5101592509836337E-7</v>
      </c>
      <c r="Q531" s="2">
        <f t="shared" si="123"/>
        <v>4.4544862856737296E-6</v>
      </c>
      <c r="R531" s="19">
        <f t="shared" si="124"/>
        <v>4.7548968407795655E-4</v>
      </c>
      <c r="S531" s="16">
        <f t="shared" si="125"/>
        <v>309.47300991610081</v>
      </c>
      <c r="T531" s="23">
        <f t="shared" si="116"/>
        <v>6.6406812493369216E-8</v>
      </c>
      <c r="U531" s="22">
        <f t="shared" si="117"/>
        <v>8.3899180935986806E-8</v>
      </c>
      <c r="V531" s="16">
        <f t="shared" si="126"/>
        <v>309.47391722948498</v>
      </c>
      <c r="W531" s="23">
        <f t="shared" si="118"/>
        <v>6.6467350734455977E-8</v>
      </c>
      <c r="X531" s="22">
        <f t="shared" si="119"/>
        <v>2.2948495370656019E-7</v>
      </c>
    </row>
    <row r="532" spans="1:24" x14ac:dyDescent="0.45">
      <c r="A532">
        <v>-47.440240000000003</v>
      </c>
      <c r="B532">
        <v>-23.345009999999998</v>
      </c>
      <c r="C532">
        <v>-47.441859999999998</v>
      </c>
      <c r="D532">
        <v>-23.346060000000001</v>
      </c>
      <c r="E532" s="13">
        <v>196.75462951783101</v>
      </c>
      <c r="F532" s="13">
        <v>-156.26407201408099</v>
      </c>
      <c r="G532" s="13">
        <f t="shared" si="120"/>
        <v>203.73592798591901</v>
      </c>
      <c r="H532" s="13">
        <v>-156.263298603137</v>
      </c>
      <c r="I532" s="13">
        <f t="shared" si="121"/>
        <v>203.736701396863</v>
      </c>
      <c r="J532" s="11">
        <v>196.755</v>
      </c>
      <c r="K532" s="11">
        <v>203.735928</v>
      </c>
      <c r="L532" s="12">
        <v>23.736701</v>
      </c>
      <c r="M532" s="18">
        <f t="shared" si="122"/>
        <v>203.73670100000001</v>
      </c>
      <c r="N532" s="17">
        <f t="shared" si="113"/>
        <v>196.75462940148694</v>
      </c>
      <c r="O532" s="14">
        <f t="shared" si="114"/>
        <v>5.9131553288736742E-10</v>
      </c>
      <c r="P532" s="24">
        <f t="shared" si="115"/>
        <v>1.1634406860139279E-7</v>
      </c>
      <c r="Q532" s="2">
        <f t="shared" si="123"/>
        <v>1.8835532162231442E-6</v>
      </c>
      <c r="R532" s="19">
        <f t="shared" si="124"/>
        <v>3.7059851305798475E-4</v>
      </c>
      <c r="S532" s="16">
        <f t="shared" si="125"/>
        <v>203.73592790998305</v>
      </c>
      <c r="T532" s="23">
        <f t="shared" si="116"/>
        <v>7.5935957966066781E-8</v>
      </c>
      <c r="U532" s="22">
        <f t="shared" si="117"/>
        <v>9.0016953890881268E-8</v>
      </c>
      <c r="V532" s="16">
        <f t="shared" si="126"/>
        <v>203.73670132092215</v>
      </c>
      <c r="W532" s="23">
        <f t="shared" si="118"/>
        <v>7.594084650008881E-8</v>
      </c>
      <c r="X532" s="22">
        <f t="shared" si="119"/>
        <v>3.2092214041767875E-7</v>
      </c>
    </row>
    <row r="533" spans="1:24" x14ac:dyDescent="0.45">
      <c r="A533">
        <v>50.982750000000003</v>
      </c>
      <c r="B533">
        <v>67.050880000000006</v>
      </c>
      <c r="C533">
        <v>50.984229999999997</v>
      </c>
      <c r="D533">
        <v>67.051320000000004</v>
      </c>
      <c r="E533" s="13">
        <v>167.52107706037199</v>
      </c>
      <c r="F533" s="13">
        <v>10.6284361515704</v>
      </c>
      <c r="G533" s="13">
        <f t="shared" si="120"/>
        <v>10.6284361515704</v>
      </c>
      <c r="H533" s="13">
        <v>10.6287780159892</v>
      </c>
      <c r="I533" s="13">
        <f t="shared" si="121"/>
        <v>10.6287780159892</v>
      </c>
      <c r="J533" s="9">
        <v>167.52099999999999</v>
      </c>
      <c r="K533" s="9">
        <v>10.628436000000001</v>
      </c>
      <c r="L533" s="10">
        <v>190.62877800000001</v>
      </c>
      <c r="M533" s="18">
        <f t="shared" si="122"/>
        <v>10.628778000000011</v>
      </c>
      <c r="N533" s="17">
        <f t="shared" si="113"/>
        <v>167.52107704563099</v>
      </c>
      <c r="O533" s="14">
        <f t="shared" si="114"/>
        <v>8.7994926488533139E-11</v>
      </c>
      <c r="P533" s="24">
        <f t="shared" si="115"/>
        <v>1.474100486120733E-8</v>
      </c>
      <c r="Q533" s="2">
        <f t="shared" si="123"/>
        <v>4.5991625528854746E-7</v>
      </c>
      <c r="R533" s="19">
        <f t="shared" si="124"/>
        <v>7.7045631002192749E-5</v>
      </c>
      <c r="S533" s="16">
        <f t="shared" si="125"/>
        <v>10.628436126352501</v>
      </c>
      <c r="T533" s="23">
        <f t="shared" si="116"/>
        <v>2.5217898880214307E-8</v>
      </c>
      <c r="U533" s="22">
        <f t="shared" si="117"/>
        <v>1.263525000183563E-7</v>
      </c>
      <c r="V533" s="16">
        <f t="shared" si="126"/>
        <v>10.628777990753306</v>
      </c>
      <c r="W533" s="23">
        <f t="shared" si="118"/>
        <v>2.5235893374997431E-8</v>
      </c>
      <c r="X533" s="22">
        <f t="shared" si="119"/>
        <v>9.2467047352329246E-9</v>
      </c>
    </row>
    <row r="534" spans="1:24" x14ac:dyDescent="0.45">
      <c r="A534">
        <v>-60.264620000000001</v>
      </c>
      <c r="B534">
        <v>161.77540999999999</v>
      </c>
      <c r="C534">
        <v>-60.26482</v>
      </c>
      <c r="D534">
        <v>161.77661000000001</v>
      </c>
      <c r="E534" s="13">
        <v>70.062401669601897</v>
      </c>
      <c r="F534" s="13">
        <v>108.545566010323</v>
      </c>
      <c r="G534" s="13">
        <f t="shared" si="120"/>
        <v>108.545566010323</v>
      </c>
      <c r="H534" s="13">
        <v>108.544524018799</v>
      </c>
      <c r="I534" s="13">
        <f t="shared" si="121"/>
        <v>108.544524018799</v>
      </c>
      <c r="J534" s="11">
        <v>70.061999999999998</v>
      </c>
      <c r="K534" s="11">
        <v>108.54556599999999</v>
      </c>
      <c r="L534" s="12">
        <v>288.54452400000002</v>
      </c>
      <c r="M534" s="18">
        <f t="shared" si="122"/>
        <v>108.54452400000002</v>
      </c>
      <c r="N534" s="17">
        <f t="shared" si="113"/>
        <v>70.062401634028944</v>
      </c>
      <c r="O534" s="14">
        <f t="shared" si="114"/>
        <v>5.0773241761480929E-10</v>
      </c>
      <c r="P534" s="24">
        <f t="shared" si="115"/>
        <v>3.5572952583606821E-8</v>
      </c>
      <c r="Q534" s="2">
        <f t="shared" si="123"/>
        <v>5.7325515821240258E-6</v>
      </c>
      <c r="R534" s="19">
        <f t="shared" si="124"/>
        <v>4.0163402894677347E-4</v>
      </c>
      <c r="S534" s="16">
        <f t="shared" si="125"/>
        <v>108.5455660202235</v>
      </c>
      <c r="T534" s="23">
        <f t="shared" si="116"/>
        <v>9.9005035281152232E-9</v>
      </c>
      <c r="U534" s="22">
        <f t="shared" si="117"/>
        <v>2.0223509977768117E-8</v>
      </c>
      <c r="V534" s="16">
        <f t="shared" si="126"/>
        <v>108.54452402879033</v>
      </c>
      <c r="W534" s="23">
        <f t="shared" si="118"/>
        <v>9.9913393114547944E-9</v>
      </c>
      <c r="X534" s="22">
        <f t="shared" si="119"/>
        <v>2.8790310580006917E-8</v>
      </c>
    </row>
    <row r="535" spans="1:24" x14ac:dyDescent="0.45">
      <c r="A535">
        <v>-64.859790000000004</v>
      </c>
      <c r="B535">
        <v>110.19369</v>
      </c>
      <c r="C535">
        <v>-64.859120000000004</v>
      </c>
      <c r="D535">
        <v>110.19413</v>
      </c>
      <c r="E535" s="13">
        <v>77.558266900360707</v>
      </c>
      <c r="F535" s="13">
        <v>15.607313478958901</v>
      </c>
      <c r="G535" s="13">
        <f t="shared" si="120"/>
        <v>15.607313478958901</v>
      </c>
      <c r="H535" s="13">
        <v>15.606915160867199</v>
      </c>
      <c r="I535" s="13">
        <f t="shared" si="121"/>
        <v>15.606915160867199</v>
      </c>
      <c r="J535" s="9">
        <v>77.558000000000007</v>
      </c>
      <c r="K535" s="9">
        <v>15.607313</v>
      </c>
      <c r="L535" s="10">
        <v>195.60691499999999</v>
      </c>
      <c r="M535" s="18">
        <f t="shared" si="122"/>
        <v>15.606914999999958</v>
      </c>
      <c r="N535" s="17">
        <f t="shared" si="113"/>
        <v>77.558266900219024</v>
      </c>
      <c r="O535" s="14">
        <f t="shared" si="114"/>
        <v>1.826784263921001E-12</v>
      </c>
      <c r="P535" s="24">
        <f t="shared" si="115"/>
        <v>1.4168222151056398E-10</v>
      </c>
      <c r="Q535" s="2">
        <f t="shared" si="123"/>
        <v>3.441298370476671E-6</v>
      </c>
      <c r="R535" s="19">
        <f t="shared" si="124"/>
        <v>2.6690021901742966E-4</v>
      </c>
      <c r="S535" s="16">
        <f t="shared" si="125"/>
        <v>15.607313476470619</v>
      </c>
      <c r="T535" s="23">
        <f t="shared" si="116"/>
        <v>2.488281580781404E-9</v>
      </c>
      <c r="U535" s="22">
        <f t="shared" si="117"/>
        <v>4.7647061940381263E-7</v>
      </c>
      <c r="V535" s="16">
        <f t="shared" si="126"/>
        <v>15.606915158384558</v>
      </c>
      <c r="W535" s="23">
        <f t="shared" si="118"/>
        <v>2.4826416478163083E-9</v>
      </c>
      <c r="X535" s="22">
        <f t="shared" si="119"/>
        <v>1.5838459965777929E-7</v>
      </c>
    </row>
    <row r="536" spans="1:24" x14ac:dyDescent="0.45">
      <c r="A536">
        <v>-87.725380000000001</v>
      </c>
      <c r="B536">
        <v>114.25215</v>
      </c>
      <c r="C536">
        <v>-87.726039999999998</v>
      </c>
      <c r="D536">
        <v>114.25194999999999</v>
      </c>
      <c r="E536" s="13">
        <v>73.7221828700701</v>
      </c>
      <c r="F536" s="13">
        <v>-179.31112799460399</v>
      </c>
      <c r="G536" s="13">
        <f t="shared" si="120"/>
        <v>180.68887200539601</v>
      </c>
      <c r="H536" s="13">
        <v>-179.31092815214299</v>
      </c>
      <c r="I536" s="13">
        <f t="shared" si="121"/>
        <v>180.68907184785701</v>
      </c>
      <c r="J536" s="11">
        <v>73.721999999999994</v>
      </c>
      <c r="K536" s="11">
        <v>180.688872</v>
      </c>
      <c r="L536" s="12">
        <v>0.68907200000000002</v>
      </c>
      <c r="M536" s="18">
        <f t="shared" si="122"/>
        <v>180.68907200000001</v>
      </c>
      <c r="N536" s="17">
        <f t="shared" si="113"/>
        <v>73.722182870661555</v>
      </c>
      <c r="O536" s="14">
        <f t="shared" si="114"/>
        <v>8.0227653363046035E-12</v>
      </c>
      <c r="P536" s="24">
        <f t="shared" si="115"/>
        <v>5.9145577324670739E-10</v>
      </c>
      <c r="Q536" s="2">
        <f t="shared" si="123"/>
        <v>2.480543956501402E-6</v>
      </c>
      <c r="R536" s="19">
        <f t="shared" si="124"/>
        <v>1.8287066156119636E-4</v>
      </c>
      <c r="S536" s="16">
        <f t="shared" si="125"/>
        <v>180.68887200527354</v>
      </c>
      <c r="T536" s="23">
        <f t="shared" si="116"/>
        <v>1.2246914593561087E-10</v>
      </c>
      <c r="U536" s="22">
        <f t="shared" si="117"/>
        <v>5.273534497973742E-9</v>
      </c>
      <c r="V536" s="16">
        <f t="shared" si="126"/>
        <v>180.68907184773431</v>
      </c>
      <c r="W536" s="23">
        <f t="shared" si="118"/>
        <v>1.226965196110541E-10</v>
      </c>
      <c r="X536" s="22">
        <f t="shared" si="119"/>
        <v>1.5226569871629181E-7</v>
      </c>
    </row>
    <row r="537" spans="1:24" x14ac:dyDescent="0.45">
      <c r="A537">
        <v>-21.458410000000001</v>
      </c>
      <c r="B537">
        <v>94.608500000000006</v>
      </c>
      <c r="C537">
        <v>-21.456959999999999</v>
      </c>
      <c r="D537">
        <v>94.608899999999906</v>
      </c>
      <c r="E537" s="13">
        <v>165.815325709972</v>
      </c>
      <c r="F537" s="13">
        <v>14.4798082189692</v>
      </c>
      <c r="G537" s="13">
        <f t="shared" si="120"/>
        <v>14.4798082189692</v>
      </c>
      <c r="H537" s="13">
        <v>14.479661893377299</v>
      </c>
      <c r="I537" s="13">
        <f t="shared" si="121"/>
        <v>14.479661893377299</v>
      </c>
      <c r="J537" s="9">
        <v>165.815</v>
      </c>
      <c r="K537" s="9">
        <v>14.479808</v>
      </c>
      <c r="L537" s="10">
        <v>194.47966199999999</v>
      </c>
      <c r="M537" s="18">
        <f t="shared" si="122"/>
        <v>14.479661999999962</v>
      </c>
      <c r="N537" s="17">
        <f t="shared" si="113"/>
        <v>165.81532545260799</v>
      </c>
      <c r="O537" s="14">
        <f t="shared" si="114"/>
        <v>1.5521123052821157E-9</v>
      </c>
      <c r="P537" s="24">
        <f t="shared" si="115"/>
        <v>2.5736400743880949E-7</v>
      </c>
      <c r="Q537" s="2">
        <f t="shared" si="123"/>
        <v>1.9627452763360232E-6</v>
      </c>
      <c r="R537" s="19">
        <f t="shared" si="124"/>
        <v>3.2545260799565767E-4</v>
      </c>
      <c r="S537" s="16">
        <f t="shared" si="125"/>
        <v>14.479807877136123</v>
      </c>
      <c r="T537" s="23">
        <f t="shared" si="116"/>
        <v>3.4183307739965585E-7</v>
      </c>
      <c r="U537" s="22">
        <f t="shared" si="117"/>
        <v>1.2286387729432136E-7</v>
      </c>
      <c r="V537" s="16">
        <f t="shared" si="126"/>
        <v>14.479661551561456</v>
      </c>
      <c r="W537" s="23">
        <f t="shared" si="118"/>
        <v>3.4181584318559999E-7</v>
      </c>
      <c r="X537" s="22">
        <f t="shared" si="119"/>
        <v>4.4843850588449641E-7</v>
      </c>
    </row>
    <row r="538" spans="1:24" x14ac:dyDescent="0.45">
      <c r="A538">
        <v>4.68987</v>
      </c>
      <c r="B538">
        <v>-143.43491</v>
      </c>
      <c r="C538">
        <v>4.6914899999999999</v>
      </c>
      <c r="D538">
        <v>-143.43652</v>
      </c>
      <c r="E538" s="13">
        <v>252.982179148477</v>
      </c>
      <c r="F538" s="13">
        <v>-44.917578175655599</v>
      </c>
      <c r="G538" s="13">
        <f t="shared" si="120"/>
        <v>315.08242182434441</v>
      </c>
      <c r="H538" s="13">
        <v>-44.917709835643301</v>
      </c>
      <c r="I538" s="13">
        <f t="shared" si="121"/>
        <v>315.08229016435672</v>
      </c>
      <c r="J538" s="11">
        <v>252.982</v>
      </c>
      <c r="K538" s="11">
        <v>315.08242200000001</v>
      </c>
      <c r="L538" s="12">
        <v>135.08229</v>
      </c>
      <c r="M538" s="18">
        <f t="shared" si="122"/>
        <v>315.08229</v>
      </c>
      <c r="N538" s="17">
        <f t="shared" si="113"/>
        <v>252.98217913313314</v>
      </c>
      <c r="O538" s="14">
        <f t="shared" si="114"/>
        <v>6.0651931260858542E-11</v>
      </c>
      <c r="P538" s="24">
        <f t="shared" si="115"/>
        <v>1.5343857739935629E-8</v>
      </c>
      <c r="Q538" s="2">
        <f t="shared" si="123"/>
        <v>7.0808647708002917E-7</v>
      </c>
      <c r="R538" s="19">
        <f t="shared" si="124"/>
        <v>1.7913313314465995E-4</v>
      </c>
      <c r="S538" s="16">
        <f t="shared" si="125"/>
        <v>315.08242182735484</v>
      </c>
      <c r="T538" s="23">
        <f t="shared" si="116"/>
        <v>3.0104274628683925E-9</v>
      </c>
      <c r="U538" s="22">
        <f t="shared" si="117"/>
        <v>1.7264517282455927E-7</v>
      </c>
      <c r="V538" s="16">
        <f t="shared" si="126"/>
        <v>315.08229016735902</v>
      </c>
      <c r="W538" s="23">
        <f t="shared" si="118"/>
        <v>3.0022988539712969E-9</v>
      </c>
      <c r="X538" s="22">
        <f t="shared" si="119"/>
        <v>1.6735901908759843E-7</v>
      </c>
    </row>
    <row r="539" spans="1:24" x14ac:dyDescent="0.45">
      <c r="A539">
        <v>-63.891199999999998</v>
      </c>
      <c r="B539">
        <v>61.013750000000002</v>
      </c>
      <c r="C539">
        <v>-63.890459999999997</v>
      </c>
      <c r="D539">
        <v>61.013849999999998</v>
      </c>
      <c r="E539" s="13">
        <v>82.638110961450707</v>
      </c>
      <c r="F539" s="13">
        <v>3.40788606886382</v>
      </c>
      <c r="G539" s="13">
        <f t="shared" si="120"/>
        <v>3.40788606886382</v>
      </c>
      <c r="H539" s="13">
        <v>3.4077962731484299</v>
      </c>
      <c r="I539" s="13">
        <f t="shared" si="121"/>
        <v>3.4077962731484299</v>
      </c>
      <c r="J539" s="9">
        <v>82.638000000000005</v>
      </c>
      <c r="K539" s="9">
        <v>3.407886</v>
      </c>
      <c r="L539" s="10">
        <v>183.40779599999999</v>
      </c>
      <c r="M539" s="18">
        <f t="shared" si="122"/>
        <v>3.4077959999999621</v>
      </c>
      <c r="N539" s="17">
        <f t="shared" si="113"/>
        <v>82.638110836408856</v>
      </c>
      <c r="O539" s="14">
        <f t="shared" si="114"/>
        <v>1.5131257139925614E-9</v>
      </c>
      <c r="P539" s="24">
        <f t="shared" si="115"/>
        <v>1.2504185065154161E-7</v>
      </c>
      <c r="Q539" s="2">
        <f t="shared" si="123"/>
        <v>1.3412281135906075E-6</v>
      </c>
      <c r="R539" s="19">
        <f t="shared" si="124"/>
        <v>1.1083640885090063E-4</v>
      </c>
      <c r="S539" s="16">
        <f t="shared" si="125"/>
        <v>3.4078846219391097</v>
      </c>
      <c r="T539" s="23">
        <f t="shared" si="116"/>
        <v>1.4469247102688598E-6</v>
      </c>
      <c r="U539" s="22">
        <f t="shared" si="117"/>
        <v>1.3780608902891345E-6</v>
      </c>
      <c r="V539" s="16">
        <f t="shared" si="126"/>
        <v>3.4077948262537143</v>
      </c>
      <c r="W539" s="23">
        <f t="shared" si="118"/>
        <v>1.4468947155954481E-6</v>
      </c>
      <c r="X539" s="22">
        <f t="shared" si="119"/>
        <v>1.1737462477512395E-6</v>
      </c>
    </row>
    <row r="540" spans="1:24" x14ac:dyDescent="0.45">
      <c r="A540">
        <v>44.804020000000001</v>
      </c>
      <c r="B540">
        <v>171.51248000000001</v>
      </c>
      <c r="C540">
        <v>44.804139999999997</v>
      </c>
      <c r="D540">
        <v>171.51219</v>
      </c>
      <c r="E540" s="13">
        <v>26.537332325645899</v>
      </c>
      <c r="F540" s="13">
        <v>-59.833500888066403</v>
      </c>
      <c r="G540" s="13">
        <f t="shared" si="120"/>
        <v>300.1664991119336</v>
      </c>
      <c r="H540" s="13">
        <v>-59.833705246640001</v>
      </c>
      <c r="I540" s="13">
        <f t="shared" si="121"/>
        <v>300.16629475335998</v>
      </c>
      <c r="J540" s="11">
        <v>26.536999999999999</v>
      </c>
      <c r="K540" s="11">
        <v>300.16649899999999</v>
      </c>
      <c r="L540" s="12">
        <v>120.16629500000001</v>
      </c>
      <c r="M540" s="18">
        <f t="shared" si="122"/>
        <v>300.16629499999999</v>
      </c>
      <c r="N540" s="17">
        <f t="shared" si="113"/>
        <v>26.537332232718139</v>
      </c>
      <c r="O540" s="14">
        <f t="shared" si="114"/>
        <v>3.5017747288666337E-9</v>
      </c>
      <c r="P540" s="24">
        <f t="shared" si="115"/>
        <v>9.2927759709482416E-8</v>
      </c>
      <c r="Q540" s="2">
        <f t="shared" si="123"/>
        <v>1.2519603502283258E-5</v>
      </c>
      <c r="R540" s="19">
        <f t="shared" si="124"/>
        <v>3.3223271814009081E-4</v>
      </c>
      <c r="S540" s="16">
        <f t="shared" si="125"/>
        <v>300.1664992327793</v>
      </c>
      <c r="T540" s="23">
        <f t="shared" si="116"/>
        <v>1.2084569789294619E-7</v>
      </c>
      <c r="U540" s="22">
        <f t="shared" si="117"/>
        <v>2.3277931404663832E-7</v>
      </c>
      <c r="V540" s="16">
        <f t="shared" si="126"/>
        <v>300.16629487436546</v>
      </c>
      <c r="W540" s="23">
        <f t="shared" si="118"/>
        <v>1.2100548474336392E-7</v>
      </c>
      <c r="X540" s="22">
        <f t="shared" si="119"/>
        <v>1.2563452855829382E-7</v>
      </c>
    </row>
    <row r="541" spans="1:24" x14ac:dyDescent="0.45">
      <c r="A541">
        <v>4.6884899999999998</v>
      </c>
      <c r="B541">
        <v>87.839410000000001</v>
      </c>
      <c r="C541">
        <v>4.6893900000000004</v>
      </c>
      <c r="D541">
        <v>87.837980000000002</v>
      </c>
      <c r="E541" s="13">
        <v>187.289035259527</v>
      </c>
      <c r="F541" s="13">
        <v>-57.900519684211503</v>
      </c>
      <c r="G541" s="13">
        <f t="shared" si="120"/>
        <v>302.09948031578847</v>
      </c>
      <c r="H541" s="13">
        <v>-57.900636581167099</v>
      </c>
      <c r="I541" s="13">
        <f t="shared" si="121"/>
        <v>302.09936341883292</v>
      </c>
      <c r="J541" s="9">
        <v>187.28899999999999</v>
      </c>
      <c r="K541" s="9">
        <v>302.09948000000003</v>
      </c>
      <c r="L541" s="10">
        <v>122.099363</v>
      </c>
      <c r="M541" s="18">
        <f t="shared" si="122"/>
        <v>302.09936299999998</v>
      </c>
      <c r="N541" s="17">
        <f t="shared" si="113"/>
        <v>187.28903029419109</v>
      </c>
      <c r="O541" s="14">
        <f t="shared" si="114"/>
        <v>2.6511620914359941E-8</v>
      </c>
      <c r="P541" s="24">
        <f t="shared" si="115"/>
        <v>4.9653359042167722E-6</v>
      </c>
      <c r="Q541" s="2">
        <f t="shared" si="123"/>
        <v>1.6175104307191109E-7</v>
      </c>
      <c r="R541" s="19">
        <f t="shared" si="124"/>
        <v>3.0294191105895152E-5</v>
      </c>
      <c r="S541" s="16">
        <f t="shared" si="125"/>
        <v>302.09948126828624</v>
      </c>
      <c r="T541" s="23">
        <f t="shared" si="116"/>
        <v>9.52497771322669E-7</v>
      </c>
      <c r="U541" s="22">
        <f t="shared" si="117"/>
        <v>1.2682862120527716E-6</v>
      </c>
      <c r="V541" s="16">
        <f t="shared" si="126"/>
        <v>302.09936437133661</v>
      </c>
      <c r="W541" s="23">
        <f t="shared" si="118"/>
        <v>9.5250368303823052E-7</v>
      </c>
      <c r="X541" s="22">
        <f t="shared" si="119"/>
        <v>1.3713366229239909E-6</v>
      </c>
    </row>
    <row r="542" spans="1:24" x14ac:dyDescent="0.45">
      <c r="A542">
        <v>0.22126000000000001</v>
      </c>
      <c r="B542">
        <v>138.36373</v>
      </c>
      <c r="C542">
        <v>0.219909999999999</v>
      </c>
      <c r="D542">
        <v>138.36501000000001</v>
      </c>
      <c r="E542" s="13">
        <v>206.363550600613</v>
      </c>
      <c r="F542" s="13">
        <v>136.33265011240499</v>
      </c>
      <c r="G542" s="13">
        <f t="shared" si="120"/>
        <v>136.33265011240499</v>
      </c>
      <c r="H542" s="13">
        <v>136.33265504030899</v>
      </c>
      <c r="I542" s="13">
        <f t="shared" si="121"/>
        <v>136.33265504030899</v>
      </c>
      <c r="J542" s="11">
        <v>206.364</v>
      </c>
      <c r="K542" s="11">
        <v>136.33265</v>
      </c>
      <c r="L542" s="12">
        <v>316.33265499999999</v>
      </c>
      <c r="M542" s="18">
        <f t="shared" si="122"/>
        <v>136.33265499999999</v>
      </c>
      <c r="N542" s="17">
        <f t="shared" si="113"/>
        <v>206.36354689335883</v>
      </c>
      <c r="O542" s="14">
        <f t="shared" si="114"/>
        <v>1.7964675230120129E-8</v>
      </c>
      <c r="P542" s="24">
        <f t="shared" si="115"/>
        <v>3.707254165874474E-6</v>
      </c>
      <c r="Q542" s="2">
        <f t="shared" si="123"/>
        <v>2.1956670794051881E-6</v>
      </c>
      <c r="R542" s="19">
        <f t="shared" si="124"/>
        <v>4.5310664117437227E-4</v>
      </c>
      <c r="S542" s="16">
        <f t="shared" si="125"/>
        <v>136.33265119030204</v>
      </c>
      <c r="T542" s="23">
        <f t="shared" si="116"/>
        <v>1.0778970533920074E-6</v>
      </c>
      <c r="U542" s="22">
        <f t="shared" si="117"/>
        <v>1.1903020435966027E-6</v>
      </c>
      <c r="V542" s="16">
        <f t="shared" si="126"/>
        <v>136.33265611820622</v>
      </c>
      <c r="W542" s="23">
        <f t="shared" si="118"/>
        <v>1.0778972239222639E-6</v>
      </c>
      <c r="X542" s="22">
        <f t="shared" si="119"/>
        <v>1.1182062280568061E-6</v>
      </c>
    </row>
    <row r="543" spans="1:24" x14ac:dyDescent="0.45">
      <c r="A543">
        <v>-9.2682300000000009</v>
      </c>
      <c r="B543">
        <v>175.48542</v>
      </c>
      <c r="C543">
        <v>-9.2696700000000103</v>
      </c>
      <c r="D543">
        <v>175.48419000000001</v>
      </c>
      <c r="E543" s="13">
        <v>208.880659544705</v>
      </c>
      <c r="F543" s="13">
        <v>-139.683894100787</v>
      </c>
      <c r="G543" s="13">
        <f t="shared" si="120"/>
        <v>220.316105899213</v>
      </c>
      <c r="H543" s="13">
        <v>-139.68369598592199</v>
      </c>
      <c r="I543" s="13">
        <f t="shared" si="121"/>
        <v>220.31630401407801</v>
      </c>
      <c r="J543" s="9">
        <v>208.881</v>
      </c>
      <c r="K543" s="9">
        <v>220.31610599999999</v>
      </c>
      <c r="L543" s="10">
        <v>40.316304000000002</v>
      </c>
      <c r="M543" s="18">
        <f t="shared" si="122"/>
        <v>220.316304</v>
      </c>
      <c r="N543" s="17">
        <f t="shared" si="113"/>
        <v>208.88065649655363</v>
      </c>
      <c r="O543" s="14">
        <f t="shared" si="114"/>
        <v>1.4592788901881658E-8</v>
      </c>
      <c r="P543" s="24">
        <f t="shared" si="115"/>
        <v>3.0481513704216923E-6</v>
      </c>
      <c r="Q543" s="2">
        <f t="shared" si="123"/>
        <v>1.6444934980848473E-6</v>
      </c>
      <c r="R543" s="19">
        <f t="shared" si="124"/>
        <v>3.4350344637346097E-4</v>
      </c>
      <c r="S543" s="16">
        <f t="shared" si="125"/>
        <v>220.31610491423393</v>
      </c>
      <c r="T543" s="23">
        <f t="shared" si="116"/>
        <v>9.8497906719785533E-7</v>
      </c>
      <c r="U543" s="22">
        <f t="shared" si="117"/>
        <v>1.0857660583951656E-6</v>
      </c>
      <c r="V543" s="16">
        <f t="shared" si="126"/>
        <v>220.31630302907661</v>
      </c>
      <c r="W543" s="23">
        <f t="shared" si="118"/>
        <v>9.8500140666146763E-7</v>
      </c>
      <c r="X543" s="22">
        <f t="shared" si="119"/>
        <v>9.7092339501614333E-7</v>
      </c>
    </row>
    <row r="544" spans="1:24" x14ac:dyDescent="0.45">
      <c r="A544">
        <v>34.507199999999997</v>
      </c>
      <c r="B544">
        <v>-87.873410000000007</v>
      </c>
      <c r="C544">
        <v>34.506250000000001</v>
      </c>
      <c r="D544">
        <v>-87.874719999999996</v>
      </c>
      <c r="E544" s="13">
        <v>159.93204327351299</v>
      </c>
      <c r="F544" s="13">
        <v>-131.21841118115799</v>
      </c>
      <c r="G544" s="13">
        <f t="shared" si="120"/>
        <v>228.78158881884201</v>
      </c>
      <c r="H544" s="13">
        <v>-131.219153300041</v>
      </c>
      <c r="I544" s="13">
        <f t="shared" si="121"/>
        <v>228.780846699959</v>
      </c>
      <c r="J544" s="11">
        <v>159.93199999999999</v>
      </c>
      <c r="K544" s="11">
        <v>228.781589</v>
      </c>
      <c r="L544" s="12">
        <v>48.780847000000001</v>
      </c>
      <c r="M544" s="18">
        <f t="shared" si="122"/>
        <v>228.78084699999999</v>
      </c>
      <c r="N544" s="17">
        <f t="shared" si="113"/>
        <v>159.93204219708349</v>
      </c>
      <c r="O544" s="14">
        <f t="shared" si="114"/>
        <v>6.7305430256066794E-9</v>
      </c>
      <c r="P544" s="24">
        <f t="shared" si="115"/>
        <v>1.0764294984255685E-6</v>
      </c>
      <c r="Q544" s="2">
        <f t="shared" si="123"/>
        <v>2.63843905547734E-7</v>
      </c>
      <c r="R544" s="19">
        <f t="shared" si="124"/>
        <v>4.2197083502060195E-5</v>
      </c>
      <c r="S544" s="16">
        <f t="shared" si="125"/>
        <v>228.78158848194241</v>
      </c>
      <c r="T544" s="23">
        <f t="shared" si="116"/>
        <v>3.3689960332594637E-7</v>
      </c>
      <c r="U544" s="22">
        <f t="shared" si="117"/>
        <v>5.1805758971568139E-7</v>
      </c>
      <c r="V544" s="16">
        <f t="shared" si="126"/>
        <v>228.78084636308242</v>
      </c>
      <c r="W544" s="23">
        <f t="shared" si="118"/>
        <v>3.3687658174130775E-7</v>
      </c>
      <c r="X544" s="22">
        <f t="shared" si="119"/>
        <v>6.3691757645756297E-7</v>
      </c>
    </row>
    <row r="545" spans="1:24" x14ac:dyDescent="0.45">
      <c r="A545">
        <v>-35.9223</v>
      </c>
      <c r="B545">
        <v>-25.483509999999999</v>
      </c>
      <c r="C545">
        <v>-35.923110000000001</v>
      </c>
      <c r="D545">
        <v>-25.48197</v>
      </c>
      <c r="E545" s="13">
        <v>165.514773249814</v>
      </c>
      <c r="F545" s="13">
        <v>122.889005055768</v>
      </c>
      <c r="G545" s="13">
        <f t="shared" si="120"/>
        <v>122.889005055768</v>
      </c>
      <c r="H545" s="13">
        <v>122.888101548069</v>
      </c>
      <c r="I545" s="13">
        <f t="shared" si="121"/>
        <v>122.888101548069</v>
      </c>
      <c r="J545" s="9">
        <v>165.51499999999999</v>
      </c>
      <c r="K545" s="9">
        <v>122.889005</v>
      </c>
      <c r="L545" s="10">
        <v>302.888102</v>
      </c>
      <c r="M545" s="18">
        <f t="shared" si="122"/>
        <v>122.888102</v>
      </c>
      <c r="N545" s="17">
        <f t="shared" si="113"/>
        <v>165.51477200555357</v>
      </c>
      <c r="O545" s="14">
        <f t="shared" si="114"/>
        <v>7.5175188724608152E-9</v>
      </c>
      <c r="P545" s="24">
        <f t="shared" si="115"/>
        <v>1.2442604315765493E-6</v>
      </c>
      <c r="Q545" s="2">
        <f t="shared" si="123"/>
        <v>1.3774851005600009E-6</v>
      </c>
      <c r="R545" s="19">
        <f t="shared" si="124"/>
        <v>2.2799444641918853E-4</v>
      </c>
      <c r="S545" s="16">
        <f t="shared" si="125"/>
        <v>122.88900533435833</v>
      </c>
      <c r="T545" s="23">
        <f t="shared" si="116"/>
        <v>2.7859033480126527E-7</v>
      </c>
      <c r="U545" s="22">
        <f t="shared" si="117"/>
        <v>3.3435833302064566E-7</v>
      </c>
      <c r="V545" s="16">
        <f t="shared" si="126"/>
        <v>122.88810182668877</v>
      </c>
      <c r="W545" s="23">
        <f t="shared" si="118"/>
        <v>2.7861976548138045E-7</v>
      </c>
      <c r="X545" s="22">
        <f t="shared" si="119"/>
        <v>1.7331123558506079E-7</v>
      </c>
    </row>
    <row r="546" spans="1:24" x14ac:dyDescent="0.45">
      <c r="A546">
        <v>-48.673439999999999</v>
      </c>
      <c r="B546">
        <v>131.04128</v>
      </c>
      <c r="C546">
        <v>-48.67351</v>
      </c>
      <c r="D546">
        <v>131.04103000000001</v>
      </c>
      <c r="E546" s="13">
        <v>19.990109850095799</v>
      </c>
      <c r="F546" s="13">
        <v>-112.917543864244</v>
      </c>
      <c r="G546" s="13">
        <f t="shared" si="120"/>
        <v>247.08245613575599</v>
      </c>
      <c r="H546" s="13">
        <v>-112.917356124618</v>
      </c>
      <c r="I546" s="13">
        <f t="shared" si="121"/>
        <v>247.08264387538202</v>
      </c>
      <c r="J546" s="11">
        <v>19.989999999999998</v>
      </c>
      <c r="K546" s="11">
        <v>247.08245600000001</v>
      </c>
      <c r="L546" s="12">
        <v>67.082644000000002</v>
      </c>
      <c r="M546" s="18">
        <f t="shared" si="122"/>
        <v>247.08264400000002</v>
      </c>
      <c r="N546" s="17">
        <f t="shared" si="113"/>
        <v>19.990109794983621</v>
      </c>
      <c r="O546" s="14">
        <f t="shared" si="114"/>
        <v>2.7569722400575373E-9</v>
      </c>
      <c r="P546" s="24">
        <f t="shared" si="115"/>
        <v>5.5112177932414852E-8</v>
      </c>
      <c r="Q546" s="2">
        <f t="shared" si="123"/>
        <v>5.4924954288234171E-6</v>
      </c>
      <c r="R546" s="19">
        <f t="shared" si="124"/>
        <v>1.097949836221801E-4</v>
      </c>
      <c r="S546" s="16">
        <f t="shared" si="125"/>
        <v>247.08245606780537</v>
      </c>
      <c r="T546" s="23">
        <f t="shared" si="116"/>
        <v>6.7950622906209901E-8</v>
      </c>
      <c r="U546" s="22">
        <f t="shared" si="117"/>
        <v>6.7805359549311106E-8</v>
      </c>
      <c r="V546" s="16">
        <f t="shared" si="126"/>
        <v>247.0826438071299</v>
      </c>
      <c r="W546" s="23">
        <f t="shared" si="118"/>
        <v>6.8252120399847627E-8</v>
      </c>
      <c r="X546" s="22">
        <f t="shared" si="119"/>
        <v>1.9287011809865362E-7</v>
      </c>
    </row>
    <row r="547" spans="1:24" x14ac:dyDescent="0.45">
      <c r="A547">
        <v>77.376769999999993</v>
      </c>
      <c r="B547">
        <v>128.91503</v>
      </c>
      <c r="C547">
        <v>77.37576</v>
      </c>
      <c r="D547">
        <v>128.91604000000001</v>
      </c>
      <c r="E547" s="13">
        <v>115.419550552698</v>
      </c>
      <c r="F547" s="13">
        <v>167.667645988033</v>
      </c>
      <c r="G547" s="13">
        <f t="shared" si="120"/>
        <v>167.667645988033</v>
      </c>
      <c r="H547" s="13">
        <v>167.66863157260701</v>
      </c>
      <c r="I547" s="13">
        <f t="shared" si="121"/>
        <v>167.66863157260701</v>
      </c>
      <c r="J547" s="9">
        <v>115.42</v>
      </c>
      <c r="K547" s="9">
        <v>167.66764599999999</v>
      </c>
      <c r="L547" s="10">
        <v>347.668632</v>
      </c>
      <c r="M547" s="18">
        <f t="shared" si="122"/>
        <v>167.668632</v>
      </c>
      <c r="N547" s="17">
        <f t="shared" si="113"/>
        <v>115.4195504179952</v>
      </c>
      <c r="O547" s="14">
        <f t="shared" si="114"/>
        <v>1.1670709265170841E-9</v>
      </c>
      <c r="P547" s="24">
        <f t="shared" si="115"/>
        <v>1.3470280180172267E-7</v>
      </c>
      <c r="Q547" s="2">
        <f t="shared" si="123"/>
        <v>3.8951828522347785E-6</v>
      </c>
      <c r="R547" s="19">
        <f t="shared" si="124"/>
        <v>4.4958200480493815E-4</v>
      </c>
      <c r="S547" s="16">
        <f t="shared" si="125"/>
        <v>167.66764629845531</v>
      </c>
      <c r="T547" s="23">
        <f t="shared" si="116"/>
        <v>3.1042230830280459E-7</v>
      </c>
      <c r="U547" s="22">
        <f t="shared" si="117"/>
        <v>2.9845531912542356E-7</v>
      </c>
      <c r="V547" s="16">
        <f t="shared" si="126"/>
        <v>167.66863188300474</v>
      </c>
      <c r="W547" s="23">
        <f t="shared" si="118"/>
        <v>3.103977235241473E-7</v>
      </c>
      <c r="X547" s="22">
        <f t="shared" si="119"/>
        <v>1.1699526680786221E-7</v>
      </c>
    </row>
    <row r="548" spans="1:24" x14ac:dyDescent="0.45">
      <c r="A548">
        <v>-87.696259999999995</v>
      </c>
      <c r="B548">
        <v>52.378459999999997</v>
      </c>
      <c r="C548">
        <v>-87.695849999999993</v>
      </c>
      <c r="D548">
        <v>52.379510000000003</v>
      </c>
      <c r="E548" s="13">
        <v>46.035839242145698</v>
      </c>
      <c r="F548" s="13">
        <v>5.8786358397687302</v>
      </c>
      <c r="G548" s="13">
        <f t="shared" si="120"/>
        <v>5.8786358397687302</v>
      </c>
      <c r="H548" s="13">
        <v>5.8775866885577104</v>
      </c>
      <c r="I548" s="13">
        <f t="shared" si="121"/>
        <v>5.8775866885577104</v>
      </c>
      <c r="J548" s="11">
        <v>46.036000000000001</v>
      </c>
      <c r="K548" s="11">
        <v>5.8786360000000002</v>
      </c>
      <c r="L548" s="12">
        <v>185.87758700000001</v>
      </c>
      <c r="M548" s="18">
        <f t="shared" si="122"/>
        <v>5.8775870000000054</v>
      </c>
      <c r="N548" s="17">
        <f t="shared" si="113"/>
        <v>46.035839242573068</v>
      </c>
      <c r="O548" s="14">
        <f t="shared" si="114"/>
        <v>9.283422357734952E-12</v>
      </c>
      <c r="P548" s="24">
        <f t="shared" si="115"/>
        <v>4.2737013927762746E-10</v>
      </c>
      <c r="Q548" s="2">
        <f t="shared" si="123"/>
        <v>3.4919938077350182E-6</v>
      </c>
      <c r="R548" s="19">
        <f t="shared" si="124"/>
        <v>1.607574269328893E-4</v>
      </c>
      <c r="S548" s="16">
        <f t="shared" si="125"/>
        <v>5.8786358396643879</v>
      </c>
      <c r="T548" s="23">
        <f t="shared" si="116"/>
        <v>1.0434231256795101E-10</v>
      </c>
      <c r="U548" s="22">
        <f t="shared" si="117"/>
        <v>1.6033561234252147E-7</v>
      </c>
      <c r="V548" s="16">
        <f t="shared" si="126"/>
        <v>5.8775866884501049</v>
      </c>
      <c r="W548" s="23">
        <f t="shared" si="118"/>
        <v>1.0760548008192927E-10</v>
      </c>
      <c r="X548" s="22">
        <f t="shared" si="119"/>
        <v>3.1154990054460541E-7</v>
      </c>
    </row>
    <row r="549" spans="1:24" x14ac:dyDescent="0.45">
      <c r="A549">
        <v>-86.859710000000007</v>
      </c>
      <c r="B549">
        <v>-77.554940000000002</v>
      </c>
      <c r="C549">
        <v>-86.858170000000001</v>
      </c>
      <c r="D549">
        <v>-77.554090000000002</v>
      </c>
      <c r="E549" s="13">
        <v>172.082156958002</v>
      </c>
      <c r="F549" s="13">
        <v>1.7327650117729401</v>
      </c>
      <c r="G549" s="13">
        <f t="shared" si="120"/>
        <v>1.7327650117729401</v>
      </c>
      <c r="H549" s="13">
        <v>1.73191628876243</v>
      </c>
      <c r="I549" s="13">
        <f t="shared" si="121"/>
        <v>1.73191628876243</v>
      </c>
      <c r="J549" s="9">
        <v>172.08199999999999</v>
      </c>
      <c r="K549" s="9">
        <v>1.7327650000000001</v>
      </c>
      <c r="L549" s="10">
        <v>181.73191600000001</v>
      </c>
      <c r="M549" s="18">
        <f t="shared" si="122"/>
        <v>1.7319160000000124</v>
      </c>
      <c r="N549" s="17">
        <f t="shared" si="113"/>
        <v>172.08215695842966</v>
      </c>
      <c r="O549" s="14">
        <f t="shared" si="114"/>
        <v>2.4852167671495612E-12</v>
      </c>
      <c r="P549" s="24">
        <f t="shared" si="115"/>
        <v>4.276614617992891E-10</v>
      </c>
      <c r="Q549" s="2">
        <f t="shared" si="123"/>
        <v>9.1211416458630006E-7</v>
      </c>
      <c r="R549" s="19">
        <f t="shared" si="124"/>
        <v>1.5695842967033968E-4</v>
      </c>
      <c r="S549" s="16">
        <f t="shared" si="125"/>
        <v>1.7327650115332196</v>
      </c>
      <c r="T549" s="23">
        <f t="shared" si="116"/>
        <v>2.3972046570008843E-10</v>
      </c>
      <c r="U549" s="22">
        <f t="shared" si="117"/>
        <v>1.1533219490544866E-8</v>
      </c>
      <c r="V549" s="16">
        <f t="shared" si="126"/>
        <v>1.7319162885225614</v>
      </c>
      <c r="W549" s="23">
        <f t="shared" si="118"/>
        <v>2.3986856945157342E-10</v>
      </c>
      <c r="X549" s="22">
        <f t="shared" si="119"/>
        <v>2.8852254896349905E-7</v>
      </c>
    </row>
    <row r="550" spans="1:24" x14ac:dyDescent="0.45">
      <c r="A550">
        <v>22.32029</v>
      </c>
      <c r="B550">
        <v>82.590350000000001</v>
      </c>
      <c r="C550">
        <v>22.319189999999999</v>
      </c>
      <c r="D550">
        <v>82.589699999999993</v>
      </c>
      <c r="E550" s="13">
        <v>139.00373887609101</v>
      </c>
      <c r="F550" s="13">
        <v>-151.19830977684899</v>
      </c>
      <c r="G550" s="13">
        <f t="shared" si="120"/>
        <v>208.80169022315101</v>
      </c>
      <c r="H550" s="13">
        <v>-151.19855663053201</v>
      </c>
      <c r="I550" s="13">
        <f t="shared" si="121"/>
        <v>208.80144336946799</v>
      </c>
      <c r="J550" s="11">
        <v>139.00399999999999</v>
      </c>
      <c r="K550" s="11">
        <v>208.80169000000001</v>
      </c>
      <c r="L550" s="12">
        <v>28.801442999999999</v>
      </c>
      <c r="M550" s="18">
        <f t="shared" si="122"/>
        <v>208.80144300000001</v>
      </c>
      <c r="N550" s="17">
        <f t="shared" si="113"/>
        <v>139.00373811107798</v>
      </c>
      <c r="O550" s="14">
        <f t="shared" si="114"/>
        <v>5.5035428063595919E-9</v>
      </c>
      <c r="P550" s="24">
        <f t="shared" si="115"/>
        <v>7.6501302714859776E-7</v>
      </c>
      <c r="Q550" s="2">
        <f t="shared" si="123"/>
        <v>1.8840387471700213E-6</v>
      </c>
      <c r="R550" s="19">
        <f t="shared" si="124"/>
        <v>2.6188892201162162E-4</v>
      </c>
      <c r="S550" s="16">
        <f t="shared" si="125"/>
        <v>208.80168965075885</v>
      </c>
      <c r="T550" s="23">
        <f t="shared" si="116"/>
        <v>5.7239216744164878E-7</v>
      </c>
      <c r="U550" s="22">
        <f t="shared" si="117"/>
        <v>3.4924116221191071E-7</v>
      </c>
      <c r="V550" s="16">
        <f t="shared" si="126"/>
        <v>208.80144279708506</v>
      </c>
      <c r="W550" s="23">
        <f t="shared" si="118"/>
        <v>5.723829303860839E-7</v>
      </c>
      <c r="X550" s="22">
        <f t="shared" si="119"/>
        <v>2.0291494706725643E-7</v>
      </c>
    </row>
    <row r="551" spans="1:24" x14ac:dyDescent="0.45">
      <c r="A551">
        <v>-37.656509999999997</v>
      </c>
      <c r="B551">
        <v>69.171620000000004</v>
      </c>
      <c r="C551">
        <v>-37.655340000000002</v>
      </c>
      <c r="D551">
        <v>69.170169999999999</v>
      </c>
      <c r="E551" s="13">
        <v>182.30283450375501</v>
      </c>
      <c r="F551" s="13">
        <v>-44.576309339734102</v>
      </c>
      <c r="G551" s="13">
        <f t="shared" si="120"/>
        <v>315.42369066026589</v>
      </c>
      <c r="H551" s="13">
        <v>-44.575423508333103</v>
      </c>
      <c r="I551" s="13">
        <f t="shared" si="121"/>
        <v>315.42457649166693</v>
      </c>
      <c r="J551" s="9">
        <v>182.303</v>
      </c>
      <c r="K551" s="9">
        <v>315.42369100000002</v>
      </c>
      <c r="L551" s="10">
        <v>135.424576</v>
      </c>
      <c r="M551" s="18">
        <f t="shared" si="122"/>
        <v>315.424576</v>
      </c>
      <c r="N551" s="17">
        <f t="shared" si="113"/>
        <v>182.30283366513373</v>
      </c>
      <c r="O551" s="14">
        <f t="shared" si="114"/>
        <v>4.6001548896199433E-9</v>
      </c>
      <c r="P551" s="24">
        <f t="shared" si="115"/>
        <v>8.3862127553402388E-7</v>
      </c>
      <c r="Q551" s="2">
        <f t="shared" si="123"/>
        <v>9.1240882631994984E-7</v>
      </c>
      <c r="R551" s="19">
        <f t="shared" si="124"/>
        <v>1.6633486626460581E-4</v>
      </c>
      <c r="S551" s="16">
        <f t="shared" si="125"/>
        <v>315.42369092810691</v>
      </c>
      <c r="T551" s="23">
        <f t="shared" si="116"/>
        <v>2.6784101692101103E-7</v>
      </c>
      <c r="U551" s="22">
        <f t="shared" si="117"/>
        <v>7.1893111908138962E-8</v>
      </c>
      <c r="V551" s="16">
        <f t="shared" si="126"/>
        <v>315.42457675950129</v>
      </c>
      <c r="W551" s="23">
        <f t="shared" si="118"/>
        <v>2.6783436624100432E-7</v>
      </c>
      <c r="X551" s="22">
        <f t="shared" si="119"/>
        <v>7.595012903038878E-7</v>
      </c>
    </row>
    <row r="552" spans="1:24" x14ac:dyDescent="0.45">
      <c r="A552">
        <v>-64.748620000000003</v>
      </c>
      <c r="B552">
        <v>-51.613059999999997</v>
      </c>
      <c r="C552">
        <v>-64.748620000000003</v>
      </c>
      <c r="D552">
        <v>-51.611829999999998</v>
      </c>
      <c r="E552" s="13">
        <v>58.570633754873697</v>
      </c>
      <c r="F552" s="13">
        <v>90.000556233595702</v>
      </c>
      <c r="G552" s="13">
        <f t="shared" si="120"/>
        <v>90.000556233595702</v>
      </c>
      <c r="H552" s="13">
        <v>89.999443766404298</v>
      </c>
      <c r="I552" s="13">
        <f t="shared" si="121"/>
        <v>89.999443766404298</v>
      </c>
      <c r="J552" s="11">
        <v>58.570999999999998</v>
      </c>
      <c r="K552" s="11">
        <v>90.000556000000003</v>
      </c>
      <c r="L552" s="12">
        <v>269.99944399999998</v>
      </c>
      <c r="M552" s="18">
        <f t="shared" si="122"/>
        <v>89.999443999999983</v>
      </c>
      <c r="N552" s="17">
        <f t="shared" si="113"/>
        <v>58.570633741418384</v>
      </c>
      <c r="O552" s="14">
        <f t="shared" si="114"/>
        <v>2.2972797877343424E-10</v>
      </c>
      <c r="P552" s="24">
        <f t="shared" si="115"/>
        <v>1.3455313307986216E-8</v>
      </c>
      <c r="Q552" s="2">
        <f t="shared" si="123"/>
        <v>6.2532410512784736E-6</v>
      </c>
      <c r="R552" s="19">
        <f t="shared" si="124"/>
        <v>3.6625858161443148E-4</v>
      </c>
      <c r="S552" s="16">
        <f t="shared" si="125"/>
        <v>90.000556233584518</v>
      </c>
      <c r="T552" s="23">
        <f t="shared" si="116"/>
        <v>1.1183942660863977E-11</v>
      </c>
      <c r="U552" s="22">
        <f t="shared" si="117"/>
        <v>2.3358451528565638E-7</v>
      </c>
      <c r="V552" s="16">
        <f t="shared" si="126"/>
        <v>89.999443766415482</v>
      </c>
      <c r="W552" s="23">
        <f t="shared" si="118"/>
        <v>1.1183942660863977E-11</v>
      </c>
      <c r="X552" s="22">
        <f t="shared" si="119"/>
        <v>2.3358450107480166E-7</v>
      </c>
    </row>
    <row r="553" spans="1:24" x14ac:dyDescent="0.45">
      <c r="A553">
        <v>-45.503100000000003</v>
      </c>
      <c r="B553">
        <v>130.99893</v>
      </c>
      <c r="C553">
        <v>-45.50177</v>
      </c>
      <c r="D553">
        <v>130.99808999999999</v>
      </c>
      <c r="E553" s="13">
        <v>161.74106383042599</v>
      </c>
      <c r="F553" s="13">
        <v>-23.9475452848183</v>
      </c>
      <c r="G553" s="13">
        <f t="shared" si="120"/>
        <v>336.05245471518168</v>
      </c>
      <c r="H553" s="13">
        <v>-23.946946129419899</v>
      </c>
      <c r="I553" s="13">
        <f t="shared" si="121"/>
        <v>336.05305387058013</v>
      </c>
      <c r="J553" s="9">
        <v>161.74100000000001</v>
      </c>
      <c r="K553" s="9">
        <v>336.05245500000001</v>
      </c>
      <c r="L553" s="10">
        <v>156.053054</v>
      </c>
      <c r="M553" s="18">
        <f t="shared" si="122"/>
        <v>336.05305399999997</v>
      </c>
      <c r="N553" s="17">
        <f t="shared" si="113"/>
        <v>161.74106371125316</v>
      </c>
      <c r="O553" s="14">
        <f t="shared" si="114"/>
        <v>7.36812419031238E-10</v>
      </c>
      <c r="P553" s="24">
        <f t="shared" si="115"/>
        <v>1.1917282449758204E-7</v>
      </c>
      <c r="Q553" s="2">
        <f t="shared" si="123"/>
        <v>3.9390910868523044E-7</v>
      </c>
      <c r="R553" s="19">
        <f t="shared" si="124"/>
        <v>6.371125314785786E-5</v>
      </c>
      <c r="S553" s="16">
        <f t="shared" si="125"/>
        <v>336.05245480930125</v>
      </c>
      <c r="T553" s="23">
        <f t="shared" si="116"/>
        <v>9.4119570803741226E-8</v>
      </c>
      <c r="U553" s="22">
        <f t="shared" si="117"/>
        <v>1.9069875634158961E-7</v>
      </c>
      <c r="V553" s="16">
        <f t="shared" si="126"/>
        <v>336.05305396473636</v>
      </c>
      <c r="W553" s="23">
        <f t="shared" si="118"/>
        <v>9.4156234808906447E-8</v>
      </c>
      <c r="X553" s="22">
        <f t="shared" si="119"/>
        <v>3.5263610698166303E-8</v>
      </c>
    </row>
    <row r="554" spans="1:24" x14ac:dyDescent="0.45">
      <c r="A554">
        <v>39.820909999999998</v>
      </c>
      <c r="B554">
        <v>117.20762000000001</v>
      </c>
      <c r="C554">
        <v>39.822099999999999</v>
      </c>
      <c r="D554">
        <v>117.20762999999999</v>
      </c>
      <c r="E554" s="13">
        <v>132.12990705649599</v>
      </c>
      <c r="F554" s="13">
        <v>0.37125699599394402</v>
      </c>
      <c r="G554" s="13">
        <f t="shared" si="120"/>
        <v>0.37125699599394402</v>
      </c>
      <c r="H554" s="13">
        <v>0.37126339997410301</v>
      </c>
      <c r="I554" s="13">
        <f t="shared" si="121"/>
        <v>0.37126339997410301</v>
      </c>
      <c r="J554" s="11">
        <v>132.13</v>
      </c>
      <c r="K554" s="11">
        <v>0.371257</v>
      </c>
      <c r="L554" s="12">
        <v>180.371263</v>
      </c>
      <c r="M554" s="18">
        <f t="shared" si="122"/>
        <v>0.37126299999999901</v>
      </c>
      <c r="N554" s="17">
        <f t="shared" si="113"/>
        <v>132.12990703359623</v>
      </c>
      <c r="O554" s="14">
        <f t="shared" si="114"/>
        <v>1.7331253538396172E-10</v>
      </c>
      <c r="P554" s="24">
        <f t="shared" si="115"/>
        <v>2.2899769192008534E-8</v>
      </c>
      <c r="Q554" s="2">
        <f t="shared" si="123"/>
        <v>7.0359800022612982E-7</v>
      </c>
      <c r="R554" s="19">
        <f t="shared" si="124"/>
        <v>9.2966403769878525E-5</v>
      </c>
      <c r="S554" s="16">
        <f t="shared" si="125"/>
        <v>0.37125553780317833</v>
      </c>
      <c r="T554" s="23">
        <f t="shared" si="116"/>
        <v>1.4581907656907589E-6</v>
      </c>
      <c r="U554" s="22">
        <f t="shared" si="117"/>
        <v>1.462196821677697E-6</v>
      </c>
      <c r="V554" s="16">
        <f t="shared" si="126"/>
        <v>0.37126194175870764</v>
      </c>
      <c r="W554" s="23">
        <f t="shared" si="118"/>
        <v>1.4582153953779375E-6</v>
      </c>
      <c r="X554" s="22">
        <f t="shared" si="119"/>
        <v>1.0582412913739958E-6</v>
      </c>
    </row>
    <row r="555" spans="1:24" x14ac:dyDescent="0.45">
      <c r="A555">
        <v>-59.94482</v>
      </c>
      <c r="B555">
        <v>-99.664619999999999</v>
      </c>
      <c r="C555">
        <v>-59.9452</v>
      </c>
      <c r="D555">
        <v>-99.666079999999994</v>
      </c>
      <c r="E555" s="13">
        <v>91.931713456913798</v>
      </c>
      <c r="F555" s="13">
        <v>-117.42124377600901</v>
      </c>
      <c r="G555" s="13">
        <f t="shared" si="120"/>
        <v>242.57875622399098</v>
      </c>
      <c r="H555" s="13">
        <v>-117.41998008012401</v>
      </c>
      <c r="I555" s="13">
        <f t="shared" si="121"/>
        <v>242.58001991987601</v>
      </c>
      <c r="J555" s="9">
        <v>91.932000000000002</v>
      </c>
      <c r="K555" s="9">
        <v>242.578756</v>
      </c>
      <c r="L555" s="10">
        <v>62.580019999999998</v>
      </c>
      <c r="M555" s="18">
        <f t="shared" si="122"/>
        <v>242.58001999999999</v>
      </c>
      <c r="N555" s="17">
        <f t="shared" si="113"/>
        <v>91.931713414637457</v>
      </c>
      <c r="O555" s="14">
        <f t="shared" si="114"/>
        <v>4.5986677568317006E-10</v>
      </c>
      <c r="P555" s="24">
        <f t="shared" si="115"/>
        <v>4.2276340650460043E-8</v>
      </c>
      <c r="Q555" s="2">
        <f t="shared" si="123"/>
        <v>3.1173624259791031E-6</v>
      </c>
      <c r="R555" s="19">
        <f t="shared" si="124"/>
        <v>2.8658536254511091E-4</v>
      </c>
      <c r="S555" s="16">
        <f t="shared" si="125"/>
        <v>242.57875621009907</v>
      </c>
      <c r="T555" s="23">
        <f t="shared" si="116"/>
        <v>1.389190629197401E-8</v>
      </c>
      <c r="U555" s="22">
        <f t="shared" si="117"/>
        <v>2.1009907413827023E-7</v>
      </c>
      <c r="V555" s="16">
        <f t="shared" si="126"/>
        <v>242.58001990599098</v>
      </c>
      <c r="W555" s="23">
        <f t="shared" si="118"/>
        <v>1.3885028238291852E-8</v>
      </c>
      <c r="X555" s="22">
        <f t="shared" si="119"/>
        <v>9.4009010354056954E-8</v>
      </c>
    </row>
    <row r="556" spans="1:24" x14ac:dyDescent="0.45">
      <c r="A556">
        <v>-38.392989999999998</v>
      </c>
      <c r="B556">
        <v>-137.47413</v>
      </c>
      <c r="C556">
        <v>-38.393360000000001</v>
      </c>
      <c r="D556">
        <v>-137.47548</v>
      </c>
      <c r="E556" s="13">
        <v>124.88485486063399</v>
      </c>
      <c r="F556" s="13">
        <v>-109.200900427881</v>
      </c>
      <c r="G556" s="13">
        <f t="shared" si="120"/>
        <v>250.79909957211902</v>
      </c>
      <c r="H556" s="13">
        <v>-109.20006200441</v>
      </c>
      <c r="I556" s="13">
        <f t="shared" si="121"/>
        <v>250.79993799559</v>
      </c>
      <c r="J556" s="11">
        <v>124.88500000000001</v>
      </c>
      <c r="K556" s="11">
        <v>250.79910000000001</v>
      </c>
      <c r="L556" s="12">
        <v>70.799937999999997</v>
      </c>
      <c r="M556" s="18">
        <f t="shared" si="122"/>
        <v>250.799938</v>
      </c>
      <c r="N556" s="17">
        <f t="shared" si="113"/>
        <v>124.88485388161463</v>
      </c>
      <c r="O556" s="14">
        <f t="shared" si="114"/>
        <v>7.8393762211799074E-9</v>
      </c>
      <c r="P556" s="24">
        <f t="shared" si="115"/>
        <v>9.7901936157995806E-7</v>
      </c>
      <c r="Q556" s="2">
        <f t="shared" si="123"/>
        <v>1.1700235046121132E-6</v>
      </c>
      <c r="R556" s="19">
        <f t="shared" si="124"/>
        <v>1.4611838537348376E-4</v>
      </c>
      <c r="S556" s="16">
        <f t="shared" si="125"/>
        <v>250.79909941553845</v>
      </c>
      <c r="T556" s="23">
        <f t="shared" si="116"/>
        <v>1.5658056895517802E-7</v>
      </c>
      <c r="U556" s="22">
        <f t="shared" si="117"/>
        <v>5.8446156003810756E-7</v>
      </c>
      <c r="V556" s="16">
        <f t="shared" si="126"/>
        <v>250.79993783900355</v>
      </c>
      <c r="W556" s="23">
        <f t="shared" si="118"/>
        <v>1.5658645224903012E-7</v>
      </c>
      <c r="X556" s="22">
        <f t="shared" si="119"/>
        <v>1.6099644994937989E-7</v>
      </c>
    </row>
    <row r="557" spans="1:24" x14ac:dyDescent="0.45">
      <c r="A557">
        <v>23.46829</v>
      </c>
      <c r="B557">
        <v>39.082700000000003</v>
      </c>
      <c r="C557">
        <v>23.468820000000001</v>
      </c>
      <c r="D557">
        <v>39.083289999999998</v>
      </c>
      <c r="E557" s="13">
        <v>84.135673680788003</v>
      </c>
      <c r="F557" s="13">
        <v>45.7605746399284</v>
      </c>
      <c r="G557" s="13">
        <f t="shared" si="120"/>
        <v>45.7605746399284</v>
      </c>
      <c r="H557" s="13">
        <v>45.760809604896799</v>
      </c>
      <c r="I557" s="13">
        <f t="shared" si="121"/>
        <v>45.760809604896799</v>
      </c>
      <c r="J557" s="9">
        <v>84.135999999999996</v>
      </c>
      <c r="K557" s="9">
        <v>45.760575000000003</v>
      </c>
      <c r="L557" s="10">
        <v>225.76080999999999</v>
      </c>
      <c r="M557" s="18">
        <f t="shared" si="122"/>
        <v>45.760809999999992</v>
      </c>
      <c r="N557" s="17">
        <f t="shared" si="113"/>
        <v>84.135672707294503</v>
      </c>
      <c r="O557" s="14">
        <f t="shared" si="114"/>
        <v>1.1570520048833387E-8</v>
      </c>
      <c r="P557" s="24">
        <f t="shared" si="115"/>
        <v>9.7349349914566119E-7</v>
      </c>
      <c r="Q557" s="2">
        <f t="shared" si="123"/>
        <v>3.8900435662766806E-6</v>
      </c>
      <c r="R557" s="19">
        <f t="shared" si="124"/>
        <v>3.2729270549225475E-4</v>
      </c>
      <c r="S557" s="16">
        <f t="shared" si="125"/>
        <v>45.76057399315485</v>
      </c>
      <c r="T557" s="23">
        <f t="shared" si="116"/>
        <v>6.4677355027242811E-7</v>
      </c>
      <c r="U557" s="22">
        <f t="shared" si="117"/>
        <v>1.0068451530287348E-6</v>
      </c>
      <c r="V557" s="16">
        <f t="shared" si="126"/>
        <v>45.760808958210703</v>
      </c>
      <c r="W557" s="23">
        <f t="shared" si="118"/>
        <v>6.4668609667251076E-7</v>
      </c>
      <c r="X557" s="22">
        <f t="shared" si="119"/>
        <v>1.0417892895020486E-6</v>
      </c>
    </row>
    <row r="558" spans="1:24" x14ac:dyDescent="0.45">
      <c r="A558">
        <v>-49.907690000000002</v>
      </c>
      <c r="B558">
        <v>30.808589999999999</v>
      </c>
      <c r="C558">
        <v>-49.908090000000001</v>
      </c>
      <c r="D558">
        <v>30.809439999999999</v>
      </c>
      <c r="E558" s="13">
        <v>75.547929349103995</v>
      </c>
      <c r="F558" s="13">
        <v>126.08000691581999</v>
      </c>
      <c r="G558" s="13">
        <f t="shared" si="120"/>
        <v>126.08000691581999</v>
      </c>
      <c r="H558" s="13">
        <v>126.07935665724099</v>
      </c>
      <c r="I558" s="13">
        <f t="shared" si="121"/>
        <v>126.07935665724099</v>
      </c>
      <c r="J558" s="11">
        <v>75.548000000000002</v>
      </c>
      <c r="K558" s="11">
        <v>126.08000699999999</v>
      </c>
      <c r="L558" s="12">
        <v>306.07935700000002</v>
      </c>
      <c r="M558" s="18">
        <f t="shared" si="122"/>
        <v>126.07935700000002</v>
      </c>
      <c r="N558" s="17">
        <f t="shared" si="113"/>
        <v>75.547929214841901</v>
      </c>
      <c r="O558" s="14">
        <f t="shared" si="114"/>
        <v>1.7771776927846029E-9</v>
      </c>
      <c r="P558" s="24">
        <f t="shared" si="115"/>
        <v>1.3426209477529483E-7</v>
      </c>
      <c r="Q558" s="2">
        <f t="shared" si="123"/>
        <v>9.3695608224197118E-7</v>
      </c>
      <c r="R558" s="19">
        <f t="shared" si="124"/>
        <v>7.0785158101216439E-5</v>
      </c>
      <c r="S558" s="16">
        <f t="shared" si="125"/>
        <v>126.08000698886086</v>
      </c>
      <c r="T558" s="23">
        <f t="shared" si="116"/>
        <v>7.3040865800066967E-8</v>
      </c>
      <c r="U558" s="22">
        <f t="shared" si="117"/>
        <v>1.1139135835946945E-8</v>
      </c>
      <c r="V558" s="16">
        <f t="shared" si="126"/>
        <v>126.07935673037862</v>
      </c>
      <c r="W558" s="23">
        <f t="shared" si="118"/>
        <v>7.3137627509822778E-8</v>
      </c>
      <c r="X558" s="22">
        <f t="shared" si="119"/>
        <v>2.6962139543229569E-7</v>
      </c>
    </row>
    <row r="559" spans="1:24" x14ac:dyDescent="0.45">
      <c r="A559">
        <v>-42.444540000000003</v>
      </c>
      <c r="B559">
        <v>137.55591000000001</v>
      </c>
      <c r="C559">
        <v>-42.44388</v>
      </c>
      <c r="D559">
        <v>137.55475000000001</v>
      </c>
      <c r="E559" s="13">
        <v>120.344925027401</v>
      </c>
      <c r="F559" s="13">
        <v>-52.468749284443803</v>
      </c>
      <c r="G559" s="13">
        <f t="shared" si="120"/>
        <v>307.53125071555621</v>
      </c>
      <c r="H559" s="13">
        <v>-52.467966432939598</v>
      </c>
      <c r="I559" s="13">
        <f t="shared" si="121"/>
        <v>307.53203356706041</v>
      </c>
      <c r="J559" s="9">
        <v>120.345</v>
      </c>
      <c r="K559" s="9">
        <v>307.531251</v>
      </c>
      <c r="L559" s="10">
        <v>127.532034</v>
      </c>
      <c r="M559" s="18">
        <f t="shared" si="122"/>
        <v>307.53203400000001</v>
      </c>
      <c r="N559" s="17">
        <f t="shared" si="113"/>
        <v>120.34492456169227</v>
      </c>
      <c r="O559" s="14">
        <f t="shared" si="114"/>
        <v>3.8697829363855381E-9</v>
      </c>
      <c r="P559" s="24">
        <f t="shared" si="115"/>
        <v>4.6570873735163332E-7</v>
      </c>
      <c r="Q559" s="2">
        <f t="shared" si="123"/>
        <v>6.2685036962197285E-7</v>
      </c>
      <c r="R559" s="19">
        <f t="shared" si="124"/>
        <v>7.5438307732156318E-5</v>
      </c>
      <c r="S559" s="16">
        <f t="shared" si="125"/>
        <v>307.53125088423411</v>
      </c>
      <c r="T559" s="23">
        <f t="shared" si="116"/>
        <v>1.6867790009200689E-7</v>
      </c>
      <c r="U559" s="22">
        <f t="shared" si="117"/>
        <v>1.1576588576645008E-7</v>
      </c>
      <c r="V559" s="16">
        <f t="shared" si="126"/>
        <v>307.53203373583955</v>
      </c>
      <c r="W559" s="23">
        <f t="shared" si="118"/>
        <v>1.6877913822099799E-7</v>
      </c>
      <c r="X559" s="22">
        <f t="shared" si="119"/>
        <v>2.6416046239319257E-7</v>
      </c>
    </row>
    <row r="560" spans="1:24" x14ac:dyDescent="0.45">
      <c r="A560">
        <v>24.297070000000001</v>
      </c>
      <c r="B560">
        <v>57.05979</v>
      </c>
      <c r="C560">
        <v>24.295570000000001</v>
      </c>
      <c r="D560">
        <v>57.059570000000001</v>
      </c>
      <c r="E560" s="13">
        <v>167.63816694576801</v>
      </c>
      <c r="F560" s="13">
        <v>-172.34387903482599</v>
      </c>
      <c r="G560" s="13">
        <f t="shared" si="120"/>
        <v>187.65612096517401</v>
      </c>
      <c r="H560" s="13">
        <v>-172.34396955510701</v>
      </c>
      <c r="I560" s="13">
        <f t="shared" si="121"/>
        <v>187.65603044489299</v>
      </c>
      <c r="J560" s="11">
        <v>167.63800000000001</v>
      </c>
      <c r="K560" s="11">
        <v>187.65612100000001</v>
      </c>
      <c r="L560" s="12">
        <v>7.6560300000000003</v>
      </c>
      <c r="M560" s="18">
        <f t="shared" si="122"/>
        <v>187.65602999999999</v>
      </c>
      <c r="N560" s="17">
        <f t="shared" si="113"/>
        <v>167.63816688060908</v>
      </c>
      <c r="O560" s="14">
        <f t="shared" si="114"/>
        <v>3.8868791103041121E-10</v>
      </c>
      <c r="P560" s="24">
        <f t="shared" si="115"/>
        <v>6.5158928919117898E-8</v>
      </c>
      <c r="Q560" s="2">
        <f t="shared" si="123"/>
        <v>9.9548198542093918E-7</v>
      </c>
      <c r="R560" s="19">
        <f t="shared" si="124"/>
        <v>1.6688060907199542E-4</v>
      </c>
      <c r="S560" s="16">
        <f t="shared" si="125"/>
        <v>187.65612080157049</v>
      </c>
      <c r="T560" s="23">
        <f t="shared" si="116"/>
        <v>1.6360351651201199E-7</v>
      </c>
      <c r="U560" s="22">
        <f t="shared" si="117"/>
        <v>1.9842951815007837E-7</v>
      </c>
      <c r="V560" s="16">
        <f t="shared" si="126"/>
        <v>187.65603028130352</v>
      </c>
      <c r="W560" s="23">
        <f t="shared" si="118"/>
        <v>1.6358947618755337E-7</v>
      </c>
      <c r="X560" s="22">
        <f t="shared" si="119"/>
        <v>2.813035280269105E-7</v>
      </c>
    </row>
    <row r="561" spans="1:24" x14ac:dyDescent="0.45">
      <c r="A561">
        <v>-8.4226600000000005</v>
      </c>
      <c r="B561">
        <v>-62.467570000000002</v>
      </c>
      <c r="C561">
        <v>-8.4237699999999993</v>
      </c>
      <c r="D561">
        <v>-62.468589999999999</v>
      </c>
      <c r="E561" s="13">
        <v>166.39954692163499</v>
      </c>
      <c r="F561" s="13">
        <v>-137.54151787930999</v>
      </c>
      <c r="G561" s="13">
        <f t="shared" si="120"/>
        <v>222.45848212069001</v>
      </c>
      <c r="H561" s="13">
        <v>-137.54136846578501</v>
      </c>
      <c r="I561" s="13">
        <f t="shared" si="121"/>
        <v>222.45863153421499</v>
      </c>
      <c r="J561" s="9">
        <v>166.4</v>
      </c>
      <c r="K561" s="9">
        <v>222.458482</v>
      </c>
      <c r="L561" s="10">
        <v>42.458632000000001</v>
      </c>
      <c r="M561" s="18">
        <f t="shared" si="122"/>
        <v>222.45863199999999</v>
      </c>
      <c r="N561" s="17">
        <f t="shared" si="113"/>
        <v>166.39954424068105</v>
      </c>
      <c r="O561" s="14">
        <f t="shared" si="114"/>
        <v>1.6111545915977898E-8</v>
      </c>
      <c r="P561" s="24">
        <f t="shared" si="115"/>
        <v>2.6809539406258409E-6</v>
      </c>
      <c r="Q561" s="2">
        <f t="shared" si="123"/>
        <v>2.7389382148626303E-6</v>
      </c>
      <c r="R561" s="19">
        <f t="shared" si="124"/>
        <v>4.557593189531417E-4</v>
      </c>
      <c r="S561" s="16">
        <f t="shared" si="125"/>
        <v>222.4584811125458</v>
      </c>
      <c r="T561" s="23">
        <f t="shared" si="116"/>
        <v>1.0081442098908155E-6</v>
      </c>
      <c r="U561" s="22">
        <f t="shared" si="117"/>
        <v>8.8745420612212911E-7</v>
      </c>
      <c r="V561" s="16">
        <f t="shared" si="126"/>
        <v>222.45863052604614</v>
      </c>
      <c r="W561" s="23">
        <f t="shared" si="118"/>
        <v>1.0081688515128917E-6</v>
      </c>
      <c r="X561" s="22">
        <f t="shared" si="119"/>
        <v>1.4739538585217815E-6</v>
      </c>
    </row>
    <row r="562" spans="1:24" x14ac:dyDescent="0.45">
      <c r="A562">
        <v>70.662419999999997</v>
      </c>
      <c r="B562">
        <v>-113.46177</v>
      </c>
      <c r="C562">
        <v>70.661010000000005</v>
      </c>
      <c r="D562">
        <v>-113.46317000000001</v>
      </c>
      <c r="E562" s="13">
        <v>165.61123901169799</v>
      </c>
      <c r="F562" s="13">
        <v>-161.78609639766</v>
      </c>
      <c r="G562" s="13">
        <f t="shared" si="120"/>
        <v>198.21390360234</v>
      </c>
      <c r="H562" s="13">
        <v>-161.78741740950801</v>
      </c>
      <c r="I562" s="13">
        <f t="shared" si="121"/>
        <v>198.21258259049199</v>
      </c>
      <c r="J562" s="11">
        <v>165.61099999999999</v>
      </c>
      <c r="K562" s="11">
        <v>198.21390400000001</v>
      </c>
      <c r="L562" s="12">
        <v>18.212582999999999</v>
      </c>
      <c r="M562" s="18">
        <f t="shared" si="122"/>
        <v>198.212583</v>
      </c>
      <c r="N562" s="17">
        <f t="shared" si="113"/>
        <v>165.61123901208748</v>
      </c>
      <c r="O562" s="14">
        <f t="shared" si="114"/>
        <v>2.351839816902431E-12</v>
      </c>
      <c r="P562" s="24">
        <f t="shared" si="115"/>
        <v>3.8949110603425652E-10</v>
      </c>
      <c r="Q562" s="2">
        <f t="shared" si="123"/>
        <v>1.4432138414155115E-6</v>
      </c>
      <c r="R562" s="19">
        <f t="shared" si="124"/>
        <v>2.3901208749066427E-4</v>
      </c>
      <c r="S562" s="16">
        <f t="shared" si="125"/>
        <v>198.21390360151577</v>
      </c>
      <c r="T562" s="23">
        <f t="shared" si="116"/>
        <v>8.2422957348171622E-10</v>
      </c>
      <c r="U562" s="22">
        <f t="shared" si="117"/>
        <v>3.9848424648880609E-7</v>
      </c>
      <c r="V562" s="16">
        <f t="shared" si="126"/>
        <v>198.21258258966617</v>
      </c>
      <c r="W562" s="23">
        <f t="shared" si="118"/>
        <v>8.2582118920981884E-10</v>
      </c>
      <c r="X562" s="22">
        <f t="shared" si="119"/>
        <v>4.1033382558453013E-7</v>
      </c>
    </row>
    <row r="563" spans="1:24" x14ac:dyDescent="0.45">
      <c r="A563">
        <v>62.566000000000003</v>
      </c>
      <c r="B563">
        <v>176.00112999999999</v>
      </c>
      <c r="C563">
        <v>62.56653</v>
      </c>
      <c r="D563">
        <v>176.00263000000001</v>
      </c>
      <c r="E563" s="13">
        <v>97.155290888926302</v>
      </c>
      <c r="F563" s="13">
        <v>52.553866066714903</v>
      </c>
      <c r="G563" s="13">
        <f t="shared" si="120"/>
        <v>52.553866066714903</v>
      </c>
      <c r="H563" s="13">
        <v>52.555197383122398</v>
      </c>
      <c r="I563" s="13">
        <f t="shared" si="121"/>
        <v>52.555197383122398</v>
      </c>
      <c r="J563" s="9">
        <v>97.155000000000001</v>
      </c>
      <c r="K563" s="9">
        <v>52.553865999999999</v>
      </c>
      <c r="L563" s="10">
        <v>232.55519699999999</v>
      </c>
      <c r="M563" s="18">
        <f t="shared" si="122"/>
        <v>52.555197000000021</v>
      </c>
      <c r="N563" s="17">
        <f t="shared" si="113"/>
        <v>97.155290869190623</v>
      </c>
      <c r="O563" s="14">
        <f t="shared" si="114"/>
        <v>2.0313540906040478E-10</v>
      </c>
      <c r="P563" s="24">
        <f t="shared" si="115"/>
        <v>1.9735679757104663E-8</v>
      </c>
      <c r="Q563" s="2">
        <f t="shared" si="123"/>
        <v>2.9938674347319123E-6</v>
      </c>
      <c r="R563" s="19">
        <f t="shared" si="124"/>
        <v>2.9086919062137895E-4</v>
      </c>
      <c r="S563" s="16">
        <f t="shared" si="125"/>
        <v>52.553866057066095</v>
      </c>
      <c r="T563" s="23">
        <f t="shared" si="116"/>
        <v>9.6488079748269229E-9</v>
      </c>
      <c r="U563" s="22">
        <f t="shared" si="117"/>
        <v>5.7066095848767873E-8</v>
      </c>
      <c r="V563" s="16">
        <f t="shared" si="126"/>
        <v>52.555197373403665</v>
      </c>
      <c r="W563" s="23">
        <f t="shared" si="118"/>
        <v>9.7187324854530743E-9</v>
      </c>
      <c r="X563" s="22">
        <f t="shared" si="119"/>
        <v>3.7340364400506587E-7</v>
      </c>
    </row>
    <row r="564" spans="1:24" x14ac:dyDescent="0.45">
      <c r="A564">
        <v>75.147909999999996</v>
      </c>
      <c r="B564">
        <v>43.715119999999999</v>
      </c>
      <c r="C564">
        <v>75.14846</v>
      </c>
      <c r="D564">
        <v>43.716540000000002</v>
      </c>
      <c r="E564" s="13">
        <v>73.626350990034794</v>
      </c>
      <c r="F564" s="13">
        <v>33.506447892873901</v>
      </c>
      <c r="G564" s="13">
        <f t="shared" si="120"/>
        <v>33.506447892873901</v>
      </c>
      <c r="H564" s="13">
        <v>33.5078204534896</v>
      </c>
      <c r="I564" s="13">
        <f t="shared" si="121"/>
        <v>33.5078204534896</v>
      </c>
      <c r="J564" s="11">
        <v>73.626000000000005</v>
      </c>
      <c r="K564" s="11">
        <v>33.506447999999999</v>
      </c>
      <c r="L564" s="12">
        <v>213.50782000000001</v>
      </c>
      <c r="M564" s="18">
        <f t="shared" si="122"/>
        <v>33.507820000000038</v>
      </c>
      <c r="N564" s="17">
        <f t="shared" si="113"/>
        <v>73.626350988676307</v>
      </c>
      <c r="O564" s="14">
        <f t="shared" si="114"/>
        <v>1.8451093096866969E-11</v>
      </c>
      <c r="P564" s="24">
        <f t="shared" si="115"/>
        <v>1.3584866564997355E-9</v>
      </c>
      <c r="Q564" s="2">
        <f t="shared" si="123"/>
        <v>4.7671838250438297E-6</v>
      </c>
      <c r="R564" s="19">
        <f t="shared" si="124"/>
        <v>3.5098867630267705E-4</v>
      </c>
      <c r="S564" s="16">
        <f t="shared" si="125"/>
        <v>33.506447892902067</v>
      </c>
      <c r="T564" s="23">
        <f t="shared" si="116"/>
        <v>2.8165914045530371E-11</v>
      </c>
      <c r="U564" s="22">
        <f t="shared" si="117"/>
        <v>1.0709793230034848E-7</v>
      </c>
      <c r="V564" s="16">
        <f t="shared" si="126"/>
        <v>33.507820453457782</v>
      </c>
      <c r="W564" s="23">
        <f t="shared" si="118"/>
        <v>3.1818103707337286E-11</v>
      </c>
      <c r="X564" s="22">
        <f t="shared" si="119"/>
        <v>4.5345774424276897E-7</v>
      </c>
    </row>
    <row r="565" spans="1:24" x14ac:dyDescent="0.45">
      <c r="A565">
        <v>81.150199999999998</v>
      </c>
      <c r="B565">
        <v>127.18482</v>
      </c>
      <c r="C565">
        <v>81.148679999999999</v>
      </c>
      <c r="D565">
        <v>127.18510000000001</v>
      </c>
      <c r="E565" s="13">
        <v>169.80240877538699</v>
      </c>
      <c r="F565" s="13">
        <v>178.376147167</v>
      </c>
      <c r="G565" s="13">
        <f t="shared" si="120"/>
        <v>178.376147167</v>
      </c>
      <c r="H565" s="13">
        <v>178.37642383303901</v>
      </c>
      <c r="I565" s="13">
        <f t="shared" si="121"/>
        <v>178.37642383303901</v>
      </c>
      <c r="J565" s="9">
        <v>169.80199999999999</v>
      </c>
      <c r="K565" s="9">
        <v>178.376147</v>
      </c>
      <c r="L565" s="10">
        <v>358.37642399999999</v>
      </c>
      <c r="M565" s="18">
        <f t="shared" si="122"/>
        <v>178.37642400000004</v>
      </c>
      <c r="N565" s="17">
        <f t="shared" si="113"/>
        <v>169.80240877546649</v>
      </c>
      <c r="O565" s="14">
        <f t="shared" si="114"/>
        <v>4.6816486203087921E-13</v>
      </c>
      <c r="P565" s="24">
        <f t="shared" si="115"/>
        <v>7.9495521276840009E-11</v>
      </c>
      <c r="Q565" s="2">
        <f t="shared" si="123"/>
        <v>2.4073654403159916E-6</v>
      </c>
      <c r="R565" s="19">
        <f t="shared" si="124"/>
        <v>4.0877546649653596E-4</v>
      </c>
      <c r="S565" s="16">
        <f t="shared" si="125"/>
        <v>178.37614717749881</v>
      </c>
      <c r="T565" s="23">
        <f t="shared" si="116"/>
        <v>1.0498808933334658E-8</v>
      </c>
      <c r="U565" s="22">
        <f t="shared" si="117"/>
        <v>1.7749880498740822E-7</v>
      </c>
      <c r="V565" s="16">
        <f t="shared" si="126"/>
        <v>178.37642384353569</v>
      </c>
      <c r="W565" s="23">
        <f t="shared" si="118"/>
        <v>1.0496677305127378E-8</v>
      </c>
      <c r="X565" s="22">
        <f t="shared" si="119"/>
        <v>1.564643525853171E-7</v>
      </c>
    </row>
    <row r="566" spans="1:24" x14ac:dyDescent="0.45">
      <c r="A566">
        <v>67.420209999999997</v>
      </c>
      <c r="B566">
        <v>13.883150000000001</v>
      </c>
      <c r="C566">
        <v>67.418679999999995</v>
      </c>
      <c r="D566">
        <v>13.8820899999999</v>
      </c>
      <c r="E566" s="13">
        <v>176.58380303861401</v>
      </c>
      <c r="F566" s="13">
        <v>-165.08818618976801</v>
      </c>
      <c r="G566" s="13">
        <f t="shared" si="120"/>
        <v>194.91181381023199</v>
      </c>
      <c r="H566" s="13">
        <v>-165.089164930789</v>
      </c>
      <c r="I566" s="13">
        <f t="shared" si="121"/>
        <v>194.910835069211</v>
      </c>
      <c r="J566" s="11">
        <v>176.584</v>
      </c>
      <c r="K566" s="11">
        <v>194.91181399999999</v>
      </c>
      <c r="L566" s="12">
        <v>14.910835000000001</v>
      </c>
      <c r="M566" s="18">
        <f t="shared" si="122"/>
        <v>194.91083499999999</v>
      </c>
      <c r="N566" s="17">
        <f t="shared" si="113"/>
        <v>176.58380303743425</v>
      </c>
      <c r="O566" s="14">
        <f t="shared" si="114"/>
        <v>6.6810019743920665E-12</v>
      </c>
      <c r="P566" s="24">
        <f t="shared" si="115"/>
        <v>1.1797567367466399E-9</v>
      </c>
      <c r="Q566" s="2">
        <f t="shared" si="123"/>
        <v>1.1154043727195051E-6</v>
      </c>
      <c r="R566" s="19">
        <f t="shared" si="124"/>
        <v>1.9696256575230109E-4</v>
      </c>
      <c r="S566" s="16">
        <f t="shared" si="125"/>
        <v>194.91181380908762</v>
      </c>
      <c r="T566" s="23">
        <f t="shared" si="116"/>
        <v>1.144371708505787E-9</v>
      </c>
      <c r="U566" s="22">
        <f t="shared" si="117"/>
        <v>1.9091237390966853E-7</v>
      </c>
      <c r="V566" s="16">
        <f t="shared" si="126"/>
        <v>194.91083506808093</v>
      </c>
      <c r="W566" s="23">
        <f t="shared" si="118"/>
        <v>1.1300755886622937E-9</v>
      </c>
      <c r="X566" s="22">
        <f t="shared" si="119"/>
        <v>6.8080936443948303E-8</v>
      </c>
    </row>
    <row r="567" spans="1:24" x14ac:dyDescent="0.45">
      <c r="A567">
        <v>-73.155289999999994</v>
      </c>
      <c r="B567">
        <v>161.82722000000001</v>
      </c>
      <c r="C567">
        <v>-73.155420000000007</v>
      </c>
      <c r="D567">
        <v>161.82714999999999</v>
      </c>
      <c r="E567" s="13">
        <v>14.683644922772499</v>
      </c>
      <c r="F567" s="13">
        <v>-171.126509788248</v>
      </c>
      <c r="G567" s="13">
        <f t="shared" si="120"/>
        <v>188.873490211752</v>
      </c>
      <c r="H567" s="13">
        <v>-171.12644279166801</v>
      </c>
      <c r="I567" s="13">
        <f t="shared" si="121"/>
        <v>188.87355720833199</v>
      </c>
      <c r="J567" s="9">
        <v>14.683999999999999</v>
      </c>
      <c r="K567" s="9">
        <v>188.87349</v>
      </c>
      <c r="L567" s="10">
        <v>8.8735569999999999</v>
      </c>
      <c r="M567" s="18">
        <f t="shared" si="122"/>
        <v>188.87355700000001</v>
      </c>
      <c r="N567" s="17">
        <f t="shared" si="113"/>
        <v>14.683644895504811</v>
      </c>
      <c r="O567" s="14">
        <f t="shared" si="114"/>
        <v>1.8570108917069916E-9</v>
      </c>
      <c r="P567" s="24">
        <f t="shared" si="115"/>
        <v>2.7267688551546598E-8</v>
      </c>
      <c r="Q567" s="2">
        <f t="shared" si="123"/>
        <v>2.4183090110895212E-5</v>
      </c>
      <c r="R567" s="19">
        <f t="shared" si="124"/>
        <v>3.5510449518838527E-4</v>
      </c>
      <c r="S567" s="16">
        <f t="shared" si="125"/>
        <v>188.87348950923899</v>
      </c>
      <c r="T567" s="23">
        <f t="shared" si="116"/>
        <v>7.0251300599011302E-7</v>
      </c>
      <c r="U567" s="22">
        <f t="shared" si="117"/>
        <v>4.9076101049649878E-7</v>
      </c>
      <c r="V567" s="16">
        <f t="shared" si="126"/>
        <v>188.87355650581549</v>
      </c>
      <c r="W567" s="23">
        <f t="shared" si="118"/>
        <v>7.0251650186037295E-7</v>
      </c>
      <c r="X567" s="22">
        <f t="shared" si="119"/>
        <v>4.9418451908422867E-7</v>
      </c>
    </row>
    <row r="568" spans="1:24" x14ac:dyDescent="0.45">
      <c r="A568">
        <v>41.140039999999999</v>
      </c>
      <c r="B568">
        <v>62.632280000000002</v>
      </c>
      <c r="C568">
        <v>41.140459999999997</v>
      </c>
      <c r="D568">
        <v>62.631129999999999</v>
      </c>
      <c r="E568" s="13">
        <v>107.226673902863</v>
      </c>
      <c r="F568" s="13">
        <v>-64.214222690885407</v>
      </c>
      <c r="G568" s="13">
        <f t="shared" si="120"/>
        <v>295.78577730911456</v>
      </c>
      <c r="H568" s="13">
        <v>-64.214979281012205</v>
      </c>
      <c r="I568" s="13">
        <f t="shared" si="121"/>
        <v>295.78502071898777</v>
      </c>
      <c r="J568" s="11">
        <v>107.227</v>
      </c>
      <c r="K568" s="11">
        <v>295.785777</v>
      </c>
      <c r="L568" s="12">
        <v>115.785021</v>
      </c>
      <c r="M568" s="18">
        <f t="shared" si="122"/>
        <v>295.78502100000003</v>
      </c>
      <c r="N568" s="17">
        <f t="shared" si="113"/>
        <v>107.22667329992846</v>
      </c>
      <c r="O568" s="14">
        <f t="shared" si="114"/>
        <v>5.6229901791572252E-9</v>
      </c>
      <c r="P568" s="24">
        <f t="shared" si="115"/>
        <v>6.0293453429949295E-7</v>
      </c>
      <c r="Q568" s="2">
        <f t="shared" si="123"/>
        <v>3.0468079078933121E-6</v>
      </c>
      <c r="R568" s="19">
        <f t="shared" si="124"/>
        <v>3.2670007153967617E-4</v>
      </c>
      <c r="S568" s="16">
        <f t="shared" si="125"/>
        <v>295.78577746501759</v>
      </c>
      <c r="T568" s="23">
        <f t="shared" si="116"/>
        <v>1.5590302382406662E-7</v>
      </c>
      <c r="U568" s="22">
        <f t="shared" si="117"/>
        <v>4.6501759243255947E-7</v>
      </c>
      <c r="V568" s="16">
        <f t="shared" si="126"/>
        <v>295.78502087506354</v>
      </c>
      <c r="W568" s="23">
        <f t="shared" si="118"/>
        <v>1.5607577097398462E-7</v>
      </c>
      <c r="X568" s="22">
        <f t="shared" si="119"/>
        <v>1.249364913746831E-7</v>
      </c>
    </row>
    <row r="569" spans="1:24" x14ac:dyDescent="0.45">
      <c r="A569">
        <v>-85.355339999999998</v>
      </c>
      <c r="B569">
        <v>-53.217219999999998</v>
      </c>
      <c r="C569">
        <v>-85.35472</v>
      </c>
      <c r="D569">
        <v>-53.217640000000003</v>
      </c>
      <c r="E569" s="13">
        <v>69.349802458835896</v>
      </c>
      <c r="F569" s="13">
        <v>-3.1403474303873198</v>
      </c>
      <c r="G569" s="13">
        <f t="shared" si="120"/>
        <v>356.85965256961271</v>
      </c>
      <c r="H569" s="13">
        <v>-3.1399288098246401</v>
      </c>
      <c r="I569" s="13">
        <f t="shared" si="121"/>
        <v>356.86007119017535</v>
      </c>
      <c r="J569" s="9">
        <v>69.349999999999994</v>
      </c>
      <c r="K569" s="9">
        <v>356.85965299999998</v>
      </c>
      <c r="L569" s="10">
        <v>176.860071</v>
      </c>
      <c r="M569" s="18">
        <f t="shared" si="122"/>
        <v>356.860071</v>
      </c>
      <c r="N569" s="17">
        <f t="shared" si="113"/>
        <v>69.349802458496697</v>
      </c>
      <c r="O569" s="14">
        <f t="shared" si="114"/>
        <v>4.8911298831528124E-12</v>
      </c>
      <c r="P569" s="24">
        <f t="shared" si="115"/>
        <v>3.3919889119715663E-10</v>
      </c>
      <c r="Q569" s="2">
        <f t="shared" si="123"/>
        <v>2.848471568814939E-6</v>
      </c>
      <c r="R569" s="19">
        <f t="shared" si="124"/>
        <v>1.9754150329731601E-4</v>
      </c>
      <c r="S569" s="16">
        <f t="shared" si="125"/>
        <v>356.85965257123775</v>
      </c>
      <c r="T569" s="23">
        <f t="shared" si="116"/>
        <v>1.6250396583927795E-9</v>
      </c>
      <c r="U569" s="22">
        <f t="shared" si="117"/>
        <v>4.2876223460552865E-7</v>
      </c>
      <c r="V569" s="16">
        <f t="shared" si="126"/>
        <v>356.86007119179794</v>
      </c>
      <c r="W569" s="23">
        <f t="shared" si="118"/>
        <v>1.6225953913817648E-9</v>
      </c>
      <c r="X569" s="22">
        <f t="shared" si="119"/>
        <v>1.9179793753210106E-7</v>
      </c>
    </row>
    <row r="570" spans="1:24" x14ac:dyDescent="0.45">
      <c r="A570">
        <v>68.745040000000003</v>
      </c>
      <c r="B570">
        <v>20.405180000000001</v>
      </c>
      <c r="C570">
        <v>68.743589999999998</v>
      </c>
      <c r="D570">
        <v>20.403860000000002</v>
      </c>
      <c r="E570" s="13">
        <v>170.33683732873001</v>
      </c>
      <c r="F570" s="13">
        <v>-161.71995715596699</v>
      </c>
      <c r="G570" s="13">
        <f t="shared" si="120"/>
        <v>198.28004284403301</v>
      </c>
      <c r="H570" s="13">
        <v>-161.72118735887901</v>
      </c>
      <c r="I570" s="13">
        <f t="shared" si="121"/>
        <v>198.27881264112099</v>
      </c>
      <c r="J570" s="11">
        <v>170.33699999999999</v>
      </c>
      <c r="K570" s="11">
        <v>198.28004300000001</v>
      </c>
      <c r="L570" s="12">
        <v>18.278813</v>
      </c>
      <c r="M570" s="18">
        <f t="shared" si="122"/>
        <v>198.27881300000001</v>
      </c>
      <c r="N570" s="17">
        <f t="shared" si="113"/>
        <v>170.33683732597243</v>
      </c>
      <c r="O570" s="14">
        <f t="shared" si="114"/>
        <v>1.6189028627164769E-11</v>
      </c>
      <c r="P570" s="24">
        <f t="shared" si="115"/>
        <v>2.7575879357755184E-9</v>
      </c>
      <c r="Q570" s="2">
        <f t="shared" si="123"/>
        <v>9.5501287191849348E-7</v>
      </c>
      <c r="R570" s="19">
        <f t="shared" si="124"/>
        <v>1.6267402756398042E-4</v>
      </c>
      <c r="S570" s="16">
        <f t="shared" si="125"/>
        <v>198.28004284277264</v>
      </c>
      <c r="T570" s="23">
        <f t="shared" si="116"/>
        <v>1.2603607046912657E-9</v>
      </c>
      <c r="U570" s="22">
        <f t="shared" si="117"/>
        <v>1.5722736179668573E-7</v>
      </c>
      <c r="V570" s="16">
        <f t="shared" si="126"/>
        <v>198.2788126398662</v>
      </c>
      <c r="W570" s="23">
        <f t="shared" si="118"/>
        <v>1.2547900496429065E-9</v>
      </c>
      <c r="X570" s="22">
        <f t="shared" si="119"/>
        <v>3.6013381077282247E-7</v>
      </c>
    </row>
    <row r="571" spans="1:24" x14ac:dyDescent="0.45">
      <c r="A571">
        <v>-8.3592399999999998</v>
      </c>
      <c r="B571">
        <v>-153.76204000000001</v>
      </c>
      <c r="C571">
        <v>-8.3578100000000006</v>
      </c>
      <c r="D571">
        <v>-153.76132999999999</v>
      </c>
      <c r="E571" s="13">
        <v>176.433030342585</v>
      </c>
      <c r="F571" s="13">
        <v>26.311076478018201</v>
      </c>
      <c r="G571" s="13">
        <f t="shared" si="120"/>
        <v>26.311076478018201</v>
      </c>
      <c r="H571" s="13">
        <v>26.310973267533001</v>
      </c>
      <c r="I571" s="13">
        <f t="shared" si="121"/>
        <v>26.310973267533001</v>
      </c>
      <c r="J571" s="9">
        <v>176.43299999999999</v>
      </c>
      <c r="K571" s="9">
        <v>26.311076</v>
      </c>
      <c r="L571" s="10">
        <v>206.31097299999999</v>
      </c>
      <c r="M571" s="18">
        <f t="shared" si="122"/>
        <v>26.31097299999999</v>
      </c>
      <c r="N571" s="17">
        <f t="shared" si="113"/>
        <v>176.43302911577695</v>
      </c>
      <c r="O571" s="14">
        <f t="shared" si="114"/>
        <v>6.9533921743393085E-9</v>
      </c>
      <c r="P571" s="24">
        <f t="shared" si="115"/>
        <v>1.2268080524791003E-6</v>
      </c>
      <c r="Q571" s="2">
        <f t="shared" si="123"/>
        <v>1.6502455296831425E-7</v>
      </c>
      <c r="R571" s="19">
        <f t="shared" si="124"/>
        <v>2.9115776953858585E-5</v>
      </c>
      <c r="S571" s="16">
        <f t="shared" si="125"/>
        <v>26.311075673008737</v>
      </c>
      <c r="T571" s="23">
        <f t="shared" si="116"/>
        <v>8.0500946353367908E-7</v>
      </c>
      <c r="U571" s="22">
        <f t="shared" si="117"/>
        <v>3.2699126251145572E-7</v>
      </c>
      <c r="V571" s="16">
        <f t="shared" si="126"/>
        <v>26.310972462538221</v>
      </c>
      <c r="W571" s="23">
        <f t="shared" si="118"/>
        <v>8.049947801680446E-7</v>
      </c>
      <c r="X571" s="22">
        <f t="shared" si="119"/>
        <v>5.3746176931213085E-7</v>
      </c>
    </row>
    <row r="572" spans="1:24" x14ac:dyDescent="0.45">
      <c r="A572">
        <v>68.881159999999994</v>
      </c>
      <c r="B572">
        <v>-76.59187</v>
      </c>
      <c r="C572">
        <v>68.879530000000003</v>
      </c>
      <c r="D572">
        <v>-76.590649999999997</v>
      </c>
      <c r="E572" s="13">
        <v>188.329610000272</v>
      </c>
      <c r="F572" s="13">
        <v>164.894076962333</v>
      </c>
      <c r="G572" s="13">
        <f t="shared" si="120"/>
        <v>164.894076962333</v>
      </c>
      <c r="H572" s="13">
        <v>164.89521501491501</v>
      </c>
      <c r="I572" s="13">
        <f t="shared" si="121"/>
        <v>164.89521501491501</v>
      </c>
      <c r="J572" s="11">
        <v>188.33</v>
      </c>
      <c r="K572" s="11">
        <v>164.89407700000001</v>
      </c>
      <c r="L572" s="12">
        <v>344.89521500000001</v>
      </c>
      <c r="M572" s="18">
        <f t="shared" si="122"/>
        <v>164.89521500000001</v>
      </c>
      <c r="N572" s="17">
        <f t="shared" si="113"/>
        <v>188.32960999638323</v>
      </c>
      <c r="O572" s="14">
        <f t="shared" si="114"/>
        <v>2.0648754973261939E-11</v>
      </c>
      <c r="P572" s="24">
        <f t="shared" si="115"/>
        <v>3.8887719711055979E-9</v>
      </c>
      <c r="Q572" s="2">
        <f t="shared" si="123"/>
        <v>2.0708523166055131E-6</v>
      </c>
      <c r="R572" s="19">
        <f t="shared" si="124"/>
        <v>3.9000361678631634E-4</v>
      </c>
      <c r="S572" s="16">
        <f t="shared" si="125"/>
        <v>164.89407696347027</v>
      </c>
      <c r="T572" s="23">
        <f t="shared" si="116"/>
        <v>1.137266281148186E-9</v>
      </c>
      <c r="U572" s="22">
        <f t="shared" si="117"/>
        <v>3.6529741009871941E-8</v>
      </c>
      <c r="V572" s="16">
        <f t="shared" si="126"/>
        <v>164.89521501604401</v>
      </c>
      <c r="W572" s="23">
        <f t="shared" si="118"/>
        <v>1.1289955637039384E-9</v>
      </c>
      <c r="X572" s="22">
        <f t="shared" si="119"/>
        <v>1.6043998130044201E-8</v>
      </c>
    </row>
    <row r="573" spans="1:24" x14ac:dyDescent="0.45">
      <c r="A573">
        <v>-5.2629799999999998</v>
      </c>
      <c r="B573">
        <v>116.89711</v>
      </c>
      <c r="C573">
        <v>-5.2626400000000002</v>
      </c>
      <c r="D573">
        <v>116.89848000000001</v>
      </c>
      <c r="E573" s="13">
        <v>156.45401172684899</v>
      </c>
      <c r="F573" s="13">
        <v>76.094860629449002</v>
      </c>
      <c r="G573" s="13">
        <f t="shared" si="120"/>
        <v>76.094860629449002</v>
      </c>
      <c r="H573" s="13">
        <v>76.094734967219395</v>
      </c>
      <c r="I573" s="13">
        <f t="shared" si="121"/>
        <v>76.094734967219395</v>
      </c>
      <c r="J573" s="9">
        <v>156.45400000000001</v>
      </c>
      <c r="K573" s="9">
        <v>76.094860999999995</v>
      </c>
      <c r="L573" s="10">
        <v>256.09473500000001</v>
      </c>
      <c r="M573" s="18">
        <f t="shared" si="122"/>
        <v>76.094735000000014</v>
      </c>
      <c r="N573" s="17">
        <f t="shared" si="113"/>
        <v>156.45400630144141</v>
      </c>
      <c r="O573" s="14">
        <f t="shared" si="114"/>
        <v>3.4677331180667393E-8</v>
      </c>
      <c r="P573" s="24">
        <f t="shared" si="115"/>
        <v>5.4254075791959622E-6</v>
      </c>
      <c r="Q573" s="2">
        <f t="shared" si="123"/>
        <v>4.0276639794805344E-8</v>
      </c>
      <c r="R573" s="19">
        <f t="shared" si="124"/>
        <v>6.3014414024564758E-6</v>
      </c>
      <c r="S573" s="16">
        <f t="shared" si="125"/>
        <v>76.094860137572113</v>
      </c>
      <c r="T573" s="23">
        <f t="shared" si="116"/>
        <v>4.9187688944130059E-7</v>
      </c>
      <c r="U573" s="22">
        <f t="shared" si="117"/>
        <v>8.624278819979736E-7</v>
      </c>
      <c r="V573" s="16">
        <f t="shared" si="126"/>
        <v>76.094734475353945</v>
      </c>
      <c r="W573" s="23">
        <f t="shared" si="118"/>
        <v>4.9186544970325485E-7</v>
      </c>
      <c r="X573" s="22">
        <f t="shared" si="119"/>
        <v>5.2464606881130749E-7</v>
      </c>
    </row>
    <row r="574" spans="1:24" x14ac:dyDescent="0.45">
      <c r="A574">
        <v>81.034490000000005</v>
      </c>
      <c r="B574">
        <v>-37.409939999999999</v>
      </c>
      <c r="C574">
        <v>81.034229999999994</v>
      </c>
      <c r="D574">
        <v>-37.410400000000003</v>
      </c>
      <c r="E574" s="13">
        <v>30.117025033945499</v>
      </c>
      <c r="F574" s="13">
        <v>-164.582736669426</v>
      </c>
      <c r="G574" s="13">
        <f t="shared" si="120"/>
        <v>195.417263330574</v>
      </c>
      <c r="H574" s="13">
        <v>-164.583191049134</v>
      </c>
      <c r="I574" s="13">
        <f t="shared" si="121"/>
        <v>195.416808950866</v>
      </c>
      <c r="J574" s="11">
        <v>30.117000000000001</v>
      </c>
      <c r="K574" s="11">
        <v>195.41726299999999</v>
      </c>
      <c r="L574" s="12">
        <v>15.416809000000001</v>
      </c>
      <c r="M574" s="18">
        <f t="shared" si="122"/>
        <v>195.416809</v>
      </c>
      <c r="N574" s="17">
        <f t="shared" si="113"/>
        <v>30.117025018583089</v>
      </c>
      <c r="O574" s="14">
        <f t="shared" si="114"/>
        <v>5.1009055487555785E-10</v>
      </c>
      <c r="P574" s="24">
        <f t="shared" si="115"/>
        <v>1.5362410010766325E-8</v>
      </c>
      <c r="Q574" s="2">
        <f t="shared" si="123"/>
        <v>8.3071298893977018E-7</v>
      </c>
      <c r="R574" s="19">
        <f t="shared" si="124"/>
        <v>2.501858308789906E-5</v>
      </c>
      <c r="S574" s="16">
        <f t="shared" si="125"/>
        <v>195.41726323377517</v>
      </c>
      <c r="T574" s="23">
        <f t="shared" si="116"/>
        <v>9.6798828508326551E-8</v>
      </c>
      <c r="U574" s="22">
        <f t="shared" si="117"/>
        <v>2.3377518232337025E-7</v>
      </c>
      <c r="V574" s="16">
        <f t="shared" si="126"/>
        <v>195.41680885409571</v>
      </c>
      <c r="W574" s="23">
        <f t="shared" si="118"/>
        <v>9.6770293112058425E-8</v>
      </c>
      <c r="X574" s="22">
        <f t="shared" si="119"/>
        <v>1.4590429486815992E-7</v>
      </c>
    </row>
    <row r="575" spans="1:24" x14ac:dyDescent="0.45">
      <c r="A575">
        <v>-76.24494</v>
      </c>
      <c r="B575">
        <v>-152.00111999999999</v>
      </c>
      <c r="C575">
        <v>-76.244789999999995</v>
      </c>
      <c r="D575">
        <v>-152.00139999999999</v>
      </c>
      <c r="E575" s="13">
        <v>18.320888260614399</v>
      </c>
      <c r="F575" s="13">
        <v>-23.941928810174598</v>
      </c>
      <c r="G575" s="13">
        <f t="shared" si="120"/>
        <v>336.0580711898254</v>
      </c>
      <c r="H575" s="13">
        <v>-23.9416568403608</v>
      </c>
      <c r="I575" s="13">
        <f t="shared" si="121"/>
        <v>336.05834315963921</v>
      </c>
      <c r="J575" s="9">
        <v>18.321000000000002</v>
      </c>
      <c r="K575" s="9">
        <v>336.05807099999998</v>
      </c>
      <c r="L575" s="10">
        <v>156.05834300000001</v>
      </c>
      <c r="M575" s="18">
        <f t="shared" si="122"/>
        <v>336.05834300000004</v>
      </c>
      <c r="N575" s="17">
        <f t="shared" si="113"/>
        <v>18.320888150148178</v>
      </c>
      <c r="O575" s="14">
        <f t="shared" si="114"/>
        <v>6.0295232135029801E-9</v>
      </c>
      <c r="P575" s="24">
        <f t="shared" si="115"/>
        <v>1.1046622105936876E-7</v>
      </c>
      <c r="Q575" s="2">
        <f t="shared" si="123"/>
        <v>6.1050080139244163E-6</v>
      </c>
      <c r="R575" s="19">
        <f t="shared" si="124"/>
        <v>1.1184985182310925E-4</v>
      </c>
      <c r="S575" s="16">
        <f t="shared" si="125"/>
        <v>336.05807195952258</v>
      </c>
      <c r="T575" s="23">
        <f t="shared" si="116"/>
        <v>7.6969718065811321E-7</v>
      </c>
      <c r="U575" s="22">
        <f t="shared" si="117"/>
        <v>9.5952259471232537E-7</v>
      </c>
      <c r="V575" s="16">
        <f t="shared" si="126"/>
        <v>336.05834392934111</v>
      </c>
      <c r="W575" s="23">
        <f t="shared" si="118"/>
        <v>7.6970189866187866E-7</v>
      </c>
      <c r="X575" s="22">
        <f t="shared" si="119"/>
        <v>9.2934106987740961E-7</v>
      </c>
    </row>
    <row r="576" spans="1:24" x14ac:dyDescent="0.45">
      <c r="A576">
        <v>63.575389999999999</v>
      </c>
      <c r="B576">
        <v>49.150149999999996</v>
      </c>
      <c r="C576">
        <v>63.576270000000001</v>
      </c>
      <c r="D576">
        <v>49.150799999999997</v>
      </c>
      <c r="E576" s="13">
        <v>103.27112551081299</v>
      </c>
      <c r="F576" s="13">
        <v>18.2182290391886</v>
      </c>
      <c r="G576" s="13">
        <f t="shared" si="120"/>
        <v>18.2182290391886</v>
      </c>
      <c r="H576" s="13">
        <v>18.2188111298621</v>
      </c>
      <c r="I576" s="13">
        <f t="shared" si="121"/>
        <v>18.2188111298621</v>
      </c>
      <c r="J576" s="11">
        <v>103.271</v>
      </c>
      <c r="K576" s="11">
        <v>18.218229000000001</v>
      </c>
      <c r="L576" s="12">
        <v>198.21881099999999</v>
      </c>
      <c r="M576" s="18">
        <f t="shared" si="122"/>
        <v>18.21881099999996</v>
      </c>
      <c r="N576" s="17">
        <f t="shared" si="113"/>
        <v>103.27112550698125</v>
      </c>
      <c r="O576" s="14">
        <f t="shared" si="114"/>
        <v>3.710372858028249E-11</v>
      </c>
      <c r="P576" s="24">
        <f t="shared" si="115"/>
        <v>3.8317438111334923E-9</v>
      </c>
      <c r="Q576" s="2">
        <f t="shared" si="123"/>
        <v>1.2153167999602102E-6</v>
      </c>
      <c r="R576" s="19">
        <f t="shared" si="124"/>
        <v>1.2550698124869086E-4</v>
      </c>
      <c r="S576" s="16">
        <f t="shared" si="125"/>
        <v>18.218229034084786</v>
      </c>
      <c r="T576" s="23">
        <f t="shared" si="116"/>
        <v>5.1038142601100844E-9</v>
      </c>
      <c r="U576" s="22">
        <f t="shared" si="117"/>
        <v>3.4084784772403509E-8</v>
      </c>
      <c r="V576" s="16">
        <f t="shared" si="126"/>
        <v>18.218811124783535</v>
      </c>
      <c r="W576" s="23">
        <f t="shared" si="118"/>
        <v>5.0785651239948493E-9</v>
      </c>
      <c r="X576" s="22">
        <f t="shared" si="119"/>
        <v>1.2478357547252017E-7</v>
      </c>
    </row>
    <row r="577" spans="1:24" x14ac:dyDescent="0.45">
      <c r="A577">
        <v>-24.216640000000002</v>
      </c>
      <c r="B577">
        <v>92.246579999999994</v>
      </c>
      <c r="C577">
        <v>-24.21556</v>
      </c>
      <c r="D577">
        <v>92.246359999999996</v>
      </c>
      <c r="E577" s="13">
        <v>121.691869909733</v>
      </c>
      <c r="F577" s="13">
        <v>-10.5820675432477</v>
      </c>
      <c r="G577" s="13">
        <f t="shared" si="120"/>
        <v>349.41793245675228</v>
      </c>
      <c r="H577" s="13">
        <v>-10.581977303797</v>
      </c>
      <c r="I577" s="13">
        <f t="shared" si="121"/>
        <v>349.41802269620302</v>
      </c>
      <c r="J577" s="9">
        <v>121.69199999999999</v>
      </c>
      <c r="K577" s="9">
        <v>349.41793200000001</v>
      </c>
      <c r="L577" s="10">
        <v>169.41802300000001</v>
      </c>
      <c r="M577" s="18">
        <f t="shared" si="122"/>
        <v>349.41802300000001</v>
      </c>
      <c r="N577" s="17">
        <f t="shared" si="113"/>
        <v>121.69186981889999</v>
      </c>
      <c r="O577" s="14">
        <f t="shared" si="114"/>
        <v>7.4641808273863052E-10</v>
      </c>
      <c r="P577" s="24">
        <f t="shared" si="115"/>
        <v>9.0833012222901743E-8</v>
      </c>
      <c r="Q577" s="2">
        <f t="shared" si="123"/>
        <v>1.0697588995557121E-6</v>
      </c>
      <c r="R577" s="19">
        <f t="shared" si="124"/>
        <v>1.3018110000473371E-4</v>
      </c>
      <c r="S577" s="16">
        <f t="shared" si="125"/>
        <v>349.41793268225962</v>
      </c>
      <c r="T577" s="23">
        <f t="shared" si="116"/>
        <v>2.2550733547177515E-7</v>
      </c>
      <c r="U577" s="22">
        <f t="shared" si="117"/>
        <v>6.8225961058487883E-7</v>
      </c>
      <c r="V577" s="16">
        <f t="shared" si="126"/>
        <v>349.41802292171087</v>
      </c>
      <c r="W577" s="23">
        <f t="shared" si="118"/>
        <v>2.255078470625449E-7</v>
      </c>
      <c r="X577" s="22">
        <f t="shared" si="119"/>
        <v>7.828913339835708E-8</v>
      </c>
    </row>
    <row r="578" spans="1:24" x14ac:dyDescent="0.45">
      <c r="A578">
        <v>20.30921</v>
      </c>
      <c r="B578">
        <v>-50.184229999999999</v>
      </c>
      <c r="C578">
        <v>20.30809</v>
      </c>
      <c r="D578">
        <v>-50.185029999999998</v>
      </c>
      <c r="E578" s="13">
        <v>149.51739557843399</v>
      </c>
      <c r="F578" s="13">
        <v>-146.02564067329001</v>
      </c>
      <c r="G578" s="13">
        <f t="shared" si="120"/>
        <v>213.97435932670999</v>
      </c>
      <c r="H578" s="13">
        <v>-146.02591833508399</v>
      </c>
      <c r="I578" s="13">
        <f t="shared" si="121"/>
        <v>213.97408166491601</v>
      </c>
      <c r="J578" s="11">
        <v>149.517</v>
      </c>
      <c r="K578" s="11">
        <v>213.97435899999999</v>
      </c>
      <c r="L578" s="12">
        <v>33.974082000000003</v>
      </c>
      <c r="M578" s="18">
        <f t="shared" si="122"/>
        <v>213.97408200000001</v>
      </c>
      <c r="N578" s="17">
        <f t="shared" si="113"/>
        <v>149.51739437906389</v>
      </c>
      <c r="O578" s="14">
        <f t="shared" si="114"/>
        <v>8.0216091180376676E-9</v>
      </c>
      <c r="P578" s="24">
        <f t="shared" si="115"/>
        <v>1.1993701036772109E-6</v>
      </c>
      <c r="Q578" s="2">
        <f t="shared" si="123"/>
        <v>2.6376871117758679E-6</v>
      </c>
      <c r="R578" s="19">
        <f t="shared" si="124"/>
        <v>3.9437906389139243E-4</v>
      </c>
      <c r="S578" s="16">
        <f t="shared" si="125"/>
        <v>213.97435864516677</v>
      </c>
      <c r="T578" s="23">
        <f t="shared" si="116"/>
        <v>6.8154321297697606E-7</v>
      </c>
      <c r="U578" s="22">
        <f t="shared" si="117"/>
        <v>3.5483321880747098E-7</v>
      </c>
      <c r="V578" s="16">
        <f t="shared" si="126"/>
        <v>213.97408098341558</v>
      </c>
      <c r="W578" s="23">
        <f t="shared" si="118"/>
        <v>6.8150043830428331E-7</v>
      </c>
      <c r="X578" s="22">
        <f t="shared" si="119"/>
        <v>1.016584434410106E-6</v>
      </c>
    </row>
    <row r="579" spans="1:24" x14ac:dyDescent="0.45">
      <c r="A579">
        <v>-25.984220000000001</v>
      </c>
      <c r="B579">
        <v>77.408730000000006</v>
      </c>
      <c r="C579">
        <v>-25.98358</v>
      </c>
      <c r="D579">
        <v>77.409930000000003</v>
      </c>
      <c r="E579" s="13">
        <v>139.51793944092299</v>
      </c>
      <c r="F579" s="13">
        <v>59.455712144708201</v>
      </c>
      <c r="G579" s="13">
        <f t="shared" si="120"/>
        <v>59.455712144708201</v>
      </c>
      <c r="H579" s="13">
        <v>59.455186402423998</v>
      </c>
      <c r="I579" s="13">
        <f t="shared" si="121"/>
        <v>59.455186402423998</v>
      </c>
      <c r="J579" s="9">
        <v>139.518</v>
      </c>
      <c r="K579" s="9">
        <v>59.455711999999998</v>
      </c>
      <c r="L579" s="10">
        <v>239.455186</v>
      </c>
      <c r="M579" s="18">
        <f t="shared" si="122"/>
        <v>59.455186000000026</v>
      </c>
      <c r="N579" s="17">
        <f t="shared" ref="N579:N602" si="127">VincentyInvDistance($A579,$B579,$C579,$D579)</f>
        <v>139.51793737524022</v>
      </c>
      <c r="O579" s="14">
        <f t="shared" ref="O579:O602" si="128">ABS((E579-N579)/E579)</f>
        <v>1.4805857746134509E-8</v>
      </c>
      <c r="P579" s="24">
        <f t="shared" ref="P579:P602" si="129">ABS(E579-N579)</f>
        <v>2.0656827643961151E-6</v>
      </c>
      <c r="Q579" s="2">
        <f t="shared" si="123"/>
        <v>4.4886509108443622E-7</v>
      </c>
      <c r="R579" s="19">
        <f t="shared" si="124"/>
        <v>6.2624759777918371E-5</v>
      </c>
      <c r="S579" s="16">
        <f t="shared" si="125"/>
        <v>59.455711643736343</v>
      </c>
      <c r="T579" s="23">
        <f t="shared" ref="T579:T602" si="130">ABS(G579-S579)</f>
        <v>5.0097185777531195E-7</v>
      </c>
      <c r="U579" s="22">
        <f t="shared" ref="U579:U602" si="131">ABS(K579-S579)</f>
        <v>3.5626365502139379E-7</v>
      </c>
      <c r="V579" s="16">
        <f t="shared" si="126"/>
        <v>59.455185901478146</v>
      </c>
      <c r="W579" s="23">
        <f t="shared" ref="W579:W602" si="132">ABS(I579-V579)</f>
        <v>5.0094585191118313E-7</v>
      </c>
      <c r="X579" s="22">
        <f t="shared" ref="X579:X602" si="133">ABS(M579-V579)</f>
        <v>9.8521880431690079E-8</v>
      </c>
    </row>
    <row r="580" spans="1:24" x14ac:dyDescent="0.45">
      <c r="A580">
        <v>79.588160000000002</v>
      </c>
      <c r="B580">
        <v>15.086510000000001</v>
      </c>
      <c r="C580">
        <v>79.587620000000001</v>
      </c>
      <c r="D580">
        <v>15.08705</v>
      </c>
      <c r="E580" s="13">
        <v>61.272036725559701</v>
      </c>
      <c r="F580" s="13">
        <v>169.753210197275</v>
      </c>
      <c r="G580" s="13">
        <f t="shared" ref="G580:G602" si="134">NormalizeAzimuth(F580, TRUE)</f>
        <v>169.753210197275</v>
      </c>
      <c r="H580" s="13">
        <v>169.75374130525401</v>
      </c>
      <c r="I580" s="13">
        <f t="shared" ref="I580:I602" si="135">NormalizeAzimuth(H580, TRUE)</f>
        <v>169.75374130525401</v>
      </c>
      <c r="J580" s="11">
        <v>61.271999999999998</v>
      </c>
      <c r="K580" s="11">
        <v>169.75321</v>
      </c>
      <c r="L580" s="12">
        <v>349.75374099999999</v>
      </c>
      <c r="M580" s="18">
        <f t="shared" ref="M580:M601" si="136">NormalizeAzimuth(L580+180, TRUE)</f>
        <v>169.75374099999999</v>
      </c>
      <c r="N580" s="17">
        <f t="shared" si="127"/>
        <v>61.272036702976337</v>
      </c>
      <c r="O580" s="14">
        <f t="shared" si="128"/>
        <v>3.6857538477016032E-10</v>
      </c>
      <c r="P580" s="24">
        <f t="shared" si="129"/>
        <v>2.2583364511774562E-8</v>
      </c>
      <c r="Q580" s="2">
        <f t="shared" ref="Q580:Q602" si="137">ABS((J580-N580)/J580)</f>
        <v>5.9901710957984955E-7</v>
      </c>
      <c r="R580" s="19">
        <f t="shared" ref="R580:R602" si="138">ABS(J580-N580)</f>
        <v>3.6702976338176541E-5</v>
      </c>
      <c r="S580" s="16">
        <f t="shared" ref="S580:S602" si="139">VincentyInvFwdAzimuth($A580,$B580,$C580,$D580)</f>
        <v>169.75321031848009</v>
      </c>
      <c r="T580" s="23">
        <f t="shared" si="130"/>
        <v>1.2120509040869365E-7</v>
      </c>
      <c r="U580" s="22">
        <f t="shared" si="131"/>
        <v>3.1848009029999957E-7</v>
      </c>
      <c r="V580" s="16">
        <f t="shared" ref="V580:V602" si="140">VincentyInvRevAzimuth($A580,$B580,$C580,$D580)</f>
        <v>169.75374142646231</v>
      </c>
      <c r="W580" s="23">
        <f t="shared" si="132"/>
        <v>1.2120830206185929E-7</v>
      </c>
      <c r="X580" s="22">
        <f t="shared" si="133"/>
        <v>4.2646232145671092E-7</v>
      </c>
    </row>
    <row r="581" spans="1:24" x14ac:dyDescent="0.45">
      <c r="A581">
        <v>12.869120000000001</v>
      </c>
      <c r="B581">
        <v>145.58537000000001</v>
      </c>
      <c r="C581">
        <v>12.867520000000001</v>
      </c>
      <c r="D581">
        <v>145.58620999999999</v>
      </c>
      <c r="E581" s="13">
        <v>199.108906818847</v>
      </c>
      <c r="F581" s="13">
        <v>152.74724416765801</v>
      </c>
      <c r="G581" s="13">
        <f t="shared" si="134"/>
        <v>152.74724416765801</v>
      </c>
      <c r="H581" s="13">
        <v>152.747431244995</v>
      </c>
      <c r="I581" s="13">
        <f t="shared" si="135"/>
        <v>152.747431244995</v>
      </c>
      <c r="J581" s="9">
        <v>199.10900000000001</v>
      </c>
      <c r="K581" s="9">
        <v>152.74724399999999</v>
      </c>
      <c r="L581" s="10">
        <v>332.74743100000001</v>
      </c>
      <c r="M581" s="18">
        <f t="shared" si="136"/>
        <v>152.74743100000001</v>
      </c>
      <c r="N581" s="17">
        <f t="shared" si="127"/>
        <v>199.1089054685655</v>
      </c>
      <c r="O581" s="14">
        <f t="shared" si="128"/>
        <v>6.7816228289960691E-9</v>
      </c>
      <c r="P581" s="24">
        <f t="shared" si="129"/>
        <v>1.3502815079391439E-6</v>
      </c>
      <c r="Q581" s="2">
        <f t="shared" si="137"/>
        <v>4.747722830866559E-7</v>
      </c>
      <c r="R581" s="19">
        <f t="shared" si="138"/>
        <v>9.4531434513100976E-5</v>
      </c>
      <c r="S581" s="16">
        <f t="shared" si="139"/>
        <v>152.74724492131949</v>
      </c>
      <c r="T581" s="23">
        <f t="shared" si="130"/>
        <v>7.5366148166722269E-7</v>
      </c>
      <c r="U581" s="22">
        <f t="shared" si="131"/>
        <v>9.2131949713802896E-7</v>
      </c>
      <c r="V581" s="16">
        <f t="shared" si="140"/>
        <v>152.74743199864815</v>
      </c>
      <c r="W581" s="23">
        <f t="shared" si="132"/>
        <v>7.5365315410635958E-7</v>
      </c>
      <c r="X581" s="22">
        <f t="shared" si="133"/>
        <v>9.9864814728789497E-7</v>
      </c>
    </row>
    <row r="582" spans="1:24" x14ac:dyDescent="0.45">
      <c r="A582">
        <v>-79.342209999999994</v>
      </c>
      <c r="B582">
        <v>-175.42848000000001</v>
      </c>
      <c r="C582">
        <v>-79.341830000000002</v>
      </c>
      <c r="D582">
        <v>-175.42913999999999</v>
      </c>
      <c r="E582" s="13">
        <v>44.565260360576701</v>
      </c>
      <c r="F582" s="13">
        <v>-17.8123246849031</v>
      </c>
      <c r="G582" s="13">
        <f t="shared" si="134"/>
        <v>342.1876753150969</v>
      </c>
      <c r="H582" s="13">
        <v>-17.811676070762498</v>
      </c>
      <c r="I582" s="13">
        <f t="shared" si="135"/>
        <v>342.18832392923753</v>
      </c>
      <c r="J582" s="11">
        <v>44.564999999999998</v>
      </c>
      <c r="K582" s="11">
        <v>342.18767500000001</v>
      </c>
      <c r="L582" s="12">
        <v>162.18832399999999</v>
      </c>
      <c r="M582" s="18">
        <f t="shared" si="136"/>
        <v>342.18832399999997</v>
      </c>
      <c r="N582" s="17">
        <f t="shared" si="127"/>
        <v>44.5652603052187</v>
      </c>
      <c r="O582" s="14">
        <f t="shared" si="128"/>
        <v>1.2421783335739885E-9</v>
      </c>
      <c r="P582" s="24">
        <f t="shared" si="129"/>
        <v>5.5358000849992095E-8</v>
      </c>
      <c r="Q582" s="2">
        <f t="shared" si="137"/>
        <v>5.8410236441755487E-6</v>
      </c>
      <c r="R582" s="19">
        <f t="shared" si="138"/>
        <v>2.6030521870268331E-4</v>
      </c>
      <c r="S582" s="16">
        <f t="shared" si="139"/>
        <v>342.1876755359126</v>
      </c>
      <c r="T582" s="23">
        <f t="shared" si="130"/>
        <v>2.208157070526795E-7</v>
      </c>
      <c r="U582" s="22">
        <f t="shared" si="131"/>
        <v>5.359125907489215E-7</v>
      </c>
      <c r="V582" s="16">
        <f t="shared" si="140"/>
        <v>342.188324149999</v>
      </c>
      <c r="W582" s="23">
        <f t="shared" si="132"/>
        <v>2.2076147843108629E-7</v>
      </c>
      <c r="X582" s="22">
        <f t="shared" si="133"/>
        <v>1.4999903896750766E-7</v>
      </c>
    </row>
    <row r="583" spans="1:24" x14ac:dyDescent="0.45">
      <c r="A583">
        <v>16.538219999999999</v>
      </c>
      <c r="B583">
        <v>-93.480230000000006</v>
      </c>
      <c r="C583">
        <v>16.537310000000002</v>
      </c>
      <c r="D583">
        <v>-93.479979999999998</v>
      </c>
      <c r="E583" s="13">
        <v>104.180295298274</v>
      </c>
      <c r="F583" s="13">
        <v>165.15818517338701</v>
      </c>
      <c r="G583" s="13">
        <f t="shared" si="134"/>
        <v>165.15818517338701</v>
      </c>
      <c r="H583" s="13">
        <v>165.15825633520299</v>
      </c>
      <c r="I583" s="13">
        <f t="shared" si="135"/>
        <v>165.15825633520299</v>
      </c>
      <c r="J583" s="9">
        <v>104.18</v>
      </c>
      <c r="K583" s="9">
        <v>165.158185</v>
      </c>
      <c r="L583" s="10">
        <v>345.15825599999999</v>
      </c>
      <c r="M583" s="18">
        <f t="shared" si="136"/>
        <v>165.15825599999994</v>
      </c>
      <c r="N583" s="17">
        <f t="shared" si="127"/>
        <v>104.18029509837301</v>
      </c>
      <c r="O583" s="14">
        <f t="shared" si="128"/>
        <v>1.91879850925831E-9</v>
      </c>
      <c r="P583" s="24">
        <f t="shared" si="129"/>
        <v>1.9990099531241867E-7</v>
      </c>
      <c r="Q583" s="2">
        <f t="shared" si="137"/>
        <v>2.8325818103443918E-6</v>
      </c>
      <c r="R583" s="19">
        <f t="shared" si="138"/>
        <v>2.9509837300167874E-4</v>
      </c>
      <c r="S583" s="16">
        <f t="shared" si="139"/>
        <v>165.15818558816173</v>
      </c>
      <c r="T583" s="23">
        <f t="shared" si="130"/>
        <v>4.1477471768303076E-7</v>
      </c>
      <c r="U583" s="22">
        <f t="shared" si="131"/>
        <v>5.88161725545433E-7</v>
      </c>
      <c r="V583" s="16">
        <f t="shared" si="140"/>
        <v>165.15825674996395</v>
      </c>
      <c r="W583" s="23">
        <f t="shared" si="132"/>
        <v>4.1476096157566644E-7</v>
      </c>
      <c r="X583" s="22">
        <f t="shared" si="133"/>
        <v>7.4996401622229314E-7</v>
      </c>
    </row>
    <row r="584" spans="1:24" x14ac:dyDescent="0.45">
      <c r="A584">
        <v>52.948039999999999</v>
      </c>
      <c r="B584">
        <v>-168.578</v>
      </c>
      <c r="C584">
        <v>52.949570000000001</v>
      </c>
      <c r="D584">
        <v>-168.57828000000001</v>
      </c>
      <c r="E584" s="13">
        <v>171.303543175789</v>
      </c>
      <c r="F584" s="13">
        <v>-6.3075522680732998</v>
      </c>
      <c r="G584" s="13">
        <f t="shared" si="134"/>
        <v>353.69244773192668</v>
      </c>
      <c r="H584" s="13">
        <v>-6.3077757353612096</v>
      </c>
      <c r="I584" s="13">
        <f t="shared" si="135"/>
        <v>353.69222426463881</v>
      </c>
      <c r="J584" s="11">
        <v>171.304</v>
      </c>
      <c r="K584" s="11">
        <v>353.69244800000001</v>
      </c>
      <c r="L584" s="12">
        <v>173.69222400000001</v>
      </c>
      <c r="M584" s="18">
        <f t="shared" si="136"/>
        <v>353.69222400000001</v>
      </c>
      <c r="N584" s="17">
        <f t="shared" si="127"/>
        <v>171.30354317168602</v>
      </c>
      <c r="O584" s="14">
        <f t="shared" si="128"/>
        <v>2.3951555928251483E-11</v>
      </c>
      <c r="P584" s="24">
        <f t="shared" si="129"/>
        <v>4.1029863950825529E-9</v>
      </c>
      <c r="Q584" s="2">
        <f t="shared" si="137"/>
        <v>2.6667696842226661E-6</v>
      </c>
      <c r="R584" s="19">
        <f t="shared" si="138"/>
        <v>4.5682831398607959E-4</v>
      </c>
      <c r="S584" s="16">
        <f t="shared" si="139"/>
        <v>353.69244774333265</v>
      </c>
      <c r="T584" s="23">
        <f t="shared" si="130"/>
        <v>1.1405973054934293E-8</v>
      </c>
      <c r="U584" s="22">
        <f t="shared" si="131"/>
        <v>2.5666736291896086E-7</v>
      </c>
      <c r="V584" s="16">
        <f t="shared" si="140"/>
        <v>353.69222427604888</v>
      </c>
      <c r="W584" s="23">
        <f t="shared" si="132"/>
        <v>1.1410065781092271E-8</v>
      </c>
      <c r="X584" s="22">
        <f t="shared" si="133"/>
        <v>2.7604886554399855E-7</v>
      </c>
    </row>
    <row r="585" spans="1:24" x14ac:dyDescent="0.45">
      <c r="A585">
        <v>-60.399009999999997</v>
      </c>
      <c r="B585">
        <v>33.393569999999997</v>
      </c>
      <c r="C585">
        <v>-60.398110000000003</v>
      </c>
      <c r="D585">
        <v>33.394120000000001</v>
      </c>
      <c r="E585" s="13">
        <v>104.760735718693</v>
      </c>
      <c r="F585" s="13">
        <v>16.823619580964198</v>
      </c>
      <c r="G585" s="13">
        <f t="shared" si="134"/>
        <v>16.823619580964198</v>
      </c>
      <c r="H585" s="13">
        <v>16.823141365580899</v>
      </c>
      <c r="I585" s="13">
        <f t="shared" si="135"/>
        <v>16.823141365580899</v>
      </c>
      <c r="J585" s="9">
        <v>104.761</v>
      </c>
      <c r="K585" s="9">
        <v>16.823619999999998</v>
      </c>
      <c r="L585" s="10">
        <v>196.82314099999999</v>
      </c>
      <c r="M585" s="18">
        <f t="shared" si="136"/>
        <v>16.823140999999964</v>
      </c>
      <c r="N585" s="17">
        <f t="shared" si="127"/>
        <v>104.76073571270263</v>
      </c>
      <c r="O585" s="14">
        <f t="shared" si="128"/>
        <v>5.718146785889538E-11</v>
      </c>
      <c r="P585" s="24">
        <f t="shared" si="129"/>
        <v>5.9903726423726766E-9</v>
      </c>
      <c r="Q585" s="2">
        <f t="shared" si="137"/>
        <v>2.5227641714902694E-6</v>
      </c>
      <c r="R585" s="19">
        <f t="shared" si="138"/>
        <v>2.6428729736949208E-4</v>
      </c>
      <c r="S585" s="16">
        <f t="shared" si="139"/>
        <v>16.823619570925494</v>
      </c>
      <c r="T585" s="23">
        <f t="shared" si="130"/>
        <v>1.0038704090220563E-8</v>
      </c>
      <c r="U585" s="22">
        <f t="shared" si="131"/>
        <v>4.290745039270405E-7</v>
      </c>
      <c r="V585" s="16">
        <f t="shared" si="140"/>
        <v>16.823141355502464</v>
      </c>
      <c r="W585" s="23">
        <f t="shared" si="132"/>
        <v>1.0078434087290589E-8</v>
      </c>
      <c r="X585" s="22">
        <f t="shared" si="133"/>
        <v>3.555025003265655E-7</v>
      </c>
    </row>
    <row r="586" spans="1:24" x14ac:dyDescent="0.45">
      <c r="A586">
        <v>68.595179999999999</v>
      </c>
      <c r="B586">
        <v>-15.328950000000001</v>
      </c>
      <c r="C586">
        <v>68.596100000000007</v>
      </c>
      <c r="D586">
        <v>-15.32948</v>
      </c>
      <c r="E586" s="13">
        <v>104.86770920658699</v>
      </c>
      <c r="F586" s="13">
        <v>-11.8831426596747</v>
      </c>
      <c r="G586" s="13">
        <f t="shared" si="134"/>
        <v>348.11685734032528</v>
      </c>
      <c r="H586" s="13">
        <v>-11.883636104539899</v>
      </c>
      <c r="I586" s="13">
        <f t="shared" si="135"/>
        <v>348.1163638954601</v>
      </c>
      <c r="J586" s="11">
        <v>104.86799999999999</v>
      </c>
      <c r="K586" s="11">
        <v>348.11685699999998</v>
      </c>
      <c r="L586" s="12">
        <v>168.116364</v>
      </c>
      <c r="M586" s="18">
        <f t="shared" si="136"/>
        <v>348.11636399999998</v>
      </c>
      <c r="N586" s="17">
        <f t="shared" si="127"/>
        <v>104.86770920542324</v>
      </c>
      <c r="O586" s="14">
        <f t="shared" si="128"/>
        <v>1.1097365653756688E-11</v>
      </c>
      <c r="P586" s="24">
        <f t="shared" si="129"/>
        <v>1.1637553143373225E-9</v>
      </c>
      <c r="Q586" s="2">
        <f t="shared" si="137"/>
        <v>2.7729581641308164E-6</v>
      </c>
      <c r="R586" s="19">
        <f t="shared" si="138"/>
        <v>2.9079457675607046E-4</v>
      </c>
      <c r="S586" s="16">
        <f t="shared" si="139"/>
        <v>348.11685734113814</v>
      </c>
      <c r="T586" s="23">
        <f t="shared" si="130"/>
        <v>8.1286088970955461E-10</v>
      </c>
      <c r="U586" s="22">
        <f t="shared" si="131"/>
        <v>3.4113816127501195E-7</v>
      </c>
      <c r="V586" s="16">
        <f t="shared" si="140"/>
        <v>348.11636389624931</v>
      </c>
      <c r="W586" s="23">
        <f t="shared" si="132"/>
        <v>7.8921402746345848E-10</v>
      </c>
      <c r="X586" s="22">
        <f t="shared" si="133"/>
        <v>1.0375066494816565E-7</v>
      </c>
    </row>
    <row r="587" spans="1:24" x14ac:dyDescent="0.45">
      <c r="A587">
        <v>16.717369999999999</v>
      </c>
      <c r="B587">
        <v>-64.45478</v>
      </c>
      <c r="C587">
        <v>16.716539999999998</v>
      </c>
      <c r="D587">
        <v>-64.454139999999995</v>
      </c>
      <c r="E587" s="13">
        <v>114.43493978095999</v>
      </c>
      <c r="F587" s="13">
        <v>143.38528450275101</v>
      </c>
      <c r="G587" s="13">
        <f t="shared" si="134"/>
        <v>143.38528450275101</v>
      </c>
      <c r="H587" s="13">
        <v>143.38546859487701</v>
      </c>
      <c r="I587" s="13">
        <f t="shared" si="135"/>
        <v>143.38546859487701</v>
      </c>
      <c r="J587" s="9">
        <v>114.435</v>
      </c>
      <c r="K587" s="9">
        <v>143.38528500000001</v>
      </c>
      <c r="L587" s="10">
        <v>323.385469</v>
      </c>
      <c r="M587" s="18">
        <f t="shared" si="136"/>
        <v>143.385469</v>
      </c>
      <c r="N587" s="17">
        <f t="shared" si="127"/>
        <v>114.43493859394981</v>
      </c>
      <c r="O587" s="14">
        <f t="shared" si="128"/>
        <v>1.0372795115189571E-8</v>
      </c>
      <c r="P587" s="24">
        <f t="shared" si="129"/>
        <v>1.1870101843669545E-6</v>
      </c>
      <c r="Q587" s="2">
        <f t="shared" si="137"/>
        <v>5.3660200282355492E-7</v>
      </c>
      <c r="R587" s="19">
        <f t="shared" si="138"/>
        <v>6.1406050193113515E-5</v>
      </c>
      <c r="S587" s="16">
        <f t="shared" si="139"/>
        <v>143.38528530137754</v>
      </c>
      <c r="T587" s="23">
        <f t="shared" si="130"/>
        <v>7.9862653024065366E-7</v>
      </c>
      <c r="U587" s="22">
        <f t="shared" si="131"/>
        <v>3.0137752560221998E-7</v>
      </c>
      <c r="V587" s="16">
        <f t="shared" si="140"/>
        <v>143.38546939353907</v>
      </c>
      <c r="W587" s="23">
        <f t="shared" si="132"/>
        <v>7.9866205737744167E-7</v>
      </c>
      <c r="X587" s="22">
        <f t="shared" si="133"/>
        <v>3.9353906799988181E-7</v>
      </c>
    </row>
    <row r="588" spans="1:24" x14ac:dyDescent="0.45">
      <c r="A588">
        <v>-46.911709999999999</v>
      </c>
      <c r="B588">
        <v>46.777799999999999</v>
      </c>
      <c r="C588">
        <v>-46.912570000000002</v>
      </c>
      <c r="D588">
        <v>46.776249999999997</v>
      </c>
      <c r="E588" s="13">
        <v>151.93178239674501</v>
      </c>
      <c r="F588" s="13">
        <v>-128.996529239393</v>
      </c>
      <c r="G588" s="13">
        <f t="shared" si="134"/>
        <v>231.003470760607</v>
      </c>
      <c r="H588" s="13">
        <v>-128.99539726348999</v>
      </c>
      <c r="I588" s="13">
        <f t="shared" si="135"/>
        <v>231.00460273651001</v>
      </c>
      <c r="J588" s="11">
        <v>151.93199999999999</v>
      </c>
      <c r="K588" s="11">
        <v>231.00347099999999</v>
      </c>
      <c r="L588" s="12">
        <v>51.004603000000003</v>
      </c>
      <c r="M588" s="18">
        <f t="shared" si="136"/>
        <v>231.004603</v>
      </c>
      <c r="N588" s="17">
        <f t="shared" si="127"/>
        <v>151.93178204365532</v>
      </c>
      <c r="O588" s="14">
        <f t="shared" si="128"/>
        <v>2.3240014924621027E-9</v>
      </c>
      <c r="P588" s="24">
        <f t="shared" si="129"/>
        <v>3.5308968904246285E-7</v>
      </c>
      <c r="Q588" s="2">
        <f t="shared" si="137"/>
        <v>1.4345650993224334E-6</v>
      </c>
      <c r="R588" s="19">
        <f t="shared" si="138"/>
        <v>2.1795634467025593E-4</v>
      </c>
      <c r="S588" s="16">
        <f t="shared" si="139"/>
        <v>231.00347065216215</v>
      </c>
      <c r="T588" s="23">
        <f t="shared" si="130"/>
        <v>1.0844485132111004E-7</v>
      </c>
      <c r="U588" s="22">
        <f t="shared" si="131"/>
        <v>3.4783784030878451E-7</v>
      </c>
      <c r="V588" s="16">
        <f t="shared" si="140"/>
        <v>231.00460262803909</v>
      </c>
      <c r="W588" s="23">
        <f t="shared" si="132"/>
        <v>1.0847091402865772E-7</v>
      </c>
      <c r="X588" s="22">
        <f t="shared" si="133"/>
        <v>3.7196090829638706E-7</v>
      </c>
    </row>
    <row r="589" spans="1:24" x14ac:dyDescent="0.45">
      <c r="A589">
        <v>16.603719999999999</v>
      </c>
      <c r="B589">
        <v>75.550070000000005</v>
      </c>
      <c r="C589">
        <v>16.602630000000001</v>
      </c>
      <c r="D589">
        <v>75.551439999999999</v>
      </c>
      <c r="E589" s="13">
        <v>189.52997412608701</v>
      </c>
      <c r="F589" s="13">
        <v>129.52682484240799</v>
      </c>
      <c r="G589" s="13">
        <f t="shared" si="134"/>
        <v>129.52682484240799</v>
      </c>
      <c r="H589" s="13">
        <v>129.52721630822501</v>
      </c>
      <c r="I589" s="13">
        <f t="shared" si="135"/>
        <v>129.52721630822501</v>
      </c>
      <c r="J589" s="9">
        <v>189.53</v>
      </c>
      <c r="K589" s="9">
        <v>129.526825</v>
      </c>
      <c r="L589" s="10">
        <v>309.52721600000001</v>
      </c>
      <c r="M589" s="18">
        <f t="shared" si="136"/>
        <v>129.52721600000001</v>
      </c>
      <c r="N589" s="17">
        <f t="shared" si="127"/>
        <v>189.52997083389965</v>
      </c>
      <c r="O589" s="14">
        <f t="shared" si="128"/>
        <v>1.7370272820770085E-8</v>
      </c>
      <c r="P589" s="24">
        <f t="shared" si="129"/>
        <v>3.292187358283627E-6</v>
      </c>
      <c r="Q589" s="2">
        <f t="shared" si="137"/>
        <v>1.5388645780251639E-7</v>
      </c>
      <c r="R589" s="19">
        <f t="shared" si="138"/>
        <v>2.916610034731093E-5</v>
      </c>
      <c r="S589" s="16">
        <f t="shared" si="139"/>
        <v>129.52682566371786</v>
      </c>
      <c r="T589" s="23">
        <f t="shared" si="130"/>
        <v>8.2130986811534967E-7</v>
      </c>
      <c r="U589" s="22">
        <f t="shared" si="131"/>
        <v>6.6371785578667186E-7</v>
      </c>
      <c r="V589" s="16">
        <f t="shared" si="140"/>
        <v>129.52721712949403</v>
      </c>
      <c r="W589" s="23">
        <f t="shared" si="132"/>
        <v>8.2126902611889818E-7</v>
      </c>
      <c r="X589" s="22">
        <f t="shared" si="133"/>
        <v>1.1294940236439288E-6</v>
      </c>
    </row>
    <row r="590" spans="1:24" x14ac:dyDescent="0.45">
      <c r="A590">
        <v>58.533949999999997</v>
      </c>
      <c r="B590">
        <v>89.970410000000001</v>
      </c>
      <c r="C590">
        <v>58.533389999999997</v>
      </c>
      <c r="D590">
        <v>89.97072</v>
      </c>
      <c r="E590" s="13">
        <v>64.937933378428198</v>
      </c>
      <c r="F590" s="13">
        <v>163.85448121152299</v>
      </c>
      <c r="G590" s="13">
        <f t="shared" si="134"/>
        <v>163.85448121152299</v>
      </c>
      <c r="H590" s="13">
        <v>163.854745625113</v>
      </c>
      <c r="I590" s="13">
        <f t="shared" si="135"/>
        <v>163.854745625113</v>
      </c>
      <c r="J590" s="11">
        <v>64.938000000000002</v>
      </c>
      <c r="K590" s="11">
        <v>163.85448099999999</v>
      </c>
      <c r="L590" s="12">
        <v>343.85474599999998</v>
      </c>
      <c r="M590" s="18">
        <f t="shared" si="136"/>
        <v>163.85474599999998</v>
      </c>
      <c r="N590" s="17">
        <f t="shared" si="127"/>
        <v>64.937933374724224</v>
      </c>
      <c r="O590" s="14">
        <f t="shared" si="128"/>
        <v>5.7038680224146738E-11</v>
      </c>
      <c r="P590" s="24">
        <f t="shared" si="129"/>
        <v>3.7039740163891111E-9</v>
      </c>
      <c r="Q590" s="2">
        <f t="shared" si="137"/>
        <v>1.0259828725578999E-6</v>
      </c>
      <c r="R590" s="19">
        <f t="shared" si="138"/>
        <v>6.6625275778164905E-5</v>
      </c>
      <c r="S590" s="16">
        <f t="shared" si="139"/>
        <v>163.85448122504184</v>
      </c>
      <c r="T590" s="23">
        <f t="shared" si="130"/>
        <v>1.3518842933990527E-8</v>
      </c>
      <c r="U590" s="22">
        <f t="shared" si="131"/>
        <v>2.2504184471472399E-7</v>
      </c>
      <c r="V590" s="16">
        <f t="shared" si="140"/>
        <v>163.85474563858807</v>
      </c>
      <c r="W590" s="23">
        <f t="shared" si="132"/>
        <v>1.3475073501467705E-8</v>
      </c>
      <c r="X590" s="22">
        <f t="shared" si="133"/>
        <v>3.6141190662419831E-7</v>
      </c>
    </row>
    <row r="591" spans="1:24" x14ac:dyDescent="0.45">
      <c r="A591">
        <v>57.740430000000003</v>
      </c>
      <c r="B591">
        <v>-159.04400000000001</v>
      </c>
      <c r="C591">
        <v>57.740819999999999</v>
      </c>
      <c r="D591">
        <v>-159.04281</v>
      </c>
      <c r="E591" s="13">
        <v>83.126880716831494</v>
      </c>
      <c r="F591" s="13">
        <v>58.498025607528703</v>
      </c>
      <c r="G591" s="13">
        <f t="shared" si="134"/>
        <v>58.498025607528703</v>
      </c>
      <c r="H591" s="13">
        <v>58.499031919721197</v>
      </c>
      <c r="I591" s="13">
        <f t="shared" si="135"/>
        <v>58.499031919721197</v>
      </c>
      <c r="J591" s="9">
        <v>83.126999999999995</v>
      </c>
      <c r="K591" s="9">
        <v>58.498026000000003</v>
      </c>
      <c r="L591" s="10">
        <v>238.499032</v>
      </c>
      <c r="M591" s="18">
        <f t="shared" si="136"/>
        <v>58.499032</v>
      </c>
      <c r="N591" s="17">
        <f t="shared" si="127"/>
        <v>83.126880667105482</v>
      </c>
      <c r="O591" s="14">
        <f t="shared" si="128"/>
        <v>5.9819412594190607E-10</v>
      </c>
      <c r="P591" s="24">
        <f t="shared" si="129"/>
        <v>4.9726011752682098E-8</v>
      </c>
      <c r="Q591" s="2">
        <f t="shared" si="137"/>
        <v>1.4355491538668643E-6</v>
      </c>
      <c r="R591" s="19">
        <f t="shared" si="138"/>
        <v>1.1933289451349083E-4</v>
      </c>
      <c r="S591" s="16">
        <f t="shared" si="139"/>
        <v>58.49802558411519</v>
      </c>
      <c r="T591" s="23">
        <f t="shared" si="130"/>
        <v>2.341351290624516E-8</v>
      </c>
      <c r="U591" s="22">
        <f t="shared" si="131"/>
        <v>4.1588481280996348E-7</v>
      </c>
      <c r="V591" s="16">
        <f t="shared" si="140"/>
        <v>58.499031896267425</v>
      </c>
      <c r="W591" s="23">
        <f t="shared" si="132"/>
        <v>2.3453772257653327E-8</v>
      </c>
      <c r="X591" s="22">
        <f t="shared" si="133"/>
        <v>1.037325745301132E-7</v>
      </c>
    </row>
    <row r="592" spans="1:24" x14ac:dyDescent="0.45">
      <c r="A592">
        <v>-87.302459999999996</v>
      </c>
      <c r="B592">
        <v>-86.171480000000003</v>
      </c>
      <c r="C592">
        <v>-87.303079999999994</v>
      </c>
      <c r="D592">
        <v>-86.17201</v>
      </c>
      <c r="E592" s="13">
        <v>69.304726011290199</v>
      </c>
      <c r="F592" s="13">
        <v>-177.69662731289199</v>
      </c>
      <c r="G592" s="13">
        <f t="shared" si="134"/>
        <v>182.30337268710801</v>
      </c>
      <c r="H592" s="13">
        <v>-177.696097900052</v>
      </c>
      <c r="I592" s="13">
        <f t="shared" si="135"/>
        <v>182.303902099948</v>
      </c>
      <c r="J592" s="11">
        <v>69.305000000000007</v>
      </c>
      <c r="K592" s="11">
        <v>182.30337299999999</v>
      </c>
      <c r="L592" s="12">
        <v>2.3039019999999999</v>
      </c>
      <c r="M592" s="18">
        <f t="shared" si="136"/>
        <v>182.30390199999999</v>
      </c>
      <c r="N592" s="17">
        <f t="shared" si="127"/>
        <v>69.30472601103088</v>
      </c>
      <c r="O592" s="14">
        <f t="shared" si="128"/>
        <v>3.7417315061711851E-12</v>
      </c>
      <c r="P592" s="24">
        <f t="shared" si="129"/>
        <v>2.5931967684300616E-10</v>
      </c>
      <c r="Q592" s="2">
        <f t="shared" si="137"/>
        <v>3.9533795415482814E-6</v>
      </c>
      <c r="R592" s="19">
        <f t="shared" si="138"/>
        <v>2.7398896912700366E-4</v>
      </c>
      <c r="S592" s="16">
        <f t="shared" si="139"/>
        <v>182.30337268698915</v>
      </c>
      <c r="T592" s="23">
        <f t="shared" si="130"/>
        <v>1.1885958883794956E-10</v>
      </c>
      <c r="U592" s="22">
        <f t="shared" si="131"/>
        <v>3.1301084391088807E-7</v>
      </c>
      <c r="V592" s="16">
        <f t="shared" si="140"/>
        <v>182.30390209982835</v>
      </c>
      <c r="W592" s="23">
        <f t="shared" si="132"/>
        <v>1.1965539670200087E-10</v>
      </c>
      <c r="X592" s="22">
        <f t="shared" si="133"/>
        <v>9.9828355359932175E-8</v>
      </c>
    </row>
    <row r="593" spans="1:24" x14ac:dyDescent="0.45">
      <c r="A593">
        <v>58.555579999999999</v>
      </c>
      <c r="B593">
        <v>152.70925</v>
      </c>
      <c r="C593">
        <v>58.555230000000002</v>
      </c>
      <c r="D593">
        <v>152.70991000000001</v>
      </c>
      <c r="E593" s="13">
        <v>54.736562196387901</v>
      </c>
      <c r="F593" s="13">
        <v>135.417207863665</v>
      </c>
      <c r="G593" s="13">
        <f t="shared" si="134"/>
        <v>135.417207863665</v>
      </c>
      <c r="H593" s="13">
        <v>135.41777093937901</v>
      </c>
      <c r="I593" s="13">
        <f t="shared" si="135"/>
        <v>135.41777093937901</v>
      </c>
      <c r="J593" s="9">
        <v>54.737000000000002</v>
      </c>
      <c r="K593" s="9">
        <v>135.41720799999999</v>
      </c>
      <c r="L593" s="10">
        <v>315.41777100000002</v>
      </c>
      <c r="M593" s="18">
        <f t="shared" si="136"/>
        <v>135.41777100000002</v>
      </c>
      <c r="N593" s="17">
        <f t="shared" si="127"/>
        <v>54.736562173851482</v>
      </c>
      <c r="O593" s="14">
        <f t="shared" si="128"/>
        <v>4.1172514401553127E-10</v>
      </c>
      <c r="P593" s="24">
        <f t="shared" si="129"/>
        <v>2.2536418953222892E-8</v>
      </c>
      <c r="Q593" s="2">
        <f t="shared" si="137"/>
        <v>7.9987238708745392E-6</v>
      </c>
      <c r="R593" s="19">
        <f t="shared" si="138"/>
        <v>4.3782614852005963E-4</v>
      </c>
      <c r="S593" s="16">
        <f t="shared" si="139"/>
        <v>135.4172078861871</v>
      </c>
      <c r="T593" s="23">
        <f t="shared" si="130"/>
        <v>2.2522101517097326E-8</v>
      </c>
      <c r="U593" s="22">
        <f t="shared" si="131"/>
        <v>1.1381288800293987E-7</v>
      </c>
      <c r="V593" s="16">
        <f t="shared" si="140"/>
        <v>135.41777096201736</v>
      </c>
      <c r="W593" s="23">
        <f t="shared" si="132"/>
        <v>2.2638346308667678E-8</v>
      </c>
      <c r="X593" s="22">
        <f t="shared" si="133"/>
        <v>3.7982658795954194E-8</v>
      </c>
    </row>
    <row r="594" spans="1:24" x14ac:dyDescent="0.45">
      <c r="A594">
        <v>80.975669999999994</v>
      </c>
      <c r="B594">
        <v>125.0956</v>
      </c>
      <c r="C594">
        <v>80.974729999999994</v>
      </c>
      <c r="D594">
        <v>125.09496</v>
      </c>
      <c r="E594" s="13">
        <v>105.56336088540201</v>
      </c>
      <c r="F594" s="13">
        <v>-173.902619833931</v>
      </c>
      <c r="G594" s="13">
        <f t="shared" si="134"/>
        <v>186.097380166069</v>
      </c>
      <c r="H594" s="13">
        <v>-173.90325191107399</v>
      </c>
      <c r="I594" s="13">
        <f t="shared" si="135"/>
        <v>186.09674808892601</v>
      </c>
      <c r="J594" s="11">
        <v>105.563</v>
      </c>
      <c r="K594" s="11">
        <v>186.09737999999999</v>
      </c>
      <c r="L594" s="12">
        <v>6.0967479999999998</v>
      </c>
      <c r="M594" s="18">
        <f t="shared" si="136"/>
        <v>186.09674799999999</v>
      </c>
      <c r="N594" s="17">
        <f t="shared" si="127"/>
        <v>105.5633608772051</v>
      </c>
      <c r="O594" s="14">
        <f t="shared" si="128"/>
        <v>7.7649159671557305E-11</v>
      </c>
      <c r="P594" s="24">
        <f t="shared" si="129"/>
        <v>8.196906264856807E-9</v>
      </c>
      <c r="Q594" s="2">
        <f t="shared" si="137"/>
        <v>3.4185955789121101E-6</v>
      </c>
      <c r="R594" s="19">
        <f t="shared" si="138"/>
        <v>3.6087720509669907E-4</v>
      </c>
      <c r="S594" s="16">
        <f t="shared" si="139"/>
        <v>186.09738012460585</v>
      </c>
      <c r="T594" s="23">
        <f t="shared" si="130"/>
        <v>4.1463152911092038E-8</v>
      </c>
      <c r="U594" s="22">
        <f t="shared" si="131"/>
        <v>1.2460586162887921E-7</v>
      </c>
      <c r="V594" s="16">
        <f t="shared" si="140"/>
        <v>186.09674804746837</v>
      </c>
      <c r="W594" s="23">
        <f t="shared" si="132"/>
        <v>4.145763909946254E-8</v>
      </c>
      <c r="X594" s="22">
        <f t="shared" si="133"/>
        <v>4.7468375896642101E-8</v>
      </c>
    </row>
    <row r="595" spans="1:24" x14ac:dyDescent="0.45">
      <c r="A595">
        <v>-79.555689999999998</v>
      </c>
      <c r="B595">
        <v>64.291449999999998</v>
      </c>
      <c r="C595">
        <v>-79.554770000000005</v>
      </c>
      <c r="D595">
        <v>64.291349999999994</v>
      </c>
      <c r="E595" s="13">
        <v>102.744280442796</v>
      </c>
      <c r="F595" s="13">
        <v>-1.1291765809183001</v>
      </c>
      <c r="G595" s="13">
        <f t="shared" si="134"/>
        <v>358.87082341908172</v>
      </c>
      <c r="H595" s="13">
        <v>-1.1290782379066799</v>
      </c>
      <c r="I595" s="13">
        <f t="shared" si="135"/>
        <v>358.8709217620933</v>
      </c>
      <c r="J595" s="9">
        <v>102.744</v>
      </c>
      <c r="K595" s="9">
        <v>358.87082299999997</v>
      </c>
      <c r="L595" s="10">
        <v>178.87092200000001</v>
      </c>
      <c r="M595" s="18">
        <f t="shared" si="136"/>
        <v>358.87092200000001</v>
      </c>
      <c r="N595" s="17">
        <f t="shared" si="127"/>
        <v>102.74428044163758</v>
      </c>
      <c r="O595" s="14">
        <f t="shared" si="128"/>
        <v>1.1274710650286418E-11</v>
      </c>
      <c r="P595" s="24">
        <f t="shared" si="129"/>
        <v>1.1584120329644065E-9</v>
      </c>
      <c r="Q595" s="2">
        <f t="shared" si="137"/>
        <v>2.7295183911978023E-6</v>
      </c>
      <c r="R595" s="19">
        <f t="shared" si="138"/>
        <v>2.80441637585227E-4</v>
      </c>
      <c r="S595" s="16">
        <f t="shared" si="139"/>
        <v>358.87082343323397</v>
      </c>
      <c r="T595" s="23">
        <f t="shared" si="130"/>
        <v>1.4152249150356511E-8</v>
      </c>
      <c r="U595" s="22">
        <f t="shared" si="131"/>
        <v>4.3323399268047069E-7</v>
      </c>
      <c r="V595" s="16">
        <f t="shared" si="140"/>
        <v>358.87092177624498</v>
      </c>
      <c r="W595" s="23">
        <f t="shared" si="132"/>
        <v>1.4151680716167903E-8</v>
      </c>
      <c r="X595" s="22">
        <f t="shared" si="133"/>
        <v>2.2375502339855302E-7</v>
      </c>
    </row>
    <row r="596" spans="1:24" x14ac:dyDescent="0.45">
      <c r="A596">
        <v>4.5747099999999996</v>
      </c>
      <c r="B596">
        <v>-163.26329999999999</v>
      </c>
      <c r="C596">
        <v>4.57317999999999</v>
      </c>
      <c r="D596">
        <v>-163.26361</v>
      </c>
      <c r="E596" s="13">
        <v>172.65115058950599</v>
      </c>
      <c r="F596" s="13">
        <v>-168.507177820104</v>
      </c>
      <c r="G596" s="13">
        <f t="shared" si="134"/>
        <v>191.492822179896</v>
      </c>
      <c r="H596" s="13">
        <v>-168.50720254125099</v>
      </c>
      <c r="I596" s="13">
        <f t="shared" si="135"/>
        <v>191.49279745874901</v>
      </c>
      <c r="J596" s="11">
        <v>172.65100000000001</v>
      </c>
      <c r="K596" s="11">
        <v>191.49282199999999</v>
      </c>
      <c r="L596" s="12">
        <v>11.492796999999999</v>
      </c>
      <c r="M596" s="18">
        <f t="shared" si="136"/>
        <v>191.492797</v>
      </c>
      <c r="N596" s="17">
        <f t="shared" si="127"/>
        <v>172.65115033582131</v>
      </c>
      <c r="O596" s="14">
        <f t="shared" si="128"/>
        <v>1.4693483025065684E-9</v>
      </c>
      <c r="P596" s="24">
        <f t="shared" si="129"/>
        <v>2.5368467504449654E-7</v>
      </c>
      <c r="Q596" s="2">
        <f t="shared" si="137"/>
        <v>8.7074978600101067E-7</v>
      </c>
      <c r="R596" s="19">
        <f t="shared" si="138"/>
        <v>1.503358213028605E-4</v>
      </c>
      <c r="S596" s="16">
        <f t="shared" si="139"/>
        <v>191.49282176720521</v>
      </c>
      <c r="T596" s="23">
        <f t="shared" si="130"/>
        <v>4.1269078110417468E-7</v>
      </c>
      <c r="U596" s="22">
        <f t="shared" si="131"/>
        <v>2.3279477545656846E-7</v>
      </c>
      <c r="V596" s="16">
        <f t="shared" si="140"/>
        <v>191.49279704605942</v>
      </c>
      <c r="W596" s="23">
        <f t="shared" si="132"/>
        <v>4.126895873923786E-7</v>
      </c>
      <c r="X596" s="22">
        <f t="shared" si="133"/>
        <v>4.6059426495048683E-8</v>
      </c>
    </row>
    <row r="597" spans="1:24" x14ac:dyDescent="0.45">
      <c r="A597">
        <v>-32.586469999999998</v>
      </c>
      <c r="B597">
        <v>55.960810000000002</v>
      </c>
      <c r="C597">
        <v>-32.586919999999999</v>
      </c>
      <c r="D597">
        <v>55.959560000000003</v>
      </c>
      <c r="E597" s="13">
        <v>127.52767568927101</v>
      </c>
      <c r="F597" s="13">
        <v>-113.036788957192</v>
      </c>
      <c r="G597" s="13">
        <f t="shared" si="134"/>
        <v>246.96321104280798</v>
      </c>
      <c r="H597" s="13">
        <v>-113.03611573826799</v>
      </c>
      <c r="I597" s="13">
        <f t="shared" si="135"/>
        <v>246.96388426173201</v>
      </c>
      <c r="J597" s="9">
        <v>127.52800000000001</v>
      </c>
      <c r="K597" s="9">
        <v>246.963211</v>
      </c>
      <c r="L597" s="10">
        <v>66.963883999999993</v>
      </c>
      <c r="M597" s="18">
        <f t="shared" si="136"/>
        <v>246.96388400000001</v>
      </c>
      <c r="N597" s="17">
        <f t="shared" si="127"/>
        <v>127.52767422827702</v>
      </c>
      <c r="O597" s="14">
        <f t="shared" si="128"/>
        <v>1.1456289604987078E-8</v>
      </c>
      <c r="P597" s="24">
        <f t="shared" si="129"/>
        <v>1.4609939853471587E-6</v>
      </c>
      <c r="Q597" s="2">
        <f t="shared" si="137"/>
        <v>2.5545113464048192E-6</v>
      </c>
      <c r="R597" s="19">
        <f t="shared" si="138"/>
        <v>3.2577172298431378E-4</v>
      </c>
      <c r="S597" s="16">
        <f t="shared" si="139"/>
        <v>246.96321076312958</v>
      </c>
      <c r="T597" s="23">
        <f t="shared" si="130"/>
        <v>2.7967840310338943E-7</v>
      </c>
      <c r="U597" s="22">
        <f t="shared" si="131"/>
        <v>2.3687042016717896E-7</v>
      </c>
      <c r="V597" s="16">
        <f t="shared" si="140"/>
        <v>246.96388398216206</v>
      </c>
      <c r="W597" s="23">
        <f t="shared" si="132"/>
        <v>2.7956994586020301E-7</v>
      </c>
      <c r="X597" s="22">
        <f t="shared" si="133"/>
        <v>1.7837948007581872E-8</v>
      </c>
    </row>
    <row r="598" spans="1:24" x14ac:dyDescent="0.45">
      <c r="A598">
        <v>-44.676169999999999</v>
      </c>
      <c r="B598">
        <v>-52.698720000000002</v>
      </c>
      <c r="C598">
        <v>-44.675960000000003</v>
      </c>
      <c r="D598">
        <v>-52.698650000000001</v>
      </c>
      <c r="E598" s="13">
        <v>23.987302057598999</v>
      </c>
      <c r="F598" s="13">
        <v>13.3786197108931</v>
      </c>
      <c r="G598" s="13">
        <f t="shared" si="134"/>
        <v>13.3786197108931</v>
      </c>
      <c r="H598" s="13">
        <v>13.3785704940535</v>
      </c>
      <c r="I598" s="13">
        <f t="shared" si="135"/>
        <v>13.3785704940535</v>
      </c>
      <c r="J598" s="11">
        <v>23.986999999999998</v>
      </c>
      <c r="K598" s="11">
        <v>13.37862</v>
      </c>
      <c r="L598" s="12">
        <v>193.37857</v>
      </c>
      <c r="M598" s="18">
        <f t="shared" si="136"/>
        <v>13.378569999999968</v>
      </c>
      <c r="N598" s="17">
        <f t="shared" si="127"/>
        <v>23.987302050740908</v>
      </c>
      <c r="O598" s="14">
        <f t="shared" si="128"/>
        <v>2.8590505791475607E-10</v>
      </c>
      <c r="P598" s="24">
        <f t="shared" si="129"/>
        <v>6.8580909839965898E-9</v>
      </c>
      <c r="Q598" s="2">
        <f t="shared" si="137"/>
        <v>1.2592268349927903E-5</v>
      </c>
      <c r="R598" s="19">
        <f t="shared" si="138"/>
        <v>3.0205074090972062E-4</v>
      </c>
      <c r="S598" s="16">
        <f t="shared" si="139"/>
        <v>13.378619645076272</v>
      </c>
      <c r="T598" s="23">
        <f t="shared" si="130"/>
        <v>6.5816827543585532E-8</v>
      </c>
      <c r="U598" s="22">
        <f t="shared" si="131"/>
        <v>3.5492372774115211E-7</v>
      </c>
      <c r="V598" s="16">
        <f t="shared" si="140"/>
        <v>13.378570428274065</v>
      </c>
      <c r="W598" s="23">
        <f t="shared" si="132"/>
        <v>6.5779435232116157E-8</v>
      </c>
      <c r="X598" s="22">
        <f t="shared" si="133"/>
        <v>4.2827409707513198E-7</v>
      </c>
    </row>
    <row r="599" spans="1:24" x14ac:dyDescent="0.45">
      <c r="A599">
        <v>-7.11313</v>
      </c>
      <c r="B599">
        <v>-105.12806999999999</v>
      </c>
      <c r="C599">
        <v>-7.11151</v>
      </c>
      <c r="D599">
        <v>-105.12678</v>
      </c>
      <c r="E599" s="13">
        <v>228.921566235928</v>
      </c>
      <c r="F599" s="13">
        <v>38.499267543919899</v>
      </c>
      <c r="G599" s="13">
        <f t="shared" si="134"/>
        <v>38.499267543919899</v>
      </c>
      <c r="H599" s="13">
        <v>38.499107822763897</v>
      </c>
      <c r="I599" s="13">
        <f t="shared" si="135"/>
        <v>38.499107822763897</v>
      </c>
      <c r="J599" s="9">
        <v>228.922</v>
      </c>
      <c r="K599" s="9">
        <v>38.499268000000001</v>
      </c>
      <c r="L599" s="10">
        <v>218.49910800000001</v>
      </c>
      <c r="M599" s="18">
        <f t="shared" si="136"/>
        <v>38.499107999999978</v>
      </c>
      <c r="N599" s="17">
        <f t="shared" si="127"/>
        <v>228.92156304120161</v>
      </c>
      <c r="O599" s="14">
        <f t="shared" si="128"/>
        <v>1.3955550111509351E-8</v>
      </c>
      <c r="P599" s="24">
        <f t="shared" si="129"/>
        <v>3.1947263892107003E-6</v>
      </c>
      <c r="Q599" s="2">
        <f t="shared" si="137"/>
        <v>1.9087671713019578E-6</v>
      </c>
      <c r="R599" s="19">
        <f t="shared" si="138"/>
        <v>4.3695879838878682E-4</v>
      </c>
      <c r="S599" s="16">
        <f t="shared" si="139"/>
        <v>38.499266539351225</v>
      </c>
      <c r="T599" s="23">
        <f t="shared" si="130"/>
        <v>1.0045686735793424E-6</v>
      </c>
      <c r="U599" s="22">
        <f t="shared" si="131"/>
        <v>1.4606487752644171E-6</v>
      </c>
      <c r="V599" s="16">
        <f t="shared" si="140"/>
        <v>38.499106818196424</v>
      </c>
      <c r="W599" s="23">
        <f t="shared" si="132"/>
        <v>1.004567472762119E-6</v>
      </c>
      <c r="X599" s="22">
        <f t="shared" si="133"/>
        <v>1.1818035545729799E-6</v>
      </c>
    </row>
    <row r="600" spans="1:24" x14ac:dyDescent="0.45">
      <c r="A600">
        <v>-65.864410000000007</v>
      </c>
      <c r="B600">
        <v>-133.07304999999999</v>
      </c>
      <c r="C600">
        <v>-65.865300000000005</v>
      </c>
      <c r="D600">
        <v>-133.07158999999999</v>
      </c>
      <c r="E600" s="13">
        <v>119.539292501132</v>
      </c>
      <c r="F600" s="13">
        <v>146.11852807078199</v>
      </c>
      <c r="G600" s="13">
        <f t="shared" si="134"/>
        <v>146.11852807078199</v>
      </c>
      <c r="H600" s="13">
        <v>146.117195698817</v>
      </c>
      <c r="I600" s="13">
        <f t="shared" si="135"/>
        <v>146.117195698817</v>
      </c>
      <c r="J600" s="11">
        <v>119.539</v>
      </c>
      <c r="K600" s="11">
        <v>146.118528</v>
      </c>
      <c r="L600" s="12">
        <v>326.11719599999998</v>
      </c>
      <c r="M600" s="18">
        <f t="shared" si="136"/>
        <v>146.11719599999998</v>
      </c>
      <c r="N600" s="17">
        <f t="shared" si="127"/>
        <v>119.53929249529321</v>
      </c>
      <c r="O600" s="14">
        <f t="shared" si="128"/>
        <v>4.8844069033370979E-11</v>
      </c>
      <c r="P600" s="24">
        <f t="shared" si="129"/>
        <v>5.8387854551256169E-9</v>
      </c>
      <c r="Q600" s="2">
        <f t="shared" si="137"/>
        <v>2.4468608003168161E-6</v>
      </c>
      <c r="R600" s="19">
        <f t="shared" si="138"/>
        <v>2.9249529320907186E-4</v>
      </c>
      <c r="S600" s="16">
        <f t="shared" si="139"/>
        <v>146.11852807508967</v>
      </c>
      <c r="T600" s="23">
        <f t="shared" si="130"/>
        <v>4.3076795464003226E-9</v>
      </c>
      <c r="U600" s="22">
        <f t="shared" si="131"/>
        <v>7.5089673146067071E-8</v>
      </c>
      <c r="V600" s="16">
        <f t="shared" si="140"/>
        <v>146.11719570306559</v>
      </c>
      <c r="W600" s="23">
        <f t="shared" si="132"/>
        <v>4.2485908124945126E-9</v>
      </c>
      <c r="X600" s="22">
        <f t="shared" si="133"/>
        <v>2.9693438818867435E-7</v>
      </c>
    </row>
    <row r="601" spans="1:24" x14ac:dyDescent="0.45">
      <c r="A601">
        <v>-55.944409999999998</v>
      </c>
      <c r="B601">
        <v>-81.245199999999997</v>
      </c>
      <c r="C601">
        <v>-55.944229999999997</v>
      </c>
      <c r="D601">
        <v>-81.245419999999996</v>
      </c>
      <c r="E601" s="13">
        <v>24.302507952039502</v>
      </c>
      <c r="F601" s="13">
        <v>-34.4458859208017</v>
      </c>
      <c r="G601" s="13">
        <f t="shared" si="134"/>
        <v>325.55411407919831</v>
      </c>
      <c r="H601" s="13">
        <v>-34.445703652174998</v>
      </c>
      <c r="I601" s="13">
        <f t="shared" si="135"/>
        <v>325.55429634782502</v>
      </c>
      <c r="J601" s="9">
        <v>24.303000000000001</v>
      </c>
      <c r="K601" s="9">
        <v>325.55411400000003</v>
      </c>
      <c r="L601" s="10">
        <v>145.55429599999999</v>
      </c>
      <c r="M601" s="18">
        <f t="shared" si="136"/>
        <v>325.55429600000002</v>
      </c>
      <c r="N601" s="17">
        <f t="shared" si="127"/>
        <v>24.30250794273762</v>
      </c>
      <c r="O601" s="14">
        <f t="shared" si="128"/>
        <v>3.8275399188163818E-10</v>
      </c>
      <c r="P601" s="24">
        <f t="shared" si="129"/>
        <v>9.3018819313783752E-9</v>
      </c>
      <c r="Q601" s="2">
        <f t="shared" si="137"/>
        <v>2.0246770455540304E-5</v>
      </c>
      <c r="R601" s="19">
        <f t="shared" si="138"/>
        <v>4.9205726238099601E-4</v>
      </c>
      <c r="S601" s="16">
        <f t="shared" si="139"/>
        <v>325.55411410652306</v>
      </c>
      <c r="T601" s="23">
        <f t="shared" si="130"/>
        <v>2.7324745133228134E-8</v>
      </c>
      <c r="U601" s="22">
        <f t="shared" si="131"/>
        <v>1.0652303217284498E-7</v>
      </c>
      <c r="V601" s="16">
        <f t="shared" si="140"/>
        <v>325.55429637508109</v>
      </c>
      <c r="W601" s="23">
        <f t="shared" si="132"/>
        <v>2.7256078283244278E-8</v>
      </c>
      <c r="X601" s="22">
        <f t="shared" si="133"/>
        <v>3.7508107197936624E-7</v>
      </c>
    </row>
    <row r="602" spans="1:24" x14ac:dyDescent="0.45">
      <c r="A602">
        <v>-49.165570000000002</v>
      </c>
      <c r="B602">
        <v>-23.230329999999999</v>
      </c>
      <c r="C602">
        <v>-49.164830000000002</v>
      </c>
      <c r="D602">
        <v>-23.230720000000002</v>
      </c>
      <c r="E602" s="13">
        <v>87.073914035619197</v>
      </c>
      <c r="F602" s="13">
        <v>-19.065582936257801</v>
      </c>
      <c r="G602" s="13">
        <f t="shared" si="134"/>
        <v>340.93441706374222</v>
      </c>
      <c r="H602" s="13">
        <v>-19.065287863020199</v>
      </c>
      <c r="I602" s="13">
        <f t="shared" si="135"/>
        <v>340.93471213697978</v>
      </c>
      <c r="J602" s="11">
        <v>87.073999999999998</v>
      </c>
      <c r="K602" s="11">
        <v>340.934417</v>
      </c>
      <c r="L602" s="12">
        <v>160.93471199999999</v>
      </c>
      <c r="M602" s="18">
        <f>NormalizeAzimuth(L602+180, TRUE)</f>
        <v>340.93471199999999</v>
      </c>
      <c r="N602" s="17">
        <f t="shared" si="127"/>
        <v>87.073914006705095</v>
      </c>
      <c r="O602" s="14">
        <f t="shared" si="128"/>
        <v>3.3206387533702909E-10</v>
      </c>
      <c r="P602" s="24">
        <f t="shared" si="129"/>
        <v>2.8914101335431042E-8</v>
      </c>
      <c r="Q602" s="2">
        <f t="shared" si="137"/>
        <v>9.8758865910219211E-7</v>
      </c>
      <c r="R602" s="19">
        <f t="shared" si="138"/>
        <v>8.5993294902664275E-5</v>
      </c>
      <c r="S602" s="16">
        <f t="shared" si="139"/>
        <v>340.93441711692816</v>
      </c>
      <c r="T602" s="23">
        <f t="shared" si="130"/>
        <v>5.3185942761047045E-8</v>
      </c>
      <c r="U602" s="22">
        <f t="shared" si="131"/>
        <v>1.1692816315189702E-7</v>
      </c>
      <c r="V602" s="16">
        <f t="shared" si="140"/>
        <v>340.93471219009894</v>
      </c>
      <c r="W602" s="23">
        <f t="shared" si="132"/>
        <v>5.3119151743885595E-8</v>
      </c>
      <c r="X602" s="22">
        <f t="shared" si="133"/>
        <v>1.9009894458577037E-7</v>
      </c>
    </row>
    <row r="603" spans="1:24" x14ac:dyDescent="0.45">
      <c r="N603" s="6" t="s">
        <v>10</v>
      </c>
      <c r="O603" s="5">
        <f>MAX(O3:O602)</f>
        <v>3.4677331180667393E-8</v>
      </c>
      <c r="P603" s="25">
        <f>MAX(P3:P602)</f>
        <v>7.2397291660308838E-5</v>
      </c>
      <c r="Q603" s="5">
        <f>MAX(Q3:Q602)</f>
        <v>2.4183090110895212E-5</v>
      </c>
      <c r="R603" s="25">
        <f>MAX(R3:R602)</f>
        <v>5.3655169904232025E-4</v>
      </c>
      <c r="S603" s="1"/>
      <c r="T603" s="20">
        <f>MAX(T3:T602)</f>
        <v>1.4581907656907589E-6</v>
      </c>
      <c r="U603" s="20">
        <f>MAX(U3:U602)</f>
        <v>1.462196821677697E-6</v>
      </c>
      <c r="V603" s="1"/>
      <c r="W603" s="20">
        <f>MAX(W3:W602)</f>
        <v>1.4582153953779375E-6</v>
      </c>
      <c r="X603" s="20">
        <f>MAX(X3:X602)</f>
        <v>1.4739538585217815E-6</v>
      </c>
    </row>
    <row r="604" spans="1:24" x14ac:dyDescent="0.45">
      <c r="T604" s="26" t="str">
        <f>ConvertDegrees(T603)</f>
        <v>000°00'00.0052"</v>
      </c>
      <c r="U604" s="26" t="str">
        <f>ConvertDegrees(U603)</f>
        <v>000°00'00.0053"</v>
      </c>
      <c r="W604" s="26" t="str">
        <f>ConvertDegrees(W603)</f>
        <v>000°00'00.0052"</v>
      </c>
      <c r="X604" s="26" t="str">
        <f>ConvertDegrees(X603)</f>
        <v>000°00'00.0053"</v>
      </c>
    </row>
  </sheetData>
  <mergeCells count="4">
    <mergeCell ref="N1:X1"/>
    <mergeCell ref="A1:D1"/>
    <mergeCell ref="J1:M1"/>
    <mergeCell ref="E1:I1"/>
  </mergeCells>
  <conditionalFormatting sqref="O3:O602 T3:U602 W3:X602">
    <cfRule type="cellIs" dxfId="2" priority="8" operator="greaterThan">
      <formula>0.0000001</formula>
    </cfRule>
  </conditionalFormatting>
  <conditionalFormatting sqref="Q3:R602">
    <cfRule type="cellIs" dxfId="1" priority="6" operator="greaterThan">
      <formula>0.001</formula>
    </cfRule>
  </conditionalFormatting>
  <conditionalFormatting sqref="P3:P602">
    <cfRule type="cellIs" dxfId="0" priority="2" operator="greaterThan">
      <formula>0.001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F510B4-BFFB-4C2F-8A8D-7DEEB499CEC5}">
  <sheetPr codeName="Sheet4"/>
  <dimension ref="A1:F601"/>
  <sheetViews>
    <sheetView workbookViewId="0"/>
  </sheetViews>
  <sheetFormatPr defaultRowHeight="14.25" x14ac:dyDescent="0.45"/>
  <cols>
    <col min="1" max="1" width="8.265625" bestFit="1" customWidth="1"/>
    <col min="2" max="2" width="9.33203125" bestFit="1" customWidth="1"/>
    <col min="3" max="3" width="10.33203125" bestFit="1" customWidth="1"/>
    <col min="4" max="4" width="11.19921875" bestFit="1" customWidth="1"/>
    <col min="5" max="5" width="16.19921875" bestFit="1" customWidth="1"/>
    <col min="6" max="6" width="8.73046875" bestFit="1" customWidth="1"/>
  </cols>
  <sheetData>
    <row r="1" spans="1:6" x14ac:dyDescent="0.45">
      <c r="A1" t="s">
        <v>21</v>
      </c>
      <c r="B1" t="s">
        <v>22</v>
      </c>
      <c r="C1" t="s">
        <v>23</v>
      </c>
      <c r="D1" t="s">
        <v>24</v>
      </c>
      <c r="E1" t="s">
        <v>25</v>
      </c>
      <c r="F1" t="s">
        <v>26</v>
      </c>
    </row>
    <row r="2" spans="1:6" x14ac:dyDescent="0.45">
      <c r="A2">
        <v>1</v>
      </c>
      <c r="B2">
        <v>37.932040000000001</v>
      </c>
      <c r="C2">
        <v>40.935720000000003</v>
      </c>
      <c r="D2">
        <v>358.74230999999997</v>
      </c>
      <c r="E2">
        <v>22085892.740699999</v>
      </c>
      <c r="F2">
        <v>601</v>
      </c>
    </row>
    <row r="3" spans="1:6" x14ac:dyDescent="0.45">
      <c r="A3">
        <v>2</v>
      </c>
      <c r="B3">
        <v>-47.332500000000003</v>
      </c>
      <c r="C3">
        <v>52.239800000000002</v>
      </c>
      <c r="D3">
        <v>231.23896999999999</v>
      </c>
      <c r="E3">
        <v>19786754.972199999</v>
      </c>
      <c r="F3">
        <v>602</v>
      </c>
    </row>
    <row r="4" spans="1:6" x14ac:dyDescent="0.45">
      <c r="A4">
        <v>3</v>
      </c>
      <c r="B4">
        <v>71.026139999999998</v>
      </c>
      <c r="C4">
        <v>-11.58161</v>
      </c>
      <c r="D4">
        <v>341.87815999999998</v>
      </c>
      <c r="E4">
        <v>13647633.196599999</v>
      </c>
      <c r="F4">
        <v>603</v>
      </c>
    </row>
    <row r="5" spans="1:6" x14ac:dyDescent="0.45">
      <c r="A5">
        <v>4</v>
      </c>
      <c r="B5">
        <v>-73.146209999999996</v>
      </c>
      <c r="C5">
        <v>-166.31254999999999</v>
      </c>
      <c r="D5">
        <v>349.94654000000003</v>
      </c>
      <c r="E5">
        <v>5057004.3572000004</v>
      </c>
      <c r="F5">
        <v>604</v>
      </c>
    </row>
    <row r="6" spans="1:6" x14ac:dyDescent="0.45">
      <c r="A6">
        <v>5</v>
      </c>
      <c r="B6">
        <v>66.380279999999999</v>
      </c>
      <c r="C6">
        <v>29.74333</v>
      </c>
      <c r="D6">
        <v>140.27108000000001</v>
      </c>
      <c r="E6">
        <v>26211926.041299999</v>
      </c>
      <c r="F6">
        <v>605</v>
      </c>
    </row>
    <row r="7" spans="1:6" x14ac:dyDescent="0.45">
      <c r="A7">
        <v>6</v>
      </c>
      <c r="B7">
        <v>-78.897149999999996</v>
      </c>
      <c r="C7">
        <v>151.49566999999999</v>
      </c>
      <c r="D7">
        <v>242.19583</v>
      </c>
      <c r="E7">
        <v>5877843.3947999999</v>
      </c>
      <c r="F7">
        <v>606</v>
      </c>
    </row>
    <row r="8" spans="1:6" x14ac:dyDescent="0.45">
      <c r="A8">
        <v>7</v>
      </c>
      <c r="B8">
        <v>33.795459999999999</v>
      </c>
      <c r="C8">
        <v>-134.20804000000001</v>
      </c>
      <c r="D8">
        <v>164.39859999999999</v>
      </c>
      <c r="E8">
        <v>17353851.458700001</v>
      </c>
      <c r="F8">
        <v>607</v>
      </c>
    </row>
    <row r="9" spans="1:6" x14ac:dyDescent="0.45">
      <c r="A9">
        <v>8</v>
      </c>
      <c r="B9">
        <v>25.90362</v>
      </c>
      <c r="C9">
        <v>-116.54492</v>
      </c>
      <c r="D9">
        <v>251.01541</v>
      </c>
      <c r="E9">
        <v>11211606.7816</v>
      </c>
      <c r="F9">
        <v>608</v>
      </c>
    </row>
    <row r="10" spans="1:6" x14ac:dyDescent="0.45">
      <c r="A10">
        <v>9</v>
      </c>
      <c r="B10">
        <v>88.824870000000004</v>
      </c>
      <c r="C10">
        <v>-171.29023000000001</v>
      </c>
      <c r="D10">
        <v>236.64452</v>
      </c>
      <c r="E10">
        <v>13413100.6866</v>
      </c>
      <c r="F10">
        <v>609</v>
      </c>
    </row>
    <row r="11" spans="1:6" x14ac:dyDescent="0.45">
      <c r="A11">
        <v>10</v>
      </c>
      <c r="B11">
        <v>-84.626109999999997</v>
      </c>
      <c r="C11">
        <v>-104.26258</v>
      </c>
      <c r="D11">
        <v>334.79194999999999</v>
      </c>
      <c r="E11">
        <v>10061299.773</v>
      </c>
      <c r="F11">
        <v>610</v>
      </c>
    </row>
    <row r="12" spans="1:6" x14ac:dyDescent="0.45">
      <c r="A12">
        <v>11</v>
      </c>
      <c r="B12">
        <v>51.386009999999999</v>
      </c>
      <c r="C12">
        <v>-111.37733</v>
      </c>
      <c r="D12">
        <v>293.94511999999997</v>
      </c>
      <c r="E12">
        <v>13574546.633099999</v>
      </c>
      <c r="F12">
        <v>611</v>
      </c>
    </row>
    <row r="13" spans="1:6" x14ac:dyDescent="0.45">
      <c r="A13">
        <v>12</v>
      </c>
      <c r="B13">
        <v>73.612430000000003</v>
      </c>
      <c r="C13">
        <v>21.299600000000002</v>
      </c>
      <c r="D13">
        <v>351.57213000000002</v>
      </c>
      <c r="E13">
        <v>5397158.5284000002</v>
      </c>
      <c r="F13">
        <v>612</v>
      </c>
    </row>
    <row r="14" spans="1:6" x14ac:dyDescent="0.45">
      <c r="A14">
        <v>13</v>
      </c>
      <c r="B14">
        <v>-63.838880000000003</v>
      </c>
      <c r="C14">
        <v>-172.55153000000001</v>
      </c>
      <c r="D14">
        <v>309.01080999999999</v>
      </c>
      <c r="E14">
        <v>1974293.5207</v>
      </c>
      <c r="F14">
        <v>613</v>
      </c>
    </row>
    <row r="15" spans="1:6" x14ac:dyDescent="0.45">
      <c r="A15">
        <v>14</v>
      </c>
      <c r="B15">
        <v>-46.89855</v>
      </c>
      <c r="C15">
        <v>173.49565000000001</v>
      </c>
      <c r="D15">
        <v>328.50567999999998</v>
      </c>
      <c r="E15">
        <v>15153458.335000001</v>
      </c>
      <c r="F15">
        <v>614</v>
      </c>
    </row>
    <row r="16" spans="1:6" x14ac:dyDescent="0.45">
      <c r="A16">
        <v>15</v>
      </c>
      <c r="B16">
        <v>82.990660000000005</v>
      </c>
      <c r="C16">
        <v>-95.849950000000007</v>
      </c>
      <c r="D16">
        <v>330.46499999999997</v>
      </c>
      <c r="E16">
        <v>11924411.2316</v>
      </c>
      <c r="F16">
        <v>615</v>
      </c>
    </row>
    <row r="17" spans="1:6" x14ac:dyDescent="0.45">
      <c r="A17">
        <v>16</v>
      </c>
      <c r="B17">
        <v>-55.50224</v>
      </c>
      <c r="C17">
        <v>-151.16014999999999</v>
      </c>
      <c r="D17">
        <v>290.10536000000002</v>
      </c>
      <c r="E17">
        <v>24906146.8686</v>
      </c>
      <c r="F17">
        <v>616</v>
      </c>
    </row>
    <row r="18" spans="1:6" x14ac:dyDescent="0.45">
      <c r="A18">
        <v>17</v>
      </c>
      <c r="B18">
        <v>86.372889999999998</v>
      </c>
      <c r="C18">
        <v>-16.154949999999999</v>
      </c>
      <c r="D18">
        <v>151.89456999999999</v>
      </c>
      <c r="E18">
        <v>22990024.524300002</v>
      </c>
      <c r="F18">
        <v>617</v>
      </c>
    </row>
    <row r="19" spans="1:6" x14ac:dyDescent="0.45">
      <c r="A19">
        <v>18</v>
      </c>
      <c r="B19">
        <v>-22.985019999999999</v>
      </c>
      <c r="C19">
        <v>163.42873</v>
      </c>
      <c r="D19">
        <v>109.00563</v>
      </c>
      <c r="E19">
        <v>6642422.8748000003</v>
      </c>
      <c r="F19">
        <v>618</v>
      </c>
    </row>
    <row r="20" spans="1:6" x14ac:dyDescent="0.45">
      <c r="A20">
        <v>19</v>
      </c>
      <c r="B20">
        <v>43.963540000000002</v>
      </c>
      <c r="C20">
        <v>75.046040000000005</v>
      </c>
      <c r="D20">
        <v>193.59316999999999</v>
      </c>
      <c r="E20">
        <v>12967928.029999999</v>
      </c>
      <c r="F20">
        <v>619</v>
      </c>
    </row>
    <row r="21" spans="1:6" x14ac:dyDescent="0.45">
      <c r="A21">
        <v>20</v>
      </c>
      <c r="B21">
        <v>33.436070000000001</v>
      </c>
      <c r="C21">
        <v>-128.50958</v>
      </c>
      <c r="D21">
        <v>177.97382999999999</v>
      </c>
      <c r="E21">
        <v>28559805.6105</v>
      </c>
      <c r="F21">
        <v>620</v>
      </c>
    </row>
    <row r="22" spans="1:6" x14ac:dyDescent="0.45">
      <c r="A22">
        <v>21</v>
      </c>
      <c r="B22">
        <v>-82.798670000000001</v>
      </c>
      <c r="C22">
        <v>2.3350599999999999</v>
      </c>
      <c r="D22">
        <v>90.620130000000003</v>
      </c>
      <c r="E22">
        <v>19798139.985599998</v>
      </c>
      <c r="F22">
        <v>621</v>
      </c>
    </row>
    <row r="23" spans="1:6" x14ac:dyDescent="0.45">
      <c r="A23">
        <v>22</v>
      </c>
      <c r="B23">
        <v>-30.6114</v>
      </c>
      <c r="C23">
        <v>-113.41504</v>
      </c>
      <c r="D23">
        <v>138.88732999999999</v>
      </c>
      <c r="E23">
        <v>29611069.5645</v>
      </c>
      <c r="F23">
        <v>622</v>
      </c>
    </row>
    <row r="24" spans="1:6" x14ac:dyDescent="0.45">
      <c r="A24">
        <v>23</v>
      </c>
      <c r="B24">
        <v>-87.845410000000001</v>
      </c>
      <c r="C24">
        <v>-13.641120000000001</v>
      </c>
      <c r="D24">
        <v>193.00730999999999</v>
      </c>
      <c r="E24">
        <v>23819608.177900001</v>
      </c>
      <c r="F24">
        <v>623</v>
      </c>
    </row>
    <row r="25" spans="1:6" x14ac:dyDescent="0.45">
      <c r="A25">
        <v>24</v>
      </c>
      <c r="B25">
        <v>-53.746009999999998</v>
      </c>
      <c r="C25">
        <v>-101.11091</v>
      </c>
      <c r="D25">
        <v>326.17998</v>
      </c>
      <c r="E25">
        <v>9694952.3359999992</v>
      </c>
      <c r="F25">
        <v>624</v>
      </c>
    </row>
    <row r="26" spans="1:6" x14ac:dyDescent="0.45">
      <c r="A26">
        <v>25</v>
      </c>
      <c r="B26">
        <v>-88.250209999999996</v>
      </c>
      <c r="C26">
        <v>-140.20063999999999</v>
      </c>
      <c r="D26">
        <v>13.93619</v>
      </c>
      <c r="E26">
        <v>792391.58459999994</v>
      </c>
      <c r="F26">
        <v>625</v>
      </c>
    </row>
    <row r="27" spans="1:6" x14ac:dyDescent="0.45">
      <c r="A27">
        <v>26</v>
      </c>
      <c r="B27">
        <v>10.463649999999999</v>
      </c>
      <c r="C27">
        <v>-67.852069999999998</v>
      </c>
      <c r="D27">
        <v>99.000609999999995</v>
      </c>
      <c r="E27">
        <v>29956582.733399998</v>
      </c>
      <c r="F27">
        <v>626</v>
      </c>
    </row>
    <row r="28" spans="1:6" x14ac:dyDescent="0.45">
      <c r="A28">
        <v>27</v>
      </c>
      <c r="B28">
        <v>67.802539999999993</v>
      </c>
      <c r="C28">
        <v>-156.02512999999999</v>
      </c>
      <c r="D28">
        <v>155.36895999999999</v>
      </c>
      <c r="E28">
        <v>110882.5068</v>
      </c>
      <c r="F28">
        <v>627</v>
      </c>
    </row>
    <row r="29" spans="1:6" x14ac:dyDescent="0.45">
      <c r="A29">
        <v>28</v>
      </c>
      <c r="B29">
        <v>-53.219749999999998</v>
      </c>
      <c r="C29">
        <v>-37.619120000000002</v>
      </c>
      <c r="D29">
        <v>193.45201</v>
      </c>
      <c r="E29">
        <v>6349519.3638000004</v>
      </c>
      <c r="F29">
        <v>628</v>
      </c>
    </row>
    <row r="30" spans="1:6" x14ac:dyDescent="0.45">
      <c r="A30">
        <v>29</v>
      </c>
      <c r="B30">
        <v>-32.083219999999997</v>
      </c>
      <c r="C30">
        <v>43.79468</v>
      </c>
      <c r="D30">
        <v>185.92912000000001</v>
      </c>
      <c r="E30">
        <v>10318810.0272</v>
      </c>
      <c r="F30">
        <v>629</v>
      </c>
    </row>
    <row r="31" spans="1:6" x14ac:dyDescent="0.45">
      <c r="A31">
        <v>30</v>
      </c>
      <c r="B31">
        <v>35.123959999999997</v>
      </c>
      <c r="C31">
        <v>93.117800000000003</v>
      </c>
      <c r="D31">
        <v>266.50542000000002</v>
      </c>
      <c r="E31">
        <v>4453734.6876999997</v>
      </c>
      <c r="F31">
        <v>630</v>
      </c>
    </row>
    <row r="32" spans="1:6" x14ac:dyDescent="0.45">
      <c r="A32">
        <v>31</v>
      </c>
      <c r="B32">
        <v>79.2941</v>
      </c>
      <c r="C32">
        <v>46.869430000000001</v>
      </c>
      <c r="D32">
        <v>4.3746799999999997</v>
      </c>
      <c r="E32">
        <v>16192411.1173</v>
      </c>
      <c r="F32">
        <v>631</v>
      </c>
    </row>
    <row r="33" spans="1:6" x14ac:dyDescent="0.45">
      <c r="A33">
        <v>32</v>
      </c>
      <c r="B33">
        <v>54.907170000000001</v>
      </c>
      <c r="C33">
        <v>-9.1991599999999991</v>
      </c>
      <c r="D33">
        <v>159.90083999999999</v>
      </c>
      <c r="E33">
        <v>47791.921600000001</v>
      </c>
      <c r="F33">
        <v>632</v>
      </c>
    </row>
    <row r="34" spans="1:6" x14ac:dyDescent="0.45">
      <c r="A34">
        <v>33</v>
      </c>
      <c r="B34">
        <v>-83.446259999999995</v>
      </c>
      <c r="C34">
        <v>129.38958</v>
      </c>
      <c r="D34">
        <v>259.11182000000002</v>
      </c>
      <c r="E34">
        <v>16379592.8594</v>
      </c>
      <c r="F34">
        <v>633</v>
      </c>
    </row>
    <row r="35" spans="1:6" x14ac:dyDescent="0.45">
      <c r="A35">
        <v>34</v>
      </c>
      <c r="B35">
        <v>10.2753</v>
      </c>
      <c r="C35">
        <v>101.86165</v>
      </c>
      <c r="D35">
        <v>18.37228</v>
      </c>
      <c r="E35">
        <v>25941909.833799999</v>
      </c>
      <c r="F35">
        <v>634</v>
      </c>
    </row>
    <row r="36" spans="1:6" x14ac:dyDescent="0.45">
      <c r="A36">
        <v>35</v>
      </c>
      <c r="B36">
        <v>-70.479839999999996</v>
      </c>
      <c r="C36">
        <v>-59.324640000000002</v>
      </c>
      <c r="D36">
        <v>269.09638999999999</v>
      </c>
      <c r="E36">
        <v>19983063.0561</v>
      </c>
      <c r="F36">
        <v>635</v>
      </c>
    </row>
    <row r="37" spans="1:6" x14ac:dyDescent="0.45">
      <c r="A37">
        <v>36</v>
      </c>
      <c r="B37">
        <v>-43.310850000000002</v>
      </c>
      <c r="C37">
        <v>142.96419</v>
      </c>
      <c r="D37">
        <v>132.10337000000001</v>
      </c>
      <c r="E37">
        <v>14969044.283500001</v>
      </c>
      <c r="F37">
        <v>636</v>
      </c>
    </row>
    <row r="38" spans="1:6" x14ac:dyDescent="0.45">
      <c r="A38">
        <v>37</v>
      </c>
      <c r="B38">
        <v>66.897930000000002</v>
      </c>
      <c r="C38">
        <v>62.62509</v>
      </c>
      <c r="D38">
        <v>295.13056</v>
      </c>
      <c r="E38">
        <v>20971884.737199999</v>
      </c>
      <c r="F38">
        <v>637</v>
      </c>
    </row>
    <row r="39" spans="1:6" x14ac:dyDescent="0.45">
      <c r="A39">
        <v>38</v>
      </c>
      <c r="B39">
        <v>-14.448980000000001</v>
      </c>
      <c r="C39">
        <v>-131.36622</v>
      </c>
      <c r="D39">
        <v>357.39879999999999</v>
      </c>
      <c r="E39">
        <v>5018737.5745999999</v>
      </c>
      <c r="F39">
        <v>638</v>
      </c>
    </row>
    <row r="40" spans="1:6" x14ac:dyDescent="0.45">
      <c r="A40">
        <v>39</v>
      </c>
      <c r="B40">
        <v>56.26164</v>
      </c>
      <c r="C40">
        <v>160.04601</v>
      </c>
      <c r="D40">
        <v>207.2295</v>
      </c>
      <c r="E40">
        <v>5688651.0158000002</v>
      </c>
      <c r="F40">
        <v>639</v>
      </c>
    </row>
    <row r="41" spans="1:6" x14ac:dyDescent="0.45">
      <c r="A41">
        <v>40</v>
      </c>
      <c r="B41">
        <v>-52.43038</v>
      </c>
      <c r="C41">
        <v>-158.68406999999999</v>
      </c>
      <c r="D41">
        <v>295.40204</v>
      </c>
      <c r="E41">
        <v>24475326.5867</v>
      </c>
      <c r="F41">
        <v>640</v>
      </c>
    </row>
    <row r="42" spans="1:6" x14ac:dyDescent="0.45">
      <c r="A42">
        <v>41</v>
      </c>
      <c r="B42">
        <v>18.914919999999999</v>
      </c>
      <c r="C42">
        <v>-16.346509999999999</v>
      </c>
      <c r="D42">
        <v>214.55985000000001</v>
      </c>
      <c r="E42">
        <v>11418445.4695</v>
      </c>
      <c r="F42">
        <v>641</v>
      </c>
    </row>
    <row r="43" spans="1:6" x14ac:dyDescent="0.45">
      <c r="A43">
        <v>42</v>
      </c>
      <c r="B43">
        <v>-18.661280000000001</v>
      </c>
      <c r="C43">
        <v>-176.80045000000001</v>
      </c>
      <c r="D43">
        <v>293.29950000000002</v>
      </c>
      <c r="E43">
        <v>21962851.263599999</v>
      </c>
      <c r="F43">
        <v>642</v>
      </c>
    </row>
    <row r="44" spans="1:6" x14ac:dyDescent="0.45">
      <c r="A44">
        <v>43</v>
      </c>
      <c r="B44">
        <v>-17.826229999999999</v>
      </c>
      <c r="C44">
        <v>131.55552</v>
      </c>
      <c r="D44">
        <v>146.41113999999999</v>
      </c>
      <c r="E44">
        <v>23153552.507599998</v>
      </c>
      <c r="F44">
        <v>643</v>
      </c>
    </row>
    <row r="45" spans="1:6" x14ac:dyDescent="0.45">
      <c r="A45">
        <v>44</v>
      </c>
      <c r="B45">
        <v>12.142620000000001</v>
      </c>
      <c r="C45">
        <v>-36.635980000000004</v>
      </c>
      <c r="D45">
        <v>146.83186000000001</v>
      </c>
      <c r="E45">
        <v>27457648.3748</v>
      </c>
      <c r="F45">
        <v>644</v>
      </c>
    </row>
    <row r="46" spans="1:6" x14ac:dyDescent="0.45">
      <c r="A46">
        <v>45</v>
      </c>
      <c r="B46">
        <v>69.926180000000002</v>
      </c>
      <c r="C46">
        <v>87.82499</v>
      </c>
      <c r="D46">
        <v>48.883920000000003</v>
      </c>
      <c r="E46">
        <v>1594501.6647000001</v>
      </c>
      <c r="F46">
        <v>645</v>
      </c>
    </row>
    <row r="47" spans="1:6" x14ac:dyDescent="0.45">
      <c r="A47">
        <v>46</v>
      </c>
      <c r="B47">
        <v>-55.565100000000001</v>
      </c>
      <c r="C47">
        <v>30.077780000000001</v>
      </c>
      <c r="D47">
        <v>165.26965000000001</v>
      </c>
      <c r="E47">
        <v>7281691.9382999996</v>
      </c>
      <c r="F47">
        <v>646</v>
      </c>
    </row>
    <row r="48" spans="1:6" x14ac:dyDescent="0.45">
      <c r="A48">
        <v>47</v>
      </c>
      <c r="B48">
        <v>54.742400000000004</v>
      </c>
      <c r="C48">
        <v>-122.9849</v>
      </c>
      <c r="D48">
        <v>12.37074</v>
      </c>
      <c r="E48">
        <v>23518265.962400001</v>
      </c>
      <c r="F48">
        <v>647</v>
      </c>
    </row>
    <row r="49" spans="1:6" x14ac:dyDescent="0.45">
      <c r="A49">
        <v>48</v>
      </c>
      <c r="B49">
        <v>-16.655989999999999</v>
      </c>
      <c r="C49">
        <v>-3.1525599999999998</v>
      </c>
      <c r="D49">
        <v>278.37556000000001</v>
      </c>
      <c r="E49">
        <v>3921469.0978999999</v>
      </c>
      <c r="F49">
        <v>648</v>
      </c>
    </row>
    <row r="50" spans="1:6" x14ac:dyDescent="0.45">
      <c r="A50">
        <v>49</v>
      </c>
      <c r="B50">
        <v>41.28819</v>
      </c>
      <c r="C50">
        <v>-163.27911</v>
      </c>
      <c r="D50">
        <v>93.865449999999996</v>
      </c>
      <c r="E50">
        <v>8374879.0009000003</v>
      </c>
      <c r="F50">
        <v>649</v>
      </c>
    </row>
    <row r="51" spans="1:6" x14ac:dyDescent="0.45">
      <c r="A51">
        <v>50</v>
      </c>
      <c r="B51">
        <v>-55.107990000000001</v>
      </c>
      <c r="C51">
        <v>-30.459199999999999</v>
      </c>
      <c r="D51">
        <v>218.89684</v>
      </c>
      <c r="E51">
        <v>2583078.8037999999</v>
      </c>
      <c r="F51">
        <v>650</v>
      </c>
    </row>
    <row r="52" spans="1:6" x14ac:dyDescent="0.45">
      <c r="A52">
        <v>51</v>
      </c>
      <c r="B52">
        <v>80.342839999999995</v>
      </c>
      <c r="C52">
        <v>13.14785</v>
      </c>
      <c r="D52">
        <v>216.89024000000001</v>
      </c>
      <c r="E52">
        <v>14011974.0339</v>
      </c>
      <c r="F52">
        <v>651</v>
      </c>
    </row>
    <row r="53" spans="1:6" x14ac:dyDescent="0.45">
      <c r="A53">
        <v>52</v>
      </c>
      <c r="B53">
        <v>50.84966</v>
      </c>
      <c r="C53">
        <v>-177.45111</v>
      </c>
      <c r="D53">
        <v>93.091080000000005</v>
      </c>
      <c r="E53">
        <v>18934734.430599999</v>
      </c>
      <c r="F53">
        <v>652</v>
      </c>
    </row>
    <row r="54" spans="1:6" x14ac:dyDescent="0.45">
      <c r="A54">
        <v>53</v>
      </c>
      <c r="B54">
        <v>7.96821</v>
      </c>
      <c r="C54">
        <v>-91.266379999999998</v>
      </c>
      <c r="D54">
        <v>351.80045999999999</v>
      </c>
      <c r="E54">
        <v>77993.078200000004</v>
      </c>
      <c r="F54">
        <v>653</v>
      </c>
    </row>
    <row r="55" spans="1:6" x14ac:dyDescent="0.45">
      <c r="A55">
        <v>54</v>
      </c>
      <c r="B55">
        <v>80.796670000000006</v>
      </c>
      <c r="C55">
        <v>-132.59368000000001</v>
      </c>
      <c r="D55">
        <v>52.511809999999997</v>
      </c>
      <c r="E55">
        <v>12601924.446699999</v>
      </c>
      <c r="F55">
        <v>654</v>
      </c>
    </row>
    <row r="56" spans="1:6" x14ac:dyDescent="0.45">
      <c r="A56">
        <v>55</v>
      </c>
      <c r="B56">
        <v>13.14395</v>
      </c>
      <c r="C56">
        <v>15.64518</v>
      </c>
      <c r="D56">
        <v>331.11430000000001</v>
      </c>
      <c r="E56">
        <v>12336200.919199999</v>
      </c>
      <c r="F56">
        <v>655</v>
      </c>
    </row>
    <row r="57" spans="1:6" x14ac:dyDescent="0.45">
      <c r="A57">
        <v>56</v>
      </c>
      <c r="B57">
        <v>-6.6154799999999998</v>
      </c>
      <c r="C57">
        <v>30.14874</v>
      </c>
      <c r="D57">
        <v>164.33973</v>
      </c>
      <c r="E57">
        <v>12949182.965299999</v>
      </c>
      <c r="F57">
        <v>656</v>
      </c>
    </row>
    <row r="58" spans="1:6" x14ac:dyDescent="0.45">
      <c r="A58">
        <v>57</v>
      </c>
      <c r="B58">
        <v>-63.980870000000003</v>
      </c>
      <c r="C58">
        <v>144.50285</v>
      </c>
      <c r="D58">
        <v>213.13917000000001</v>
      </c>
      <c r="E58">
        <v>3218075.0106000002</v>
      </c>
      <c r="F58">
        <v>657</v>
      </c>
    </row>
    <row r="59" spans="1:6" x14ac:dyDescent="0.45">
      <c r="A59">
        <v>58</v>
      </c>
      <c r="B59">
        <v>13.03885</v>
      </c>
      <c r="C59">
        <v>-82.284869999999998</v>
      </c>
      <c r="D59">
        <v>7.6526800000000001</v>
      </c>
      <c r="E59">
        <v>14250505.172800001</v>
      </c>
      <c r="F59">
        <v>658</v>
      </c>
    </row>
    <row r="60" spans="1:6" x14ac:dyDescent="0.45">
      <c r="A60">
        <v>59</v>
      </c>
      <c r="B60">
        <v>-69.49145</v>
      </c>
      <c r="C60">
        <v>-12.71739</v>
      </c>
      <c r="D60">
        <v>100.01456</v>
      </c>
      <c r="E60">
        <v>29644160.633699998</v>
      </c>
      <c r="F60">
        <v>659</v>
      </c>
    </row>
    <row r="61" spans="1:6" x14ac:dyDescent="0.45">
      <c r="A61">
        <v>60</v>
      </c>
      <c r="B61">
        <v>31.452400000000001</v>
      </c>
      <c r="C61">
        <v>82.234369999999998</v>
      </c>
      <c r="D61">
        <v>281.89105999999998</v>
      </c>
      <c r="E61">
        <v>2846281.0967000001</v>
      </c>
      <c r="F61">
        <v>660</v>
      </c>
    </row>
    <row r="62" spans="1:6" x14ac:dyDescent="0.45">
      <c r="A62">
        <v>61</v>
      </c>
      <c r="B62">
        <v>34.213329999999999</v>
      </c>
      <c r="C62">
        <v>134.32218</v>
      </c>
      <c r="D62">
        <v>149.26883000000001</v>
      </c>
      <c r="E62">
        <v>24776891.9844</v>
      </c>
      <c r="F62">
        <v>661</v>
      </c>
    </row>
    <row r="63" spans="1:6" x14ac:dyDescent="0.45">
      <c r="A63">
        <v>62</v>
      </c>
      <c r="B63">
        <v>-41.72983</v>
      </c>
      <c r="C63">
        <v>-59.259830000000001</v>
      </c>
      <c r="D63">
        <v>255.12925999999999</v>
      </c>
      <c r="E63">
        <v>21636948.2696</v>
      </c>
      <c r="F63">
        <v>662</v>
      </c>
    </row>
    <row r="64" spans="1:6" x14ac:dyDescent="0.45">
      <c r="A64">
        <v>63</v>
      </c>
      <c r="B64">
        <v>-17.98255</v>
      </c>
      <c r="C64">
        <v>5.0138699999999998</v>
      </c>
      <c r="D64">
        <v>76.436949999999996</v>
      </c>
      <c r="E64">
        <v>5257481.7813999997</v>
      </c>
      <c r="F64">
        <v>663</v>
      </c>
    </row>
    <row r="65" spans="1:6" x14ac:dyDescent="0.45">
      <c r="A65">
        <v>64</v>
      </c>
      <c r="B65">
        <v>86.663340000000005</v>
      </c>
      <c r="C65">
        <v>87.541089999999997</v>
      </c>
      <c r="D65">
        <v>41.691229999999997</v>
      </c>
      <c r="E65">
        <v>21811258.481699999</v>
      </c>
      <c r="F65">
        <v>664</v>
      </c>
    </row>
    <row r="66" spans="1:6" x14ac:dyDescent="0.45">
      <c r="A66">
        <v>65</v>
      </c>
      <c r="B66">
        <v>30.649909999999998</v>
      </c>
      <c r="C66">
        <v>-27.876909999999999</v>
      </c>
      <c r="D66">
        <v>89.163250000000005</v>
      </c>
      <c r="E66">
        <v>27630061.0777</v>
      </c>
      <c r="F66">
        <v>665</v>
      </c>
    </row>
    <row r="67" spans="1:6" x14ac:dyDescent="0.45">
      <c r="A67">
        <v>66</v>
      </c>
      <c r="B67">
        <v>-87.730369999999994</v>
      </c>
      <c r="C67">
        <v>85.133009999999999</v>
      </c>
      <c r="D67">
        <v>61.30809</v>
      </c>
      <c r="E67">
        <v>27449795.258000001</v>
      </c>
      <c r="F67">
        <v>666</v>
      </c>
    </row>
    <row r="68" spans="1:6" x14ac:dyDescent="0.45">
      <c r="A68">
        <v>67</v>
      </c>
      <c r="B68">
        <v>32.493139999999997</v>
      </c>
      <c r="C68">
        <v>100.0766</v>
      </c>
      <c r="D68">
        <v>292.42207000000002</v>
      </c>
      <c r="E68">
        <v>15896057.1261</v>
      </c>
      <c r="F68">
        <v>667</v>
      </c>
    </row>
    <row r="69" spans="1:6" x14ac:dyDescent="0.45">
      <c r="A69">
        <v>68</v>
      </c>
      <c r="B69">
        <v>13.121600000000001</v>
      </c>
      <c r="C69">
        <v>-87.124970000000005</v>
      </c>
      <c r="D69">
        <v>348.05227000000002</v>
      </c>
      <c r="E69">
        <v>27915776.059</v>
      </c>
      <c r="F69">
        <v>668</v>
      </c>
    </row>
    <row r="70" spans="1:6" x14ac:dyDescent="0.45">
      <c r="A70">
        <v>69</v>
      </c>
      <c r="B70">
        <v>86.425539999999998</v>
      </c>
      <c r="C70">
        <v>-58.171019999999999</v>
      </c>
      <c r="D70">
        <v>248.41925000000001</v>
      </c>
      <c r="E70">
        <v>27388054.564300001</v>
      </c>
      <c r="F70">
        <v>669</v>
      </c>
    </row>
    <row r="71" spans="1:6" x14ac:dyDescent="0.45">
      <c r="A71">
        <v>70</v>
      </c>
      <c r="B71">
        <v>54.768300000000004</v>
      </c>
      <c r="C71">
        <v>-101.0252</v>
      </c>
      <c r="D71">
        <v>84.268180000000001</v>
      </c>
      <c r="E71">
        <v>15232450.550100001</v>
      </c>
      <c r="F71">
        <v>670</v>
      </c>
    </row>
    <row r="72" spans="1:6" x14ac:dyDescent="0.45">
      <c r="A72">
        <v>71</v>
      </c>
      <c r="B72">
        <v>-60.392220000000002</v>
      </c>
      <c r="C72">
        <v>-43.868369999999999</v>
      </c>
      <c r="D72">
        <v>36.2211</v>
      </c>
      <c r="E72">
        <v>19523196.9932</v>
      </c>
      <c r="F72">
        <v>671</v>
      </c>
    </row>
    <row r="73" spans="1:6" x14ac:dyDescent="0.45">
      <c r="A73">
        <v>72</v>
      </c>
      <c r="B73">
        <v>-22.344339999999999</v>
      </c>
      <c r="C73">
        <v>-31.85858</v>
      </c>
      <c r="D73">
        <v>96.597899999999996</v>
      </c>
      <c r="E73">
        <v>19262446.867899999</v>
      </c>
      <c r="F73">
        <v>672</v>
      </c>
    </row>
    <row r="74" spans="1:6" x14ac:dyDescent="0.45">
      <c r="A74">
        <v>73</v>
      </c>
      <c r="B74">
        <v>-55.73415</v>
      </c>
      <c r="C74">
        <v>10.406169999999999</v>
      </c>
      <c r="D74">
        <v>167.79789</v>
      </c>
      <c r="E74">
        <v>12572332.933800001</v>
      </c>
      <c r="F74">
        <v>673</v>
      </c>
    </row>
    <row r="75" spans="1:6" x14ac:dyDescent="0.45">
      <c r="A75">
        <v>74</v>
      </c>
      <c r="B75">
        <v>21.871289999999998</v>
      </c>
      <c r="C75">
        <v>-169.21358000000001</v>
      </c>
      <c r="D75">
        <v>78.865380000000002</v>
      </c>
      <c r="E75">
        <v>15827008.977499999</v>
      </c>
      <c r="F75">
        <v>674</v>
      </c>
    </row>
    <row r="76" spans="1:6" x14ac:dyDescent="0.45">
      <c r="A76">
        <v>75</v>
      </c>
      <c r="B76">
        <v>53.804670000000002</v>
      </c>
      <c r="C76">
        <v>66.215819999999994</v>
      </c>
      <c r="D76">
        <v>35.777149999999999</v>
      </c>
      <c r="E76">
        <v>12061587.573100001</v>
      </c>
      <c r="F76">
        <v>675</v>
      </c>
    </row>
    <row r="77" spans="1:6" x14ac:dyDescent="0.45">
      <c r="A77">
        <v>76</v>
      </c>
      <c r="B77">
        <v>-31.836790000000001</v>
      </c>
      <c r="C77">
        <v>-60.509709999999998</v>
      </c>
      <c r="D77">
        <v>345.67815999999999</v>
      </c>
      <c r="E77">
        <v>15839191.948000001</v>
      </c>
      <c r="F77">
        <v>676</v>
      </c>
    </row>
    <row r="78" spans="1:6" x14ac:dyDescent="0.45">
      <c r="A78">
        <v>77</v>
      </c>
      <c r="B78">
        <v>25.753990000000002</v>
      </c>
      <c r="C78">
        <v>107.30107</v>
      </c>
      <c r="D78">
        <v>36.41404</v>
      </c>
      <c r="E78">
        <v>14247699.163000001</v>
      </c>
      <c r="F78">
        <v>677</v>
      </c>
    </row>
    <row r="79" spans="1:6" x14ac:dyDescent="0.45">
      <c r="A79">
        <v>78</v>
      </c>
      <c r="B79">
        <v>67.818039999999996</v>
      </c>
      <c r="C79">
        <v>81.320620000000005</v>
      </c>
      <c r="D79">
        <v>238.44236000000001</v>
      </c>
      <c r="E79">
        <v>10751079.3026</v>
      </c>
      <c r="F79">
        <v>678</v>
      </c>
    </row>
    <row r="80" spans="1:6" x14ac:dyDescent="0.45">
      <c r="A80">
        <v>79</v>
      </c>
      <c r="B80">
        <v>76.961079999999995</v>
      </c>
      <c r="C80">
        <v>-54.385579999999997</v>
      </c>
      <c r="D80">
        <v>279.42408999999998</v>
      </c>
      <c r="E80">
        <v>7288327.9888000004</v>
      </c>
      <c r="F80">
        <v>679</v>
      </c>
    </row>
    <row r="81" spans="1:6" x14ac:dyDescent="0.45">
      <c r="A81">
        <v>80</v>
      </c>
      <c r="B81">
        <v>-51.090560000000004</v>
      </c>
      <c r="C81">
        <v>11.74319</v>
      </c>
      <c r="D81">
        <v>291.74023999999997</v>
      </c>
      <c r="E81">
        <v>12223215.5745</v>
      </c>
      <c r="F81">
        <v>680</v>
      </c>
    </row>
    <row r="82" spans="1:6" x14ac:dyDescent="0.45">
      <c r="A82">
        <v>81</v>
      </c>
      <c r="B82">
        <v>25.461680000000001</v>
      </c>
      <c r="C82">
        <v>70.65137</v>
      </c>
      <c r="D82">
        <v>273.28305999999998</v>
      </c>
      <c r="E82">
        <v>27794550.9263</v>
      </c>
      <c r="F82">
        <v>681</v>
      </c>
    </row>
    <row r="83" spans="1:6" x14ac:dyDescent="0.45">
      <c r="A83">
        <v>82</v>
      </c>
      <c r="B83">
        <v>27.532489999999999</v>
      </c>
      <c r="C83">
        <v>66.864069999999998</v>
      </c>
      <c r="D83">
        <v>241.31356</v>
      </c>
      <c r="E83">
        <v>21855867.1241</v>
      </c>
      <c r="F83">
        <v>682</v>
      </c>
    </row>
    <row r="84" spans="1:6" x14ac:dyDescent="0.45">
      <c r="A84">
        <v>83</v>
      </c>
      <c r="B84">
        <v>-74.066460000000006</v>
      </c>
      <c r="C84">
        <v>-160.19710000000001</v>
      </c>
      <c r="D84">
        <v>169.49234999999999</v>
      </c>
      <c r="E84">
        <v>11149450.6668</v>
      </c>
      <c r="F84">
        <v>683</v>
      </c>
    </row>
    <row r="85" spans="1:6" x14ac:dyDescent="0.45">
      <c r="A85">
        <v>84</v>
      </c>
      <c r="B85">
        <v>6.8207199999999997</v>
      </c>
      <c r="C85">
        <v>-5.5500699999999998</v>
      </c>
      <c r="D85">
        <v>253.76505</v>
      </c>
      <c r="E85">
        <v>13419455.063300001</v>
      </c>
      <c r="F85">
        <v>684</v>
      </c>
    </row>
    <row r="86" spans="1:6" x14ac:dyDescent="0.45">
      <c r="A86">
        <v>85</v>
      </c>
      <c r="B86">
        <v>-8.9919799999999999</v>
      </c>
      <c r="C86">
        <v>-101.81959999999999</v>
      </c>
      <c r="D86">
        <v>173.00154000000001</v>
      </c>
      <c r="E86">
        <v>15406147.542099999</v>
      </c>
      <c r="F86">
        <v>685</v>
      </c>
    </row>
    <row r="87" spans="1:6" x14ac:dyDescent="0.45">
      <c r="A87">
        <v>86</v>
      </c>
      <c r="B87">
        <v>41.645980000000002</v>
      </c>
      <c r="C87">
        <v>-166.89362</v>
      </c>
      <c r="D87">
        <v>198.12486000000001</v>
      </c>
      <c r="E87">
        <v>12387170.2107</v>
      </c>
      <c r="F87">
        <v>686</v>
      </c>
    </row>
    <row r="88" spans="1:6" x14ac:dyDescent="0.45">
      <c r="A88">
        <v>87</v>
      </c>
      <c r="B88">
        <v>7.4174100000000003</v>
      </c>
      <c r="C88">
        <v>15.89446</v>
      </c>
      <c r="D88">
        <v>135.06273999999999</v>
      </c>
      <c r="E88">
        <v>2739129.8221</v>
      </c>
      <c r="F88">
        <v>687</v>
      </c>
    </row>
    <row r="89" spans="1:6" x14ac:dyDescent="0.45">
      <c r="A89">
        <v>88</v>
      </c>
      <c r="B89">
        <v>-88.821200000000005</v>
      </c>
      <c r="C89">
        <v>176.71505999999999</v>
      </c>
      <c r="D89">
        <v>114.91654</v>
      </c>
      <c r="E89">
        <v>10992541.662900001</v>
      </c>
      <c r="F89">
        <v>688</v>
      </c>
    </row>
    <row r="90" spans="1:6" x14ac:dyDescent="0.45">
      <c r="A90">
        <v>89</v>
      </c>
      <c r="B90">
        <v>-31.76643</v>
      </c>
      <c r="C90">
        <v>175.65602000000001</v>
      </c>
      <c r="D90">
        <v>230.52977000000001</v>
      </c>
      <c r="E90">
        <v>26809519.5977</v>
      </c>
      <c r="F90">
        <v>689</v>
      </c>
    </row>
    <row r="91" spans="1:6" x14ac:dyDescent="0.45">
      <c r="A91">
        <v>90</v>
      </c>
      <c r="B91">
        <v>-33.89461</v>
      </c>
      <c r="C91">
        <v>177.00147000000001</v>
      </c>
      <c r="D91">
        <v>243.01021</v>
      </c>
      <c r="E91">
        <v>16426525.8873</v>
      </c>
      <c r="F91">
        <v>690</v>
      </c>
    </row>
    <row r="92" spans="1:6" x14ac:dyDescent="0.45">
      <c r="A92">
        <v>91</v>
      </c>
      <c r="B92">
        <v>-32.473849999999999</v>
      </c>
      <c r="C92">
        <v>16.285630000000001</v>
      </c>
      <c r="D92">
        <v>24.15812</v>
      </c>
      <c r="E92">
        <v>3009187.4501999998</v>
      </c>
      <c r="F92">
        <v>691</v>
      </c>
    </row>
    <row r="93" spans="1:6" x14ac:dyDescent="0.45">
      <c r="A93">
        <v>92</v>
      </c>
      <c r="B93">
        <v>72.12079</v>
      </c>
      <c r="C93">
        <v>-154.69436999999999</v>
      </c>
      <c r="D93">
        <v>137.78511</v>
      </c>
      <c r="E93">
        <v>14766525.0417</v>
      </c>
      <c r="F93">
        <v>692</v>
      </c>
    </row>
    <row r="94" spans="1:6" x14ac:dyDescent="0.45">
      <c r="A94">
        <v>93</v>
      </c>
      <c r="B94">
        <v>25.50112</v>
      </c>
      <c r="C94">
        <v>97.481629999999996</v>
      </c>
      <c r="D94">
        <v>8.1338899999999992</v>
      </c>
      <c r="E94">
        <v>11388563.956800001</v>
      </c>
      <c r="F94">
        <v>693</v>
      </c>
    </row>
    <row r="95" spans="1:6" x14ac:dyDescent="0.45">
      <c r="A95">
        <v>94</v>
      </c>
      <c r="B95">
        <v>41.900829999999999</v>
      </c>
      <c r="C95">
        <v>-160.6241</v>
      </c>
      <c r="D95">
        <v>266.49374999999998</v>
      </c>
      <c r="E95">
        <v>11341171.712300001</v>
      </c>
      <c r="F95">
        <v>694</v>
      </c>
    </row>
    <row r="96" spans="1:6" x14ac:dyDescent="0.45">
      <c r="A96">
        <v>95</v>
      </c>
      <c r="B96">
        <v>48.390430000000002</v>
      </c>
      <c r="C96">
        <v>-167.33677</v>
      </c>
      <c r="D96">
        <v>292.34510999999998</v>
      </c>
      <c r="E96">
        <v>8308069.4910000004</v>
      </c>
      <c r="F96">
        <v>695</v>
      </c>
    </row>
    <row r="97" spans="1:6" x14ac:dyDescent="0.45">
      <c r="A97">
        <v>96</v>
      </c>
      <c r="B97">
        <v>-38.660769999999999</v>
      </c>
      <c r="C97">
        <v>54.641919999999999</v>
      </c>
      <c r="D97">
        <v>59.211219999999997</v>
      </c>
      <c r="E97">
        <v>4874355.4786</v>
      </c>
      <c r="F97">
        <v>696</v>
      </c>
    </row>
    <row r="98" spans="1:6" x14ac:dyDescent="0.45">
      <c r="A98">
        <v>97</v>
      </c>
      <c r="B98">
        <v>-7.4569999999999997E-2</v>
      </c>
      <c r="C98">
        <v>46.472079999999998</v>
      </c>
      <c r="D98">
        <v>278.01758999999998</v>
      </c>
      <c r="E98">
        <v>20547852.623500001</v>
      </c>
      <c r="F98">
        <v>697</v>
      </c>
    </row>
    <row r="99" spans="1:6" x14ac:dyDescent="0.45">
      <c r="A99">
        <v>98</v>
      </c>
      <c r="B99">
        <v>45.63044</v>
      </c>
      <c r="C99">
        <v>-129.56118000000001</v>
      </c>
      <c r="D99">
        <v>147.68849</v>
      </c>
      <c r="E99">
        <v>2696126.9289000002</v>
      </c>
      <c r="F99">
        <v>698</v>
      </c>
    </row>
    <row r="100" spans="1:6" x14ac:dyDescent="0.45">
      <c r="A100">
        <v>99</v>
      </c>
      <c r="B100">
        <v>-31.687740000000002</v>
      </c>
      <c r="C100">
        <v>45.147069999999999</v>
      </c>
      <c r="D100">
        <v>172.66594000000001</v>
      </c>
      <c r="E100">
        <v>4461921.0270999996</v>
      </c>
      <c r="F100">
        <v>699</v>
      </c>
    </row>
    <row r="101" spans="1:6" x14ac:dyDescent="0.45">
      <c r="A101">
        <v>100</v>
      </c>
      <c r="B101">
        <v>-58.967529999999996</v>
      </c>
      <c r="C101">
        <v>85.038359999999997</v>
      </c>
      <c r="D101">
        <v>115.29264000000001</v>
      </c>
      <c r="E101">
        <v>8938931.9945999999</v>
      </c>
      <c r="F101">
        <v>700</v>
      </c>
    </row>
    <row r="102" spans="1:6" x14ac:dyDescent="0.45">
      <c r="A102">
        <v>101</v>
      </c>
      <c r="B102">
        <v>15.35918</v>
      </c>
      <c r="C102">
        <v>147.99860000000001</v>
      </c>
      <c r="D102">
        <v>17.105060000000002</v>
      </c>
      <c r="E102">
        <v>736539.3763</v>
      </c>
      <c r="F102">
        <v>701</v>
      </c>
    </row>
    <row r="103" spans="1:6" x14ac:dyDescent="0.45">
      <c r="A103">
        <v>102</v>
      </c>
      <c r="B103">
        <v>16.97861</v>
      </c>
      <c r="C103">
        <v>-69.482510000000005</v>
      </c>
      <c r="D103">
        <v>337.9323</v>
      </c>
      <c r="E103">
        <v>2680862.1616000002</v>
      </c>
      <c r="F103">
        <v>702</v>
      </c>
    </row>
    <row r="104" spans="1:6" x14ac:dyDescent="0.45">
      <c r="A104">
        <v>103</v>
      </c>
      <c r="B104">
        <v>10.929650000000001</v>
      </c>
      <c r="C104">
        <v>-135.72478000000001</v>
      </c>
      <c r="D104">
        <v>249.20694</v>
      </c>
      <c r="E104">
        <v>2593134.8231000002</v>
      </c>
      <c r="F104">
        <v>703</v>
      </c>
    </row>
    <row r="105" spans="1:6" x14ac:dyDescent="0.45">
      <c r="A105">
        <v>104</v>
      </c>
      <c r="B105">
        <v>-59.242919999999998</v>
      </c>
      <c r="C105">
        <v>64.601219999999998</v>
      </c>
      <c r="D105">
        <v>245.32203999999999</v>
      </c>
      <c r="E105">
        <v>1124977.1808</v>
      </c>
      <c r="F105">
        <v>704</v>
      </c>
    </row>
    <row r="106" spans="1:6" x14ac:dyDescent="0.45">
      <c r="A106">
        <v>105</v>
      </c>
      <c r="B106">
        <v>2.3506800000000001</v>
      </c>
      <c r="C106">
        <v>-118.36722</v>
      </c>
      <c r="D106">
        <v>318.8005</v>
      </c>
      <c r="E106">
        <v>8704.3340000000007</v>
      </c>
      <c r="F106">
        <v>705</v>
      </c>
    </row>
    <row r="107" spans="1:6" x14ac:dyDescent="0.45">
      <c r="A107">
        <v>106</v>
      </c>
      <c r="B107">
        <v>-62.10389</v>
      </c>
      <c r="C107">
        <v>145.56889000000001</v>
      </c>
      <c r="D107">
        <v>255.88317000000001</v>
      </c>
      <c r="E107">
        <v>13395.294099999999</v>
      </c>
      <c r="F107">
        <v>706</v>
      </c>
    </row>
    <row r="108" spans="1:6" x14ac:dyDescent="0.45">
      <c r="A108">
        <v>107</v>
      </c>
      <c r="B108">
        <v>77.644260000000003</v>
      </c>
      <c r="C108">
        <v>-149.10624999999999</v>
      </c>
      <c r="D108">
        <v>106.19928</v>
      </c>
      <c r="E108">
        <v>2002954.9594000001</v>
      </c>
      <c r="F108">
        <v>707</v>
      </c>
    </row>
    <row r="109" spans="1:6" x14ac:dyDescent="0.45">
      <c r="A109">
        <v>108</v>
      </c>
      <c r="B109">
        <v>63.34713</v>
      </c>
      <c r="C109">
        <v>-89.70778</v>
      </c>
      <c r="D109">
        <v>173.62156999999999</v>
      </c>
      <c r="E109">
        <v>2686520.6908999998</v>
      </c>
      <c r="F109">
        <v>708</v>
      </c>
    </row>
    <row r="110" spans="1:6" x14ac:dyDescent="0.45">
      <c r="A110">
        <v>109</v>
      </c>
      <c r="B110">
        <v>-35.52337</v>
      </c>
      <c r="C110">
        <v>84.479879999999994</v>
      </c>
      <c r="D110">
        <v>19.505510000000001</v>
      </c>
      <c r="E110">
        <v>798705.37609999999</v>
      </c>
      <c r="F110">
        <v>709</v>
      </c>
    </row>
    <row r="111" spans="1:6" x14ac:dyDescent="0.45">
      <c r="A111">
        <v>110</v>
      </c>
      <c r="B111">
        <v>-84.516180000000006</v>
      </c>
      <c r="C111">
        <v>-15.54405</v>
      </c>
      <c r="D111">
        <v>200.28919999999999</v>
      </c>
      <c r="E111">
        <v>665017.86780000001</v>
      </c>
      <c r="F111">
        <v>710</v>
      </c>
    </row>
    <row r="112" spans="1:6" x14ac:dyDescent="0.45">
      <c r="A112">
        <v>111</v>
      </c>
      <c r="B112">
        <v>-52.912570000000002</v>
      </c>
      <c r="C112">
        <v>-154.26669999999999</v>
      </c>
      <c r="D112">
        <v>248.05546000000001</v>
      </c>
      <c r="E112">
        <v>1950926.7751</v>
      </c>
      <c r="F112">
        <v>711</v>
      </c>
    </row>
    <row r="113" spans="1:6" x14ac:dyDescent="0.45">
      <c r="A113">
        <v>112</v>
      </c>
      <c r="B113">
        <v>-7.6414200000000001</v>
      </c>
      <c r="C113">
        <v>157.20014</v>
      </c>
      <c r="D113">
        <v>124.09694</v>
      </c>
      <c r="E113">
        <v>2303142.2283000001</v>
      </c>
      <c r="F113">
        <v>712</v>
      </c>
    </row>
    <row r="114" spans="1:6" x14ac:dyDescent="0.45">
      <c r="A114">
        <v>113</v>
      </c>
      <c r="B114">
        <v>-3.24092</v>
      </c>
      <c r="C114">
        <v>136.62436</v>
      </c>
      <c r="D114">
        <v>48.931519999999999</v>
      </c>
      <c r="E114">
        <v>2125350.6011000001</v>
      </c>
      <c r="F114">
        <v>713</v>
      </c>
    </row>
    <row r="115" spans="1:6" x14ac:dyDescent="0.45">
      <c r="A115">
        <v>114</v>
      </c>
      <c r="B115">
        <v>78.895430000000005</v>
      </c>
      <c r="C115">
        <v>61.840670000000003</v>
      </c>
      <c r="D115">
        <v>273.64731</v>
      </c>
      <c r="E115">
        <v>1313369.7516000001</v>
      </c>
      <c r="F115">
        <v>714</v>
      </c>
    </row>
    <row r="116" spans="1:6" x14ac:dyDescent="0.45">
      <c r="A116">
        <v>115</v>
      </c>
      <c r="B116">
        <v>-48.021189999999997</v>
      </c>
      <c r="C116">
        <v>42.157789999999999</v>
      </c>
      <c r="D116">
        <v>7.6122399999999999</v>
      </c>
      <c r="E116">
        <v>1139720.7165999999</v>
      </c>
      <c r="F116">
        <v>715</v>
      </c>
    </row>
    <row r="117" spans="1:6" x14ac:dyDescent="0.45">
      <c r="A117">
        <v>116</v>
      </c>
      <c r="B117">
        <v>-82.629829999999998</v>
      </c>
      <c r="C117">
        <v>66.270340000000004</v>
      </c>
      <c r="D117">
        <v>319.08735999999999</v>
      </c>
      <c r="E117">
        <v>783546.70979999995</v>
      </c>
      <c r="F117">
        <v>716</v>
      </c>
    </row>
    <row r="118" spans="1:6" x14ac:dyDescent="0.45">
      <c r="A118">
        <v>117</v>
      </c>
      <c r="B118">
        <v>-72.955299999999994</v>
      </c>
      <c r="C118">
        <v>51.112259999999999</v>
      </c>
      <c r="D118">
        <v>98.025000000000006</v>
      </c>
      <c r="E118">
        <v>963166.20239999995</v>
      </c>
      <c r="F118">
        <v>717</v>
      </c>
    </row>
    <row r="119" spans="1:6" x14ac:dyDescent="0.45">
      <c r="A119">
        <v>118</v>
      </c>
      <c r="B119">
        <v>1.9955499999999999</v>
      </c>
      <c r="C119">
        <v>18.549589999999998</v>
      </c>
      <c r="D119">
        <v>205.93687</v>
      </c>
      <c r="E119">
        <v>2610595.4756999998</v>
      </c>
      <c r="F119">
        <v>718</v>
      </c>
    </row>
    <row r="120" spans="1:6" x14ac:dyDescent="0.45">
      <c r="A120">
        <v>119</v>
      </c>
      <c r="B120">
        <v>-45.648980000000002</v>
      </c>
      <c r="C120">
        <v>-35.092579999999998</v>
      </c>
      <c r="D120">
        <v>205.41822999999999</v>
      </c>
      <c r="E120">
        <v>2662309.7689</v>
      </c>
      <c r="F120">
        <v>719</v>
      </c>
    </row>
    <row r="121" spans="1:6" x14ac:dyDescent="0.45">
      <c r="A121">
        <v>120</v>
      </c>
      <c r="B121">
        <v>79.030199999999994</v>
      </c>
      <c r="C121">
        <v>-49.263179999999998</v>
      </c>
      <c r="D121">
        <v>305.83573999999999</v>
      </c>
      <c r="E121">
        <v>1821170.4897</v>
      </c>
      <c r="F121">
        <v>720</v>
      </c>
    </row>
    <row r="122" spans="1:6" x14ac:dyDescent="0.45">
      <c r="A122">
        <v>121</v>
      </c>
      <c r="B122">
        <v>37.448909999999998</v>
      </c>
      <c r="C122">
        <v>-25.214690000000001</v>
      </c>
      <c r="D122">
        <v>299.32281</v>
      </c>
      <c r="E122">
        <v>2787665.4001000002</v>
      </c>
      <c r="F122">
        <v>721</v>
      </c>
    </row>
    <row r="123" spans="1:6" x14ac:dyDescent="0.45">
      <c r="A123">
        <v>122</v>
      </c>
      <c r="B123">
        <v>-35.959099999999999</v>
      </c>
      <c r="C123">
        <v>-53.573349999999998</v>
      </c>
      <c r="D123">
        <v>317.02665000000002</v>
      </c>
      <c r="E123">
        <v>2445529.3056000001</v>
      </c>
      <c r="F123">
        <v>722</v>
      </c>
    </row>
    <row r="124" spans="1:6" x14ac:dyDescent="0.45">
      <c r="A124">
        <v>123</v>
      </c>
      <c r="B124">
        <v>-38.204389999999997</v>
      </c>
      <c r="C124">
        <v>-71.393510000000006</v>
      </c>
      <c r="D124">
        <v>266.36977000000002</v>
      </c>
      <c r="E124">
        <v>344966.30699999997</v>
      </c>
      <c r="F124">
        <v>723</v>
      </c>
    </row>
    <row r="125" spans="1:6" x14ac:dyDescent="0.45">
      <c r="A125">
        <v>124</v>
      </c>
      <c r="B125">
        <v>30.126300000000001</v>
      </c>
      <c r="C125">
        <v>-91.789060000000006</v>
      </c>
      <c r="D125">
        <v>12.69722</v>
      </c>
      <c r="E125">
        <v>2319961.3678000001</v>
      </c>
      <c r="F125">
        <v>724</v>
      </c>
    </row>
    <row r="126" spans="1:6" x14ac:dyDescent="0.45">
      <c r="A126">
        <v>125</v>
      </c>
      <c r="B126">
        <v>16.645330000000001</v>
      </c>
      <c r="C126">
        <v>-152.07943</v>
      </c>
      <c r="D126">
        <v>262.28955999999999</v>
      </c>
      <c r="E126">
        <v>181575.44039999999</v>
      </c>
      <c r="F126">
        <v>725</v>
      </c>
    </row>
    <row r="127" spans="1:6" x14ac:dyDescent="0.45">
      <c r="A127">
        <v>126</v>
      </c>
      <c r="B127">
        <v>-88.874809999999997</v>
      </c>
      <c r="C127">
        <v>84.816130000000001</v>
      </c>
      <c r="D127">
        <v>155.5087</v>
      </c>
      <c r="E127">
        <v>2189603.9449</v>
      </c>
      <c r="F127">
        <v>726</v>
      </c>
    </row>
    <row r="128" spans="1:6" x14ac:dyDescent="0.45">
      <c r="A128">
        <v>127</v>
      </c>
      <c r="B128">
        <v>16.28764</v>
      </c>
      <c r="C128">
        <v>-146.46427</v>
      </c>
      <c r="D128">
        <v>108.74630000000001</v>
      </c>
      <c r="E128">
        <v>428196.28370000003</v>
      </c>
      <c r="F128">
        <v>727</v>
      </c>
    </row>
    <row r="129" spans="1:6" x14ac:dyDescent="0.45">
      <c r="A129">
        <v>128</v>
      </c>
      <c r="B129">
        <v>-51.531190000000002</v>
      </c>
      <c r="C129">
        <v>-66.095110000000005</v>
      </c>
      <c r="D129">
        <v>343.22847999999999</v>
      </c>
      <c r="E129">
        <v>1626173.7615</v>
      </c>
      <c r="F129">
        <v>728</v>
      </c>
    </row>
    <row r="130" spans="1:6" x14ac:dyDescent="0.45">
      <c r="A130">
        <v>129</v>
      </c>
      <c r="B130">
        <v>44.172539999999998</v>
      </c>
      <c r="C130">
        <v>-15.464270000000001</v>
      </c>
      <c r="D130">
        <v>30.423839999999998</v>
      </c>
      <c r="E130">
        <v>52780.7088</v>
      </c>
      <c r="F130">
        <v>729</v>
      </c>
    </row>
    <row r="131" spans="1:6" x14ac:dyDescent="0.45">
      <c r="A131">
        <v>130</v>
      </c>
      <c r="B131">
        <v>-8.7405799999999996</v>
      </c>
      <c r="C131">
        <v>-91.287660000000002</v>
      </c>
      <c r="D131">
        <v>111.05248</v>
      </c>
      <c r="E131">
        <v>873745.98479999998</v>
      </c>
      <c r="F131">
        <v>730</v>
      </c>
    </row>
    <row r="132" spans="1:6" x14ac:dyDescent="0.45">
      <c r="A132">
        <v>131</v>
      </c>
      <c r="B132">
        <v>7.5902399999999997</v>
      </c>
      <c r="C132">
        <v>-126.13188</v>
      </c>
      <c r="D132">
        <v>183.72388000000001</v>
      </c>
      <c r="E132">
        <v>1467787.2390000001</v>
      </c>
      <c r="F132">
        <v>731</v>
      </c>
    </row>
    <row r="133" spans="1:6" x14ac:dyDescent="0.45">
      <c r="A133">
        <v>132</v>
      </c>
      <c r="B133">
        <v>30.957820000000002</v>
      </c>
      <c r="C133">
        <v>107.38433999999999</v>
      </c>
      <c r="D133">
        <v>302.95084000000003</v>
      </c>
      <c r="E133">
        <v>633511.36100000003</v>
      </c>
      <c r="F133">
        <v>732</v>
      </c>
    </row>
    <row r="134" spans="1:6" x14ac:dyDescent="0.45">
      <c r="A134">
        <v>133</v>
      </c>
      <c r="B134">
        <v>-27.116849999999999</v>
      </c>
      <c r="C134">
        <v>-95.377880000000005</v>
      </c>
      <c r="D134">
        <v>284.91935000000001</v>
      </c>
      <c r="E134">
        <v>77703.400999999998</v>
      </c>
      <c r="F134">
        <v>733</v>
      </c>
    </row>
    <row r="135" spans="1:6" x14ac:dyDescent="0.45">
      <c r="A135">
        <v>134</v>
      </c>
      <c r="B135">
        <v>36.551279999999998</v>
      </c>
      <c r="C135">
        <v>-105.62241</v>
      </c>
      <c r="D135">
        <v>356.37335000000002</v>
      </c>
      <c r="E135">
        <v>2618918.1118000001</v>
      </c>
      <c r="F135">
        <v>734</v>
      </c>
    </row>
    <row r="136" spans="1:6" x14ac:dyDescent="0.45">
      <c r="A136">
        <v>135</v>
      </c>
      <c r="B136">
        <v>87.715130000000002</v>
      </c>
      <c r="C136">
        <v>-55.234169999999999</v>
      </c>
      <c r="D136">
        <v>208.72172</v>
      </c>
      <c r="E136">
        <v>1139643.1462999999</v>
      </c>
      <c r="F136">
        <v>735</v>
      </c>
    </row>
    <row r="137" spans="1:6" x14ac:dyDescent="0.45">
      <c r="A137">
        <v>136</v>
      </c>
      <c r="B137">
        <v>20.04429</v>
      </c>
      <c r="C137">
        <v>39.647959999999998</v>
      </c>
      <c r="D137">
        <v>32.218359999999997</v>
      </c>
      <c r="E137">
        <v>1149778.3717</v>
      </c>
      <c r="F137">
        <v>736</v>
      </c>
    </row>
    <row r="138" spans="1:6" x14ac:dyDescent="0.45">
      <c r="A138">
        <v>137</v>
      </c>
      <c r="B138">
        <v>-39.779949999999999</v>
      </c>
      <c r="C138">
        <v>89.824470000000005</v>
      </c>
      <c r="D138">
        <v>12.89039</v>
      </c>
      <c r="E138">
        <v>617458.06770000001</v>
      </c>
      <c r="F138">
        <v>737</v>
      </c>
    </row>
    <row r="139" spans="1:6" x14ac:dyDescent="0.45">
      <c r="A139">
        <v>138</v>
      </c>
      <c r="B139">
        <v>85.093040000000002</v>
      </c>
      <c r="C139">
        <v>2.5342699999999998</v>
      </c>
      <c r="D139">
        <v>308.66298999999998</v>
      </c>
      <c r="E139">
        <v>2770816.5970000001</v>
      </c>
      <c r="F139">
        <v>738</v>
      </c>
    </row>
    <row r="140" spans="1:6" x14ac:dyDescent="0.45">
      <c r="A140">
        <v>139</v>
      </c>
      <c r="B140">
        <v>43.894480000000001</v>
      </c>
      <c r="C140">
        <v>-46.916089999999997</v>
      </c>
      <c r="D140">
        <v>345.82888000000003</v>
      </c>
      <c r="E140">
        <v>1509940.1052999999</v>
      </c>
      <c r="F140">
        <v>739</v>
      </c>
    </row>
    <row r="141" spans="1:6" x14ac:dyDescent="0.45">
      <c r="A141">
        <v>140</v>
      </c>
      <c r="B141">
        <v>63.401179999999997</v>
      </c>
      <c r="C141">
        <v>167.19977</v>
      </c>
      <c r="D141">
        <v>94.497129999999999</v>
      </c>
      <c r="E141">
        <v>2044625.3829000001</v>
      </c>
      <c r="F141">
        <v>740</v>
      </c>
    </row>
    <row r="142" spans="1:6" x14ac:dyDescent="0.45">
      <c r="A142">
        <v>141</v>
      </c>
      <c r="B142">
        <v>16.416530000000002</v>
      </c>
      <c r="C142">
        <v>-30.20589</v>
      </c>
      <c r="D142">
        <v>159.85739000000001</v>
      </c>
      <c r="E142">
        <v>81952.523000000001</v>
      </c>
      <c r="F142">
        <v>741</v>
      </c>
    </row>
    <row r="143" spans="1:6" x14ac:dyDescent="0.45">
      <c r="A143">
        <v>142</v>
      </c>
      <c r="B143">
        <v>89.181359999999998</v>
      </c>
      <c r="C143">
        <v>-12.85374</v>
      </c>
      <c r="D143">
        <v>333.07477</v>
      </c>
      <c r="E143">
        <v>1367935.1714999999</v>
      </c>
      <c r="F143">
        <v>742</v>
      </c>
    </row>
    <row r="144" spans="1:6" x14ac:dyDescent="0.45">
      <c r="A144">
        <v>143</v>
      </c>
      <c r="B144">
        <v>47.418869999999998</v>
      </c>
      <c r="C144">
        <v>-138.48464000000001</v>
      </c>
      <c r="D144">
        <v>128.64583999999999</v>
      </c>
      <c r="E144">
        <v>497647.92460000003</v>
      </c>
      <c r="F144">
        <v>743</v>
      </c>
    </row>
    <row r="145" spans="1:6" x14ac:dyDescent="0.45">
      <c r="A145">
        <v>144</v>
      </c>
      <c r="B145">
        <v>-77.300409999999999</v>
      </c>
      <c r="C145">
        <v>-174.85292000000001</v>
      </c>
      <c r="D145">
        <v>347.72064999999998</v>
      </c>
      <c r="E145">
        <v>2549616.412</v>
      </c>
      <c r="F145">
        <v>744</v>
      </c>
    </row>
    <row r="146" spans="1:6" x14ac:dyDescent="0.45">
      <c r="A146">
        <v>145</v>
      </c>
      <c r="B146">
        <v>10.731249999999999</v>
      </c>
      <c r="C146">
        <v>153.64383000000001</v>
      </c>
      <c r="D146">
        <v>294.47431999999998</v>
      </c>
      <c r="E146">
        <v>923961.64540000004</v>
      </c>
      <c r="F146">
        <v>745</v>
      </c>
    </row>
    <row r="147" spans="1:6" x14ac:dyDescent="0.45">
      <c r="A147">
        <v>146</v>
      </c>
      <c r="B147">
        <v>40.893459999999997</v>
      </c>
      <c r="C147">
        <v>13.135</v>
      </c>
      <c r="D147">
        <v>250.38964000000001</v>
      </c>
      <c r="E147">
        <v>436314.18910000002</v>
      </c>
      <c r="F147">
        <v>746</v>
      </c>
    </row>
    <row r="148" spans="1:6" x14ac:dyDescent="0.45">
      <c r="A148">
        <v>147</v>
      </c>
      <c r="B148">
        <v>3.4207999999999998</v>
      </c>
      <c r="C148">
        <v>68.399109999999993</v>
      </c>
      <c r="D148">
        <v>318.18173999999999</v>
      </c>
      <c r="E148">
        <v>235621.66570000001</v>
      </c>
      <c r="F148">
        <v>747</v>
      </c>
    </row>
    <row r="149" spans="1:6" x14ac:dyDescent="0.45">
      <c r="A149">
        <v>148</v>
      </c>
      <c r="B149">
        <v>-76.697630000000004</v>
      </c>
      <c r="C149">
        <v>144.84648999999999</v>
      </c>
      <c r="D149">
        <v>343.57542999999998</v>
      </c>
      <c r="E149">
        <v>1297329.2392</v>
      </c>
      <c r="F149">
        <v>748</v>
      </c>
    </row>
    <row r="150" spans="1:6" x14ac:dyDescent="0.45">
      <c r="A150">
        <v>149</v>
      </c>
      <c r="B150">
        <v>-66.055880000000002</v>
      </c>
      <c r="C150">
        <v>76.348560000000006</v>
      </c>
      <c r="D150">
        <v>348.79194999999999</v>
      </c>
      <c r="E150">
        <v>487865.03379999998</v>
      </c>
      <c r="F150">
        <v>749</v>
      </c>
    </row>
    <row r="151" spans="1:6" x14ac:dyDescent="0.45">
      <c r="A151">
        <v>150</v>
      </c>
      <c r="B151">
        <v>63.912300000000002</v>
      </c>
      <c r="C151">
        <v>-166.40602000000001</v>
      </c>
      <c r="D151">
        <v>35.086489999999998</v>
      </c>
      <c r="E151">
        <v>2107759.4114999999</v>
      </c>
      <c r="F151">
        <v>750</v>
      </c>
    </row>
    <row r="152" spans="1:6" x14ac:dyDescent="0.45">
      <c r="A152">
        <v>151</v>
      </c>
      <c r="B152">
        <v>-15.636659999999999</v>
      </c>
      <c r="C152">
        <v>172.95704000000001</v>
      </c>
      <c r="D152">
        <v>249.20849999999999</v>
      </c>
      <c r="E152">
        <v>932904.55359999998</v>
      </c>
      <c r="F152">
        <v>751</v>
      </c>
    </row>
    <row r="153" spans="1:6" x14ac:dyDescent="0.45">
      <c r="A153">
        <v>152</v>
      </c>
      <c r="B153">
        <v>34.470559999999999</v>
      </c>
      <c r="C153">
        <v>149.87987000000001</v>
      </c>
      <c r="D153">
        <v>123.46666</v>
      </c>
      <c r="E153">
        <v>1885709.7080000001</v>
      </c>
      <c r="F153">
        <v>752</v>
      </c>
    </row>
    <row r="154" spans="1:6" x14ac:dyDescent="0.45">
      <c r="A154">
        <v>153</v>
      </c>
      <c r="B154">
        <v>70.729879999999994</v>
      </c>
      <c r="C154">
        <v>38.88579</v>
      </c>
      <c r="D154">
        <v>191.17984999999999</v>
      </c>
      <c r="E154">
        <v>1874375.6106</v>
      </c>
      <c r="F154">
        <v>753</v>
      </c>
    </row>
    <row r="155" spans="1:6" x14ac:dyDescent="0.45">
      <c r="A155">
        <v>154</v>
      </c>
      <c r="B155">
        <v>-4.0652499999999998</v>
      </c>
      <c r="C155">
        <v>-141.67541</v>
      </c>
      <c r="D155">
        <v>353.87957</v>
      </c>
      <c r="E155">
        <v>1483495.4898999999</v>
      </c>
      <c r="F155">
        <v>754</v>
      </c>
    </row>
    <row r="156" spans="1:6" x14ac:dyDescent="0.45">
      <c r="A156">
        <v>155</v>
      </c>
      <c r="B156">
        <v>79.544569999999993</v>
      </c>
      <c r="C156">
        <v>116.16714</v>
      </c>
      <c r="D156">
        <v>38.644680000000001</v>
      </c>
      <c r="E156">
        <v>2689115.5479000001</v>
      </c>
      <c r="F156">
        <v>755</v>
      </c>
    </row>
    <row r="157" spans="1:6" x14ac:dyDescent="0.45">
      <c r="A157">
        <v>156</v>
      </c>
      <c r="B157">
        <v>19.886410000000001</v>
      </c>
      <c r="C157">
        <v>113.63709</v>
      </c>
      <c r="D157">
        <v>292.68759999999997</v>
      </c>
      <c r="E157">
        <v>1829661.7711</v>
      </c>
      <c r="F157">
        <v>756</v>
      </c>
    </row>
    <row r="158" spans="1:6" x14ac:dyDescent="0.45">
      <c r="A158">
        <v>157</v>
      </c>
      <c r="B158">
        <v>-10.59013</v>
      </c>
      <c r="C158">
        <v>-116.79353999999999</v>
      </c>
      <c r="D158">
        <v>151.79773</v>
      </c>
      <c r="E158">
        <v>734948.68389999995</v>
      </c>
      <c r="F158">
        <v>757</v>
      </c>
    </row>
    <row r="159" spans="1:6" x14ac:dyDescent="0.45">
      <c r="A159">
        <v>158</v>
      </c>
      <c r="B159">
        <v>-53.979939999999999</v>
      </c>
      <c r="C159">
        <v>176.4941</v>
      </c>
      <c r="D159">
        <v>351.76226000000003</v>
      </c>
      <c r="E159">
        <v>290204.74209999997</v>
      </c>
      <c r="F159">
        <v>758</v>
      </c>
    </row>
    <row r="160" spans="1:6" x14ac:dyDescent="0.45">
      <c r="A160">
        <v>159</v>
      </c>
      <c r="B160">
        <v>85.193060000000003</v>
      </c>
      <c r="C160">
        <v>-48.257959999999997</v>
      </c>
      <c r="D160">
        <v>98.196830000000006</v>
      </c>
      <c r="E160">
        <v>2348678.6216000002</v>
      </c>
      <c r="F160">
        <v>759</v>
      </c>
    </row>
    <row r="161" spans="1:6" x14ac:dyDescent="0.45">
      <c r="A161">
        <v>160</v>
      </c>
      <c r="B161">
        <v>82.395070000000004</v>
      </c>
      <c r="C161">
        <v>-52.371380000000002</v>
      </c>
      <c r="D161">
        <v>316.65381000000002</v>
      </c>
      <c r="E161">
        <v>2636.9313999999999</v>
      </c>
      <c r="F161">
        <v>760</v>
      </c>
    </row>
    <row r="162" spans="1:6" x14ac:dyDescent="0.45">
      <c r="A162">
        <v>161</v>
      </c>
      <c r="B162">
        <v>-59.903570000000002</v>
      </c>
      <c r="C162">
        <v>108.36845</v>
      </c>
      <c r="D162">
        <v>145.06591</v>
      </c>
      <c r="E162">
        <v>1868677.4461000001</v>
      </c>
      <c r="F162">
        <v>761</v>
      </c>
    </row>
    <row r="163" spans="1:6" x14ac:dyDescent="0.45">
      <c r="A163">
        <v>162</v>
      </c>
      <c r="B163">
        <v>-89.752740000000003</v>
      </c>
      <c r="C163">
        <v>10.639889999999999</v>
      </c>
      <c r="D163">
        <v>279.07071000000002</v>
      </c>
      <c r="E163">
        <v>1326845.2703</v>
      </c>
      <c r="F163">
        <v>762</v>
      </c>
    </row>
    <row r="164" spans="1:6" x14ac:dyDescent="0.45">
      <c r="A164">
        <v>163</v>
      </c>
      <c r="B164">
        <v>87.834500000000006</v>
      </c>
      <c r="C164">
        <v>160.72366</v>
      </c>
      <c r="D164">
        <v>295.68838</v>
      </c>
      <c r="E164">
        <v>2618896.7393999998</v>
      </c>
      <c r="F164">
        <v>763</v>
      </c>
    </row>
    <row r="165" spans="1:6" x14ac:dyDescent="0.45">
      <c r="A165">
        <v>164</v>
      </c>
      <c r="B165">
        <v>-46.257820000000002</v>
      </c>
      <c r="C165">
        <v>128.56489999999999</v>
      </c>
      <c r="D165">
        <v>346.95398</v>
      </c>
      <c r="E165">
        <v>870222.554</v>
      </c>
      <c r="F165">
        <v>764</v>
      </c>
    </row>
    <row r="166" spans="1:6" x14ac:dyDescent="0.45">
      <c r="A166">
        <v>165</v>
      </c>
      <c r="B166">
        <v>56.544490000000003</v>
      </c>
      <c r="C166">
        <v>80.514269999999996</v>
      </c>
      <c r="D166">
        <v>274.28678000000002</v>
      </c>
      <c r="E166">
        <v>181242.50839999999</v>
      </c>
      <c r="F166">
        <v>765</v>
      </c>
    </row>
    <row r="167" spans="1:6" x14ac:dyDescent="0.45">
      <c r="A167">
        <v>166</v>
      </c>
      <c r="B167">
        <v>28.704160000000002</v>
      </c>
      <c r="C167">
        <v>37.652299999999997</v>
      </c>
      <c r="D167">
        <v>298.13015999999999</v>
      </c>
      <c r="E167">
        <v>2847014.2115000002</v>
      </c>
      <c r="F167">
        <v>766</v>
      </c>
    </row>
    <row r="168" spans="1:6" x14ac:dyDescent="0.45">
      <c r="A168">
        <v>167</v>
      </c>
      <c r="B168">
        <v>57.864229999999999</v>
      </c>
      <c r="C168">
        <v>-127.27303000000001</v>
      </c>
      <c r="D168">
        <v>287.40098</v>
      </c>
      <c r="E168">
        <v>2605914.9846000001</v>
      </c>
      <c r="F168">
        <v>767</v>
      </c>
    </row>
    <row r="169" spans="1:6" x14ac:dyDescent="0.45">
      <c r="A169">
        <v>168</v>
      </c>
      <c r="B169">
        <v>-3.3862000000000001</v>
      </c>
      <c r="C169">
        <v>7.5736299999999996</v>
      </c>
      <c r="D169">
        <v>116.54897</v>
      </c>
      <c r="E169">
        <v>2164002.2919000001</v>
      </c>
      <c r="F169">
        <v>768</v>
      </c>
    </row>
    <row r="170" spans="1:6" x14ac:dyDescent="0.45">
      <c r="A170">
        <v>169</v>
      </c>
      <c r="B170">
        <v>-80.098529999999997</v>
      </c>
      <c r="C170">
        <v>-167.62505999999999</v>
      </c>
      <c r="D170">
        <v>342.86336</v>
      </c>
      <c r="E170">
        <v>2374062.4010000001</v>
      </c>
      <c r="F170">
        <v>769</v>
      </c>
    </row>
    <row r="171" spans="1:6" x14ac:dyDescent="0.45">
      <c r="A171">
        <v>170</v>
      </c>
      <c r="B171">
        <v>-25.796659999999999</v>
      </c>
      <c r="C171">
        <v>-91.601020000000005</v>
      </c>
      <c r="D171">
        <v>110.88793</v>
      </c>
      <c r="E171">
        <v>1445060.1989</v>
      </c>
      <c r="F171">
        <v>770</v>
      </c>
    </row>
    <row r="172" spans="1:6" x14ac:dyDescent="0.45">
      <c r="A172">
        <v>171</v>
      </c>
      <c r="B172">
        <v>-15.803190000000001</v>
      </c>
      <c r="C172">
        <v>62.382840000000002</v>
      </c>
      <c r="D172">
        <v>103.39551</v>
      </c>
      <c r="E172">
        <v>371706.70150000002</v>
      </c>
      <c r="F172">
        <v>771</v>
      </c>
    </row>
    <row r="173" spans="1:6" x14ac:dyDescent="0.45">
      <c r="A173">
        <v>172</v>
      </c>
      <c r="B173">
        <v>-20.979209999999998</v>
      </c>
      <c r="C173">
        <v>130.19318999999999</v>
      </c>
      <c r="D173">
        <v>323.70004999999998</v>
      </c>
      <c r="E173">
        <v>473620.68780000001</v>
      </c>
      <c r="F173">
        <v>772</v>
      </c>
    </row>
    <row r="174" spans="1:6" x14ac:dyDescent="0.45">
      <c r="A174">
        <v>173</v>
      </c>
      <c r="B174">
        <v>-14.930389999999999</v>
      </c>
      <c r="C174">
        <v>52.182670000000002</v>
      </c>
      <c r="D174">
        <v>183.96492000000001</v>
      </c>
      <c r="E174">
        <v>1869949.3873000001</v>
      </c>
      <c r="F174">
        <v>773</v>
      </c>
    </row>
    <row r="175" spans="1:6" x14ac:dyDescent="0.45">
      <c r="A175">
        <v>174</v>
      </c>
      <c r="B175">
        <v>22.319859999999998</v>
      </c>
      <c r="C175">
        <v>107.55486000000001</v>
      </c>
      <c r="D175">
        <v>345.03863999999999</v>
      </c>
      <c r="E175">
        <v>1165528.9177999999</v>
      </c>
      <c r="F175">
        <v>774</v>
      </c>
    </row>
    <row r="176" spans="1:6" x14ac:dyDescent="0.45">
      <c r="A176">
        <v>175</v>
      </c>
      <c r="B176">
        <v>11.624750000000001</v>
      </c>
      <c r="C176">
        <v>-125.80128000000001</v>
      </c>
      <c r="D176">
        <v>130.08402000000001</v>
      </c>
      <c r="E176">
        <v>2133546.6453</v>
      </c>
      <c r="F176">
        <v>775</v>
      </c>
    </row>
    <row r="177" spans="1:6" x14ac:dyDescent="0.45">
      <c r="A177">
        <v>176</v>
      </c>
      <c r="B177">
        <v>-39.609909999999999</v>
      </c>
      <c r="C177">
        <v>-63.982979999999998</v>
      </c>
      <c r="D177">
        <v>65.534149999999997</v>
      </c>
      <c r="E177">
        <v>1948522.8914000001</v>
      </c>
      <c r="F177">
        <v>776</v>
      </c>
    </row>
    <row r="178" spans="1:6" x14ac:dyDescent="0.45">
      <c r="A178">
        <v>177</v>
      </c>
      <c r="B178">
        <v>-46.98603</v>
      </c>
      <c r="C178">
        <v>9.5822699999999994</v>
      </c>
      <c r="D178">
        <v>213.37765999999999</v>
      </c>
      <c r="E178">
        <v>2987346.8437999999</v>
      </c>
      <c r="F178">
        <v>777</v>
      </c>
    </row>
    <row r="179" spans="1:6" x14ac:dyDescent="0.45">
      <c r="A179">
        <v>178</v>
      </c>
      <c r="B179">
        <v>89.82347</v>
      </c>
      <c r="C179">
        <v>85.361630000000005</v>
      </c>
      <c r="D179">
        <v>90.753590000000003</v>
      </c>
      <c r="E179">
        <v>2388158.3117999998</v>
      </c>
      <c r="F179">
        <v>778</v>
      </c>
    </row>
    <row r="180" spans="1:6" x14ac:dyDescent="0.45">
      <c r="A180">
        <v>179</v>
      </c>
      <c r="B180">
        <v>-45.130540000000003</v>
      </c>
      <c r="C180">
        <v>109.06982000000001</v>
      </c>
      <c r="D180">
        <v>23.030760000000001</v>
      </c>
      <c r="E180">
        <v>1516703.9686</v>
      </c>
      <c r="F180">
        <v>779</v>
      </c>
    </row>
    <row r="181" spans="1:6" x14ac:dyDescent="0.45">
      <c r="A181">
        <v>180</v>
      </c>
      <c r="B181">
        <v>-79.574380000000005</v>
      </c>
      <c r="C181">
        <v>34.26979</v>
      </c>
      <c r="D181">
        <v>313.0317</v>
      </c>
      <c r="E181">
        <v>1158783.3785999999</v>
      </c>
      <c r="F181">
        <v>780</v>
      </c>
    </row>
    <row r="182" spans="1:6" x14ac:dyDescent="0.45">
      <c r="A182">
        <v>181</v>
      </c>
      <c r="B182">
        <v>38.25056</v>
      </c>
      <c r="C182">
        <v>-173.99167</v>
      </c>
      <c r="D182">
        <v>181.36596</v>
      </c>
      <c r="E182">
        <v>1704611.0134999999</v>
      </c>
      <c r="F182">
        <v>781</v>
      </c>
    </row>
    <row r="183" spans="1:6" x14ac:dyDescent="0.45">
      <c r="A183">
        <v>182</v>
      </c>
      <c r="B183">
        <v>72.217129999999997</v>
      </c>
      <c r="C183">
        <v>175.3751</v>
      </c>
      <c r="D183">
        <v>116.47589000000001</v>
      </c>
      <c r="E183">
        <v>1416256.8084</v>
      </c>
      <c r="F183">
        <v>782</v>
      </c>
    </row>
    <row r="184" spans="1:6" x14ac:dyDescent="0.45">
      <c r="A184">
        <v>183</v>
      </c>
      <c r="B184">
        <v>-51.30735</v>
      </c>
      <c r="C184">
        <v>37.752899999999997</v>
      </c>
      <c r="D184">
        <v>262.05437999999998</v>
      </c>
      <c r="E184">
        <v>37084.650699999998</v>
      </c>
      <c r="F184">
        <v>783</v>
      </c>
    </row>
    <row r="185" spans="1:6" x14ac:dyDescent="0.45">
      <c r="A185">
        <v>184</v>
      </c>
      <c r="B185">
        <v>-82.285049999999998</v>
      </c>
      <c r="C185">
        <v>116.79396</v>
      </c>
      <c r="D185">
        <v>329.89497999999998</v>
      </c>
      <c r="E185">
        <v>2760978.3983</v>
      </c>
      <c r="F185">
        <v>784</v>
      </c>
    </row>
    <row r="186" spans="1:6" x14ac:dyDescent="0.45">
      <c r="A186">
        <v>185</v>
      </c>
      <c r="B186">
        <v>9.4714899999999993</v>
      </c>
      <c r="C186">
        <v>48.057989999999997</v>
      </c>
      <c r="D186">
        <v>122.84132</v>
      </c>
      <c r="E186">
        <v>2197247.2039999999</v>
      </c>
      <c r="F186">
        <v>785</v>
      </c>
    </row>
    <row r="187" spans="1:6" x14ac:dyDescent="0.45">
      <c r="A187">
        <v>186</v>
      </c>
      <c r="B187">
        <v>41.320790000000002</v>
      </c>
      <c r="C187">
        <v>30.491199999999999</v>
      </c>
      <c r="D187">
        <v>177.5402</v>
      </c>
      <c r="E187">
        <v>2332316.2525999998</v>
      </c>
      <c r="F187">
        <v>786</v>
      </c>
    </row>
    <row r="188" spans="1:6" x14ac:dyDescent="0.45">
      <c r="A188">
        <v>187</v>
      </c>
      <c r="B188">
        <v>2.6245699999999998</v>
      </c>
      <c r="C188">
        <v>79.611260000000001</v>
      </c>
      <c r="D188">
        <v>349.54712000000001</v>
      </c>
      <c r="E188">
        <v>934757.1679</v>
      </c>
      <c r="F188">
        <v>787</v>
      </c>
    </row>
    <row r="189" spans="1:6" x14ac:dyDescent="0.45">
      <c r="A189">
        <v>188</v>
      </c>
      <c r="B189">
        <v>73.9572</v>
      </c>
      <c r="C189">
        <v>-21.14536</v>
      </c>
      <c r="D189">
        <v>113.57872999999999</v>
      </c>
      <c r="E189">
        <v>2202448.0323999999</v>
      </c>
      <c r="F189">
        <v>788</v>
      </c>
    </row>
    <row r="190" spans="1:6" x14ac:dyDescent="0.45">
      <c r="A190">
        <v>189</v>
      </c>
      <c r="B190">
        <v>-26.624669999999998</v>
      </c>
      <c r="C190">
        <v>-129.90504999999999</v>
      </c>
      <c r="D190">
        <v>15.761990000000001</v>
      </c>
      <c r="E190">
        <v>1541236.2863</v>
      </c>
      <c r="F190">
        <v>789</v>
      </c>
    </row>
    <row r="191" spans="1:6" x14ac:dyDescent="0.45">
      <c r="A191">
        <v>190</v>
      </c>
      <c r="B191">
        <v>66.366519999999994</v>
      </c>
      <c r="C191">
        <v>-161.80237</v>
      </c>
      <c r="D191">
        <v>326.47483999999997</v>
      </c>
      <c r="E191">
        <v>2847786.9182000002</v>
      </c>
      <c r="F191">
        <v>790</v>
      </c>
    </row>
    <row r="192" spans="1:6" x14ac:dyDescent="0.45">
      <c r="A192">
        <v>191</v>
      </c>
      <c r="B192">
        <v>27.10934</v>
      </c>
      <c r="C192">
        <v>-107.87071</v>
      </c>
      <c r="D192">
        <v>65.259439999999998</v>
      </c>
      <c r="E192">
        <v>2278616.4051999999</v>
      </c>
      <c r="F192">
        <v>791</v>
      </c>
    </row>
    <row r="193" spans="1:6" x14ac:dyDescent="0.45">
      <c r="A193">
        <v>192</v>
      </c>
      <c r="B193">
        <v>27.242100000000001</v>
      </c>
      <c r="C193">
        <v>-150.59838999999999</v>
      </c>
      <c r="D193">
        <v>206.12979999999999</v>
      </c>
      <c r="E193">
        <v>2226010.7078</v>
      </c>
      <c r="F193">
        <v>792</v>
      </c>
    </row>
    <row r="194" spans="1:6" x14ac:dyDescent="0.45">
      <c r="A194">
        <v>193</v>
      </c>
      <c r="B194">
        <v>-51.306910000000002</v>
      </c>
      <c r="C194">
        <v>-69.268109999999993</v>
      </c>
      <c r="D194">
        <v>29.194759999999999</v>
      </c>
      <c r="E194">
        <v>165961.9748</v>
      </c>
      <c r="F194">
        <v>793</v>
      </c>
    </row>
    <row r="195" spans="1:6" x14ac:dyDescent="0.45">
      <c r="A195">
        <v>194</v>
      </c>
      <c r="B195">
        <v>72.25667</v>
      </c>
      <c r="C195">
        <v>43.026400000000002</v>
      </c>
      <c r="D195">
        <v>199.46280999999999</v>
      </c>
      <c r="E195">
        <v>176432.5575</v>
      </c>
      <c r="F195">
        <v>794</v>
      </c>
    </row>
    <row r="196" spans="1:6" x14ac:dyDescent="0.45">
      <c r="A196">
        <v>195</v>
      </c>
      <c r="B196">
        <v>-0.96489000000000003</v>
      </c>
      <c r="C196">
        <v>93.639960000000002</v>
      </c>
      <c r="D196">
        <v>334.64443999999997</v>
      </c>
      <c r="E196">
        <v>2913012.5767000001</v>
      </c>
      <c r="F196">
        <v>795</v>
      </c>
    </row>
    <row r="197" spans="1:6" x14ac:dyDescent="0.45">
      <c r="A197">
        <v>196</v>
      </c>
      <c r="B197">
        <v>79.068299999999994</v>
      </c>
      <c r="C197">
        <v>-14.22913</v>
      </c>
      <c r="D197">
        <v>217.73258999999999</v>
      </c>
      <c r="E197">
        <v>55334.114500000003</v>
      </c>
      <c r="F197">
        <v>796</v>
      </c>
    </row>
    <row r="198" spans="1:6" x14ac:dyDescent="0.45">
      <c r="A198">
        <v>197</v>
      </c>
      <c r="B198">
        <v>64.10736</v>
      </c>
      <c r="C198">
        <v>-122.36005</v>
      </c>
      <c r="D198">
        <v>299.22041000000002</v>
      </c>
      <c r="E198">
        <v>1237165.5629</v>
      </c>
      <c r="F198">
        <v>797</v>
      </c>
    </row>
    <row r="199" spans="1:6" x14ac:dyDescent="0.45">
      <c r="A199">
        <v>198</v>
      </c>
      <c r="B199">
        <v>80.774240000000006</v>
      </c>
      <c r="C199">
        <v>127.7698</v>
      </c>
      <c r="D199">
        <v>218.86179000000001</v>
      </c>
      <c r="E199">
        <v>106597.6541</v>
      </c>
      <c r="F199">
        <v>798</v>
      </c>
    </row>
    <row r="200" spans="1:6" x14ac:dyDescent="0.45">
      <c r="A200">
        <v>199</v>
      </c>
      <c r="B200">
        <v>-11.60303</v>
      </c>
      <c r="C200">
        <v>79.391970000000001</v>
      </c>
      <c r="D200">
        <v>87.639240000000001</v>
      </c>
      <c r="E200">
        <v>2806480.9803999998</v>
      </c>
      <c r="F200">
        <v>799</v>
      </c>
    </row>
    <row r="201" spans="1:6" x14ac:dyDescent="0.45">
      <c r="A201">
        <v>200</v>
      </c>
      <c r="B201">
        <v>63.920409999999997</v>
      </c>
      <c r="C201">
        <v>71.722110000000001</v>
      </c>
      <c r="D201">
        <v>83.220979999999997</v>
      </c>
      <c r="E201">
        <v>2700547.5251000002</v>
      </c>
      <c r="F201">
        <v>800</v>
      </c>
    </row>
    <row r="202" spans="1:6" x14ac:dyDescent="0.45">
      <c r="A202">
        <v>201</v>
      </c>
      <c r="B202">
        <v>21.538509999999999</v>
      </c>
      <c r="C202">
        <v>175.23721</v>
      </c>
      <c r="D202">
        <v>199.35462999999999</v>
      </c>
      <c r="E202">
        <v>176914.5307</v>
      </c>
      <c r="F202">
        <v>801</v>
      </c>
    </row>
    <row r="203" spans="1:6" x14ac:dyDescent="0.45">
      <c r="A203">
        <v>202</v>
      </c>
      <c r="B203">
        <v>-59.665759999999999</v>
      </c>
      <c r="C203">
        <v>-72.618840000000006</v>
      </c>
      <c r="D203">
        <v>224.98760999999999</v>
      </c>
      <c r="E203">
        <v>150372.09640000001</v>
      </c>
      <c r="F203">
        <v>802</v>
      </c>
    </row>
    <row r="204" spans="1:6" x14ac:dyDescent="0.45">
      <c r="A204">
        <v>203</v>
      </c>
      <c r="B204">
        <v>-33.798830000000002</v>
      </c>
      <c r="C204">
        <v>25.238350000000001</v>
      </c>
      <c r="D204">
        <v>228.72524000000001</v>
      </c>
      <c r="E204">
        <v>207159.9688</v>
      </c>
      <c r="F204">
        <v>803</v>
      </c>
    </row>
    <row r="205" spans="1:6" x14ac:dyDescent="0.45">
      <c r="A205">
        <v>204</v>
      </c>
      <c r="B205">
        <v>-31.408069999999999</v>
      </c>
      <c r="C205">
        <v>-121.16597</v>
      </c>
      <c r="D205">
        <v>189.62191999999999</v>
      </c>
      <c r="E205">
        <v>158829.51319999999</v>
      </c>
      <c r="F205">
        <v>804</v>
      </c>
    </row>
    <row r="206" spans="1:6" x14ac:dyDescent="0.45">
      <c r="A206">
        <v>205</v>
      </c>
      <c r="B206">
        <v>-47.694389999999999</v>
      </c>
      <c r="C206">
        <v>-133.09656000000001</v>
      </c>
      <c r="D206">
        <v>281.80646000000002</v>
      </c>
      <c r="E206">
        <v>250931.2175</v>
      </c>
      <c r="F206">
        <v>805</v>
      </c>
    </row>
    <row r="207" spans="1:6" x14ac:dyDescent="0.45">
      <c r="A207">
        <v>206</v>
      </c>
      <c r="B207">
        <v>-55.798969999999997</v>
      </c>
      <c r="C207">
        <v>62.763629999999999</v>
      </c>
      <c r="D207">
        <v>42.702710000000003</v>
      </c>
      <c r="E207">
        <v>55238.374199999998</v>
      </c>
      <c r="F207">
        <v>806</v>
      </c>
    </row>
    <row r="208" spans="1:6" x14ac:dyDescent="0.45">
      <c r="A208">
        <v>207</v>
      </c>
      <c r="B208">
        <v>-39.496360000000003</v>
      </c>
      <c r="C208">
        <v>-55.758110000000002</v>
      </c>
      <c r="D208">
        <v>114.02579</v>
      </c>
      <c r="E208">
        <v>159268.535</v>
      </c>
      <c r="F208">
        <v>807</v>
      </c>
    </row>
    <row r="209" spans="1:6" x14ac:dyDescent="0.45">
      <c r="A209">
        <v>208</v>
      </c>
      <c r="B209">
        <v>56.888509999999997</v>
      </c>
      <c r="C209">
        <v>139.53071</v>
      </c>
      <c r="D209">
        <v>168.49395999999999</v>
      </c>
      <c r="E209">
        <v>239557.7653</v>
      </c>
      <c r="F209">
        <v>808</v>
      </c>
    </row>
    <row r="210" spans="1:6" x14ac:dyDescent="0.45">
      <c r="A210">
        <v>209</v>
      </c>
      <c r="B210">
        <v>71.575249999999997</v>
      </c>
      <c r="C210">
        <v>23.944949999999999</v>
      </c>
      <c r="D210">
        <v>68.937200000000004</v>
      </c>
      <c r="E210">
        <v>60041.874300000003</v>
      </c>
      <c r="F210">
        <v>809</v>
      </c>
    </row>
    <row r="211" spans="1:6" x14ac:dyDescent="0.45">
      <c r="A211">
        <v>210</v>
      </c>
      <c r="B211">
        <v>20.433440000000001</v>
      </c>
      <c r="C211">
        <v>-21.656220000000001</v>
      </c>
      <c r="D211">
        <v>120.85769999999999</v>
      </c>
      <c r="E211">
        <v>155642.25839999999</v>
      </c>
      <c r="F211">
        <v>810</v>
      </c>
    </row>
    <row r="212" spans="1:6" x14ac:dyDescent="0.45">
      <c r="A212">
        <v>211</v>
      </c>
      <c r="B212">
        <v>76.526079999999993</v>
      </c>
      <c r="C212">
        <v>52.966540000000002</v>
      </c>
      <c r="D212">
        <v>268.70026000000001</v>
      </c>
      <c r="E212">
        <v>135939.71830000001</v>
      </c>
      <c r="F212">
        <v>811</v>
      </c>
    </row>
    <row r="213" spans="1:6" x14ac:dyDescent="0.45">
      <c r="A213">
        <v>212</v>
      </c>
      <c r="B213">
        <v>13.729810000000001</v>
      </c>
      <c r="C213">
        <v>58.733600000000003</v>
      </c>
      <c r="D213">
        <v>139.60749000000001</v>
      </c>
      <c r="E213">
        <v>181052.9467</v>
      </c>
      <c r="F213">
        <v>812</v>
      </c>
    </row>
    <row r="214" spans="1:6" x14ac:dyDescent="0.45">
      <c r="A214">
        <v>213</v>
      </c>
      <c r="B214">
        <v>-34.268940000000001</v>
      </c>
      <c r="C214">
        <v>-128.57247000000001</v>
      </c>
      <c r="D214">
        <v>306.93416999999999</v>
      </c>
      <c r="E214">
        <v>229254.93650000001</v>
      </c>
      <c r="F214">
        <v>813</v>
      </c>
    </row>
    <row r="215" spans="1:6" x14ac:dyDescent="0.45">
      <c r="A215">
        <v>214</v>
      </c>
      <c r="B215">
        <v>67.883499999999998</v>
      </c>
      <c r="C215">
        <v>102.04498</v>
      </c>
      <c r="D215">
        <v>125.37953</v>
      </c>
      <c r="E215">
        <v>269764.81349999999</v>
      </c>
      <c r="F215">
        <v>814</v>
      </c>
    </row>
    <row r="216" spans="1:6" x14ac:dyDescent="0.45">
      <c r="A216">
        <v>215</v>
      </c>
      <c r="B216">
        <v>63.306890000000003</v>
      </c>
      <c r="C216">
        <v>-176.46136999999999</v>
      </c>
      <c r="D216">
        <v>198.92063999999999</v>
      </c>
      <c r="E216">
        <v>109197.39780000001</v>
      </c>
      <c r="F216">
        <v>815</v>
      </c>
    </row>
    <row r="217" spans="1:6" x14ac:dyDescent="0.45">
      <c r="A217">
        <v>216</v>
      </c>
      <c r="B217">
        <v>5.7434000000000003</v>
      </c>
      <c r="C217">
        <v>125.30200000000001</v>
      </c>
      <c r="D217">
        <v>97.137860000000003</v>
      </c>
      <c r="E217">
        <v>239202.74900000001</v>
      </c>
      <c r="F217">
        <v>816</v>
      </c>
    </row>
    <row r="218" spans="1:6" x14ac:dyDescent="0.45">
      <c r="A218">
        <v>217</v>
      </c>
      <c r="B218">
        <v>-21.29729</v>
      </c>
      <c r="C218">
        <v>-2.90787</v>
      </c>
      <c r="D218">
        <v>283.41816</v>
      </c>
      <c r="E218">
        <v>261627.51920000001</v>
      </c>
      <c r="F218">
        <v>817</v>
      </c>
    </row>
    <row r="219" spans="1:6" x14ac:dyDescent="0.45">
      <c r="A219">
        <v>218</v>
      </c>
      <c r="B219">
        <v>42.500529999999998</v>
      </c>
      <c r="C219">
        <v>89.240600000000001</v>
      </c>
      <c r="D219">
        <v>117.77651</v>
      </c>
      <c r="E219">
        <v>288789.2316</v>
      </c>
      <c r="F219">
        <v>818</v>
      </c>
    </row>
    <row r="220" spans="1:6" x14ac:dyDescent="0.45">
      <c r="A220">
        <v>219</v>
      </c>
      <c r="B220">
        <v>-43.726329999999997</v>
      </c>
      <c r="C220">
        <v>-162.36582999999999</v>
      </c>
      <c r="D220">
        <v>248.34501</v>
      </c>
      <c r="E220">
        <v>223681.27929999999</v>
      </c>
      <c r="F220">
        <v>819</v>
      </c>
    </row>
    <row r="221" spans="1:6" x14ac:dyDescent="0.45">
      <c r="A221">
        <v>220</v>
      </c>
      <c r="B221">
        <v>85.670190000000005</v>
      </c>
      <c r="C221">
        <v>-30.801480000000002</v>
      </c>
      <c r="D221">
        <v>310.89265999999998</v>
      </c>
      <c r="E221">
        <v>250297.2035</v>
      </c>
      <c r="F221">
        <v>820</v>
      </c>
    </row>
    <row r="222" spans="1:6" x14ac:dyDescent="0.45">
      <c r="A222">
        <v>221</v>
      </c>
      <c r="B222">
        <v>-42.551229999999997</v>
      </c>
      <c r="C222">
        <v>7.8101500000000001</v>
      </c>
      <c r="D222">
        <v>321.21706</v>
      </c>
      <c r="E222">
        <v>117917.5376</v>
      </c>
      <c r="F222">
        <v>821</v>
      </c>
    </row>
    <row r="223" spans="1:6" x14ac:dyDescent="0.45">
      <c r="A223">
        <v>222</v>
      </c>
      <c r="B223">
        <v>81.664879999999997</v>
      </c>
      <c r="C223">
        <v>172.62612999999999</v>
      </c>
      <c r="D223">
        <v>326.02055000000001</v>
      </c>
      <c r="E223">
        <v>236250.2966</v>
      </c>
      <c r="F223">
        <v>822</v>
      </c>
    </row>
    <row r="224" spans="1:6" x14ac:dyDescent="0.45">
      <c r="A224">
        <v>223</v>
      </c>
      <c r="B224">
        <v>-67.322550000000007</v>
      </c>
      <c r="C224">
        <v>144.511</v>
      </c>
      <c r="D224">
        <v>168.7217</v>
      </c>
      <c r="E224">
        <v>152724.31289999999</v>
      </c>
      <c r="F224">
        <v>823</v>
      </c>
    </row>
    <row r="225" spans="1:6" x14ac:dyDescent="0.45">
      <c r="A225">
        <v>224</v>
      </c>
      <c r="B225">
        <v>-36.309139999999999</v>
      </c>
      <c r="C225">
        <v>-105.28355000000001</v>
      </c>
      <c r="D225">
        <v>238.57171</v>
      </c>
      <c r="E225">
        <v>140330.49110000001</v>
      </c>
      <c r="F225">
        <v>824</v>
      </c>
    </row>
    <row r="226" spans="1:6" x14ac:dyDescent="0.45">
      <c r="A226">
        <v>225</v>
      </c>
      <c r="B226">
        <v>41.576300000000003</v>
      </c>
      <c r="C226">
        <v>54.880719999999997</v>
      </c>
      <c r="D226">
        <v>302.06475</v>
      </c>
      <c r="E226">
        <v>108131.13069999999</v>
      </c>
      <c r="F226">
        <v>825</v>
      </c>
    </row>
    <row r="227" spans="1:6" x14ac:dyDescent="0.45">
      <c r="A227">
        <v>226</v>
      </c>
      <c r="B227">
        <v>56.360080000000004</v>
      </c>
      <c r="C227">
        <v>-36.270580000000002</v>
      </c>
      <c r="D227">
        <v>305.72883999999999</v>
      </c>
      <c r="E227">
        <v>234979.94039999999</v>
      </c>
      <c r="F227">
        <v>826</v>
      </c>
    </row>
    <row r="228" spans="1:6" x14ac:dyDescent="0.45">
      <c r="A228">
        <v>227</v>
      </c>
      <c r="B228">
        <v>74.583179999999999</v>
      </c>
      <c r="C228">
        <v>-170.44665000000001</v>
      </c>
      <c r="D228">
        <v>223.96682000000001</v>
      </c>
      <c r="E228">
        <v>221205.2267</v>
      </c>
      <c r="F228">
        <v>827</v>
      </c>
    </row>
    <row r="229" spans="1:6" x14ac:dyDescent="0.45">
      <c r="A229">
        <v>228</v>
      </c>
      <c r="B229">
        <v>0.32369999999999999</v>
      </c>
      <c r="C229">
        <v>-32.251750000000001</v>
      </c>
      <c r="D229">
        <v>218.91633999999999</v>
      </c>
      <c r="E229">
        <v>77287.303799999994</v>
      </c>
      <c r="F229">
        <v>828</v>
      </c>
    </row>
    <row r="230" spans="1:6" x14ac:dyDescent="0.45">
      <c r="A230">
        <v>229</v>
      </c>
      <c r="B230">
        <v>-84.848879999999994</v>
      </c>
      <c r="C230">
        <v>79.329400000000007</v>
      </c>
      <c r="D230">
        <v>356.97872999999998</v>
      </c>
      <c r="E230">
        <v>206909.5417</v>
      </c>
      <c r="F230">
        <v>829</v>
      </c>
    </row>
    <row r="231" spans="1:6" x14ac:dyDescent="0.45">
      <c r="A231">
        <v>230</v>
      </c>
      <c r="B231">
        <v>-22.447389999999999</v>
      </c>
      <c r="C231">
        <v>61.43526</v>
      </c>
      <c r="D231">
        <v>180.12512000000001</v>
      </c>
      <c r="E231">
        <v>55374.978499999997</v>
      </c>
      <c r="F231">
        <v>830</v>
      </c>
    </row>
    <row r="232" spans="1:6" x14ac:dyDescent="0.45">
      <c r="A232">
        <v>231</v>
      </c>
      <c r="B232">
        <v>7.9348999999999998</v>
      </c>
      <c r="C232">
        <v>135.13274000000001</v>
      </c>
      <c r="D232">
        <v>104.66131</v>
      </c>
      <c r="E232">
        <v>19205.576300000001</v>
      </c>
      <c r="F232">
        <v>831</v>
      </c>
    </row>
    <row r="233" spans="1:6" x14ac:dyDescent="0.45">
      <c r="A233">
        <v>232</v>
      </c>
      <c r="B233">
        <v>52.739800000000002</v>
      </c>
      <c r="C233">
        <v>-104.9357</v>
      </c>
      <c r="D233">
        <v>311.80421000000001</v>
      </c>
      <c r="E233">
        <v>287624.93400000001</v>
      </c>
      <c r="F233">
        <v>832</v>
      </c>
    </row>
    <row r="234" spans="1:6" x14ac:dyDescent="0.45">
      <c r="A234">
        <v>233</v>
      </c>
      <c r="B234">
        <v>-50.593969999999999</v>
      </c>
      <c r="C234">
        <v>99.317189999999997</v>
      </c>
      <c r="D234">
        <v>5.0808499999999999</v>
      </c>
      <c r="E234">
        <v>28140.0406</v>
      </c>
      <c r="F234">
        <v>833</v>
      </c>
    </row>
    <row r="235" spans="1:6" x14ac:dyDescent="0.45">
      <c r="A235">
        <v>234</v>
      </c>
      <c r="B235">
        <v>-25.973269999999999</v>
      </c>
      <c r="C235">
        <v>-17.925370000000001</v>
      </c>
      <c r="D235">
        <v>2.7909299999999999</v>
      </c>
      <c r="E235">
        <v>174600.7726</v>
      </c>
      <c r="F235">
        <v>834</v>
      </c>
    </row>
    <row r="236" spans="1:6" x14ac:dyDescent="0.45">
      <c r="A236">
        <v>235</v>
      </c>
      <c r="B236">
        <v>82.774640000000005</v>
      </c>
      <c r="C236">
        <v>152.99755999999999</v>
      </c>
      <c r="D236">
        <v>335.66955000000002</v>
      </c>
      <c r="E236">
        <v>118249.6508</v>
      </c>
      <c r="F236">
        <v>835</v>
      </c>
    </row>
    <row r="237" spans="1:6" x14ac:dyDescent="0.45">
      <c r="A237">
        <v>236</v>
      </c>
      <c r="B237">
        <v>-39.776350000000001</v>
      </c>
      <c r="C237">
        <v>1.72333</v>
      </c>
      <c r="D237">
        <v>5.2405499999999998</v>
      </c>
      <c r="E237">
        <v>199578.12959999999</v>
      </c>
      <c r="F237">
        <v>836</v>
      </c>
    </row>
    <row r="238" spans="1:6" x14ac:dyDescent="0.45">
      <c r="A238">
        <v>237</v>
      </c>
      <c r="B238">
        <v>-88.795199999999994</v>
      </c>
      <c r="C238">
        <v>-50.071170000000002</v>
      </c>
      <c r="D238">
        <v>190.27211</v>
      </c>
      <c r="E238">
        <v>12571.034600000001</v>
      </c>
      <c r="F238">
        <v>837</v>
      </c>
    </row>
    <row r="239" spans="1:6" x14ac:dyDescent="0.45">
      <c r="A239">
        <v>238</v>
      </c>
      <c r="B239">
        <v>60.718339999999998</v>
      </c>
      <c r="C239">
        <v>-70.369810000000001</v>
      </c>
      <c r="D239">
        <v>35.957909999999998</v>
      </c>
      <c r="E239">
        <v>207268.5889</v>
      </c>
      <c r="F239">
        <v>838</v>
      </c>
    </row>
    <row r="240" spans="1:6" x14ac:dyDescent="0.45">
      <c r="A240">
        <v>239</v>
      </c>
      <c r="B240">
        <v>-12.41427</v>
      </c>
      <c r="C240">
        <v>-79.374200000000002</v>
      </c>
      <c r="D240">
        <v>103.33063</v>
      </c>
      <c r="E240">
        <v>45876.0173</v>
      </c>
      <c r="F240">
        <v>839</v>
      </c>
    </row>
    <row r="241" spans="1:6" x14ac:dyDescent="0.45">
      <c r="A241">
        <v>240</v>
      </c>
      <c r="B241">
        <v>-7.6498100000000004</v>
      </c>
      <c r="C241">
        <v>-170.84107</v>
      </c>
      <c r="D241">
        <v>244.39635999999999</v>
      </c>
      <c r="E241">
        <v>97962.3079</v>
      </c>
      <c r="F241">
        <v>840</v>
      </c>
    </row>
    <row r="242" spans="1:6" x14ac:dyDescent="0.45">
      <c r="A242">
        <v>241</v>
      </c>
      <c r="B242">
        <v>-19.262889999999999</v>
      </c>
      <c r="C242">
        <v>-114.08077</v>
      </c>
      <c r="D242">
        <v>207.94067000000001</v>
      </c>
      <c r="E242">
        <v>183912.6581</v>
      </c>
      <c r="F242">
        <v>841</v>
      </c>
    </row>
    <row r="243" spans="1:6" x14ac:dyDescent="0.45">
      <c r="A243">
        <v>242</v>
      </c>
      <c r="B243">
        <v>85.425820000000002</v>
      </c>
      <c r="C243">
        <v>51.507939999999998</v>
      </c>
      <c r="D243">
        <v>309.94004999999999</v>
      </c>
      <c r="E243">
        <v>182734.12549999999</v>
      </c>
      <c r="F243">
        <v>842</v>
      </c>
    </row>
    <row r="244" spans="1:6" x14ac:dyDescent="0.45">
      <c r="A244">
        <v>243</v>
      </c>
      <c r="B244">
        <v>-73.406419999999997</v>
      </c>
      <c r="C244">
        <v>-147.40089</v>
      </c>
      <c r="D244">
        <v>134.14331000000001</v>
      </c>
      <c r="E244">
        <v>25367.8884</v>
      </c>
      <c r="F244">
        <v>843</v>
      </c>
    </row>
    <row r="245" spans="1:6" x14ac:dyDescent="0.45">
      <c r="A245">
        <v>244</v>
      </c>
      <c r="B245">
        <v>-17.195329999999998</v>
      </c>
      <c r="C245">
        <v>-155.57432</v>
      </c>
      <c r="D245">
        <v>134.59263999999999</v>
      </c>
      <c r="E245">
        <v>159167.3683</v>
      </c>
      <c r="F245">
        <v>844</v>
      </c>
    </row>
    <row r="246" spans="1:6" x14ac:dyDescent="0.45">
      <c r="A246">
        <v>245</v>
      </c>
      <c r="B246">
        <v>-85.787790000000001</v>
      </c>
      <c r="C246">
        <v>173.88919999999999</v>
      </c>
      <c r="D246">
        <v>243.84408999999999</v>
      </c>
      <c r="E246">
        <v>292098.01140000002</v>
      </c>
      <c r="F246">
        <v>845</v>
      </c>
    </row>
    <row r="247" spans="1:6" x14ac:dyDescent="0.45">
      <c r="A247">
        <v>246</v>
      </c>
      <c r="B247">
        <v>64.4529</v>
      </c>
      <c r="C247">
        <v>130.70177000000001</v>
      </c>
      <c r="D247">
        <v>324.40525000000002</v>
      </c>
      <c r="E247">
        <v>136302.18700000001</v>
      </c>
      <c r="F247">
        <v>846</v>
      </c>
    </row>
    <row r="248" spans="1:6" x14ac:dyDescent="0.45">
      <c r="A248">
        <v>247</v>
      </c>
      <c r="B248">
        <v>-36.730919999999998</v>
      </c>
      <c r="C248">
        <v>62.2044</v>
      </c>
      <c r="D248">
        <v>191.80562</v>
      </c>
      <c r="E248">
        <v>90021.128100000002</v>
      </c>
      <c r="F248">
        <v>847</v>
      </c>
    </row>
    <row r="249" spans="1:6" x14ac:dyDescent="0.45">
      <c r="A249">
        <v>248</v>
      </c>
      <c r="B249">
        <v>-36.426609999999997</v>
      </c>
      <c r="C249">
        <v>97.364329999999995</v>
      </c>
      <c r="D249">
        <v>155.47677999999999</v>
      </c>
      <c r="E249">
        <v>34078.6319</v>
      </c>
      <c r="F249">
        <v>848</v>
      </c>
    </row>
    <row r="250" spans="1:6" x14ac:dyDescent="0.45">
      <c r="A250">
        <v>249</v>
      </c>
      <c r="B250">
        <v>-30.062360000000002</v>
      </c>
      <c r="C250">
        <v>120.28981</v>
      </c>
      <c r="D250">
        <v>351.96325000000002</v>
      </c>
      <c r="E250">
        <v>72338.909400000004</v>
      </c>
      <c r="F250">
        <v>849</v>
      </c>
    </row>
    <row r="251" spans="1:6" x14ac:dyDescent="0.45">
      <c r="A251">
        <v>250</v>
      </c>
      <c r="B251">
        <v>-41.601529999999997</v>
      </c>
      <c r="C251">
        <v>-126.05842</v>
      </c>
      <c r="D251">
        <v>84.820650000000001</v>
      </c>
      <c r="E251">
        <v>114948.1189</v>
      </c>
      <c r="F251">
        <v>850</v>
      </c>
    </row>
    <row r="252" spans="1:6" x14ac:dyDescent="0.45">
      <c r="A252">
        <v>251</v>
      </c>
      <c r="B252">
        <v>-58.229199999999999</v>
      </c>
      <c r="C252">
        <v>-22.044229999999999</v>
      </c>
      <c r="D252">
        <v>61.329009999999997</v>
      </c>
      <c r="E252">
        <v>12919.8554</v>
      </c>
      <c r="F252">
        <v>851</v>
      </c>
    </row>
    <row r="253" spans="1:6" x14ac:dyDescent="0.45">
      <c r="A253">
        <v>252</v>
      </c>
      <c r="B253">
        <v>79.469350000000006</v>
      </c>
      <c r="C253">
        <v>-49.015509999999999</v>
      </c>
      <c r="D253">
        <v>233.84180000000001</v>
      </c>
      <c r="E253">
        <v>266034.81579999998</v>
      </c>
      <c r="F253">
        <v>852</v>
      </c>
    </row>
    <row r="254" spans="1:6" x14ac:dyDescent="0.45">
      <c r="A254">
        <v>253</v>
      </c>
      <c r="B254">
        <v>-66.508170000000007</v>
      </c>
      <c r="C254">
        <v>162.89202</v>
      </c>
      <c r="D254">
        <v>271.56639000000001</v>
      </c>
      <c r="E254">
        <v>36730.163999999997</v>
      </c>
      <c r="F254">
        <v>853</v>
      </c>
    </row>
    <row r="255" spans="1:6" x14ac:dyDescent="0.45">
      <c r="A255">
        <v>254</v>
      </c>
      <c r="B255">
        <v>-89.068039999999996</v>
      </c>
      <c r="C255">
        <v>137.26307</v>
      </c>
      <c r="D255">
        <v>188.14599999999999</v>
      </c>
      <c r="E255">
        <v>195008.64120000001</v>
      </c>
      <c r="F255">
        <v>854</v>
      </c>
    </row>
    <row r="256" spans="1:6" x14ac:dyDescent="0.45">
      <c r="A256">
        <v>255</v>
      </c>
      <c r="B256">
        <v>27.484500000000001</v>
      </c>
      <c r="C256">
        <v>-151.23648</v>
      </c>
      <c r="D256">
        <v>176.18144000000001</v>
      </c>
      <c r="E256">
        <v>253855.41510000001</v>
      </c>
      <c r="F256">
        <v>855</v>
      </c>
    </row>
    <row r="257" spans="1:6" x14ac:dyDescent="0.45">
      <c r="A257">
        <v>256</v>
      </c>
      <c r="B257">
        <v>-67.861440000000002</v>
      </c>
      <c r="C257">
        <v>45.040439999999997</v>
      </c>
      <c r="D257">
        <v>47.127630000000003</v>
      </c>
      <c r="E257">
        <v>132081.4932</v>
      </c>
      <c r="F257">
        <v>856</v>
      </c>
    </row>
    <row r="258" spans="1:6" x14ac:dyDescent="0.45">
      <c r="A258">
        <v>257</v>
      </c>
      <c r="B258">
        <v>-15.984220000000001</v>
      </c>
      <c r="C258">
        <v>-14.593719999999999</v>
      </c>
      <c r="D258">
        <v>341.59005000000002</v>
      </c>
      <c r="E258">
        <v>170365.54819999999</v>
      </c>
      <c r="F258">
        <v>857</v>
      </c>
    </row>
    <row r="259" spans="1:6" x14ac:dyDescent="0.45">
      <c r="A259">
        <v>258</v>
      </c>
      <c r="B259">
        <v>75.715829999999997</v>
      </c>
      <c r="C259">
        <v>67.995959999999997</v>
      </c>
      <c r="D259">
        <v>45.207999999999998</v>
      </c>
      <c r="E259">
        <v>169355.3083</v>
      </c>
      <c r="F259">
        <v>858</v>
      </c>
    </row>
    <row r="260" spans="1:6" x14ac:dyDescent="0.45">
      <c r="A260">
        <v>259</v>
      </c>
      <c r="B260">
        <v>30.255659999999999</v>
      </c>
      <c r="C260">
        <v>54.106180000000002</v>
      </c>
      <c r="D260">
        <v>40.88852</v>
      </c>
      <c r="E260">
        <v>34280.7667</v>
      </c>
      <c r="F260">
        <v>859</v>
      </c>
    </row>
    <row r="261" spans="1:6" x14ac:dyDescent="0.45">
      <c r="A261">
        <v>260</v>
      </c>
      <c r="B261">
        <v>55.852899999999998</v>
      </c>
      <c r="C261">
        <v>-102.58091</v>
      </c>
      <c r="D261">
        <v>2.56027</v>
      </c>
      <c r="E261">
        <v>95631.720499999996</v>
      </c>
      <c r="F261">
        <v>860</v>
      </c>
    </row>
    <row r="262" spans="1:6" x14ac:dyDescent="0.45">
      <c r="A262">
        <v>261</v>
      </c>
      <c r="B262">
        <v>-18.257709999999999</v>
      </c>
      <c r="C262">
        <v>-67.428340000000006</v>
      </c>
      <c r="D262">
        <v>219.79338999999999</v>
      </c>
      <c r="E262">
        <v>103399.0039</v>
      </c>
      <c r="F262">
        <v>861</v>
      </c>
    </row>
    <row r="263" spans="1:6" x14ac:dyDescent="0.45">
      <c r="A263">
        <v>262</v>
      </c>
      <c r="B263">
        <v>57.290219999999998</v>
      </c>
      <c r="C263">
        <v>-50.804630000000003</v>
      </c>
      <c r="D263">
        <v>139.18638999999999</v>
      </c>
      <c r="E263">
        <v>198631.8469</v>
      </c>
      <c r="F263">
        <v>862</v>
      </c>
    </row>
    <row r="264" spans="1:6" x14ac:dyDescent="0.45">
      <c r="A264">
        <v>263</v>
      </c>
      <c r="B264">
        <v>-3.7221899999999999</v>
      </c>
      <c r="C264">
        <v>-31.04684</v>
      </c>
      <c r="D264">
        <v>4.0206900000000001</v>
      </c>
      <c r="E264">
        <v>165946.44219999999</v>
      </c>
      <c r="F264">
        <v>863</v>
      </c>
    </row>
    <row r="265" spans="1:6" x14ac:dyDescent="0.45">
      <c r="A265">
        <v>264</v>
      </c>
      <c r="B265">
        <v>24.50461</v>
      </c>
      <c r="C265">
        <v>-130.68146999999999</v>
      </c>
      <c r="D265">
        <v>53.574210000000001</v>
      </c>
      <c r="E265">
        <v>177415.48389999999</v>
      </c>
      <c r="F265">
        <v>864</v>
      </c>
    </row>
    <row r="266" spans="1:6" x14ac:dyDescent="0.45">
      <c r="A266">
        <v>265</v>
      </c>
      <c r="B266">
        <v>-49.103529999999999</v>
      </c>
      <c r="C266">
        <v>-34.437240000000003</v>
      </c>
      <c r="D266">
        <v>123.05946</v>
      </c>
      <c r="E266">
        <v>100912.3855</v>
      </c>
      <c r="F266">
        <v>865</v>
      </c>
    </row>
    <row r="267" spans="1:6" x14ac:dyDescent="0.45">
      <c r="A267">
        <v>266</v>
      </c>
      <c r="B267">
        <v>78.33399</v>
      </c>
      <c r="C267">
        <v>15.32395</v>
      </c>
      <c r="D267">
        <v>106.19398</v>
      </c>
      <c r="E267">
        <v>165257.90979999999</v>
      </c>
      <c r="F267">
        <v>866</v>
      </c>
    </row>
    <row r="268" spans="1:6" x14ac:dyDescent="0.45">
      <c r="A268">
        <v>267</v>
      </c>
      <c r="B268">
        <v>-17.395489999999999</v>
      </c>
      <c r="C268">
        <v>-64.608440000000002</v>
      </c>
      <c r="D268">
        <v>52.176949999999998</v>
      </c>
      <c r="E268">
        <v>104705.3213</v>
      </c>
      <c r="F268">
        <v>867</v>
      </c>
    </row>
    <row r="269" spans="1:6" x14ac:dyDescent="0.45">
      <c r="A269">
        <v>268</v>
      </c>
      <c r="B269">
        <v>25.40428</v>
      </c>
      <c r="C269">
        <v>92.048240000000007</v>
      </c>
      <c r="D269">
        <v>193.15189000000001</v>
      </c>
      <c r="E269">
        <v>186534.3131</v>
      </c>
      <c r="F269">
        <v>868</v>
      </c>
    </row>
    <row r="270" spans="1:6" x14ac:dyDescent="0.45">
      <c r="A270">
        <v>269</v>
      </c>
      <c r="B270">
        <v>-84.760810000000006</v>
      </c>
      <c r="C270">
        <v>-141.00604000000001</v>
      </c>
      <c r="D270">
        <v>72.059640000000002</v>
      </c>
      <c r="E270">
        <v>144966.76180000001</v>
      </c>
      <c r="F270">
        <v>869</v>
      </c>
    </row>
    <row r="271" spans="1:6" x14ac:dyDescent="0.45">
      <c r="A271">
        <v>270</v>
      </c>
      <c r="B271">
        <v>53.348779999999998</v>
      </c>
      <c r="C271">
        <v>44.853169999999999</v>
      </c>
      <c r="D271">
        <v>316.99038999999999</v>
      </c>
      <c r="E271">
        <v>130323.55349999999</v>
      </c>
      <c r="F271">
        <v>870</v>
      </c>
    </row>
    <row r="272" spans="1:6" x14ac:dyDescent="0.45">
      <c r="A272">
        <v>271</v>
      </c>
      <c r="B272">
        <v>13.801080000000001</v>
      </c>
      <c r="C272">
        <v>78.251080000000002</v>
      </c>
      <c r="D272">
        <v>213.95029</v>
      </c>
      <c r="E272">
        <v>204439.66</v>
      </c>
      <c r="F272">
        <v>871</v>
      </c>
    </row>
    <row r="273" spans="1:6" x14ac:dyDescent="0.45">
      <c r="A273">
        <v>272</v>
      </c>
      <c r="B273">
        <v>-51.927579999999999</v>
      </c>
      <c r="C273">
        <v>35.426679999999998</v>
      </c>
      <c r="D273">
        <v>0.50551000000000001</v>
      </c>
      <c r="E273">
        <v>178801.56409999999</v>
      </c>
      <c r="F273">
        <v>872</v>
      </c>
    </row>
    <row r="274" spans="1:6" x14ac:dyDescent="0.45">
      <c r="A274">
        <v>273</v>
      </c>
      <c r="B274">
        <v>-17.479710000000001</v>
      </c>
      <c r="C274">
        <v>-68.211600000000004</v>
      </c>
      <c r="D274">
        <v>357.62948</v>
      </c>
      <c r="E274">
        <v>83198.181500000006</v>
      </c>
      <c r="F274">
        <v>873</v>
      </c>
    </row>
    <row r="275" spans="1:6" x14ac:dyDescent="0.45">
      <c r="A275">
        <v>274</v>
      </c>
      <c r="B275">
        <v>7.2005299999999997</v>
      </c>
      <c r="C275">
        <v>115.12662</v>
      </c>
      <c r="D275">
        <v>69.900729999999996</v>
      </c>
      <c r="E275">
        <v>274779.46269999997</v>
      </c>
      <c r="F275">
        <v>874</v>
      </c>
    </row>
    <row r="276" spans="1:6" x14ac:dyDescent="0.45">
      <c r="A276">
        <v>275</v>
      </c>
      <c r="B276">
        <v>49.770699999999998</v>
      </c>
      <c r="C276">
        <v>90.89958</v>
      </c>
      <c r="D276">
        <v>61.03425</v>
      </c>
      <c r="E276">
        <v>110341.4342</v>
      </c>
      <c r="F276">
        <v>875</v>
      </c>
    </row>
    <row r="277" spans="1:6" x14ac:dyDescent="0.45">
      <c r="A277">
        <v>276</v>
      </c>
      <c r="B277">
        <v>-27.150790000000001</v>
      </c>
      <c r="C277">
        <v>96.234210000000004</v>
      </c>
      <c r="D277">
        <v>316.70879000000002</v>
      </c>
      <c r="E277">
        <v>193300.0251</v>
      </c>
      <c r="F277">
        <v>876</v>
      </c>
    </row>
    <row r="278" spans="1:6" x14ac:dyDescent="0.45">
      <c r="A278">
        <v>277</v>
      </c>
      <c r="B278">
        <v>-82.286060000000006</v>
      </c>
      <c r="C278">
        <v>49.893050000000002</v>
      </c>
      <c r="D278">
        <v>22.143830000000001</v>
      </c>
      <c r="E278">
        <v>77243.746899999998</v>
      </c>
      <c r="F278">
        <v>877</v>
      </c>
    </row>
    <row r="279" spans="1:6" x14ac:dyDescent="0.45">
      <c r="A279">
        <v>278</v>
      </c>
      <c r="B279">
        <v>-38.246949999999998</v>
      </c>
      <c r="C279">
        <v>-76.409300000000002</v>
      </c>
      <c r="D279">
        <v>296.10725000000002</v>
      </c>
      <c r="E279">
        <v>288295.25770000002</v>
      </c>
      <c r="F279">
        <v>878</v>
      </c>
    </row>
    <row r="280" spans="1:6" x14ac:dyDescent="0.45">
      <c r="A280">
        <v>279</v>
      </c>
      <c r="B280">
        <v>-9.3842300000000005</v>
      </c>
      <c r="C280">
        <v>168.07739000000001</v>
      </c>
      <c r="D280">
        <v>253.15599</v>
      </c>
      <c r="E280">
        <v>292025.33350000001</v>
      </c>
      <c r="F280">
        <v>879</v>
      </c>
    </row>
    <row r="281" spans="1:6" x14ac:dyDescent="0.45">
      <c r="A281">
        <v>280</v>
      </c>
      <c r="B281">
        <v>71.533760000000001</v>
      </c>
      <c r="C281">
        <v>55.158099999999997</v>
      </c>
      <c r="D281">
        <v>141.4316</v>
      </c>
      <c r="E281">
        <v>222200.34969999999</v>
      </c>
      <c r="F281">
        <v>880</v>
      </c>
    </row>
    <row r="282" spans="1:6" x14ac:dyDescent="0.45">
      <c r="A282">
        <v>281</v>
      </c>
      <c r="B282">
        <v>15.882110000000001</v>
      </c>
      <c r="C282">
        <v>19.712569999999999</v>
      </c>
      <c r="D282">
        <v>115.18104</v>
      </c>
      <c r="E282">
        <v>177401.35699999999</v>
      </c>
      <c r="F282">
        <v>881</v>
      </c>
    </row>
    <row r="283" spans="1:6" x14ac:dyDescent="0.45">
      <c r="A283">
        <v>282</v>
      </c>
      <c r="B283">
        <v>-5.5233600000000003</v>
      </c>
      <c r="C283">
        <v>64.698269999999994</v>
      </c>
      <c r="D283">
        <v>166.57232999999999</v>
      </c>
      <c r="E283">
        <v>197105.63070000001</v>
      </c>
      <c r="F283">
        <v>882</v>
      </c>
    </row>
    <row r="284" spans="1:6" x14ac:dyDescent="0.45">
      <c r="A284">
        <v>283</v>
      </c>
      <c r="B284">
        <v>-1.2930000000000001E-2</v>
      </c>
      <c r="C284">
        <v>-152.20808</v>
      </c>
      <c r="D284">
        <v>52.045490000000001</v>
      </c>
      <c r="E284">
        <v>262201.39919999999</v>
      </c>
      <c r="F284">
        <v>883</v>
      </c>
    </row>
    <row r="285" spans="1:6" x14ac:dyDescent="0.45">
      <c r="A285">
        <v>284</v>
      </c>
      <c r="B285">
        <v>-44.229190000000003</v>
      </c>
      <c r="C285">
        <v>5.6013099999999998</v>
      </c>
      <c r="D285">
        <v>179.15088</v>
      </c>
      <c r="E285">
        <v>286129.73320000002</v>
      </c>
      <c r="F285">
        <v>884</v>
      </c>
    </row>
    <row r="286" spans="1:6" x14ac:dyDescent="0.45">
      <c r="A286">
        <v>285</v>
      </c>
      <c r="B286">
        <v>-39.063740000000003</v>
      </c>
      <c r="C286">
        <v>127.23394999999999</v>
      </c>
      <c r="D286">
        <v>46.69359</v>
      </c>
      <c r="E286">
        <v>88781.474700000006</v>
      </c>
      <c r="F286">
        <v>885</v>
      </c>
    </row>
    <row r="287" spans="1:6" x14ac:dyDescent="0.45">
      <c r="A287">
        <v>286</v>
      </c>
      <c r="B287">
        <v>-30.410959999999999</v>
      </c>
      <c r="C287">
        <v>169.83555999999999</v>
      </c>
      <c r="D287">
        <v>235.24044000000001</v>
      </c>
      <c r="E287">
        <v>25934.422999999999</v>
      </c>
      <c r="F287">
        <v>886</v>
      </c>
    </row>
    <row r="288" spans="1:6" x14ac:dyDescent="0.45">
      <c r="A288">
        <v>287</v>
      </c>
      <c r="B288">
        <v>13.316839999999999</v>
      </c>
      <c r="C288">
        <v>3.9E-2</v>
      </c>
      <c r="D288">
        <v>45.356749999999998</v>
      </c>
      <c r="E288">
        <v>165847.5191</v>
      </c>
      <c r="F288">
        <v>887</v>
      </c>
    </row>
    <row r="289" spans="1:6" x14ac:dyDescent="0.45">
      <c r="A289">
        <v>288</v>
      </c>
      <c r="B289">
        <v>-54.13944</v>
      </c>
      <c r="C289">
        <v>-135.55312000000001</v>
      </c>
      <c r="D289">
        <v>349.81680999999998</v>
      </c>
      <c r="E289">
        <v>135935.63690000001</v>
      </c>
      <c r="F289">
        <v>888</v>
      </c>
    </row>
    <row r="290" spans="1:6" x14ac:dyDescent="0.45">
      <c r="A290">
        <v>289</v>
      </c>
      <c r="B290">
        <v>-11.50356</v>
      </c>
      <c r="C290">
        <v>-79.062759999999997</v>
      </c>
      <c r="D290">
        <v>9.8500399999999999</v>
      </c>
      <c r="E290">
        <v>8165.8377</v>
      </c>
      <c r="F290">
        <v>889</v>
      </c>
    </row>
    <row r="291" spans="1:6" x14ac:dyDescent="0.45">
      <c r="A291">
        <v>290</v>
      </c>
      <c r="B291">
        <v>63.859450000000002</v>
      </c>
      <c r="C291">
        <v>-85.935820000000007</v>
      </c>
      <c r="D291">
        <v>142.18870000000001</v>
      </c>
      <c r="E291">
        <v>297038.68729999999</v>
      </c>
      <c r="F291">
        <v>890</v>
      </c>
    </row>
    <row r="292" spans="1:6" x14ac:dyDescent="0.45">
      <c r="A292">
        <v>291</v>
      </c>
      <c r="B292">
        <v>79.603430000000003</v>
      </c>
      <c r="C292">
        <v>-25.198319999999999</v>
      </c>
      <c r="D292">
        <v>142.81933000000001</v>
      </c>
      <c r="E292">
        <v>20162.4198</v>
      </c>
      <c r="F292">
        <v>891</v>
      </c>
    </row>
    <row r="293" spans="1:6" x14ac:dyDescent="0.45">
      <c r="A293">
        <v>292</v>
      </c>
      <c r="B293">
        <v>-64.213909999999998</v>
      </c>
      <c r="C293">
        <v>107.39639</v>
      </c>
      <c r="D293">
        <v>84.293390000000002</v>
      </c>
      <c r="E293">
        <v>164584.4406</v>
      </c>
      <c r="F293">
        <v>892</v>
      </c>
    </row>
    <row r="294" spans="1:6" x14ac:dyDescent="0.45">
      <c r="A294">
        <v>293</v>
      </c>
      <c r="B294">
        <v>78.640919999999994</v>
      </c>
      <c r="C294">
        <v>-43.137920000000001</v>
      </c>
      <c r="D294">
        <v>339.28708</v>
      </c>
      <c r="E294">
        <v>38397.614699999998</v>
      </c>
      <c r="F294">
        <v>893</v>
      </c>
    </row>
    <row r="295" spans="1:6" x14ac:dyDescent="0.45">
      <c r="A295">
        <v>294</v>
      </c>
      <c r="B295">
        <v>-18.062360000000002</v>
      </c>
      <c r="C295">
        <v>-64.4589</v>
      </c>
      <c r="D295">
        <v>156.02377999999999</v>
      </c>
      <c r="E295">
        <v>215099.4129</v>
      </c>
      <c r="F295">
        <v>894</v>
      </c>
    </row>
    <row r="296" spans="1:6" x14ac:dyDescent="0.45">
      <c r="A296">
        <v>295</v>
      </c>
      <c r="B296">
        <v>77.103059999999999</v>
      </c>
      <c r="C296">
        <v>66.263689999999997</v>
      </c>
      <c r="D296">
        <v>297.70787999999999</v>
      </c>
      <c r="E296">
        <v>6297.3679000000002</v>
      </c>
      <c r="F296">
        <v>895</v>
      </c>
    </row>
    <row r="297" spans="1:6" x14ac:dyDescent="0.45">
      <c r="A297">
        <v>296</v>
      </c>
      <c r="B297">
        <v>54.81241</v>
      </c>
      <c r="C297">
        <v>-36.177729999999997</v>
      </c>
      <c r="D297">
        <v>341.52323000000001</v>
      </c>
      <c r="E297">
        <v>187751.1091</v>
      </c>
      <c r="F297">
        <v>896</v>
      </c>
    </row>
    <row r="298" spans="1:6" x14ac:dyDescent="0.45">
      <c r="A298">
        <v>297</v>
      </c>
      <c r="B298">
        <v>37.155099999999997</v>
      </c>
      <c r="C298">
        <v>175.12719999999999</v>
      </c>
      <c r="D298">
        <v>202.77239</v>
      </c>
      <c r="E298">
        <v>152425.64629999999</v>
      </c>
      <c r="F298">
        <v>897</v>
      </c>
    </row>
    <row r="299" spans="1:6" x14ac:dyDescent="0.45">
      <c r="A299">
        <v>298</v>
      </c>
      <c r="B299">
        <v>-77.082490000000007</v>
      </c>
      <c r="C299">
        <v>32.140450000000001</v>
      </c>
      <c r="D299">
        <v>201.11084</v>
      </c>
      <c r="E299">
        <v>110725.2023</v>
      </c>
      <c r="F299">
        <v>898</v>
      </c>
    </row>
    <row r="300" spans="1:6" x14ac:dyDescent="0.45">
      <c r="A300">
        <v>299</v>
      </c>
      <c r="B300">
        <v>-70.880790000000005</v>
      </c>
      <c r="C300">
        <v>-124.19826</v>
      </c>
      <c r="D300">
        <v>343.82002999999997</v>
      </c>
      <c r="E300">
        <v>71301.474900000001</v>
      </c>
      <c r="F300">
        <v>899</v>
      </c>
    </row>
    <row r="301" spans="1:6" x14ac:dyDescent="0.45">
      <c r="A301">
        <v>300</v>
      </c>
      <c r="B301">
        <v>56.882150000000003</v>
      </c>
      <c r="C301">
        <v>-12.01582</v>
      </c>
      <c r="D301">
        <v>74.446529999999996</v>
      </c>
      <c r="E301">
        <v>147375.0055</v>
      </c>
      <c r="F301">
        <v>900</v>
      </c>
    </row>
    <row r="302" spans="1:6" x14ac:dyDescent="0.45">
      <c r="A302">
        <v>301</v>
      </c>
      <c r="B302">
        <v>62.916879999999999</v>
      </c>
      <c r="C302">
        <v>114.59908</v>
      </c>
      <c r="D302">
        <v>54.045189999999998</v>
      </c>
      <c r="E302">
        <v>7257.9587000000001</v>
      </c>
      <c r="F302">
        <v>901</v>
      </c>
    </row>
    <row r="303" spans="1:6" x14ac:dyDescent="0.45">
      <c r="A303">
        <v>302</v>
      </c>
      <c r="B303">
        <v>31.286470000000001</v>
      </c>
      <c r="C303">
        <v>127.72828</v>
      </c>
      <c r="D303">
        <v>23.56521</v>
      </c>
      <c r="E303">
        <v>12132.3408</v>
      </c>
      <c r="F303">
        <v>902</v>
      </c>
    </row>
    <row r="304" spans="1:6" x14ac:dyDescent="0.45">
      <c r="A304">
        <v>303</v>
      </c>
      <c r="B304">
        <v>13.955679999999999</v>
      </c>
      <c r="C304">
        <v>106.92726999999999</v>
      </c>
      <c r="D304">
        <v>143.01515000000001</v>
      </c>
      <c r="E304">
        <v>1942.0318</v>
      </c>
      <c r="F304">
        <v>903</v>
      </c>
    </row>
    <row r="305" spans="1:6" x14ac:dyDescent="0.45">
      <c r="A305">
        <v>304</v>
      </c>
      <c r="B305">
        <v>48.459600000000002</v>
      </c>
      <c r="C305">
        <v>62.42924</v>
      </c>
      <c r="D305">
        <v>46.348959999999998</v>
      </c>
      <c r="E305">
        <v>17871.3066</v>
      </c>
      <c r="F305">
        <v>904</v>
      </c>
    </row>
    <row r="306" spans="1:6" x14ac:dyDescent="0.45">
      <c r="A306">
        <v>305</v>
      </c>
      <c r="B306">
        <v>-29.79008</v>
      </c>
      <c r="C306">
        <v>6.68893</v>
      </c>
      <c r="D306">
        <v>136.10297</v>
      </c>
      <c r="E306">
        <v>9537.8850000000002</v>
      </c>
      <c r="F306">
        <v>905</v>
      </c>
    </row>
    <row r="307" spans="1:6" x14ac:dyDescent="0.45">
      <c r="A307">
        <v>306</v>
      </c>
      <c r="B307">
        <v>50.317419999999998</v>
      </c>
      <c r="C307">
        <v>-59.62623</v>
      </c>
      <c r="D307">
        <v>355.24381</v>
      </c>
      <c r="E307">
        <v>22982.406299999999</v>
      </c>
      <c r="F307">
        <v>906</v>
      </c>
    </row>
    <row r="308" spans="1:6" x14ac:dyDescent="0.45">
      <c r="A308">
        <v>307</v>
      </c>
      <c r="B308">
        <v>-78.428160000000005</v>
      </c>
      <c r="C308">
        <v>39.337110000000003</v>
      </c>
      <c r="D308">
        <v>195.47834</v>
      </c>
      <c r="E308">
        <v>20848.2294</v>
      </c>
      <c r="F308">
        <v>907</v>
      </c>
    </row>
    <row r="309" spans="1:6" x14ac:dyDescent="0.45">
      <c r="A309">
        <v>308</v>
      </c>
      <c r="B309">
        <v>-59.35342</v>
      </c>
      <c r="C309">
        <v>-29.843499999999999</v>
      </c>
      <c r="D309">
        <v>69.971779999999995</v>
      </c>
      <c r="E309">
        <v>13206.8264</v>
      </c>
      <c r="F309">
        <v>908</v>
      </c>
    </row>
    <row r="310" spans="1:6" x14ac:dyDescent="0.45">
      <c r="A310">
        <v>309</v>
      </c>
      <c r="B310">
        <v>57.926810000000003</v>
      </c>
      <c r="C310">
        <v>-42.026730000000001</v>
      </c>
      <c r="D310">
        <v>318.43894999999998</v>
      </c>
      <c r="E310">
        <v>7221.5405000000001</v>
      </c>
      <c r="F310">
        <v>909</v>
      </c>
    </row>
    <row r="311" spans="1:6" x14ac:dyDescent="0.45">
      <c r="A311">
        <v>310</v>
      </c>
      <c r="B311">
        <v>12.99788</v>
      </c>
      <c r="C311">
        <v>-120.31726999999999</v>
      </c>
      <c r="D311">
        <v>88.075620000000001</v>
      </c>
      <c r="E311">
        <v>26715.8367</v>
      </c>
      <c r="F311">
        <v>910</v>
      </c>
    </row>
    <row r="312" spans="1:6" x14ac:dyDescent="0.45">
      <c r="A312">
        <v>311</v>
      </c>
      <c r="B312">
        <v>-18.429410000000001</v>
      </c>
      <c r="C312">
        <v>-87.414559999999994</v>
      </c>
      <c r="D312">
        <v>19.704820000000002</v>
      </c>
      <c r="E312">
        <v>2268.5140000000001</v>
      </c>
      <c r="F312">
        <v>911</v>
      </c>
    </row>
    <row r="313" spans="1:6" x14ac:dyDescent="0.45">
      <c r="A313">
        <v>312</v>
      </c>
      <c r="B313">
        <v>6.5839100000000004</v>
      </c>
      <c r="C313">
        <v>95.047150000000002</v>
      </c>
      <c r="D313">
        <v>352.29441000000003</v>
      </c>
      <c r="E313">
        <v>3493.4261999999999</v>
      </c>
      <c r="F313">
        <v>912</v>
      </c>
    </row>
    <row r="314" spans="1:6" x14ac:dyDescent="0.45">
      <c r="A314">
        <v>313</v>
      </c>
      <c r="B314">
        <v>76.157539999999997</v>
      </c>
      <c r="C314">
        <v>76.154849999999996</v>
      </c>
      <c r="D314">
        <v>122.24347</v>
      </c>
      <c r="E314">
        <v>28650.026600000001</v>
      </c>
      <c r="F314">
        <v>913</v>
      </c>
    </row>
    <row r="315" spans="1:6" x14ac:dyDescent="0.45">
      <c r="A315">
        <v>314</v>
      </c>
      <c r="B315">
        <v>-38.692169999999997</v>
      </c>
      <c r="C315">
        <v>11.741680000000001</v>
      </c>
      <c r="D315">
        <v>115.08647000000001</v>
      </c>
      <c r="E315">
        <v>17881.781599999998</v>
      </c>
      <c r="F315">
        <v>914</v>
      </c>
    </row>
    <row r="316" spans="1:6" x14ac:dyDescent="0.45">
      <c r="A316">
        <v>315</v>
      </c>
      <c r="B316">
        <v>7.6002900000000002</v>
      </c>
      <c r="C316">
        <v>-18.95205</v>
      </c>
      <c r="D316">
        <v>121.41288</v>
      </c>
      <c r="E316">
        <v>8602.7864000000009</v>
      </c>
      <c r="F316">
        <v>915</v>
      </c>
    </row>
    <row r="317" spans="1:6" x14ac:dyDescent="0.45">
      <c r="A317">
        <v>316</v>
      </c>
      <c r="B317">
        <v>8.7885799999999996</v>
      </c>
      <c r="C317">
        <v>-6.5092100000000004</v>
      </c>
      <c r="D317">
        <v>263.46775000000002</v>
      </c>
      <c r="E317">
        <v>4760.5142999999998</v>
      </c>
      <c r="F317">
        <v>916</v>
      </c>
    </row>
    <row r="318" spans="1:6" x14ac:dyDescent="0.45">
      <c r="A318">
        <v>317</v>
      </c>
      <c r="B318">
        <v>-18.837409999999998</v>
      </c>
      <c r="C318">
        <v>-21.42191</v>
      </c>
      <c r="D318">
        <v>76.472800000000007</v>
      </c>
      <c r="E318">
        <v>15629.453799999999</v>
      </c>
      <c r="F318">
        <v>917</v>
      </c>
    </row>
    <row r="319" spans="1:6" x14ac:dyDescent="0.45">
      <c r="A319">
        <v>318</v>
      </c>
      <c r="B319">
        <v>82.096909999999994</v>
      </c>
      <c r="C319">
        <v>-144.61358999999999</v>
      </c>
      <c r="D319">
        <v>56.097079999999998</v>
      </c>
      <c r="E319">
        <v>8482.1638000000003</v>
      </c>
      <c r="F319">
        <v>918</v>
      </c>
    </row>
    <row r="320" spans="1:6" x14ac:dyDescent="0.45">
      <c r="A320">
        <v>319</v>
      </c>
      <c r="B320">
        <v>-73.587190000000007</v>
      </c>
      <c r="C320">
        <v>64.883449999999996</v>
      </c>
      <c r="D320">
        <v>219.97379000000001</v>
      </c>
      <c r="E320">
        <v>5976.9780000000001</v>
      </c>
      <c r="F320">
        <v>919</v>
      </c>
    </row>
    <row r="321" spans="1:6" x14ac:dyDescent="0.45">
      <c r="A321">
        <v>320</v>
      </c>
      <c r="B321">
        <v>74.276669999999996</v>
      </c>
      <c r="C321">
        <v>11.632849999999999</v>
      </c>
      <c r="D321">
        <v>110.60079</v>
      </c>
      <c r="E321">
        <v>14930.198</v>
      </c>
      <c r="F321">
        <v>920</v>
      </c>
    </row>
    <row r="322" spans="1:6" x14ac:dyDescent="0.45">
      <c r="A322">
        <v>321</v>
      </c>
      <c r="B322">
        <v>87.329520000000002</v>
      </c>
      <c r="C322">
        <v>-60.50273</v>
      </c>
      <c r="D322">
        <v>262.91134</v>
      </c>
      <c r="E322">
        <v>4443.6885000000002</v>
      </c>
      <c r="F322">
        <v>921</v>
      </c>
    </row>
    <row r="323" spans="1:6" x14ac:dyDescent="0.45">
      <c r="A323">
        <v>322</v>
      </c>
      <c r="B323">
        <v>7.2256799999999997</v>
      </c>
      <c r="C323">
        <v>-156.59262000000001</v>
      </c>
      <c r="D323">
        <v>159.33009999999999</v>
      </c>
      <c r="E323">
        <v>2152.6453000000001</v>
      </c>
      <c r="F323">
        <v>922</v>
      </c>
    </row>
    <row r="324" spans="1:6" x14ac:dyDescent="0.45">
      <c r="A324">
        <v>323</v>
      </c>
      <c r="B324">
        <v>-75.23912</v>
      </c>
      <c r="C324">
        <v>149.93953999999999</v>
      </c>
      <c r="D324">
        <v>246.50832</v>
      </c>
      <c r="E324">
        <v>15120.408799999999</v>
      </c>
      <c r="F324">
        <v>923</v>
      </c>
    </row>
    <row r="325" spans="1:6" x14ac:dyDescent="0.45">
      <c r="A325">
        <v>324</v>
      </c>
      <c r="B325">
        <v>71.338549999999998</v>
      </c>
      <c r="C325">
        <v>72.222679999999997</v>
      </c>
      <c r="D325">
        <v>98.245189999999994</v>
      </c>
      <c r="E325">
        <v>25341.7575</v>
      </c>
      <c r="F325">
        <v>924</v>
      </c>
    </row>
    <row r="326" spans="1:6" x14ac:dyDescent="0.45">
      <c r="A326">
        <v>325</v>
      </c>
      <c r="B326">
        <v>-83.366630000000001</v>
      </c>
      <c r="C326">
        <v>39.498179999999998</v>
      </c>
      <c r="D326">
        <v>180.97749999999999</v>
      </c>
      <c r="E326">
        <v>3720.5039000000002</v>
      </c>
      <c r="F326">
        <v>925</v>
      </c>
    </row>
    <row r="327" spans="1:6" x14ac:dyDescent="0.45">
      <c r="A327">
        <v>326</v>
      </c>
      <c r="B327">
        <v>-8.4651200000000006</v>
      </c>
      <c r="C327">
        <v>172.90547000000001</v>
      </c>
      <c r="D327">
        <v>43.146749999999997</v>
      </c>
      <c r="E327">
        <v>6894.2614999999996</v>
      </c>
      <c r="F327">
        <v>926</v>
      </c>
    </row>
    <row r="328" spans="1:6" x14ac:dyDescent="0.45">
      <c r="A328">
        <v>327</v>
      </c>
      <c r="B328">
        <v>16.637</v>
      </c>
      <c r="C328">
        <v>15.36511</v>
      </c>
      <c r="D328">
        <v>13.22964</v>
      </c>
      <c r="E328">
        <v>19129.257399999999</v>
      </c>
      <c r="F328">
        <v>927</v>
      </c>
    </row>
    <row r="329" spans="1:6" x14ac:dyDescent="0.45">
      <c r="A329">
        <v>328</v>
      </c>
      <c r="B329">
        <v>37.150179999999999</v>
      </c>
      <c r="C329">
        <v>-8.9908400000000004</v>
      </c>
      <c r="D329">
        <v>315.87772999999999</v>
      </c>
      <c r="E329">
        <v>8139.16</v>
      </c>
      <c r="F329">
        <v>928</v>
      </c>
    </row>
    <row r="330" spans="1:6" x14ac:dyDescent="0.45">
      <c r="A330">
        <v>329</v>
      </c>
      <c r="B330">
        <v>-32.96116</v>
      </c>
      <c r="C330">
        <v>166.1567</v>
      </c>
      <c r="D330">
        <v>34.893540000000002</v>
      </c>
      <c r="E330">
        <v>10194.331099999999</v>
      </c>
      <c r="F330">
        <v>929</v>
      </c>
    </row>
    <row r="331" spans="1:6" x14ac:dyDescent="0.45">
      <c r="A331">
        <v>330</v>
      </c>
      <c r="B331">
        <v>-8.6792499999999997</v>
      </c>
      <c r="C331">
        <v>-127.74823000000001</v>
      </c>
      <c r="D331">
        <v>113.39433</v>
      </c>
      <c r="E331">
        <v>10382.603300000001</v>
      </c>
      <c r="F331">
        <v>930</v>
      </c>
    </row>
    <row r="332" spans="1:6" x14ac:dyDescent="0.45">
      <c r="A332">
        <v>331</v>
      </c>
      <c r="B332">
        <v>-83.581980000000001</v>
      </c>
      <c r="C332">
        <v>2.7842500000000001</v>
      </c>
      <c r="D332">
        <v>61.323059999999998</v>
      </c>
      <c r="E332">
        <v>3685.6846999999998</v>
      </c>
      <c r="F332">
        <v>931</v>
      </c>
    </row>
    <row r="333" spans="1:6" x14ac:dyDescent="0.45">
      <c r="A333">
        <v>332</v>
      </c>
      <c r="B333">
        <v>-10.0052</v>
      </c>
      <c r="C333">
        <v>39.578560000000003</v>
      </c>
      <c r="D333">
        <v>129.38193000000001</v>
      </c>
      <c r="E333">
        <v>415.12889999999999</v>
      </c>
      <c r="F333">
        <v>932</v>
      </c>
    </row>
    <row r="334" spans="1:6" x14ac:dyDescent="0.45">
      <c r="A334">
        <v>333</v>
      </c>
      <c r="B334">
        <v>-37.678669999999997</v>
      </c>
      <c r="C334">
        <v>167.51958999999999</v>
      </c>
      <c r="D334">
        <v>147.51739000000001</v>
      </c>
      <c r="E334">
        <v>21589.996299999999</v>
      </c>
      <c r="F334">
        <v>933</v>
      </c>
    </row>
    <row r="335" spans="1:6" x14ac:dyDescent="0.45">
      <c r="A335">
        <v>334</v>
      </c>
      <c r="B335">
        <v>71.529849999999996</v>
      </c>
      <c r="C335">
        <v>91.221180000000004</v>
      </c>
      <c r="D335">
        <v>169.45003</v>
      </c>
      <c r="E335">
        <v>6650.0622000000003</v>
      </c>
      <c r="F335">
        <v>934</v>
      </c>
    </row>
    <row r="336" spans="1:6" x14ac:dyDescent="0.45">
      <c r="A336">
        <v>335</v>
      </c>
      <c r="B336">
        <v>18.083159999999999</v>
      </c>
      <c r="C336">
        <v>40.104170000000003</v>
      </c>
      <c r="D336">
        <v>188.96442999999999</v>
      </c>
      <c r="E336">
        <v>29162.233</v>
      </c>
      <c r="F336">
        <v>935</v>
      </c>
    </row>
    <row r="337" spans="1:6" x14ac:dyDescent="0.45">
      <c r="A337">
        <v>336</v>
      </c>
      <c r="B337">
        <v>46.808669999999999</v>
      </c>
      <c r="C337">
        <v>64.066220000000001</v>
      </c>
      <c r="D337">
        <v>261.57501000000002</v>
      </c>
      <c r="E337">
        <v>23801.801100000001</v>
      </c>
      <c r="F337">
        <v>936</v>
      </c>
    </row>
    <row r="338" spans="1:6" x14ac:dyDescent="0.45">
      <c r="A338">
        <v>337</v>
      </c>
      <c r="B338">
        <v>55.995649999999998</v>
      </c>
      <c r="C338">
        <v>68.921090000000007</v>
      </c>
      <c r="D338">
        <v>63.914360000000002</v>
      </c>
      <c r="E338">
        <v>19883.556799999998</v>
      </c>
      <c r="F338">
        <v>937</v>
      </c>
    </row>
    <row r="339" spans="1:6" x14ac:dyDescent="0.45">
      <c r="A339">
        <v>338</v>
      </c>
      <c r="B339">
        <v>4.6281999999999996</v>
      </c>
      <c r="C339">
        <v>165.89741000000001</v>
      </c>
      <c r="D339">
        <v>51.106110000000001</v>
      </c>
      <c r="E339">
        <v>28786.854500000001</v>
      </c>
      <c r="F339">
        <v>938</v>
      </c>
    </row>
    <row r="340" spans="1:6" x14ac:dyDescent="0.45">
      <c r="A340">
        <v>339</v>
      </c>
      <c r="B340">
        <v>-36.8232</v>
      </c>
      <c r="C340">
        <v>132.84128000000001</v>
      </c>
      <c r="D340">
        <v>250.78496000000001</v>
      </c>
      <c r="E340">
        <v>20321.9139</v>
      </c>
      <c r="F340">
        <v>939</v>
      </c>
    </row>
    <row r="341" spans="1:6" x14ac:dyDescent="0.45">
      <c r="A341">
        <v>340</v>
      </c>
      <c r="B341">
        <v>75.537220000000005</v>
      </c>
      <c r="C341">
        <v>139.07900000000001</v>
      </c>
      <c r="D341">
        <v>196.20652999999999</v>
      </c>
      <c r="E341">
        <v>19106.947899999999</v>
      </c>
      <c r="F341">
        <v>940</v>
      </c>
    </row>
    <row r="342" spans="1:6" x14ac:dyDescent="0.45">
      <c r="A342">
        <v>341</v>
      </c>
      <c r="B342">
        <v>-81.00497</v>
      </c>
      <c r="C342">
        <v>-124.15531</v>
      </c>
      <c r="D342">
        <v>29.91328</v>
      </c>
      <c r="E342">
        <v>19978.191999999999</v>
      </c>
      <c r="F342">
        <v>941</v>
      </c>
    </row>
    <row r="343" spans="1:6" x14ac:dyDescent="0.45">
      <c r="A343">
        <v>342</v>
      </c>
      <c r="B343">
        <v>59.21228</v>
      </c>
      <c r="C343">
        <v>-73.938140000000004</v>
      </c>
      <c r="D343">
        <v>50.911679999999997</v>
      </c>
      <c r="E343">
        <v>22287.987400000002</v>
      </c>
      <c r="F343">
        <v>942</v>
      </c>
    </row>
    <row r="344" spans="1:6" x14ac:dyDescent="0.45">
      <c r="A344">
        <v>343</v>
      </c>
      <c r="B344">
        <v>30.309439999999999</v>
      </c>
      <c r="C344">
        <v>82.808499999999995</v>
      </c>
      <c r="D344">
        <v>322.81364000000002</v>
      </c>
      <c r="E344">
        <v>21229.444200000002</v>
      </c>
      <c r="F344">
        <v>943</v>
      </c>
    </row>
    <row r="345" spans="1:6" x14ac:dyDescent="0.45">
      <c r="A345">
        <v>344</v>
      </c>
      <c r="B345">
        <v>-27.001480000000001</v>
      </c>
      <c r="C345">
        <v>-70.466790000000003</v>
      </c>
      <c r="D345">
        <v>76.186160000000001</v>
      </c>
      <c r="E345">
        <v>5761.8068000000003</v>
      </c>
      <c r="F345">
        <v>944</v>
      </c>
    </row>
    <row r="346" spans="1:6" x14ac:dyDescent="0.45">
      <c r="A346">
        <v>345</v>
      </c>
      <c r="B346">
        <v>21.06606</v>
      </c>
      <c r="C346">
        <v>179.42932999999999</v>
      </c>
      <c r="D346">
        <v>323.99011000000002</v>
      </c>
      <c r="E346">
        <v>22381.129499999999</v>
      </c>
      <c r="F346">
        <v>945</v>
      </c>
    </row>
    <row r="347" spans="1:6" x14ac:dyDescent="0.45">
      <c r="A347">
        <v>346</v>
      </c>
      <c r="B347">
        <v>1.8658999999999999</v>
      </c>
      <c r="C347">
        <v>21.927510000000002</v>
      </c>
      <c r="D347">
        <v>9.7335999999999991</v>
      </c>
      <c r="E347">
        <v>20614.375899999999</v>
      </c>
      <c r="F347">
        <v>946</v>
      </c>
    </row>
    <row r="348" spans="1:6" x14ac:dyDescent="0.45">
      <c r="A348">
        <v>347</v>
      </c>
      <c r="B348">
        <v>87.573009999999996</v>
      </c>
      <c r="C348">
        <v>-122.39171</v>
      </c>
      <c r="D348">
        <v>90.482740000000007</v>
      </c>
      <c r="E348">
        <v>13877.534299999999</v>
      </c>
      <c r="F348">
        <v>947</v>
      </c>
    </row>
    <row r="349" spans="1:6" x14ac:dyDescent="0.45">
      <c r="A349">
        <v>348</v>
      </c>
      <c r="B349">
        <v>-49.391500000000001</v>
      </c>
      <c r="C349">
        <v>34.455530000000003</v>
      </c>
      <c r="D349">
        <v>235.17873</v>
      </c>
      <c r="E349">
        <v>24868.251799999998</v>
      </c>
      <c r="F349">
        <v>948</v>
      </c>
    </row>
    <row r="350" spans="1:6" x14ac:dyDescent="0.45">
      <c r="A350">
        <v>349</v>
      </c>
      <c r="B350">
        <v>19.561489999999999</v>
      </c>
      <c r="C350">
        <v>-15.093909999999999</v>
      </c>
      <c r="D350">
        <v>177.76183</v>
      </c>
      <c r="E350">
        <v>7600.4764999999998</v>
      </c>
      <c r="F350">
        <v>949</v>
      </c>
    </row>
    <row r="351" spans="1:6" x14ac:dyDescent="0.45">
      <c r="A351">
        <v>350</v>
      </c>
      <c r="B351">
        <v>22.08745</v>
      </c>
      <c r="C351">
        <v>-50.177840000000003</v>
      </c>
      <c r="D351">
        <v>4.9460800000000003</v>
      </c>
      <c r="E351">
        <v>16591.260399999999</v>
      </c>
      <c r="F351">
        <v>950</v>
      </c>
    </row>
    <row r="352" spans="1:6" x14ac:dyDescent="0.45">
      <c r="A352">
        <v>351</v>
      </c>
      <c r="B352">
        <v>60.219909999999999</v>
      </c>
      <c r="C352">
        <v>140.29279</v>
      </c>
      <c r="D352">
        <v>41.953949999999999</v>
      </c>
      <c r="E352">
        <v>9391.4030000000002</v>
      </c>
      <c r="F352">
        <v>951</v>
      </c>
    </row>
    <row r="353" spans="1:6" x14ac:dyDescent="0.45">
      <c r="A353">
        <v>352</v>
      </c>
      <c r="B353">
        <v>55.900210000000001</v>
      </c>
      <c r="C353">
        <v>151.31617</v>
      </c>
      <c r="D353">
        <v>313.54763000000003</v>
      </c>
      <c r="E353">
        <v>2792.5965999999999</v>
      </c>
      <c r="F353">
        <v>952</v>
      </c>
    </row>
    <row r="354" spans="1:6" x14ac:dyDescent="0.45">
      <c r="A354">
        <v>353</v>
      </c>
      <c r="B354">
        <v>-2.49248</v>
      </c>
      <c r="C354">
        <v>7.2590399999999997</v>
      </c>
      <c r="D354">
        <v>257.20011</v>
      </c>
      <c r="E354">
        <v>28192.577000000001</v>
      </c>
      <c r="F354">
        <v>953</v>
      </c>
    </row>
    <row r="355" spans="1:6" x14ac:dyDescent="0.45">
      <c r="A355">
        <v>354</v>
      </c>
      <c r="B355">
        <v>-5.765E-2</v>
      </c>
      <c r="C355">
        <v>-157.81970999999999</v>
      </c>
      <c r="D355">
        <v>166.02350999999999</v>
      </c>
      <c r="E355">
        <v>27140.077000000001</v>
      </c>
      <c r="F355">
        <v>954</v>
      </c>
    </row>
    <row r="356" spans="1:6" x14ac:dyDescent="0.45">
      <c r="A356">
        <v>355</v>
      </c>
      <c r="B356">
        <v>59.596429999999998</v>
      </c>
      <c r="C356">
        <v>60.226509999999998</v>
      </c>
      <c r="D356">
        <v>180.20901000000001</v>
      </c>
      <c r="E356">
        <v>11706.651400000001</v>
      </c>
      <c r="F356">
        <v>955</v>
      </c>
    </row>
    <row r="357" spans="1:6" x14ac:dyDescent="0.45">
      <c r="A357">
        <v>356</v>
      </c>
      <c r="B357">
        <v>-36.75421</v>
      </c>
      <c r="C357">
        <v>-142.1782</v>
      </c>
      <c r="D357">
        <v>211.17688000000001</v>
      </c>
      <c r="E357">
        <v>8158.5919000000004</v>
      </c>
      <c r="F357">
        <v>956</v>
      </c>
    </row>
    <row r="358" spans="1:6" x14ac:dyDescent="0.45">
      <c r="A358">
        <v>357</v>
      </c>
      <c r="B358">
        <v>61.48621</v>
      </c>
      <c r="C358">
        <v>27.960650000000001</v>
      </c>
      <c r="D358">
        <v>134.62588</v>
      </c>
      <c r="E358">
        <v>1874.9798000000001</v>
      </c>
      <c r="F358">
        <v>957</v>
      </c>
    </row>
    <row r="359" spans="1:6" x14ac:dyDescent="0.45">
      <c r="A359">
        <v>358</v>
      </c>
      <c r="B359">
        <v>-88.946669999999997</v>
      </c>
      <c r="C359">
        <v>22.380780000000001</v>
      </c>
      <c r="D359">
        <v>13.434760000000001</v>
      </c>
      <c r="E359">
        <v>13484.368700000001</v>
      </c>
      <c r="F359">
        <v>958</v>
      </c>
    </row>
    <row r="360" spans="1:6" x14ac:dyDescent="0.45">
      <c r="A360">
        <v>359</v>
      </c>
      <c r="B360">
        <v>-19.17191</v>
      </c>
      <c r="C360">
        <v>-166.02682999999999</v>
      </c>
      <c r="D360">
        <v>178.93833000000001</v>
      </c>
      <c r="E360">
        <v>23242.379099999998</v>
      </c>
      <c r="F360">
        <v>959</v>
      </c>
    </row>
    <row r="361" spans="1:6" x14ac:dyDescent="0.45">
      <c r="A361">
        <v>360</v>
      </c>
      <c r="B361">
        <v>60.863930000000003</v>
      </c>
      <c r="C361">
        <v>93.278059999999996</v>
      </c>
      <c r="D361">
        <v>0.91698999999999997</v>
      </c>
      <c r="E361">
        <v>4824.5838999999996</v>
      </c>
      <c r="F361">
        <v>960</v>
      </c>
    </row>
    <row r="362" spans="1:6" x14ac:dyDescent="0.45">
      <c r="A362">
        <v>361</v>
      </c>
      <c r="B362">
        <v>88.060959999999994</v>
      </c>
      <c r="C362">
        <v>-16.23498</v>
      </c>
      <c r="D362">
        <v>131.22766999999999</v>
      </c>
      <c r="E362">
        <v>11868.7088</v>
      </c>
      <c r="F362">
        <v>961</v>
      </c>
    </row>
    <row r="363" spans="1:6" x14ac:dyDescent="0.45">
      <c r="A363">
        <v>362</v>
      </c>
      <c r="B363">
        <v>27.288689999999999</v>
      </c>
      <c r="C363">
        <v>82.386259999999993</v>
      </c>
      <c r="D363">
        <v>88.458340000000007</v>
      </c>
      <c r="E363">
        <v>24911.404200000001</v>
      </c>
      <c r="F363">
        <v>962</v>
      </c>
    </row>
    <row r="364" spans="1:6" x14ac:dyDescent="0.45">
      <c r="A364">
        <v>363</v>
      </c>
      <c r="B364">
        <v>-70.597409999999996</v>
      </c>
      <c r="C364">
        <v>155.70582999999999</v>
      </c>
      <c r="D364">
        <v>64.652959999999993</v>
      </c>
      <c r="E364">
        <v>501.83679999999998</v>
      </c>
      <c r="F364">
        <v>963</v>
      </c>
    </row>
    <row r="365" spans="1:6" x14ac:dyDescent="0.45">
      <c r="A365">
        <v>364</v>
      </c>
      <c r="B365">
        <v>70.229839999999996</v>
      </c>
      <c r="C365">
        <v>165.31209000000001</v>
      </c>
      <c r="D365">
        <v>235.96164999999999</v>
      </c>
      <c r="E365">
        <v>5521.8651</v>
      </c>
      <c r="F365">
        <v>964</v>
      </c>
    </row>
    <row r="366" spans="1:6" x14ac:dyDescent="0.45">
      <c r="A366">
        <v>365</v>
      </c>
      <c r="B366">
        <v>-42.106540000000003</v>
      </c>
      <c r="C366">
        <v>-176.0924</v>
      </c>
      <c r="D366">
        <v>162.23258999999999</v>
      </c>
      <c r="E366">
        <v>2561.4078</v>
      </c>
      <c r="F366">
        <v>965</v>
      </c>
    </row>
    <row r="367" spans="1:6" x14ac:dyDescent="0.45">
      <c r="A367">
        <v>366</v>
      </c>
      <c r="B367">
        <v>67.836740000000006</v>
      </c>
      <c r="C367">
        <v>158.67313999999999</v>
      </c>
      <c r="D367">
        <v>323.97041000000002</v>
      </c>
      <c r="E367">
        <v>18639.528399999999</v>
      </c>
      <c r="F367">
        <v>966</v>
      </c>
    </row>
    <row r="368" spans="1:6" x14ac:dyDescent="0.45">
      <c r="A368">
        <v>367</v>
      </c>
      <c r="B368">
        <v>87.507450000000006</v>
      </c>
      <c r="C368">
        <v>14.386900000000001</v>
      </c>
      <c r="D368">
        <v>247.52189999999999</v>
      </c>
      <c r="E368">
        <v>4096.0942999999997</v>
      </c>
      <c r="F368">
        <v>967</v>
      </c>
    </row>
    <row r="369" spans="1:6" x14ac:dyDescent="0.45">
      <c r="A369">
        <v>368</v>
      </c>
      <c r="B369">
        <v>-89.259979999999999</v>
      </c>
      <c r="C369">
        <v>-12.74414</v>
      </c>
      <c r="D369">
        <v>199.65513000000001</v>
      </c>
      <c r="E369">
        <v>11243.4959</v>
      </c>
      <c r="F369">
        <v>968</v>
      </c>
    </row>
    <row r="370" spans="1:6" x14ac:dyDescent="0.45">
      <c r="A370">
        <v>369</v>
      </c>
      <c r="B370">
        <v>81.874219999999994</v>
      </c>
      <c r="C370">
        <v>57.893509999999999</v>
      </c>
      <c r="D370">
        <v>33.985300000000002</v>
      </c>
      <c r="E370">
        <v>9933.9928</v>
      </c>
      <c r="F370">
        <v>969</v>
      </c>
    </row>
    <row r="371" spans="1:6" x14ac:dyDescent="0.45">
      <c r="A371">
        <v>370</v>
      </c>
      <c r="B371">
        <v>-21.817710000000002</v>
      </c>
      <c r="C371">
        <v>17.49494</v>
      </c>
      <c r="D371">
        <v>353.72638000000001</v>
      </c>
      <c r="E371">
        <v>8854.6332000000002</v>
      </c>
      <c r="F371">
        <v>970</v>
      </c>
    </row>
    <row r="372" spans="1:6" x14ac:dyDescent="0.45">
      <c r="A372">
        <v>371</v>
      </c>
      <c r="B372">
        <v>-37.559930000000001</v>
      </c>
      <c r="C372">
        <v>-81.024519999999995</v>
      </c>
      <c r="D372">
        <v>5.2679900000000002</v>
      </c>
      <c r="E372">
        <v>13118.181200000001</v>
      </c>
      <c r="F372">
        <v>971</v>
      </c>
    </row>
    <row r="373" spans="1:6" x14ac:dyDescent="0.45">
      <c r="A373">
        <v>372</v>
      </c>
      <c r="B373">
        <v>85.397639999999996</v>
      </c>
      <c r="C373">
        <v>-40.022979999999997</v>
      </c>
      <c r="D373">
        <v>303.10987999999998</v>
      </c>
      <c r="E373">
        <v>19251.567299999999</v>
      </c>
      <c r="F373">
        <v>972</v>
      </c>
    </row>
    <row r="374" spans="1:6" x14ac:dyDescent="0.45">
      <c r="A374">
        <v>373</v>
      </c>
      <c r="B374">
        <v>-84.312060000000002</v>
      </c>
      <c r="C374">
        <v>177.09359000000001</v>
      </c>
      <c r="D374">
        <v>321.60068000000001</v>
      </c>
      <c r="E374">
        <v>6324.0820000000003</v>
      </c>
      <c r="F374">
        <v>973</v>
      </c>
    </row>
    <row r="375" spans="1:6" x14ac:dyDescent="0.45">
      <c r="A375">
        <v>374</v>
      </c>
      <c r="B375">
        <v>-10.193519999999999</v>
      </c>
      <c r="C375">
        <v>92.658469999999994</v>
      </c>
      <c r="D375">
        <v>37.950960000000002</v>
      </c>
      <c r="E375">
        <v>17659.712500000001</v>
      </c>
      <c r="F375">
        <v>974</v>
      </c>
    </row>
    <row r="376" spans="1:6" x14ac:dyDescent="0.45">
      <c r="A376">
        <v>375</v>
      </c>
      <c r="B376">
        <v>-68.737470000000002</v>
      </c>
      <c r="C376">
        <v>128.52743000000001</v>
      </c>
      <c r="D376">
        <v>270.75546000000003</v>
      </c>
      <c r="E376">
        <v>24197.2647</v>
      </c>
      <c r="F376">
        <v>975</v>
      </c>
    </row>
    <row r="377" spans="1:6" x14ac:dyDescent="0.45">
      <c r="A377">
        <v>376</v>
      </c>
      <c r="B377">
        <v>-47.171120000000002</v>
      </c>
      <c r="C377">
        <v>99.953890000000001</v>
      </c>
      <c r="D377">
        <v>112.09734</v>
      </c>
      <c r="E377">
        <v>11984.5826</v>
      </c>
      <c r="F377">
        <v>976</v>
      </c>
    </row>
    <row r="378" spans="1:6" x14ac:dyDescent="0.45">
      <c r="A378">
        <v>377</v>
      </c>
      <c r="B378">
        <v>61.776020000000003</v>
      </c>
      <c r="C378">
        <v>77.402339999999995</v>
      </c>
      <c r="D378">
        <v>51.526249999999997</v>
      </c>
      <c r="E378">
        <v>22940.981500000002</v>
      </c>
      <c r="F378">
        <v>977</v>
      </c>
    </row>
    <row r="379" spans="1:6" x14ac:dyDescent="0.45">
      <c r="A379">
        <v>378</v>
      </c>
      <c r="B379">
        <v>13.718999999999999</v>
      </c>
      <c r="C379">
        <v>3.6030799999999998</v>
      </c>
      <c r="D379">
        <v>203.28585000000001</v>
      </c>
      <c r="E379">
        <v>1283.5830000000001</v>
      </c>
      <c r="F379">
        <v>978</v>
      </c>
    </row>
    <row r="380" spans="1:6" x14ac:dyDescent="0.45">
      <c r="A380">
        <v>379</v>
      </c>
      <c r="B380">
        <v>-31.255189999999999</v>
      </c>
      <c r="C380">
        <v>36.001280000000001</v>
      </c>
      <c r="D380">
        <v>285.43349000000001</v>
      </c>
      <c r="E380">
        <v>18201.4208</v>
      </c>
      <c r="F380">
        <v>979</v>
      </c>
    </row>
    <row r="381" spans="1:6" x14ac:dyDescent="0.45">
      <c r="A381">
        <v>380</v>
      </c>
      <c r="B381">
        <v>70.234660000000005</v>
      </c>
      <c r="C381">
        <v>32.877980000000001</v>
      </c>
      <c r="D381">
        <v>219.08575999999999</v>
      </c>
      <c r="E381">
        <v>22871.2582</v>
      </c>
      <c r="F381">
        <v>980</v>
      </c>
    </row>
    <row r="382" spans="1:6" x14ac:dyDescent="0.45">
      <c r="A382">
        <v>381</v>
      </c>
      <c r="B382">
        <v>-65.090829999999997</v>
      </c>
      <c r="C382">
        <v>-6.8039399999999999</v>
      </c>
      <c r="D382">
        <v>259.05286000000001</v>
      </c>
      <c r="E382">
        <v>23273.973000000002</v>
      </c>
      <c r="F382">
        <v>981</v>
      </c>
    </row>
    <row r="383" spans="1:6" x14ac:dyDescent="0.45">
      <c r="A383">
        <v>382</v>
      </c>
      <c r="B383">
        <v>-7.7777599999999998</v>
      </c>
      <c r="C383">
        <v>133.24248</v>
      </c>
      <c r="D383">
        <v>34.366959999999999</v>
      </c>
      <c r="E383">
        <v>8216.3669000000009</v>
      </c>
      <c r="F383">
        <v>982</v>
      </c>
    </row>
    <row r="384" spans="1:6" x14ac:dyDescent="0.45">
      <c r="A384">
        <v>383</v>
      </c>
      <c r="B384">
        <v>-70.271079999999998</v>
      </c>
      <c r="C384">
        <v>41.891539999999999</v>
      </c>
      <c r="D384">
        <v>162.38686000000001</v>
      </c>
      <c r="E384">
        <v>13182.615400000001</v>
      </c>
      <c r="F384">
        <v>983</v>
      </c>
    </row>
    <row r="385" spans="1:6" x14ac:dyDescent="0.45">
      <c r="A385">
        <v>384</v>
      </c>
      <c r="B385">
        <v>-51.177599999999998</v>
      </c>
      <c r="C385">
        <v>123.76352</v>
      </c>
      <c r="D385">
        <v>73.117620000000002</v>
      </c>
      <c r="E385">
        <v>8746.3081999999995</v>
      </c>
      <c r="F385">
        <v>984</v>
      </c>
    </row>
    <row r="386" spans="1:6" x14ac:dyDescent="0.45">
      <c r="A386">
        <v>385</v>
      </c>
      <c r="B386">
        <v>54.591160000000002</v>
      </c>
      <c r="C386">
        <v>49.19435</v>
      </c>
      <c r="D386">
        <v>1.57955</v>
      </c>
      <c r="E386">
        <v>14926.705900000001</v>
      </c>
      <c r="F386">
        <v>985</v>
      </c>
    </row>
    <row r="387" spans="1:6" x14ac:dyDescent="0.45">
      <c r="A387">
        <v>386</v>
      </c>
      <c r="B387">
        <v>19.514759999999999</v>
      </c>
      <c r="C387">
        <v>1.95926</v>
      </c>
      <c r="D387">
        <v>327.70679999999999</v>
      </c>
      <c r="E387">
        <v>22339.502799999998</v>
      </c>
      <c r="F387">
        <v>986</v>
      </c>
    </row>
    <row r="388" spans="1:6" x14ac:dyDescent="0.45">
      <c r="A388">
        <v>387</v>
      </c>
      <c r="B388">
        <v>65.420969999999997</v>
      </c>
      <c r="C388">
        <v>-170.35336000000001</v>
      </c>
      <c r="D388">
        <v>213.65719000000001</v>
      </c>
      <c r="E388">
        <v>12379.651</v>
      </c>
      <c r="F388">
        <v>987</v>
      </c>
    </row>
    <row r="389" spans="1:6" x14ac:dyDescent="0.45">
      <c r="A389">
        <v>388</v>
      </c>
      <c r="B389">
        <v>27.229510000000001</v>
      </c>
      <c r="C389">
        <v>65.716399999999993</v>
      </c>
      <c r="D389">
        <v>38.016590000000001</v>
      </c>
      <c r="E389">
        <v>9394.1258999999991</v>
      </c>
      <c r="F389">
        <v>988</v>
      </c>
    </row>
    <row r="390" spans="1:6" x14ac:dyDescent="0.45">
      <c r="A390">
        <v>389</v>
      </c>
      <c r="B390">
        <v>-33.65849</v>
      </c>
      <c r="C390">
        <v>65.295010000000005</v>
      </c>
      <c r="D390">
        <v>105.4221</v>
      </c>
      <c r="E390">
        <v>15742.0088</v>
      </c>
      <c r="F390">
        <v>989</v>
      </c>
    </row>
    <row r="391" spans="1:6" x14ac:dyDescent="0.45">
      <c r="A391">
        <v>390</v>
      </c>
      <c r="B391">
        <v>-6.7320099999999998</v>
      </c>
      <c r="C391">
        <v>35.167299999999997</v>
      </c>
      <c r="D391">
        <v>291.31416999999999</v>
      </c>
      <c r="E391">
        <v>2455.7743</v>
      </c>
      <c r="F391">
        <v>990</v>
      </c>
    </row>
    <row r="392" spans="1:6" x14ac:dyDescent="0.45">
      <c r="A392">
        <v>391</v>
      </c>
      <c r="B392">
        <v>-45.224739999999997</v>
      </c>
      <c r="C392">
        <v>-26.575240000000001</v>
      </c>
      <c r="D392">
        <v>132.31314</v>
      </c>
      <c r="E392">
        <v>8116.2794999999996</v>
      </c>
      <c r="F392">
        <v>991</v>
      </c>
    </row>
    <row r="393" spans="1:6" x14ac:dyDescent="0.45">
      <c r="A393">
        <v>392</v>
      </c>
      <c r="B393">
        <v>-23.66947</v>
      </c>
      <c r="C393">
        <v>-102.49858999999999</v>
      </c>
      <c r="D393">
        <v>8.3412699999999997</v>
      </c>
      <c r="E393">
        <v>21432.472000000002</v>
      </c>
      <c r="F393">
        <v>992</v>
      </c>
    </row>
    <row r="394" spans="1:6" x14ac:dyDescent="0.45">
      <c r="A394">
        <v>393</v>
      </c>
      <c r="B394">
        <v>-44.371169999999999</v>
      </c>
      <c r="C394">
        <v>-88.262230000000002</v>
      </c>
      <c r="D394">
        <v>132.73383999999999</v>
      </c>
      <c r="E394">
        <v>13205.754800000001</v>
      </c>
      <c r="F394">
        <v>993</v>
      </c>
    </row>
    <row r="395" spans="1:6" x14ac:dyDescent="0.45">
      <c r="A395">
        <v>394</v>
      </c>
      <c r="B395">
        <v>83.380719999999997</v>
      </c>
      <c r="C395">
        <v>95.78349</v>
      </c>
      <c r="D395">
        <v>206.85676000000001</v>
      </c>
      <c r="E395">
        <v>29222.171399999999</v>
      </c>
      <c r="F395">
        <v>994</v>
      </c>
    </row>
    <row r="396" spans="1:6" x14ac:dyDescent="0.45">
      <c r="A396">
        <v>395</v>
      </c>
      <c r="B396">
        <v>-12.13261</v>
      </c>
      <c r="C396">
        <v>-95.774749999999997</v>
      </c>
      <c r="D396">
        <v>213.42152999999999</v>
      </c>
      <c r="E396">
        <v>25749.614000000001</v>
      </c>
      <c r="F396">
        <v>995</v>
      </c>
    </row>
    <row r="397" spans="1:6" x14ac:dyDescent="0.45">
      <c r="A397">
        <v>396</v>
      </c>
      <c r="B397">
        <v>49.43486</v>
      </c>
      <c r="C397">
        <v>166.94150999999999</v>
      </c>
      <c r="D397">
        <v>267.01952</v>
      </c>
      <c r="E397">
        <v>13669.7415</v>
      </c>
      <c r="F397">
        <v>996</v>
      </c>
    </row>
    <row r="398" spans="1:6" x14ac:dyDescent="0.45">
      <c r="A398">
        <v>397</v>
      </c>
      <c r="B398">
        <v>-23.851330000000001</v>
      </c>
      <c r="C398">
        <v>-71.16771</v>
      </c>
      <c r="D398">
        <v>238.72827000000001</v>
      </c>
      <c r="E398">
        <v>29773.488300000001</v>
      </c>
      <c r="F398">
        <v>997</v>
      </c>
    </row>
    <row r="399" spans="1:6" x14ac:dyDescent="0.45">
      <c r="A399">
        <v>398</v>
      </c>
      <c r="B399">
        <v>66.933080000000004</v>
      </c>
      <c r="C399">
        <v>1.2861100000000001</v>
      </c>
      <c r="D399">
        <v>90.079899999999995</v>
      </c>
      <c r="E399">
        <v>29052.516299999999</v>
      </c>
      <c r="F399">
        <v>998</v>
      </c>
    </row>
    <row r="400" spans="1:6" x14ac:dyDescent="0.45">
      <c r="A400">
        <v>399</v>
      </c>
      <c r="B400">
        <v>3.09491</v>
      </c>
      <c r="C400">
        <v>122.9888</v>
      </c>
      <c r="D400">
        <v>295.12929000000003</v>
      </c>
      <c r="E400">
        <v>3862.9740000000002</v>
      </c>
      <c r="F400">
        <v>999</v>
      </c>
    </row>
    <row r="401" spans="1:6" x14ac:dyDescent="0.45">
      <c r="A401">
        <v>400</v>
      </c>
      <c r="B401">
        <v>49.475580000000001</v>
      </c>
      <c r="C401">
        <v>-101.38177</v>
      </c>
      <c r="D401">
        <v>38.834029999999998</v>
      </c>
      <c r="E401">
        <v>26818.222600000001</v>
      </c>
      <c r="F401">
        <v>1000</v>
      </c>
    </row>
    <row r="402" spans="1:6" x14ac:dyDescent="0.45">
      <c r="A402">
        <v>401</v>
      </c>
      <c r="B402">
        <v>66.461460000000002</v>
      </c>
      <c r="C402">
        <v>93.656599999999997</v>
      </c>
      <c r="D402">
        <v>337.96960999999999</v>
      </c>
      <c r="E402">
        <v>127.5797</v>
      </c>
      <c r="F402">
        <v>1001</v>
      </c>
    </row>
    <row r="403" spans="1:6" x14ac:dyDescent="0.45">
      <c r="A403">
        <v>402</v>
      </c>
      <c r="B403">
        <v>70.826660000000004</v>
      </c>
      <c r="C403">
        <v>-104.88619</v>
      </c>
      <c r="D403">
        <v>3.5659100000000001</v>
      </c>
      <c r="E403">
        <v>926.50239999999997</v>
      </c>
      <c r="F403">
        <v>1002</v>
      </c>
    </row>
    <row r="404" spans="1:6" x14ac:dyDescent="0.45">
      <c r="A404">
        <v>403</v>
      </c>
      <c r="B404">
        <v>4.0334099999999999</v>
      </c>
      <c r="C404">
        <v>3.1151</v>
      </c>
      <c r="D404">
        <v>77.926869999999994</v>
      </c>
      <c r="E404">
        <v>2066.0987</v>
      </c>
      <c r="F404">
        <v>1003</v>
      </c>
    </row>
    <row r="405" spans="1:6" x14ac:dyDescent="0.45">
      <c r="A405">
        <v>404</v>
      </c>
      <c r="B405">
        <v>-87.02346</v>
      </c>
      <c r="C405">
        <v>40.207279999999997</v>
      </c>
      <c r="D405">
        <v>162.63477</v>
      </c>
      <c r="E405">
        <v>2378.8726000000001</v>
      </c>
      <c r="F405">
        <v>1004</v>
      </c>
    </row>
    <row r="406" spans="1:6" x14ac:dyDescent="0.45">
      <c r="A406">
        <v>405</v>
      </c>
      <c r="B406">
        <v>15.754440000000001</v>
      </c>
      <c r="C406">
        <v>28.95121</v>
      </c>
      <c r="D406">
        <v>113.33511</v>
      </c>
      <c r="E406">
        <v>598.16459999999995</v>
      </c>
      <c r="F406">
        <v>1005</v>
      </c>
    </row>
    <row r="407" spans="1:6" x14ac:dyDescent="0.45">
      <c r="A407">
        <v>406</v>
      </c>
      <c r="B407">
        <v>-80.318340000000006</v>
      </c>
      <c r="C407">
        <v>171.35975999999999</v>
      </c>
      <c r="D407">
        <v>128.19161</v>
      </c>
      <c r="E407">
        <v>2658.8733999999999</v>
      </c>
      <c r="F407">
        <v>1006</v>
      </c>
    </row>
    <row r="408" spans="1:6" x14ac:dyDescent="0.45">
      <c r="A408">
        <v>407</v>
      </c>
      <c r="B408">
        <v>-42.492170000000002</v>
      </c>
      <c r="C408">
        <v>170.47765999999999</v>
      </c>
      <c r="D408">
        <v>310.09372000000002</v>
      </c>
      <c r="E408">
        <v>1865.2722000000001</v>
      </c>
      <c r="F408">
        <v>1007</v>
      </c>
    </row>
    <row r="409" spans="1:6" x14ac:dyDescent="0.45">
      <c r="A409">
        <v>408</v>
      </c>
      <c r="B409">
        <v>34.714449999999999</v>
      </c>
      <c r="C409">
        <v>-142.19544999999999</v>
      </c>
      <c r="D409">
        <v>255.7319</v>
      </c>
      <c r="E409">
        <v>2963.6988000000001</v>
      </c>
      <c r="F409">
        <v>1008</v>
      </c>
    </row>
    <row r="410" spans="1:6" x14ac:dyDescent="0.45">
      <c r="A410">
        <v>409</v>
      </c>
      <c r="B410">
        <v>-10.031370000000001</v>
      </c>
      <c r="C410">
        <v>58.65645</v>
      </c>
      <c r="D410">
        <v>74.390590000000003</v>
      </c>
      <c r="E410">
        <v>1864.1994</v>
      </c>
      <c r="F410">
        <v>1009</v>
      </c>
    </row>
    <row r="411" spans="1:6" x14ac:dyDescent="0.45">
      <c r="A411">
        <v>410</v>
      </c>
      <c r="B411">
        <v>-60.351030000000002</v>
      </c>
      <c r="C411">
        <v>58.51435</v>
      </c>
      <c r="D411">
        <v>192.98403999999999</v>
      </c>
      <c r="E411">
        <v>434.13080000000002</v>
      </c>
      <c r="F411">
        <v>1010</v>
      </c>
    </row>
    <row r="412" spans="1:6" x14ac:dyDescent="0.45">
      <c r="A412">
        <v>411</v>
      </c>
      <c r="B412">
        <v>79.351789999999994</v>
      </c>
      <c r="C412">
        <v>-56.456060000000001</v>
      </c>
      <c r="D412">
        <v>51.214190000000002</v>
      </c>
      <c r="E412">
        <v>2755.375</v>
      </c>
      <c r="F412">
        <v>1011</v>
      </c>
    </row>
    <row r="413" spans="1:6" x14ac:dyDescent="0.45">
      <c r="A413">
        <v>412</v>
      </c>
      <c r="B413">
        <v>32.115189999999998</v>
      </c>
      <c r="C413">
        <v>-85.646919999999994</v>
      </c>
      <c r="D413">
        <v>24.316459999999999</v>
      </c>
      <c r="E413">
        <v>551.63620000000003</v>
      </c>
      <c r="F413">
        <v>1012</v>
      </c>
    </row>
    <row r="414" spans="1:6" x14ac:dyDescent="0.45">
      <c r="A414">
        <v>413</v>
      </c>
      <c r="B414">
        <v>-66.744129999999998</v>
      </c>
      <c r="C414">
        <v>112.51819</v>
      </c>
      <c r="D414">
        <v>64.061499999999995</v>
      </c>
      <c r="E414">
        <v>1356.1890000000001</v>
      </c>
      <c r="F414">
        <v>1013</v>
      </c>
    </row>
    <row r="415" spans="1:6" x14ac:dyDescent="0.45">
      <c r="A415">
        <v>414</v>
      </c>
      <c r="B415">
        <v>0.26845000000000002</v>
      </c>
      <c r="C415">
        <v>-15.071</v>
      </c>
      <c r="D415">
        <v>247.40186</v>
      </c>
      <c r="E415">
        <v>914.31590000000006</v>
      </c>
      <c r="F415">
        <v>1014</v>
      </c>
    </row>
    <row r="416" spans="1:6" x14ac:dyDescent="0.45">
      <c r="A416">
        <v>415</v>
      </c>
      <c r="B416">
        <v>-78.616709999999998</v>
      </c>
      <c r="C416">
        <v>-159.26516000000001</v>
      </c>
      <c r="D416">
        <v>299.11264999999997</v>
      </c>
      <c r="E416">
        <v>543.87559999999996</v>
      </c>
      <c r="F416">
        <v>1015</v>
      </c>
    </row>
    <row r="417" spans="1:6" x14ac:dyDescent="0.45">
      <c r="A417">
        <v>416</v>
      </c>
      <c r="B417">
        <v>50.509030000000003</v>
      </c>
      <c r="C417">
        <v>89.373239999999996</v>
      </c>
      <c r="D417">
        <v>29.855509999999999</v>
      </c>
      <c r="E417">
        <v>2619.2867999999999</v>
      </c>
      <c r="F417">
        <v>1016</v>
      </c>
    </row>
    <row r="418" spans="1:6" x14ac:dyDescent="0.45">
      <c r="A418">
        <v>417</v>
      </c>
      <c r="B418">
        <v>-27.730129999999999</v>
      </c>
      <c r="C418">
        <v>154.33895000000001</v>
      </c>
      <c r="D418">
        <v>6.3365299999999998</v>
      </c>
      <c r="E418">
        <v>500.95839999999998</v>
      </c>
      <c r="F418">
        <v>1017</v>
      </c>
    </row>
    <row r="419" spans="1:6" x14ac:dyDescent="0.45">
      <c r="A419">
        <v>418</v>
      </c>
      <c r="B419">
        <v>46.087499999999999</v>
      </c>
      <c r="C419">
        <v>-169.65037000000001</v>
      </c>
      <c r="D419">
        <v>47.855159999999998</v>
      </c>
      <c r="E419">
        <v>612.99509999999998</v>
      </c>
      <c r="F419">
        <v>1018</v>
      </c>
    </row>
    <row r="420" spans="1:6" x14ac:dyDescent="0.45">
      <c r="A420">
        <v>419</v>
      </c>
      <c r="B420">
        <v>-89.666889999999995</v>
      </c>
      <c r="C420">
        <v>179.43251000000001</v>
      </c>
      <c r="D420">
        <v>260.77467000000001</v>
      </c>
      <c r="E420">
        <v>2206.3631999999998</v>
      </c>
      <c r="F420">
        <v>1019</v>
      </c>
    </row>
    <row r="421" spans="1:6" x14ac:dyDescent="0.45">
      <c r="A421">
        <v>420</v>
      </c>
      <c r="B421">
        <v>5.4884199999999996</v>
      </c>
      <c r="C421">
        <v>-54.188720000000004</v>
      </c>
      <c r="D421">
        <v>183.5258</v>
      </c>
      <c r="E421">
        <v>373.10430000000002</v>
      </c>
      <c r="F421">
        <v>1020</v>
      </c>
    </row>
    <row r="422" spans="1:6" x14ac:dyDescent="0.45">
      <c r="A422">
        <v>421</v>
      </c>
      <c r="B422">
        <v>-3.02867</v>
      </c>
      <c r="C422">
        <v>-128.25211999999999</v>
      </c>
      <c r="D422">
        <v>205.12929</v>
      </c>
      <c r="E422">
        <v>968.30229999999995</v>
      </c>
      <c r="F422">
        <v>1021</v>
      </c>
    </row>
    <row r="423" spans="1:6" x14ac:dyDescent="0.45">
      <c r="A423">
        <v>422</v>
      </c>
      <c r="B423">
        <v>61.862470000000002</v>
      </c>
      <c r="C423">
        <v>165.48783</v>
      </c>
      <c r="D423">
        <v>105.66137000000001</v>
      </c>
      <c r="E423">
        <v>526.63610000000006</v>
      </c>
      <c r="F423">
        <v>1022</v>
      </c>
    </row>
    <row r="424" spans="1:6" x14ac:dyDescent="0.45">
      <c r="A424">
        <v>423</v>
      </c>
      <c r="B424">
        <v>-53.516199999999998</v>
      </c>
      <c r="C424">
        <v>140.94195999999999</v>
      </c>
      <c r="D424">
        <v>237.90854999999999</v>
      </c>
      <c r="E424">
        <v>2120.3481999999999</v>
      </c>
      <c r="F424">
        <v>1023</v>
      </c>
    </row>
    <row r="425" spans="1:6" x14ac:dyDescent="0.45">
      <c r="A425">
        <v>424</v>
      </c>
      <c r="B425">
        <v>32.604289999999999</v>
      </c>
      <c r="C425">
        <v>159.29326</v>
      </c>
      <c r="D425">
        <v>120.34804</v>
      </c>
      <c r="E425">
        <v>2285.7537000000002</v>
      </c>
      <c r="F425">
        <v>1024</v>
      </c>
    </row>
    <row r="426" spans="1:6" x14ac:dyDescent="0.45">
      <c r="A426">
        <v>425</v>
      </c>
      <c r="B426">
        <v>16.600010000000001</v>
      </c>
      <c r="C426">
        <v>3.6727500000000002</v>
      </c>
      <c r="D426">
        <v>266.90591999999998</v>
      </c>
      <c r="E426">
        <v>1122.5577000000001</v>
      </c>
      <c r="F426">
        <v>1025</v>
      </c>
    </row>
    <row r="427" spans="1:6" x14ac:dyDescent="0.45">
      <c r="A427">
        <v>426</v>
      </c>
      <c r="B427">
        <v>-51.484250000000003</v>
      </c>
      <c r="C427">
        <v>88.669690000000003</v>
      </c>
      <c r="D427">
        <v>301.63119999999998</v>
      </c>
      <c r="E427">
        <v>2974.0944</v>
      </c>
      <c r="F427">
        <v>1026</v>
      </c>
    </row>
    <row r="428" spans="1:6" x14ac:dyDescent="0.45">
      <c r="A428">
        <v>427</v>
      </c>
      <c r="B428">
        <v>-40.90269</v>
      </c>
      <c r="C428">
        <v>73.915390000000002</v>
      </c>
      <c r="D428">
        <v>163.66669999999999</v>
      </c>
      <c r="E428">
        <v>581.15200000000004</v>
      </c>
      <c r="F428">
        <v>1027</v>
      </c>
    </row>
    <row r="429" spans="1:6" x14ac:dyDescent="0.45">
      <c r="A429">
        <v>428</v>
      </c>
      <c r="B429">
        <v>-25.64594</v>
      </c>
      <c r="C429">
        <v>139.58041</v>
      </c>
      <c r="D429">
        <v>100.22121</v>
      </c>
      <c r="E429">
        <v>1778.7229</v>
      </c>
      <c r="F429">
        <v>1028</v>
      </c>
    </row>
    <row r="430" spans="1:6" x14ac:dyDescent="0.45">
      <c r="A430">
        <v>429</v>
      </c>
      <c r="B430">
        <v>-85.719920000000002</v>
      </c>
      <c r="C430">
        <v>8.6200200000000002</v>
      </c>
      <c r="D430">
        <v>232.77705</v>
      </c>
      <c r="E430">
        <v>2334.7959999999998</v>
      </c>
      <c r="F430">
        <v>1029</v>
      </c>
    </row>
    <row r="431" spans="1:6" x14ac:dyDescent="0.45">
      <c r="A431">
        <v>430</v>
      </c>
      <c r="B431">
        <v>-21.546500000000002</v>
      </c>
      <c r="C431">
        <v>124.54858</v>
      </c>
      <c r="D431">
        <v>39.628720000000001</v>
      </c>
      <c r="E431">
        <v>2644.8265000000001</v>
      </c>
      <c r="F431">
        <v>1030</v>
      </c>
    </row>
    <row r="432" spans="1:6" x14ac:dyDescent="0.45">
      <c r="A432">
        <v>431</v>
      </c>
      <c r="B432">
        <v>27.212689999999998</v>
      </c>
      <c r="C432">
        <v>35.605499999999999</v>
      </c>
      <c r="D432">
        <v>64.784980000000004</v>
      </c>
      <c r="E432">
        <v>2982.7921000000001</v>
      </c>
      <c r="F432">
        <v>1031</v>
      </c>
    </row>
    <row r="433" spans="1:6" x14ac:dyDescent="0.45">
      <c r="A433">
        <v>432</v>
      </c>
      <c r="B433">
        <v>61.464239999999997</v>
      </c>
      <c r="C433">
        <v>52.84836</v>
      </c>
      <c r="D433">
        <v>166.41623000000001</v>
      </c>
      <c r="E433">
        <v>1329.8941</v>
      </c>
      <c r="F433">
        <v>1032</v>
      </c>
    </row>
    <row r="434" spans="1:6" x14ac:dyDescent="0.45">
      <c r="A434">
        <v>433</v>
      </c>
      <c r="B434">
        <v>26.652750000000001</v>
      </c>
      <c r="C434">
        <v>49.841790000000003</v>
      </c>
      <c r="D434">
        <v>142.38714999999999</v>
      </c>
      <c r="E434">
        <v>270.02050000000003</v>
      </c>
      <c r="F434">
        <v>1033</v>
      </c>
    </row>
    <row r="435" spans="1:6" x14ac:dyDescent="0.45">
      <c r="A435">
        <v>434</v>
      </c>
      <c r="B435">
        <v>-88.782409999999999</v>
      </c>
      <c r="C435">
        <v>-73.764449999999997</v>
      </c>
      <c r="D435">
        <v>291.10323</v>
      </c>
      <c r="E435">
        <v>1791.4936</v>
      </c>
      <c r="F435">
        <v>1034</v>
      </c>
    </row>
    <row r="436" spans="1:6" x14ac:dyDescent="0.45">
      <c r="A436">
        <v>435</v>
      </c>
      <c r="B436">
        <v>29.366720000000001</v>
      </c>
      <c r="C436">
        <v>117.47463999999999</v>
      </c>
      <c r="D436">
        <v>177.71938</v>
      </c>
      <c r="E436">
        <v>1454.0617</v>
      </c>
      <c r="F436">
        <v>1035</v>
      </c>
    </row>
    <row r="437" spans="1:6" x14ac:dyDescent="0.45">
      <c r="A437">
        <v>436</v>
      </c>
      <c r="B437">
        <v>26.948540000000001</v>
      </c>
      <c r="C437">
        <v>19.346270000000001</v>
      </c>
      <c r="D437">
        <v>114.25369999999999</v>
      </c>
      <c r="E437">
        <v>1584.9976999999999</v>
      </c>
      <c r="F437">
        <v>1036</v>
      </c>
    </row>
    <row r="438" spans="1:6" x14ac:dyDescent="0.45">
      <c r="A438">
        <v>437</v>
      </c>
      <c r="B438">
        <v>89.631810000000002</v>
      </c>
      <c r="C438">
        <v>11.580299999999999</v>
      </c>
      <c r="D438">
        <v>49.81174</v>
      </c>
      <c r="E438">
        <v>1250.5150000000001</v>
      </c>
      <c r="F438">
        <v>1037</v>
      </c>
    </row>
    <row r="439" spans="1:6" x14ac:dyDescent="0.45">
      <c r="A439">
        <v>438</v>
      </c>
      <c r="B439">
        <v>-26.93751</v>
      </c>
      <c r="C439">
        <v>122.75523</v>
      </c>
      <c r="D439">
        <v>107.32465000000001</v>
      </c>
      <c r="E439">
        <v>2712.2029000000002</v>
      </c>
      <c r="F439">
        <v>1038</v>
      </c>
    </row>
    <row r="440" spans="1:6" x14ac:dyDescent="0.45">
      <c r="A440">
        <v>439</v>
      </c>
      <c r="B440">
        <v>45.122979999999998</v>
      </c>
      <c r="C440">
        <v>172.37832</v>
      </c>
      <c r="D440">
        <v>347.08416999999997</v>
      </c>
      <c r="E440">
        <v>2240.8114</v>
      </c>
      <c r="F440">
        <v>1039</v>
      </c>
    </row>
    <row r="441" spans="1:6" x14ac:dyDescent="0.45">
      <c r="A441">
        <v>440</v>
      </c>
      <c r="B441">
        <v>42.462569999999999</v>
      </c>
      <c r="C441">
        <v>21.18187</v>
      </c>
      <c r="D441">
        <v>78.801850000000002</v>
      </c>
      <c r="E441">
        <v>606.53039999999999</v>
      </c>
      <c r="F441">
        <v>1040</v>
      </c>
    </row>
    <row r="442" spans="1:6" x14ac:dyDescent="0.45">
      <c r="A442">
        <v>441</v>
      </c>
      <c r="B442">
        <v>30.746449999999999</v>
      </c>
      <c r="C442">
        <v>66.220020000000005</v>
      </c>
      <c r="D442">
        <v>177.19843</v>
      </c>
      <c r="E442">
        <v>2875.1604000000002</v>
      </c>
      <c r="F442">
        <v>1041</v>
      </c>
    </row>
    <row r="443" spans="1:6" x14ac:dyDescent="0.45">
      <c r="A443">
        <v>442</v>
      </c>
      <c r="B443">
        <v>30.223690000000001</v>
      </c>
      <c r="C443">
        <v>76.529499999999999</v>
      </c>
      <c r="D443">
        <v>250.32104000000001</v>
      </c>
      <c r="E443">
        <v>1967.2678000000001</v>
      </c>
      <c r="F443">
        <v>1042</v>
      </c>
    </row>
    <row r="444" spans="1:6" x14ac:dyDescent="0.45">
      <c r="A444">
        <v>443</v>
      </c>
      <c r="B444">
        <v>-2.31047</v>
      </c>
      <c r="C444">
        <v>40.459800000000001</v>
      </c>
      <c r="D444">
        <v>46.148719999999997</v>
      </c>
      <c r="E444">
        <v>1943.4681</v>
      </c>
      <c r="F444">
        <v>1043</v>
      </c>
    </row>
    <row r="445" spans="1:6" x14ac:dyDescent="0.45">
      <c r="A445">
        <v>444</v>
      </c>
      <c r="B445">
        <v>82.367189999999994</v>
      </c>
      <c r="C445">
        <v>122.33834</v>
      </c>
      <c r="D445">
        <v>76.671930000000003</v>
      </c>
      <c r="E445">
        <v>2836.5140000000001</v>
      </c>
      <c r="F445">
        <v>1044</v>
      </c>
    </row>
    <row r="446" spans="1:6" x14ac:dyDescent="0.45">
      <c r="A446">
        <v>445</v>
      </c>
      <c r="B446">
        <v>47.432690000000001</v>
      </c>
      <c r="C446">
        <v>-97.156400000000005</v>
      </c>
      <c r="D446">
        <v>20.601299999999998</v>
      </c>
      <c r="E446">
        <v>1327.5139999999999</v>
      </c>
      <c r="F446">
        <v>1045</v>
      </c>
    </row>
    <row r="447" spans="1:6" x14ac:dyDescent="0.45">
      <c r="A447">
        <v>446</v>
      </c>
      <c r="B447">
        <v>-36.95899</v>
      </c>
      <c r="C447">
        <v>93.75658</v>
      </c>
      <c r="D447">
        <v>158.23999000000001</v>
      </c>
      <c r="E447">
        <v>509.322</v>
      </c>
      <c r="F447">
        <v>1046</v>
      </c>
    </row>
    <row r="448" spans="1:6" x14ac:dyDescent="0.45">
      <c r="A448">
        <v>447</v>
      </c>
      <c r="B448">
        <v>-4.4054399999999996</v>
      </c>
      <c r="C448">
        <v>120.34432</v>
      </c>
      <c r="D448">
        <v>96.75797</v>
      </c>
      <c r="E448">
        <v>1593.0436999999999</v>
      </c>
      <c r="F448">
        <v>1047</v>
      </c>
    </row>
    <row r="449" spans="1:6" x14ac:dyDescent="0.45">
      <c r="A449">
        <v>448</v>
      </c>
      <c r="B449">
        <v>43.101329999999997</v>
      </c>
      <c r="C449">
        <v>-153.50833</v>
      </c>
      <c r="D449">
        <v>207.45282</v>
      </c>
      <c r="E449">
        <v>2276.5025999999998</v>
      </c>
      <c r="F449">
        <v>1048</v>
      </c>
    </row>
    <row r="450" spans="1:6" x14ac:dyDescent="0.45">
      <c r="A450">
        <v>449</v>
      </c>
      <c r="B450">
        <v>-46.994439999999997</v>
      </c>
      <c r="C450">
        <v>-134.40164999999999</v>
      </c>
      <c r="D450">
        <v>246.76301000000001</v>
      </c>
      <c r="E450">
        <v>1491.5641000000001</v>
      </c>
      <c r="F450">
        <v>1049</v>
      </c>
    </row>
    <row r="451" spans="1:6" x14ac:dyDescent="0.45">
      <c r="A451">
        <v>450</v>
      </c>
      <c r="B451">
        <v>47.026739999999997</v>
      </c>
      <c r="C451">
        <v>-136.01058</v>
      </c>
      <c r="D451">
        <v>101.47855</v>
      </c>
      <c r="E451">
        <v>2384.1579000000002</v>
      </c>
      <c r="F451">
        <v>1050</v>
      </c>
    </row>
    <row r="452" spans="1:6" x14ac:dyDescent="0.45">
      <c r="A452">
        <v>451</v>
      </c>
      <c r="B452">
        <v>37.676609999999997</v>
      </c>
      <c r="C452">
        <v>127.77905</v>
      </c>
      <c r="D452">
        <v>121.64788</v>
      </c>
      <c r="E452">
        <v>900.21310000000005</v>
      </c>
      <c r="F452">
        <v>1051</v>
      </c>
    </row>
    <row r="453" spans="1:6" x14ac:dyDescent="0.45">
      <c r="A453">
        <v>452</v>
      </c>
      <c r="B453">
        <v>-12.139749999999999</v>
      </c>
      <c r="C453">
        <v>-137.83193</v>
      </c>
      <c r="D453">
        <v>339.84532999999999</v>
      </c>
      <c r="E453">
        <v>1913.3998999999999</v>
      </c>
      <c r="F453">
        <v>1052</v>
      </c>
    </row>
    <row r="454" spans="1:6" x14ac:dyDescent="0.45">
      <c r="A454">
        <v>453</v>
      </c>
      <c r="B454">
        <v>-88.131879999999995</v>
      </c>
      <c r="C454">
        <v>-81.528090000000006</v>
      </c>
      <c r="D454">
        <v>97.079589999999996</v>
      </c>
      <c r="E454">
        <v>1380.5322000000001</v>
      </c>
      <c r="F454">
        <v>1053</v>
      </c>
    </row>
    <row r="455" spans="1:6" x14ac:dyDescent="0.45">
      <c r="A455">
        <v>454</v>
      </c>
      <c r="B455">
        <v>-8.3412500000000005</v>
      </c>
      <c r="C455">
        <v>21.823329999999999</v>
      </c>
      <c r="D455">
        <v>301.81740000000002</v>
      </c>
      <c r="E455">
        <v>1735.1509000000001</v>
      </c>
      <c r="F455">
        <v>1054</v>
      </c>
    </row>
    <row r="456" spans="1:6" x14ac:dyDescent="0.45">
      <c r="A456">
        <v>455</v>
      </c>
      <c r="B456">
        <v>62.624600000000001</v>
      </c>
      <c r="C456">
        <v>-127.76622999999999</v>
      </c>
      <c r="D456">
        <v>122.26999000000001</v>
      </c>
      <c r="E456">
        <v>2539.4928</v>
      </c>
      <c r="F456">
        <v>1055</v>
      </c>
    </row>
    <row r="457" spans="1:6" x14ac:dyDescent="0.45">
      <c r="A457">
        <v>456</v>
      </c>
      <c r="B457">
        <v>37.274369999999998</v>
      </c>
      <c r="C457">
        <v>37.531089999999999</v>
      </c>
      <c r="D457">
        <v>109.78476000000001</v>
      </c>
      <c r="E457">
        <v>880.4864</v>
      </c>
      <c r="F457">
        <v>1056</v>
      </c>
    </row>
    <row r="458" spans="1:6" x14ac:dyDescent="0.45">
      <c r="A458">
        <v>457</v>
      </c>
      <c r="B458">
        <v>-73.901790000000005</v>
      </c>
      <c r="C458">
        <v>74.680090000000007</v>
      </c>
      <c r="D458">
        <v>60.125520000000002</v>
      </c>
      <c r="E458">
        <v>1238.2325000000001</v>
      </c>
      <c r="F458">
        <v>1057</v>
      </c>
    </row>
    <row r="459" spans="1:6" x14ac:dyDescent="0.45">
      <c r="A459">
        <v>458</v>
      </c>
      <c r="B459">
        <v>-89.379109999999997</v>
      </c>
      <c r="C459">
        <v>-96.268940000000001</v>
      </c>
      <c r="D459">
        <v>176.62004999999999</v>
      </c>
      <c r="E459">
        <v>1481.5454</v>
      </c>
      <c r="F459">
        <v>1058</v>
      </c>
    </row>
    <row r="460" spans="1:6" x14ac:dyDescent="0.45">
      <c r="A460">
        <v>459</v>
      </c>
      <c r="B460">
        <v>-3.9828800000000002</v>
      </c>
      <c r="C460">
        <v>-58.210630000000002</v>
      </c>
      <c r="D460">
        <v>118.69334000000001</v>
      </c>
      <c r="E460">
        <v>170.26910000000001</v>
      </c>
      <c r="F460">
        <v>1059</v>
      </c>
    </row>
    <row r="461" spans="1:6" x14ac:dyDescent="0.45">
      <c r="A461">
        <v>460</v>
      </c>
      <c r="B461">
        <v>60.613079999999997</v>
      </c>
      <c r="C461">
        <v>-24.641100000000002</v>
      </c>
      <c r="D461">
        <v>103.25893000000001</v>
      </c>
      <c r="E461">
        <v>1191.329</v>
      </c>
      <c r="F461">
        <v>1060</v>
      </c>
    </row>
    <row r="462" spans="1:6" x14ac:dyDescent="0.45">
      <c r="A462">
        <v>461</v>
      </c>
      <c r="B462">
        <v>-53.123269999999998</v>
      </c>
      <c r="C462">
        <v>148.29747</v>
      </c>
      <c r="D462">
        <v>230.70348000000001</v>
      </c>
      <c r="E462">
        <v>952.34939999999995</v>
      </c>
      <c r="F462">
        <v>1061</v>
      </c>
    </row>
    <row r="463" spans="1:6" x14ac:dyDescent="0.45">
      <c r="A463">
        <v>462</v>
      </c>
      <c r="B463">
        <v>-38.636450000000004</v>
      </c>
      <c r="C463">
        <v>-159.59639000000001</v>
      </c>
      <c r="D463">
        <v>117.90428</v>
      </c>
      <c r="E463">
        <v>2320.2631999999999</v>
      </c>
      <c r="F463">
        <v>1062</v>
      </c>
    </row>
    <row r="464" spans="1:6" x14ac:dyDescent="0.45">
      <c r="A464">
        <v>463</v>
      </c>
      <c r="B464">
        <v>4.07592</v>
      </c>
      <c r="C464">
        <v>10.46036</v>
      </c>
      <c r="D464">
        <v>283.61604</v>
      </c>
      <c r="E464">
        <v>1113.6715999999999</v>
      </c>
      <c r="F464">
        <v>1063</v>
      </c>
    </row>
    <row r="465" spans="1:6" x14ac:dyDescent="0.45">
      <c r="A465">
        <v>464</v>
      </c>
      <c r="B465">
        <v>3.9200599999999999</v>
      </c>
      <c r="C465">
        <v>-81.034180000000006</v>
      </c>
      <c r="D465">
        <v>352.59393999999998</v>
      </c>
      <c r="E465">
        <v>2897.2872000000002</v>
      </c>
      <c r="F465">
        <v>1064</v>
      </c>
    </row>
    <row r="466" spans="1:6" x14ac:dyDescent="0.45">
      <c r="A466">
        <v>465</v>
      </c>
      <c r="B466">
        <v>-47.079470000000001</v>
      </c>
      <c r="C466">
        <v>-53.435029999999998</v>
      </c>
      <c r="D466">
        <v>72.137389999999996</v>
      </c>
      <c r="E466">
        <v>2001.7566999999999</v>
      </c>
      <c r="F466">
        <v>1065</v>
      </c>
    </row>
    <row r="467" spans="1:6" x14ac:dyDescent="0.45">
      <c r="A467">
        <v>466</v>
      </c>
      <c r="B467">
        <v>14.09404</v>
      </c>
      <c r="C467">
        <v>-37.694540000000003</v>
      </c>
      <c r="D467">
        <v>346.49799999999999</v>
      </c>
      <c r="E467">
        <v>167.43340000000001</v>
      </c>
      <c r="F467">
        <v>1066</v>
      </c>
    </row>
    <row r="468" spans="1:6" x14ac:dyDescent="0.45">
      <c r="A468">
        <v>467</v>
      </c>
      <c r="B468">
        <v>-52.998240000000003</v>
      </c>
      <c r="C468">
        <v>-148.73666</v>
      </c>
      <c r="D468">
        <v>244.64949999999999</v>
      </c>
      <c r="E468">
        <v>1155.6850999999999</v>
      </c>
      <c r="F468">
        <v>1067</v>
      </c>
    </row>
    <row r="469" spans="1:6" x14ac:dyDescent="0.45">
      <c r="A469">
        <v>468</v>
      </c>
      <c r="B469">
        <v>54.64817</v>
      </c>
      <c r="C469">
        <v>8.3456200000000003</v>
      </c>
      <c r="D469">
        <v>90.053619999999995</v>
      </c>
      <c r="E469">
        <v>2369.3285999999998</v>
      </c>
      <c r="F469">
        <v>1068</v>
      </c>
    </row>
    <row r="470" spans="1:6" x14ac:dyDescent="0.45">
      <c r="A470">
        <v>469</v>
      </c>
      <c r="B470">
        <v>89.877889999999994</v>
      </c>
      <c r="C470">
        <v>152.97896</v>
      </c>
      <c r="D470">
        <v>31.659759999999999</v>
      </c>
      <c r="E470">
        <v>2099.6320000000001</v>
      </c>
      <c r="F470">
        <v>1069</v>
      </c>
    </row>
    <row r="471" spans="1:6" x14ac:dyDescent="0.45">
      <c r="A471">
        <v>470</v>
      </c>
      <c r="B471">
        <v>-85.22278</v>
      </c>
      <c r="C471">
        <v>23.71979</v>
      </c>
      <c r="D471">
        <v>142.60686000000001</v>
      </c>
      <c r="E471">
        <v>1566.3607999999999</v>
      </c>
      <c r="F471">
        <v>1070</v>
      </c>
    </row>
    <row r="472" spans="1:6" x14ac:dyDescent="0.45">
      <c r="A472">
        <v>471</v>
      </c>
      <c r="B472">
        <v>-1.8529599999999999</v>
      </c>
      <c r="C472">
        <v>-162.90022999999999</v>
      </c>
      <c r="D472">
        <v>1.0216400000000001</v>
      </c>
      <c r="E472">
        <v>1913.6427000000001</v>
      </c>
      <c r="F472">
        <v>1071</v>
      </c>
    </row>
    <row r="473" spans="1:6" x14ac:dyDescent="0.45">
      <c r="A473">
        <v>472</v>
      </c>
      <c r="B473">
        <v>-50.760620000000003</v>
      </c>
      <c r="C473">
        <v>-103.93796</v>
      </c>
      <c r="D473">
        <v>43.065800000000003</v>
      </c>
      <c r="E473">
        <v>2141.8692999999998</v>
      </c>
      <c r="F473">
        <v>1072</v>
      </c>
    </row>
    <row r="474" spans="1:6" x14ac:dyDescent="0.45">
      <c r="A474">
        <v>473</v>
      </c>
      <c r="B474">
        <v>49.041820000000001</v>
      </c>
      <c r="C474">
        <v>-163.32679999999999</v>
      </c>
      <c r="D474">
        <v>219.15434999999999</v>
      </c>
      <c r="E474">
        <v>283.83530000000002</v>
      </c>
      <c r="F474">
        <v>1073</v>
      </c>
    </row>
    <row r="475" spans="1:6" x14ac:dyDescent="0.45">
      <c r="A475">
        <v>474</v>
      </c>
      <c r="B475">
        <v>82.745810000000006</v>
      </c>
      <c r="C475">
        <v>156.34327999999999</v>
      </c>
      <c r="D475">
        <v>55.118319999999997</v>
      </c>
      <c r="E475">
        <v>706.19870000000003</v>
      </c>
      <c r="F475">
        <v>1074</v>
      </c>
    </row>
    <row r="476" spans="1:6" x14ac:dyDescent="0.45">
      <c r="A476">
        <v>475</v>
      </c>
      <c r="B476">
        <v>-73.563220000000001</v>
      </c>
      <c r="C476">
        <v>108.30370000000001</v>
      </c>
      <c r="D476">
        <v>25.50957</v>
      </c>
      <c r="E476">
        <v>1764.5993000000001</v>
      </c>
      <c r="F476">
        <v>1075</v>
      </c>
    </row>
    <row r="477" spans="1:6" x14ac:dyDescent="0.45">
      <c r="A477">
        <v>476</v>
      </c>
      <c r="B477">
        <v>83.163110000000003</v>
      </c>
      <c r="C477">
        <v>-121.99243</v>
      </c>
      <c r="D477">
        <v>70.844089999999994</v>
      </c>
      <c r="E477">
        <v>1206.1131</v>
      </c>
      <c r="F477">
        <v>1076</v>
      </c>
    </row>
    <row r="478" spans="1:6" x14ac:dyDescent="0.45">
      <c r="A478">
        <v>477</v>
      </c>
      <c r="B478">
        <v>-43.220440000000004</v>
      </c>
      <c r="C478">
        <v>-158.75604000000001</v>
      </c>
      <c r="D478">
        <v>354.94718</v>
      </c>
      <c r="E478">
        <v>667.92190000000005</v>
      </c>
      <c r="F478">
        <v>1077</v>
      </c>
    </row>
    <row r="479" spans="1:6" x14ac:dyDescent="0.45">
      <c r="A479">
        <v>478</v>
      </c>
      <c r="B479">
        <v>19.110880000000002</v>
      </c>
      <c r="C479">
        <v>-152.16387</v>
      </c>
      <c r="D479">
        <v>79.474339999999998</v>
      </c>
      <c r="E479">
        <v>785.29570000000001</v>
      </c>
      <c r="F479">
        <v>1078</v>
      </c>
    </row>
    <row r="480" spans="1:6" x14ac:dyDescent="0.45">
      <c r="A480">
        <v>479</v>
      </c>
      <c r="B480">
        <v>71.325559999999996</v>
      </c>
      <c r="C480">
        <v>-137.79587000000001</v>
      </c>
      <c r="D480">
        <v>337.93723999999997</v>
      </c>
      <c r="E480">
        <v>1268.9889000000001</v>
      </c>
      <c r="F480">
        <v>1079</v>
      </c>
    </row>
    <row r="481" spans="1:6" x14ac:dyDescent="0.45">
      <c r="A481">
        <v>480</v>
      </c>
      <c r="B481">
        <v>58.819180000000003</v>
      </c>
      <c r="C481">
        <v>22.398800000000001</v>
      </c>
      <c r="D481">
        <v>144.72909000000001</v>
      </c>
      <c r="E481">
        <v>1835.7257</v>
      </c>
      <c r="F481">
        <v>1080</v>
      </c>
    </row>
    <row r="482" spans="1:6" x14ac:dyDescent="0.45">
      <c r="A482">
        <v>481</v>
      </c>
      <c r="B482">
        <v>-3.2574299999999998</v>
      </c>
      <c r="C482">
        <v>172.19671</v>
      </c>
      <c r="D482">
        <v>28.176300000000001</v>
      </c>
      <c r="E482">
        <v>1166.6110000000001</v>
      </c>
      <c r="F482">
        <v>1081</v>
      </c>
    </row>
    <row r="483" spans="1:6" x14ac:dyDescent="0.45">
      <c r="A483">
        <v>482</v>
      </c>
      <c r="B483">
        <v>-3.2598600000000002</v>
      </c>
      <c r="C483">
        <v>113.29009000000001</v>
      </c>
      <c r="D483">
        <v>210.50439</v>
      </c>
      <c r="E483">
        <v>662.86389999999994</v>
      </c>
      <c r="F483">
        <v>1082</v>
      </c>
    </row>
    <row r="484" spans="1:6" x14ac:dyDescent="0.45">
      <c r="A484">
        <v>483</v>
      </c>
      <c r="B484">
        <v>19.137039999999999</v>
      </c>
      <c r="C484">
        <v>177.69049999999999</v>
      </c>
      <c r="D484">
        <v>106.10713</v>
      </c>
      <c r="E484">
        <v>470.29559999999998</v>
      </c>
      <c r="F484">
        <v>1083</v>
      </c>
    </row>
    <row r="485" spans="1:6" x14ac:dyDescent="0.45">
      <c r="A485">
        <v>484</v>
      </c>
      <c r="B485">
        <v>35.104019999999998</v>
      </c>
      <c r="C485">
        <v>-30.630109999999998</v>
      </c>
      <c r="D485">
        <v>258.13099999999997</v>
      </c>
      <c r="E485">
        <v>566.70489999999995</v>
      </c>
      <c r="F485">
        <v>1084</v>
      </c>
    </row>
    <row r="486" spans="1:6" x14ac:dyDescent="0.45">
      <c r="A486">
        <v>485</v>
      </c>
      <c r="B486">
        <v>74.040040000000005</v>
      </c>
      <c r="C486">
        <v>-142.56762000000001</v>
      </c>
      <c r="D486">
        <v>234.23329000000001</v>
      </c>
      <c r="E486">
        <v>2049.8571999999999</v>
      </c>
      <c r="F486">
        <v>1085</v>
      </c>
    </row>
    <row r="487" spans="1:6" x14ac:dyDescent="0.45">
      <c r="A487">
        <v>486</v>
      </c>
      <c r="B487">
        <v>24.983989999999999</v>
      </c>
      <c r="C487">
        <v>-177.4408</v>
      </c>
      <c r="D487">
        <v>134.02439000000001</v>
      </c>
      <c r="E487">
        <v>2794.4827</v>
      </c>
      <c r="F487">
        <v>1086</v>
      </c>
    </row>
    <row r="488" spans="1:6" x14ac:dyDescent="0.45">
      <c r="A488">
        <v>487</v>
      </c>
      <c r="B488">
        <v>-23.939299999999999</v>
      </c>
      <c r="C488">
        <v>-165.25326999999999</v>
      </c>
      <c r="D488">
        <v>35.894150000000003</v>
      </c>
      <c r="E488">
        <v>2940.1424000000002</v>
      </c>
      <c r="F488">
        <v>1087</v>
      </c>
    </row>
    <row r="489" spans="1:6" x14ac:dyDescent="0.45">
      <c r="A489">
        <v>488</v>
      </c>
      <c r="B489">
        <v>-56.913820000000001</v>
      </c>
      <c r="C489">
        <v>53.500300000000003</v>
      </c>
      <c r="D489">
        <v>296.83118000000002</v>
      </c>
      <c r="E489">
        <v>1283.4010000000001</v>
      </c>
      <c r="F489">
        <v>1088</v>
      </c>
    </row>
    <row r="490" spans="1:6" x14ac:dyDescent="0.45">
      <c r="A490">
        <v>489</v>
      </c>
      <c r="B490">
        <v>-39.224420000000002</v>
      </c>
      <c r="C490">
        <v>39.377049999999997</v>
      </c>
      <c r="D490">
        <v>100.64051000000001</v>
      </c>
      <c r="E490">
        <v>2161.7483000000002</v>
      </c>
      <c r="F490">
        <v>1089</v>
      </c>
    </row>
    <row r="491" spans="1:6" x14ac:dyDescent="0.45">
      <c r="A491">
        <v>490</v>
      </c>
      <c r="B491">
        <v>39.756720000000001</v>
      </c>
      <c r="C491">
        <v>60.739130000000003</v>
      </c>
      <c r="D491">
        <v>59.963830000000002</v>
      </c>
      <c r="E491">
        <v>574.19349999999997</v>
      </c>
      <c r="F491">
        <v>1090</v>
      </c>
    </row>
    <row r="492" spans="1:6" x14ac:dyDescent="0.45">
      <c r="A492">
        <v>491</v>
      </c>
      <c r="B492">
        <v>53.71452</v>
      </c>
      <c r="C492">
        <v>106.21198</v>
      </c>
      <c r="D492">
        <v>81.984049999999996</v>
      </c>
      <c r="E492">
        <v>2322.3270000000002</v>
      </c>
      <c r="F492">
        <v>1091</v>
      </c>
    </row>
    <row r="493" spans="1:6" x14ac:dyDescent="0.45">
      <c r="A493">
        <v>492</v>
      </c>
      <c r="B493">
        <v>21.165520000000001</v>
      </c>
      <c r="C493">
        <v>-24.952359999999999</v>
      </c>
      <c r="D493">
        <v>136.77870999999999</v>
      </c>
      <c r="E493">
        <v>214.89680000000001</v>
      </c>
      <c r="F493">
        <v>1092</v>
      </c>
    </row>
    <row r="494" spans="1:6" x14ac:dyDescent="0.45">
      <c r="A494">
        <v>493</v>
      </c>
      <c r="B494">
        <v>21.482230000000001</v>
      </c>
      <c r="C494">
        <v>-104.71257</v>
      </c>
      <c r="D494">
        <v>254.71663000000001</v>
      </c>
      <c r="E494">
        <v>1289.5731000000001</v>
      </c>
      <c r="F494">
        <v>1093</v>
      </c>
    </row>
    <row r="495" spans="1:6" x14ac:dyDescent="0.45">
      <c r="A495">
        <v>494</v>
      </c>
      <c r="B495">
        <v>-80.251000000000005</v>
      </c>
      <c r="C495">
        <v>-11.22095</v>
      </c>
      <c r="D495">
        <v>294.80853000000002</v>
      </c>
      <c r="E495">
        <v>1929.104</v>
      </c>
      <c r="F495">
        <v>1094</v>
      </c>
    </row>
    <row r="496" spans="1:6" x14ac:dyDescent="0.45">
      <c r="A496">
        <v>495</v>
      </c>
      <c r="B496">
        <v>-41.807189999999999</v>
      </c>
      <c r="C496">
        <v>-95.592320000000001</v>
      </c>
      <c r="D496">
        <v>298.19812999999999</v>
      </c>
      <c r="E496">
        <v>2028.0549000000001</v>
      </c>
      <c r="F496">
        <v>1095</v>
      </c>
    </row>
    <row r="497" spans="1:6" x14ac:dyDescent="0.45">
      <c r="A497">
        <v>496</v>
      </c>
      <c r="B497">
        <v>-53.464919999999999</v>
      </c>
      <c r="C497">
        <v>10.17784</v>
      </c>
      <c r="D497">
        <v>309.47633000000002</v>
      </c>
      <c r="E497">
        <v>954.67409999999995</v>
      </c>
      <c r="F497">
        <v>1096</v>
      </c>
    </row>
    <row r="498" spans="1:6" x14ac:dyDescent="0.45">
      <c r="A498">
        <v>497</v>
      </c>
      <c r="B498">
        <v>35.098280000000003</v>
      </c>
      <c r="C498">
        <v>10.69909</v>
      </c>
      <c r="D498">
        <v>111.38601</v>
      </c>
      <c r="E498">
        <v>2645.9000999999998</v>
      </c>
      <c r="F498">
        <v>1097</v>
      </c>
    </row>
    <row r="499" spans="1:6" x14ac:dyDescent="0.45">
      <c r="A499">
        <v>498</v>
      </c>
      <c r="B499">
        <v>-26.025849999999998</v>
      </c>
      <c r="C499">
        <v>-112.98105</v>
      </c>
      <c r="D499">
        <v>262.43319000000002</v>
      </c>
      <c r="E499">
        <v>1037.9902</v>
      </c>
      <c r="F499">
        <v>1098</v>
      </c>
    </row>
    <row r="500" spans="1:6" x14ac:dyDescent="0.45">
      <c r="A500">
        <v>499</v>
      </c>
      <c r="B500">
        <v>-12.496169999999999</v>
      </c>
      <c r="C500">
        <v>177.97058999999999</v>
      </c>
      <c r="D500">
        <v>315.38481999999999</v>
      </c>
      <c r="E500">
        <v>2665.431</v>
      </c>
      <c r="F500">
        <v>1099</v>
      </c>
    </row>
    <row r="501" spans="1:6" x14ac:dyDescent="0.45">
      <c r="A501">
        <v>500</v>
      </c>
      <c r="B501">
        <v>-11.61533</v>
      </c>
      <c r="C501">
        <v>173.26237</v>
      </c>
      <c r="D501">
        <v>173.36855</v>
      </c>
      <c r="E501">
        <v>2753.4184</v>
      </c>
      <c r="F501">
        <v>1100</v>
      </c>
    </row>
    <row r="502" spans="1:6" x14ac:dyDescent="0.45">
      <c r="A502">
        <v>501</v>
      </c>
      <c r="B502">
        <v>21.873650000000001</v>
      </c>
      <c r="C502">
        <v>-20.562519999999999</v>
      </c>
      <c r="D502">
        <v>166.18342000000001</v>
      </c>
      <c r="E502">
        <v>264.5086</v>
      </c>
      <c r="F502">
        <v>1101</v>
      </c>
    </row>
    <row r="503" spans="1:6" x14ac:dyDescent="0.45">
      <c r="A503">
        <v>502</v>
      </c>
      <c r="B503">
        <v>1.35799</v>
      </c>
      <c r="C503">
        <v>-13.302680000000001</v>
      </c>
      <c r="D503">
        <v>288.05</v>
      </c>
      <c r="E503">
        <v>6.3822000000000001</v>
      </c>
      <c r="F503">
        <v>1102</v>
      </c>
    </row>
    <row r="504" spans="1:6" x14ac:dyDescent="0.45">
      <c r="A504">
        <v>503</v>
      </c>
      <c r="B504">
        <v>-33.337649999999996</v>
      </c>
      <c r="C504">
        <v>-174.36304999999999</v>
      </c>
      <c r="D504">
        <v>27.023720000000001</v>
      </c>
      <c r="E504">
        <v>131.6283</v>
      </c>
      <c r="F504">
        <v>1103</v>
      </c>
    </row>
    <row r="505" spans="1:6" x14ac:dyDescent="0.45">
      <c r="A505">
        <v>504</v>
      </c>
      <c r="B505">
        <v>-1.3826000000000001</v>
      </c>
      <c r="C505">
        <v>-104.57032</v>
      </c>
      <c r="D505">
        <v>45.487139999999997</v>
      </c>
      <c r="E505">
        <v>173.012</v>
      </c>
      <c r="F505">
        <v>1104</v>
      </c>
    </row>
    <row r="506" spans="1:6" x14ac:dyDescent="0.45">
      <c r="A506">
        <v>505</v>
      </c>
      <c r="B506">
        <v>61.856349999999999</v>
      </c>
      <c r="C506">
        <v>-111.99178999999999</v>
      </c>
      <c r="D506">
        <v>215.14201</v>
      </c>
      <c r="E506">
        <v>188.12110000000001</v>
      </c>
      <c r="F506">
        <v>1105</v>
      </c>
    </row>
    <row r="507" spans="1:6" x14ac:dyDescent="0.45">
      <c r="A507">
        <v>506</v>
      </c>
      <c r="B507">
        <v>-32.009039999999999</v>
      </c>
      <c r="C507">
        <v>-36.844709999999999</v>
      </c>
      <c r="D507">
        <v>100.82675</v>
      </c>
      <c r="E507">
        <v>101.82980000000001</v>
      </c>
      <c r="F507">
        <v>1106</v>
      </c>
    </row>
    <row r="508" spans="1:6" x14ac:dyDescent="0.45">
      <c r="A508">
        <v>507</v>
      </c>
      <c r="B508">
        <v>69.095749999999995</v>
      </c>
      <c r="C508">
        <v>165.33557999999999</v>
      </c>
      <c r="D508">
        <v>47.534529999999997</v>
      </c>
      <c r="E508">
        <v>65.089699999999993</v>
      </c>
      <c r="F508">
        <v>1107</v>
      </c>
    </row>
    <row r="509" spans="1:6" x14ac:dyDescent="0.45">
      <c r="A509">
        <v>508</v>
      </c>
      <c r="B509">
        <v>24.48837</v>
      </c>
      <c r="C509">
        <v>81.266869999999997</v>
      </c>
      <c r="D509">
        <v>193.37889000000001</v>
      </c>
      <c r="E509">
        <v>152.2518</v>
      </c>
      <c r="F509">
        <v>1108</v>
      </c>
    </row>
    <row r="510" spans="1:6" x14ac:dyDescent="0.45">
      <c r="A510">
        <v>509</v>
      </c>
      <c r="B510">
        <v>82.781409999999994</v>
      </c>
      <c r="C510">
        <v>28.353629999999999</v>
      </c>
      <c r="D510">
        <v>335.40109000000001</v>
      </c>
      <c r="E510">
        <v>49.255200000000002</v>
      </c>
      <c r="F510">
        <v>1109</v>
      </c>
    </row>
    <row r="511" spans="1:6" x14ac:dyDescent="0.45">
      <c r="A511">
        <v>510</v>
      </c>
      <c r="B511">
        <v>-30.31739</v>
      </c>
      <c r="C511">
        <v>151.85156000000001</v>
      </c>
      <c r="D511">
        <v>279.11272000000002</v>
      </c>
      <c r="E511">
        <v>232.5444</v>
      </c>
      <c r="F511">
        <v>1110</v>
      </c>
    </row>
    <row r="512" spans="1:6" x14ac:dyDescent="0.45">
      <c r="A512">
        <v>511</v>
      </c>
      <c r="B512">
        <v>23.356680000000001</v>
      </c>
      <c r="C512">
        <v>-164.59180000000001</v>
      </c>
      <c r="D512">
        <v>326.82810000000001</v>
      </c>
      <c r="E512">
        <v>107.157</v>
      </c>
      <c r="F512">
        <v>1111</v>
      </c>
    </row>
    <row r="513" spans="1:6" x14ac:dyDescent="0.45">
      <c r="A513">
        <v>512</v>
      </c>
      <c r="B513">
        <v>-73.492310000000003</v>
      </c>
      <c r="C513">
        <v>15.927949999999999</v>
      </c>
      <c r="D513">
        <v>148.55090000000001</v>
      </c>
      <c r="E513">
        <v>74.548699999999997</v>
      </c>
      <c r="F513">
        <v>1112</v>
      </c>
    </row>
    <row r="514" spans="1:6" x14ac:dyDescent="0.45">
      <c r="A514">
        <v>513</v>
      </c>
      <c r="B514">
        <v>-46.820689999999999</v>
      </c>
      <c r="C514">
        <v>-33.363880000000002</v>
      </c>
      <c r="D514">
        <v>328.67232999999999</v>
      </c>
      <c r="E514">
        <v>75.305599999999998</v>
      </c>
      <c r="F514">
        <v>1113</v>
      </c>
    </row>
    <row r="515" spans="1:6" x14ac:dyDescent="0.45">
      <c r="A515">
        <v>514</v>
      </c>
      <c r="B515">
        <v>11.27017</v>
      </c>
      <c r="C515">
        <v>-26.875640000000001</v>
      </c>
      <c r="D515">
        <v>89.378320000000002</v>
      </c>
      <c r="E515">
        <v>194.6788</v>
      </c>
      <c r="F515">
        <v>1114</v>
      </c>
    </row>
    <row r="516" spans="1:6" x14ac:dyDescent="0.45">
      <c r="A516">
        <v>515</v>
      </c>
      <c r="B516">
        <v>42.259520000000002</v>
      </c>
      <c r="C516">
        <v>-92.030280000000005</v>
      </c>
      <c r="D516">
        <v>289.71839999999997</v>
      </c>
      <c r="E516">
        <v>66.631600000000006</v>
      </c>
      <c r="F516">
        <v>1115</v>
      </c>
    </row>
    <row r="517" spans="1:6" x14ac:dyDescent="0.45">
      <c r="A517">
        <v>516</v>
      </c>
      <c r="B517">
        <v>-44.623159999999999</v>
      </c>
      <c r="C517">
        <v>-9.2262699999999995</v>
      </c>
      <c r="D517">
        <v>175.12504999999999</v>
      </c>
      <c r="E517">
        <v>85.505399999999995</v>
      </c>
      <c r="F517">
        <v>1116</v>
      </c>
    </row>
    <row r="518" spans="1:6" x14ac:dyDescent="0.45">
      <c r="A518">
        <v>517</v>
      </c>
      <c r="B518">
        <v>27.231000000000002</v>
      </c>
      <c r="C518">
        <v>-174.14616000000001</v>
      </c>
      <c r="D518">
        <v>54.313270000000003</v>
      </c>
      <c r="E518">
        <v>92.513499999999993</v>
      </c>
      <c r="F518">
        <v>1117</v>
      </c>
    </row>
    <row r="519" spans="1:6" x14ac:dyDescent="0.45">
      <c r="A519">
        <v>518</v>
      </c>
      <c r="B519">
        <v>-37.711570000000002</v>
      </c>
      <c r="C519">
        <v>96.488259999999997</v>
      </c>
      <c r="D519">
        <v>1.2880199999999999</v>
      </c>
      <c r="E519">
        <v>198.68539999999999</v>
      </c>
      <c r="F519">
        <v>1118</v>
      </c>
    </row>
    <row r="520" spans="1:6" x14ac:dyDescent="0.45">
      <c r="A520">
        <v>519</v>
      </c>
      <c r="B520">
        <v>88.094620000000006</v>
      </c>
      <c r="C520">
        <v>26.098240000000001</v>
      </c>
      <c r="D520">
        <v>148.42997</v>
      </c>
      <c r="E520">
        <v>16.641500000000001</v>
      </c>
      <c r="F520">
        <v>1119</v>
      </c>
    </row>
    <row r="521" spans="1:6" x14ac:dyDescent="0.45">
      <c r="A521">
        <v>520</v>
      </c>
      <c r="B521">
        <v>-56.325490000000002</v>
      </c>
      <c r="C521">
        <v>-107.77484</v>
      </c>
      <c r="D521">
        <v>351.82191999999998</v>
      </c>
      <c r="E521">
        <v>22.802299999999999</v>
      </c>
      <c r="F521">
        <v>1120</v>
      </c>
    </row>
    <row r="522" spans="1:6" x14ac:dyDescent="0.45">
      <c r="A522">
        <v>521</v>
      </c>
      <c r="B522">
        <v>76.131950000000003</v>
      </c>
      <c r="C522">
        <v>76.322109999999995</v>
      </c>
      <c r="D522">
        <v>48.037730000000003</v>
      </c>
      <c r="E522">
        <v>54.732100000000003</v>
      </c>
      <c r="F522">
        <v>1121</v>
      </c>
    </row>
    <row r="523" spans="1:6" x14ac:dyDescent="0.45">
      <c r="A523">
        <v>522</v>
      </c>
      <c r="B523">
        <v>-17.751480000000001</v>
      </c>
      <c r="C523">
        <v>140.92678000000001</v>
      </c>
      <c r="D523">
        <v>22.109079999999999</v>
      </c>
      <c r="E523">
        <v>26.3157</v>
      </c>
      <c r="F523">
        <v>1122</v>
      </c>
    </row>
    <row r="524" spans="1:6" x14ac:dyDescent="0.45">
      <c r="A524">
        <v>523</v>
      </c>
      <c r="B524">
        <v>-25.518599999999999</v>
      </c>
      <c r="C524">
        <v>102.41481</v>
      </c>
      <c r="D524">
        <v>250.43512999999999</v>
      </c>
      <c r="E524">
        <v>287.31920000000002</v>
      </c>
      <c r="F524">
        <v>1123</v>
      </c>
    </row>
    <row r="525" spans="1:6" x14ac:dyDescent="0.45">
      <c r="A525">
        <v>524</v>
      </c>
      <c r="B525">
        <v>10.159509999999999</v>
      </c>
      <c r="C525">
        <v>149.08867000000001</v>
      </c>
      <c r="D525">
        <v>22.20468</v>
      </c>
      <c r="E525">
        <v>249.56829999999999</v>
      </c>
      <c r="F525">
        <v>1124</v>
      </c>
    </row>
    <row r="526" spans="1:6" x14ac:dyDescent="0.45">
      <c r="A526">
        <v>525</v>
      </c>
      <c r="B526">
        <v>6.9403699999999997</v>
      </c>
      <c r="C526">
        <v>147.22119000000001</v>
      </c>
      <c r="D526">
        <v>186.31595999999999</v>
      </c>
      <c r="E526">
        <v>102.48309999999999</v>
      </c>
      <c r="F526">
        <v>1125</v>
      </c>
    </row>
    <row r="527" spans="1:6" x14ac:dyDescent="0.45">
      <c r="A527">
        <v>526</v>
      </c>
      <c r="B527">
        <v>-61.764209999999999</v>
      </c>
      <c r="C527">
        <v>152.63578000000001</v>
      </c>
      <c r="D527">
        <v>89.417590000000004</v>
      </c>
      <c r="E527">
        <v>112.4393</v>
      </c>
      <c r="F527">
        <v>1126</v>
      </c>
    </row>
    <row r="528" spans="1:6" x14ac:dyDescent="0.45">
      <c r="A528">
        <v>527</v>
      </c>
      <c r="B528">
        <v>79.593010000000007</v>
      </c>
      <c r="C528">
        <v>-28.278780000000001</v>
      </c>
      <c r="D528">
        <v>256.24286000000001</v>
      </c>
      <c r="E528">
        <v>188.01929999999999</v>
      </c>
      <c r="F528">
        <v>1127</v>
      </c>
    </row>
    <row r="529" spans="1:6" x14ac:dyDescent="0.45">
      <c r="A529">
        <v>528</v>
      </c>
      <c r="B529">
        <v>-79.142229999999998</v>
      </c>
      <c r="C529">
        <v>-164.06370999999999</v>
      </c>
      <c r="D529">
        <v>111.26199</v>
      </c>
      <c r="E529">
        <v>114.4122</v>
      </c>
      <c r="F529">
        <v>1128</v>
      </c>
    </row>
    <row r="530" spans="1:6" x14ac:dyDescent="0.45">
      <c r="A530">
        <v>529</v>
      </c>
      <c r="B530">
        <v>43.785049999999998</v>
      </c>
      <c r="C530">
        <v>80.855099999999993</v>
      </c>
      <c r="D530">
        <v>54.930970000000002</v>
      </c>
      <c r="E530">
        <v>125.02719999999999</v>
      </c>
      <c r="F530">
        <v>1129</v>
      </c>
    </row>
    <row r="531" spans="1:6" x14ac:dyDescent="0.45">
      <c r="A531">
        <v>530</v>
      </c>
      <c r="B531">
        <v>22.29635</v>
      </c>
      <c r="C531">
        <v>128.5907</v>
      </c>
      <c r="D531">
        <v>284.13648999999998</v>
      </c>
      <c r="E531">
        <v>69.067899999999995</v>
      </c>
      <c r="F531">
        <v>1130</v>
      </c>
    </row>
    <row r="532" spans="1:6" x14ac:dyDescent="0.45">
      <c r="A532">
        <v>531</v>
      </c>
      <c r="B532">
        <v>-32.809049999999999</v>
      </c>
      <c r="C532">
        <v>-154.67445000000001</v>
      </c>
      <c r="D532">
        <v>77.064390000000003</v>
      </c>
      <c r="E532">
        <v>7.2950999999999997</v>
      </c>
      <c r="F532">
        <v>1131</v>
      </c>
    </row>
    <row r="533" spans="1:6" x14ac:dyDescent="0.45">
      <c r="A533">
        <v>532</v>
      </c>
      <c r="B533">
        <v>-21.576830000000001</v>
      </c>
      <c r="C533">
        <v>-140.85884999999999</v>
      </c>
      <c r="D533">
        <v>344.36299000000002</v>
      </c>
      <c r="E533">
        <v>42.905700000000003</v>
      </c>
      <c r="F533">
        <v>1132</v>
      </c>
    </row>
    <row r="534" spans="1:6" x14ac:dyDescent="0.45">
      <c r="A534">
        <v>533</v>
      </c>
      <c r="B534">
        <v>72.056370000000001</v>
      </c>
      <c r="C534">
        <v>-152.77322000000001</v>
      </c>
      <c r="D534">
        <v>349.06916000000001</v>
      </c>
      <c r="E534">
        <v>294.95620000000002</v>
      </c>
      <c r="F534">
        <v>1133</v>
      </c>
    </row>
    <row r="535" spans="1:6" x14ac:dyDescent="0.45">
      <c r="A535">
        <v>534</v>
      </c>
      <c r="B535">
        <v>-82.838620000000006</v>
      </c>
      <c r="C535">
        <v>-106.94711</v>
      </c>
      <c r="D535">
        <v>183.34251</v>
      </c>
      <c r="E535">
        <v>219.79079999999999</v>
      </c>
      <c r="F535">
        <v>1134</v>
      </c>
    </row>
    <row r="536" spans="1:6" x14ac:dyDescent="0.45">
      <c r="A536">
        <v>535</v>
      </c>
      <c r="B536">
        <v>-80.31738</v>
      </c>
      <c r="C536">
        <v>-159.21198999999999</v>
      </c>
      <c r="D536">
        <v>231.74418</v>
      </c>
      <c r="E536">
        <v>75.439899999999994</v>
      </c>
      <c r="F536">
        <v>1135</v>
      </c>
    </row>
    <row r="537" spans="1:6" x14ac:dyDescent="0.45">
      <c r="A537">
        <v>536</v>
      </c>
      <c r="B537">
        <v>-59.436450000000001</v>
      </c>
      <c r="C537">
        <v>137.40592000000001</v>
      </c>
      <c r="D537">
        <v>356.06178</v>
      </c>
      <c r="E537">
        <v>153.09970000000001</v>
      </c>
      <c r="F537">
        <v>1136</v>
      </c>
    </row>
    <row r="538" spans="1:6" x14ac:dyDescent="0.45">
      <c r="A538">
        <v>537</v>
      </c>
      <c r="B538">
        <v>-69.068560000000005</v>
      </c>
      <c r="C538">
        <v>155.59643</v>
      </c>
      <c r="D538">
        <v>294.31029999999998</v>
      </c>
      <c r="E538">
        <v>275.0976</v>
      </c>
      <c r="F538">
        <v>1137</v>
      </c>
    </row>
    <row r="539" spans="1:6" x14ac:dyDescent="0.45">
      <c r="A539">
        <v>538</v>
      </c>
      <c r="B539">
        <v>-53.89425</v>
      </c>
      <c r="C539">
        <v>-149.10196999999999</v>
      </c>
      <c r="D539">
        <v>302.54115999999999</v>
      </c>
      <c r="E539">
        <v>117.9924</v>
      </c>
      <c r="F539">
        <v>1138</v>
      </c>
    </row>
    <row r="540" spans="1:6" x14ac:dyDescent="0.45">
      <c r="A540">
        <v>539</v>
      </c>
      <c r="B540">
        <v>-51.121549999999999</v>
      </c>
      <c r="C540">
        <v>4.9102800000000002</v>
      </c>
      <c r="D540">
        <v>241.80784</v>
      </c>
      <c r="E540">
        <v>230.8272</v>
      </c>
      <c r="F540">
        <v>1139</v>
      </c>
    </row>
    <row r="541" spans="1:6" x14ac:dyDescent="0.45">
      <c r="A541">
        <v>540</v>
      </c>
      <c r="B541">
        <v>57.24682</v>
      </c>
      <c r="C541">
        <v>-124.59036</v>
      </c>
      <c r="D541">
        <v>197.60433</v>
      </c>
      <c r="E541">
        <v>50.645099999999999</v>
      </c>
      <c r="F541">
        <v>1140</v>
      </c>
    </row>
    <row r="542" spans="1:6" x14ac:dyDescent="0.45">
      <c r="A542">
        <v>541</v>
      </c>
      <c r="B542">
        <v>12.58253</v>
      </c>
      <c r="C542">
        <v>134.70033000000001</v>
      </c>
      <c r="D542">
        <v>192.15662</v>
      </c>
      <c r="E542">
        <v>199.2944</v>
      </c>
      <c r="F542">
        <v>1141</v>
      </c>
    </row>
    <row r="543" spans="1:6" x14ac:dyDescent="0.45">
      <c r="A543">
        <v>542</v>
      </c>
      <c r="B543">
        <v>34.16874</v>
      </c>
      <c r="C543">
        <v>-138.63915</v>
      </c>
      <c r="D543">
        <v>156.27993000000001</v>
      </c>
      <c r="E543">
        <v>159.47839999999999</v>
      </c>
      <c r="F543">
        <v>1142</v>
      </c>
    </row>
    <row r="544" spans="1:6" x14ac:dyDescent="0.45">
      <c r="A544">
        <v>543</v>
      </c>
      <c r="B544">
        <v>-10.688639999999999</v>
      </c>
      <c r="C544">
        <v>36.416780000000003</v>
      </c>
      <c r="D544">
        <v>301.57067999999998</v>
      </c>
      <c r="E544">
        <v>65.087299999999999</v>
      </c>
      <c r="F544">
        <v>1143</v>
      </c>
    </row>
    <row r="545" spans="1:6" x14ac:dyDescent="0.45">
      <c r="A545">
        <v>544</v>
      </c>
      <c r="B545">
        <v>81.386269999999996</v>
      </c>
      <c r="C545">
        <v>-36.874519999999997</v>
      </c>
      <c r="D545">
        <v>310.75274000000002</v>
      </c>
      <c r="E545">
        <v>179.26079999999999</v>
      </c>
      <c r="F545">
        <v>1144</v>
      </c>
    </row>
    <row r="546" spans="1:6" x14ac:dyDescent="0.45">
      <c r="A546">
        <v>545</v>
      </c>
      <c r="B546">
        <v>20.176829999999999</v>
      </c>
      <c r="C546">
        <v>111.70093</v>
      </c>
      <c r="D546">
        <v>104.68876</v>
      </c>
      <c r="E546">
        <v>18.3111</v>
      </c>
      <c r="F546">
        <v>1145</v>
      </c>
    </row>
    <row r="547" spans="1:6" x14ac:dyDescent="0.45">
      <c r="A547">
        <v>546</v>
      </c>
      <c r="B547">
        <v>73.634730000000005</v>
      </c>
      <c r="C547">
        <v>160.04536999999999</v>
      </c>
      <c r="D547">
        <v>269.04316999999998</v>
      </c>
      <c r="E547">
        <v>2.7016</v>
      </c>
      <c r="F547">
        <v>1146</v>
      </c>
    </row>
    <row r="548" spans="1:6" x14ac:dyDescent="0.45">
      <c r="A548">
        <v>547</v>
      </c>
      <c r="B548">
        <v>-15.179130000000001</v>
      </c>
      <c r="C548">
        <v>-136.54058000000001</v>
      </c>
      <c r="D548">
        <v>333.54842000000002</v>
      </c>
      <c r="E548">
        <v>289.99310000000003</v>
      </c>
      <c r="F548">
        <v>1147</v>
      </c>
    </row>
    <row r="549" spans="1:6" x14ac:dyDescent="0.45">
      <c r="A549">
        <v>548</v>
      </c>
      <c r="B549">
        <v>-56.078150000000001</v>
      </c>
      <c r="C549">
        <v>-110.17564</v>
      </c>
      <c r="D549">
        <v>220.47939</v>
      </c>
      <c r="E549">
        <v>191.5222</v>
      </c>
      <c r="F549">
        <v>1148</v>
      </c>
    </row>
    <row r="550" spans="1:6" x14ac:dyDescent="0.45">
      <c r="A550">
        <v>549</v>
      </c>
      <c r="B550">
        <v>51.039769999999997</v>
      </c>
      <c r="C550">
        <v>-16.25891</v>
      </c>
      <c r="D550">
        <v>80.054810000000003</v>
      </c>
      <c r="E550">
        <v>288.79849999999999</v>
      </c>
      <c r="F550">
        <v>1149</v>
      </c>
    </row>
    <row r="551" spans="1:6" x14ac:dyDescent="0.45">
      <c r="A551">
        <v>550</v>
      </c>
      <c r="B551">
        <v>86.756280000000004</v>
      </c>
      <c r="C551">
        <v>-170.15781999999999</v>
      </c>
      <c r="D551">
        <v>110.48251999999999</v>
      </c>
      <c r="E551">
        <v>181.3706</v>
      </c>
      <c r="F551">
        <v>1150</v>
      </c>
    </row>
    <row r="552" spans="1:6" x14ac:dyDescent="0.45">
      <c r="A552">
        <v>551</v>
      </c>
      <c r="B552">
        <v>-3.9378600000000001</v>
      </c>
      <c r="C552">
        <v>104.93034</v>
      </c>
      <c r="D552">
        <v>187.28787</v>
      </c>
      <c r="E552">
        <v>238.00460000000001</v>
      </c>
      <c r="F552">
        <v>1151</v>
      </c>
    </row>
    <row r="553" spans="1:6" x14ac:dyDescent="0.45">
      <c r="A553">
        <v>552</v>
      </c>
      <c r="B553">
        <v>-57.820839999999997</v>
      </c>
      <c r="C553">
        <v>-51.469000000000001</v>
      </c>
      <c r="D553">
        <v>183.06056000000001</v>
      </c>
      <c r="E553">
        <v>230.9863</v>
      </c>
      <c r="F553">
        <v>1152</v>
      </c>
    </row>
    <row r="554" spans="1:6" x14ac:dyDescent="0.45">
      <c r="A554">
        <v>553</v>
      </c>
      <c r="B554">
        <v>41.255890000000001</v>
      </c>
      <c r="C554">
        <v>-118.74885</v>
      </c>
      <c r="D554">
        <v>312.52050000000003</v>
      </c>
      <c r="E554">
        <v>190.0778</v>
      </c>
      <c r="F554">
        <v>1153</v>
      </c>
    </row>
    <row r="555" spans="1:6" x14ac:dyDescent="0.45">
      <c r="A555">
        <v>554</v>
      </c>
      <c r="B555">
        <v>88.690420000000003</v>
      </c>
      <c r="C555">
        <v>57.01623</v>
      </c>
      <c r="D555">
        <v>153.66014000000001</v>
      </c>
      <c r="E555">
        <v>99.565399999999997</v>
      </c>
      <c r="F555">
        <v>1154</v>
      </c>
    </row>
    <row r="556" spans="1:6" x14ac:dyDescent="0.45">
      <c r="A556">
        <v>555</v>
      </c>
      <c r="B556">
        <v>-87.363870000000006</v>
      </c>
      <c r="C556">
        <v>75.309780000000003</v>
      </c>
      <c r="D556">
        <v>263.39355999999998</v>
      </c>
      <c r="E556">
        <v>29.6218</v>
      </c>
      <c r="F556">
        <v>1155</v>
      </c>
    </row>
    <row r="557" spans="1:6" x14ac:dyDescent="0.45">
      <c r="A557">
        <v>556</v>
      </c>
      <c r="B557">
        <v>-5.7315699999999996</v>
      </c>
      <c r="C557">
        <v>-136.95232999999999</v>
      </c>
      <c r="D557">
        <v>43.299230000000001</v>
      </c>
      <c r="E557">
        <v>162.2439</v>
      </c>
      <c r="F557">
        <v>1156</v>
      </c>
    </row>
    <row r="558" spans="1:6" x14ac:dyDescent="0.45">
      <c r="A558">
        <v>557</v>
      </c>
      <c r="B558">
        <v>34.532760000000003</v>
      </c>
      <c r="C558">
        <v>127.68576</v>
      </c>
      <c r="D558">
        <v>307.16313000000002</v>
      </c>
      <c r="E558">
        <v>56.786299999999997</v>
      </c>
      <c r="F558">
        <v>1157</v>
      </c>
    </row>
    <row r="559" spans="1:6" x14ac:dyDescent="0.45">
      <c r="A559">
        <v>558</v>
      </c>
      <c r="B559">
        <v>-31.722169999999998</v>
      </c>
      <c r="C559">
        <v>-81.074830000000006</v>
      </c>
      <c r="D559">
        <v>6.0523999999999996</v>
      </c>
      <c r="E559">
        <v>144.6337</v>
      </c>
      <c r="F559">
        <v>1158</v>
      </c>
    </row>
    <row r="560" spans="1:6" x14ac:dyDescent="0.45">
      <c r="A560">
        <v>559</v>
      </c>
      <c r="B560">
        <v>27.26512</v>
      </c>
      <c r="C560">
        <v>-140.48827</v>
      </c>
      <c r="D560">
        <v>59.526020000000003</v>
      </c>
      <c r="E560">
        <v>173.5181</v>
      </c>
      <c r="F560">
        <v>1159</v>
      </c>
    </row>
    <row r="561" spans="1:6" x14ac:dyDescent="0.45">
      <c r="A561">
        <v>560</v>
      </c>
      <c r="B561">
        <v>-25.903079999999999</v>
      </c>
      <c r="C561">
        <v>-172.59781000000001</v>
      </c>
      <c r="D561">
        <v>265.84955000000002</v>
      </c>
      <c r="E561">
        <v>53.187399999999997</v>
      </c>
      <c r="F561">
        <v>1160</v>
      </c>
    </row>
    <row r="562" spans="1:6" x14ac:dyDescent="0.45">
      <c r="A562">
        <v>561</v>
      </c>
      <c r="B562">
        <v>33.746499999999997</v>
      </c>
      <c r="C562">
        <v>-124.47116</v>
      </c>
      <c r="D562">
        <v>46.665370000000003</v>
      </c>
      <c r="E562">
        <v>147.19309999999999</v>
      </c>
      <c r="F562">
        <v>1161</v>
      </c>
    </row>
    <row r="563" spans="1:6" x14ac:dyDescent="0.45">
      <c r="A563">
        <v>562</v>
      </c>
      <c r="B563">
        <v>-0.81971000000000005</v>
      </c>
      <c r="C563">
        <v>-111.59759</v>
      </c>
      <c r="D563">
        <v>307.62626</v>
      </c>
      <c r="E563">
        <v>286.26080000000002</v>
      </c>
      <c r="F563">
        <v>1162</v>
      </c>
    </row>
    <row r="564" spans="1:6" x14ac:dyDescent="0.45">
      <c r="A564">
        <v>563</v>
      </c>
      <c r="B564">
        <v>-83.180459999999997</v>
      </c>
      <c r="C564">
        <v>-157.54884999999999</v>
      </c>
      <c r="D564">
        <v>226.68654000000001</v>
      </c>
      <c r="E564">
        <v>15.910600000000001</v>
      </c>
      <c r="F564">
        <v>1163</v>
      </c>
    </row>
    <row r="565" spans="1:6" x14ac:dyDescent="0.45">
      <c r="A565">
        <v>564</v>
      </c>
      <c r="B565">
        <v>79.332220000000007</v>
      </c>
      <c r="C565">
        <v>58.705269999999999</v>
      </c>
      <c r="D565">
        <v>224.47203999999999</v>
      </c>
      <c r="E565">
        <v>1.7715000000000001</v>
      </c>
      <c r="F565">
        <v>1164</v>
      </c>
    </row>
    <row r="566" spans="1:6" x14ac:dyDescent="0.45">
      <c r="A566">
        <v>565</v>
      </c>
      <c r="B566">
        <v>28.642399999999999</v>
      </c>
      <c r="C566">
        <v>-153.45140000000001</v>
      </c>
      <c r="D566">
        <v>311.82407000000001</v>
      </c>
      <c r="E566">
        <v>17.602499999999999</v>
      </c>
      <c r="F566">
        <v>1165</v>
      </c>
    </row>
    <row r="567" spans="1:6" x14ac:dyDescent="0.45">
      <c r="A567">
        <v>566</v>
      </c>
      <c r="B567">
        <v>-52.37426</v>
      </c>
      <c r="C567">
        <v>31.57901</v>
      </c>
      <c r="D567">
        <v>159.75973999999999</v>
      </c>
      <c r="E567">
        <v>41.176900000000003</v>
      </c>
      <c r="F567">
        <v>1166</v>
      </c>
    </row>
    <row r="568" spans="1:6" x14ac:dyDescent="0.45">
      <c r="A568">
        <v>567</v>
      </c>
      <c r="B568">
        <v>-44.8003</v>
      </c>
      <c r="C568">
        <v>43.95102</v>
      </c>
      <c r="D568">
        <v>112.05547</v>
      </c>
      <c r="E568">
        <v>213.721</v>
      </c>
      <c r="F568">
        <v>1167</v>
      </c>
    </row>
    <row r="569" spans="1:6" x14ac:dyDescent="0.45">
      <c r="A569">
        <v>568</v>
      </c>
      <c r="B569">
        <v>-77.591309999999993</v>
      </c>
      <c r="C569">
        <v>156.82078000000001</v>
      </c>
      <c r="D569">
        <v>139.50046</v>
      </c>
      <c r="E569">
        <v>299.5917</v>
      </c>
      <c r="F569">
        <v>1168</v>
      </c>
    </row>
    <row r="570" spans="1:6" x14ac:dyDescent="0.45">
      <c r="A570">
        <v>569</v>
      </c>
      <c r="B570">
        <v>-63.280999999999999</v>
      </c>
      <c r="C570">
        <v>77.74485</v>
      </c>
      <c r="D570">
        <v>133.05328</v>
      </c>
      <c r="E570">
        <v>26.440300000000001</v>
      </c>
      <c r="F570">
        <v>1169</v>
      </c>
    </row>
    <row r="571" spans="1:6" x14ac:dyDescent="0.45">
      <c r="A571">
        <v>570</v>
      </c>
      <c r="B571">
        <v>-76.6036</v>
      </c>
      <c r="C571">
        <v>16.639379999999999</v>
      </c>
      <c r="D571">
        <v>312.82227</v>
      </c>
      <c r="E571">
        <v>113.30110000000001</v>
      </c>
      <c r="F571">
        <v>1170</v>
      </c>
    </row>
    <row r="572" spans="1:6" x14ac:dyDescent="0.45">
      <c r="A572">
        <v>571</v>
      </c>
      <c r="B572">
        <v>57.43224</v>
      </c>
      <c r="C572">
        <v>78.881559999999993</v>
      </c>
      <c r="D572">
        <v>193.30803</v>
      </c>
      <c r="E572">
        <v>216.56450000000001</v>
      </c>
      <c r="F572">
        <v>1171</v>
      </c>
    </row>
    <row r="573" spans="1:6" x14ac:dyDescent="0.45">
      <c r="A573">
        <v>572</v>
      </c>
      <c r="B573">
        <v>-70.088729999999998</v>
      </c>
      <c r="C573">
        <v>130.12809999999999</v>
      </c>
      <c r="D573">
        <v>226.68773999999999</v>
      </c>
      <c r="E573">
        <v>139.32480000000001</v>
      </c>
      <c r="F573">
        <v>1172</v>
      </c>
    </row>
    <row r="574" spans="1:6" x14ac:dyDescent="0.45">
      <c r="A574">
        <v>573</v>
      </c>
      <c r="B574">
        <v>72.797669999999997</v>
      </c>
      <c r="C574">
        <v>61.032829999999997</v>
      </c>
      <c r="D574">
        <v>26.693940000000001</v>
      </c>
      <c r="E574">
        <v>131.84719999999999</v>
      </c>
      <c r="F574">
        <v>1173</v>
      </c>
    </row>
    <row r="575" spans="1:6" x14ac:dyDescent="0.45">
      <c r="A575">
        <v>574</v>
      </c>
      <c r="B575">
        <v>-12.12105</v>
      </c>
      <c r="C575">
        <v>65.601759999999999</v>
      </c>
      <c r="D575">
        <v>172.55895000000001</v>
      </c>
      <c r="E575">
        <v>211.75059999999999</v>
      </c>
      <c r="F575">
        <v>1174</v>
      </c>
    </row>
    <row r="576" spans="1:6" x14ac:dyDescent="0.45">
      <c r="A576">
        <v>575</v>
      </c>
      <c r="B576">
        <v>56.408329999999999</v>
      </c>
      <c r="C576">
        <v>-137.34782000000001</v>
      </c>
      <c r="D576">
        <v>245.13218000000001</v>
      </c>
      <c r="E576">
        <v>1.5274000000000001</v>
      </c>
      <c r="F576">
        <v>1175</v>
      </c>
    </row>
    <row r="577" spans="1:6" x14ac:dyDescent="0.45">
      <c r="A577">
        <v>576</v>
      </c>
      <c r="B577">
        <v>4.0333899999999998</v>
      </c>
      <c r="C577">
        <v>53.337260000000001</v>
      </c>
      <c r="D577">
        <v>115.78897000000001</v>
      </c>
      <c r="E577">
        <v>145.38300000000001</v>
      </c>
      <c r="F577">
        <v>1176</v>
      </c>
    </row>
    <row r="578" spans="1:6" x14ac:dyDescent="0.45">
      <c r="A578">
        <v>577</v>
      </c>
      <c r="B578">
        <v>-24.675519999999999</v>
      </c>
      <c r="C578">
        <v>-116.47371</v>
      </c>
      <c r="D578">
        <v>17.108699999999999</v>
      </c>
      <c r="E578">
        <v>298.60430000000002</v>
      </c>
      <c r="F578">
        <v>1177</v>
      </c>
    </row>
    <row r="579" spans="1:6" x14ac:dyDescent="0.45">
      <c r="A579">
        <v>578</v>
      </c>
      <c r="B579">
        <v>24.813469999999999</v>
      </c>
      <c r="C579">
        <v>95.51782</v>
      </c>
      <c r="D579">
        <v>34.912210000000002</v>
      </c>
      <c r="E579">
        <v>134.36859999999999</v>
      </c>
      <c r="F579">
        <v>1178</v>
      </c>
    </row>
    <row r="580" spans="1:6" x14ac:dyDescent="0.45">
      <c r="A580">
        <v>579</v>
      </c>
      <c r="B580">
        <v>-67.415689999999998</v>
      </c>
      <c r="C580">
        <v>65.61645</v>
      </c>
      <c r="D580">
        <v>198.33238</v>
      </c>
      <c r="E580">
        <v>113.09690000000001</v>
      </c>
      <c r="F580">
        <v>1179</v>
      </c>
    </row>
    <row r="581" spans="1:6" x14ac:dyDescent="0.45">
      <c r="A581">
        <v>580</v>
      </c>
      <c r="B581">
        <v>1.18946</v>
      </c>
      <c r="C581">
        <v>62.518470000000001</v>
      </c>
      <c r="D581">
        <v>336.43885999999998</v>
      </c>
      <c r="E581">
        <v>258.26159999999999</v>
      </c>
      <c r="F581">
        <v>1180</v>
      </c>
    </row>
    <row r="582" spans="1:6" x14ac:dyDescent="0.45">
      <c r="A582">
        <v>581</v>
      </c>
      <c r="B582">
        <v>86.295429999999996</v>
      </c>
      <c r="C582">
        <v>128.02153000000001</v>
      </c>
      <c r="D582">
        <v>249.55179999999999</v>
      </c>
      <c r="E582">
        <v>245.2526</v>
      </c>
      <c r="F582">
        <v>1181</v>
      </c>
    </row>
    <row r="583" spans="1:6" x14ac:dyDescent="0.45">
      <c r="A583">
        <v>582</v>
      </c>
      <c r="B583">
        <v>15.1288</v>
      </c>
      <c r="C583">
        <v>108.01099000000001</v>
      </c>
      <c r="D583">
        <v>122.24324</v>
      </c>
      <c r="E583">
        <v>232.00069999999999</v>
      </c>
      <c r="F583">
        <v>1182</v>
      </c>
    </row>
    <row r="584" spans="1:6" x14ac:dyDescent="0.45">
      <c r="A584">
        <v>583</v>
      </c>
      <c r="B584">
        <v>71.317300000000003</v>
      </c>
      <c r="C584">
        <v>-79.998649999999998</v>
      </c>
      <c r="D584">
        <v>208.13885999999999</v>
      </c>
      <c r="E584">
        <v>154.26689999999999</v>
      </c>
      <c r="F584">
        <v>1183</v>
      </c>
    </row>
    <row r="585" spans="1:6" x14ac:dyDescent="0.45">
      <c r="A585">
        <v>584</v>
      </c>
      <c r="B585">
        <v>15.766260000000001</v>
      </c>
      <c r="C585">
        <v>-104.24096</v>
      </c>
      <c r="D585">
        <v>121.76687</v>
      </c>
      <c r="E585">
        <v>133.05260000000001</v>
      </c>
      <c r="F585">
        <v>1184</v>
      </c>
    </row>
    <row r="586" spans="1:6" x14ac:dyDescent="0.45">
      <c r="A586">
        <v>585</v>
      </c>
      <c r="B586">
        <v>-57.65</v>
      </c>
      <c r="C586">
        <v>47.026119999999999</v>
      </c>
      <c r="D586">
        <v>307.18281000000002</v>
      </c>
      <c r="E586">
        <v>161.2106</v>
      </c>
      <c r="F586">
        <v>1185</v>
      </c>
    </row>
    <row r="587" spans="1:6" x14ac:dyDescent="0.45">
      <c r="A587">
        <v>586</v>
      </c>
      <c r="B587">
        <v>12.35566</v>
      </c>
      <c r="C587">
        <v>65.927099999999996</v>
      </c>
      <c r="D587">
        <v>68.582499999999996</v>
      </c>
      <c r="E587">
        <v>106.81950000000001</v>
      </c>
      <c r="F587">
        <v>1186</v>
      </c>
    </row>
    <row r="588" spans="1:6" x14ac:dyDescent="0.45">
      <c r="A588">
        <v>587</v>
      </c>
      <c r="B588">
        <v>25.570540000000001</v>
      </c>
      <c r="C588">
        <v>48.943420000000003</v>
      </c>
      <c r="D588">
        <v>287.78473000000002</v>
      </c>
      <c r="E588">
        <v>46.385199999999998</v>
      </c>
      <c r="F588">
        <v>1187</v>
      </c>
    </row>
    <row r="589" spans="1:6" x14ac:dyDescent="0.45">
      <c r="A589">
        <v>588</v>
      </c>
      <c r="B589">
        <v>76.305090000000007</v>
      </c>
      <c r="C589">
        <v>161.61292</v>
      </c>
      <c r="D589">
        <v>309.79298999999997</v>
      </c>
      <c r="E589">
        <v>169.67699999999999</v>
      </c>
      <c r="F589">
        <v>1188</v>
      </c>
    </row>
    <row r="590" spans="1:6" x14ac:dyDescent="0.45">
      <c r="A590">
        <v>589</v>
      </c>
      <c r="B590">
        <v>83.929739999999995</v>
      </c>
      <c r="C590">
        <v>37.098689999999998</v>
      </c>
      <c r="D590">
        <v>200.59738999999999</v>
      </c>
      <c r="E590">
        <v>82.587900000000005</v>
      </c>
      <c r="F590">
        <v>1189</v>
      </c>
    </row>
    <row r="591" spans="1:6" x14ac:dyDescent="0.45">
      <c r="A591">
        <v>590</v>
      </c>
      <c r="B591">
        <v>25.358000000000001</v>
      </c>
      <c r="C591">
        <v>-63.579210000000003</v>
      </c>
      <c r="D591">
        <v>27.82329</v>
      </c>
      <c r="E591">
        <v>90.400300000000001</v>
      </c>
      <c r="F591">
        <v>1190</v>
      </c>
    </row>
    <row r="592" spans="1:6" x14ac:dyDescent="0.45">
      <c r="A592">
        <v>591</v>
      </c>
      <c r="B592">
        <v>-50.062719999999999</v>
      </c>
      <c r="C592">
        <v>-16.0336</v>
      </c>
      <c r="D592">
        <v>258.18344000000002</v>
      </c>
      <c r="E592">
        <v>239.33629999999999</v>
      </c>
      <c r="F592">
        <v>1191</v>
      </c>
    </row>
    <row r="593" spans="1:6" x14ac:dyDescent="0.45">
      <c r="A593">
        <v>592</v>
      </c>
      <c r="B593">
        <v>-36.636679999999998</v>
      </c>
      <c r="C593">
        <v>-143.06874999999999</v>
      </c>
      <c r="D593">
        <v>30.596160000000001</v>
      </c>
      <c r="E593">
        <v>6.0903</v>
      </c>
      <c r="F593">
        <v>1192</v>
      </c>
    </row>
    <row r="594" spans="1:6" x14ac:dyDescent="0.45">
      <c r="A594">
        <v>593</v>
      </c>
      <c r="B594">
        <v>-21.80837</v>
      </c>
      <c r="C594">
        <v>-154.77431999999999</v>
      </c>
      <c r="D594">
        <v>168.23294999999999</v>
      </c>
      <c r="E594">
        <v>133.09180000000001</v>
      </c>
      <c r="F594">
        <v>1193</v>
      </c>
    </row>
    <row r="595" spans="1:6" x14ac:dyDescent="0.45">
      <c r="A595">
        <v>594</v>
      </c>
      <c r="B595">
        <v>-49.109319999999997</v>
      </c>
      <c r="C595">
        <v>95.639200000000002</v>
      </c>
      <c r="D595">
        <v>355.23928000000001</v>
      </c>
      <c r="E595">
        <v>62.752699999999997</v>
      </c>
      <c r="F595">
        <v>1194</v>
      </c>
    </row>
    <row r="596" spans="1:6" x14ac:dyDescent="0.45">
      <c r="A596">
        <v>595</v>
      </c>
      <c r="B596">
        <v>-29.813839999999999</v>
      </c>
      <c r="C596">
        <v>-177.22112000000001</v>
      </c>
      <c r="D596">
        <v>181.60153</v>
      </c>
      <c r="E596">
        <v>164.04509999999999</v>
      </c>
      <c r="F596">
        <v>1195</v>
      </c>
    </row>
    <row r="597" spans="1:6" x14ac:dyDescent="0.45">
      <c r="A597">
        <v>596</v>
      </c>
      <c r="B597">
        <v>-0.25624999999999998</v>
      </c>
      <c r="C597">
        <v>86.503640000000004</v>
      </c>
      <c r="D597">
        <v>56.481619999999999</v>
      </c>
      <c r="E597">
        <v>165.18979999999999</v>
      </c>
      <c r="F597">
        <v>1196</v>
      </c>
    </row>
    <row r="598" spans="1:6" x14ac:dyDescent="0.45">
      <c r="A598">
        <v>597</v>
      </c>
      <c r="B598">
        <v>5.8987499999999997</v>
      </c>
      <c r="C598">
        <v>-31.936610000000002</v>
      </c>
      <c r="D598">
        <v>66.285300000000007</v>
      </c>
      <c r="E598">
        <v>256.2978</v>
      </c>
      <c r="F598">
        <v>1197</v>
      </c>
    </row>
    <row r="599" spans="1:6" x14ac:dyDescent="0.45">
      <c r="A599">
        <v>598</v>
      </c>
      <c r="B599">
        <v>69.368719999999996</v>
      </c>
      <c r="C599">
        <v>-100.64169</v>
      </c>
      <c r="D599">
        <v>212.68315000000001</v>
      </c>
      <c r="E599">
        <v>28.553999999999998</v>
      </c>
      <c r="F599">
        <v>1198</v>
      </c>
    </row>
    <row r="600" spans="1:6" x14ac:dyDescent="0.45">
      <c r="A600">
        <v>599</v>
      </c>
      <c r="B600">
        <v>37.389220000000002</v>
      </c>
      <c r="C600">
        <v>31.747720000000001</v>
      </c>
      <c r="D600">
        <v>259.94269000000003</v>
      </c>
      <c r="E600">
        <v>8.3794000000000004</v>
      </c>
      <c r="F600">
        <v>1199</v>
      </c>
    </row>
    <row r="601" spans="1:6" x14ac:dyDescent="0.45">
      <c r="A601">
        <v>600</v>
      </c>
      <c r="B601">
        <v>69.3005</v>
      </c>
      <c r="C601">
        <v>47.158839999999998</v>
      </c>
      <c r="D601">
        <v>263.31389000000001</v>
      </c>
      <c r="E601">
        <v>123.89790000000001</v>
      </c>
      <c r="F601">
        <v>1200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A449A5-2D7F-4C90-9925-BDE5E4C99625}">
  <sheetPr codeName="Sheet5"/>
  <dimension ref="A1:I601"/>
  <sheetViews>
    <sheetView workbookViewId="0">
      <selection activeCell="A2" sqref="A2"/>
    </sheetView>
  </sheetViews>
  <sheetFormatPr defaultRowHeight="14.25" x14ac:dyDescent="0.45"/>
  <cols>
    <col min="1" max="1" width="8.265625" bestFit="1" customWidth="1"/>
    <col min="2" max="2" width="9.33203125" bestFit="1" customWidth="1"/>
    <col min="3" max="3" width="10.33203125" bestFit="1" customWidth="1"/>
    <col min="4" max="4" width="13.265625" bestFit="1" customWidth="1"/>
    <col min="5" max="5" width="11.73046875" bestFit="1" customWidth="1"/>
    <col min="6" max="6" width="8.265625" bestFit="1" customWidth="1"/>
    <col min="7" max="8" width="12.33203125" bestFit="1" customWidth="1"/>
    <col min="9" max="9" width="13.265625" bestFit="1" customWidth="1"/>
  </cols>
  <sheetData>
    <row r="1" spans="1:9" x14ac:dyDescent="0.45">
      <c r="A1" t="s">
        <v>12</v>
      </c>
      <c r="B1" t="s">
        <v>13</v>
      </c>
      <c r="C1" t="s">
        <v>14</v>
      </c>
      <c r="D1" t="s">
        <v>19</v>
      </c>
      <c r="E1" t="s">
        <v>18</v>
      </c>
      <c r="F1" t="s">
        <v>15</v>
      </c>
      <c r="G1" t="s">
        <v>16</v>
      </c>
      <c r="H1" t="s">
        <v>17</v>
      </c>
      <c r="I1" t="s">
        <v>20</v>
      </c>
    </row>
    <row r="2" spans="1:9" x14ac:dyDescent="0.45">
      <c r="A2">
        <v>1</v>
      </c>
      <c r="B2">
        <v>37.932040000000001</v>
      </c>
      <c r="C2">
        <v>40.935720000000003</v>
      </c>
      <c r="D2">
        <v>358.74230999999997</v>
      </c>
      <c r="E2">
        <v>22085892.739999998</v>
      </c>
      <c r="F2">
        <v>601</v>
      </c>
      <c r="G2">
        <v>-56.652521946999997</v>
      </c>
      <c r="H2">
        <v>220.21429069000001</v>
      </c>
      <c r="I2">
        <v>1.8027690000000001</v>
      </c>
    </row>
    <row r="3" spans="1:9" x14ac:dyDescent="0.45">
      <c r="A3">
        <v>2</v>
      </c>
      <c r="B3">
        <v>-47.332500000000003</v>
      </c>
      <c r="C3">
        <v>52.239800000000002</v>
      </c>
      <c r="D3">
        <v>231.23896999999999</v>
      </c>
      <c r="E3">
        <v>19786754.969999999</v>
      </c>
      <c r="F3">
        <v>602</v>
      </c>
      <c r="G3">
        <v>46.142901274000003</v>
      </c>
      <c r="H3">
        <v>-125.34395587</v>
      </c>
      <c r="I3">
        <v>130.288219</v>
      </c>
    </row>
    <row r="4" spans="1:9" x14ac:dyDescent="0.45">
      <c r="A4">
        <v>3</v>
      </c>
      <c r="B4">
        <v>71.026139999999998</v>
      </c>
      <c r="C4">
        <v>-11.58161</v>
      </c>
      <c r="D4">
        <v>341.87815999999998</v>
      </c>
      <c r="E4">
        <v>13647633.199999999</v>
      </c>
      <c r="F4">
        <v>603</v>
      </c>
      <c r="G4">
        <v>-14.619127142</v>
      </c>
      <c r="H4">
        <v>-175.867684252</v>
      </c>
      <c r="I4">
        <v>6.0159700000000003</v>
      </c>
    </row>
    <row r="5" spans="1:9" x14ac:dyDescent="0.45">
      <c r="A5">
        <v>4</v>
      </c>
      <c r="B5">
        <v>-73.146209999999996</v>
      </c>
      <c r="C5">
        <v>-166.31254999999999</v>
      </c>
      <c r="D5">
        <v>349.94654000000003</v>
      </c>
      <c r="E5">
        <v>5057004.3569999998</v>
      </c>
      <c r="F5">
        <v>604</v>
      </c>
      <c r="G5">
        <v>-27.887307629999999</v>
      </c>
      <c r="H5">
        <v>-174.395731875</v>
      </c>
      <c r="I5">
        <v>176.70961600000001</v>
      </c>
    </row>
    <row r="6" spans="1:9" x14ac:dyDescent="0.45">
      <c r="A6">
        <v>5</v>
      </c>
      <c r="B6">
        <v>66.380279999999999</v>
      </c>
      <c r="C6">
        <v>29.74333</v>
      </c>
      <c r="D6">
        <v>140.27108000000001</v>
      </c>
      <c r="E6">
        <v>26211926.039999999</v>
      </c>
      <c r="F6">
        <v>605</v>
      </c>
      <c r="G6">
        <v>-14.97905379</v>
      </c>
      <c r="H6">
        <v>-117.25046899100001</v>
      </c>
      <c r="I6">
        <v>195.41351399999999</v>
      </c>
    </row>
    <row r="7" spans="1:9" x14ac:dyDescent="0.45">
      <c r="A7">
        <v>6</v>
      </c>
      <c r="B7">
        <v>-78.897149999999996</v>
      </c>
      <c r="C7">
        <v>151.49566999999999</v>
      </c>
      <c r="D7">
        <v>242.19583</v>
      </c>
      <c r="E7">
        <v>5877843.3949999996</v>
      </c>
      <c r="F7">
        <v>606</v>
      </c>
      <c r="G7">
        <v>-41.740263702999997</v>
      </c>
      <c r="H7">
        <v>42.141859293000003</v>
      </c>
      <c r="I7">
        <v>166.78050400000001</v>
      </c>
    </row>
    <row r="8" spans="1:9" x14ac:dyDescent="0.45">
      <c r="A8">
        <v>7</v>
      </c>
      <c r="B8">
        <v>33.795459999999999</v>
      </c>
      <c r="C8">
        <v>-134.20804000000001</v>
      </c>
      <c r="D8">
        <v>164.39859999999999</v>
      </c>
      <c r="E8">
        <v>17353851.460000001</v>
      </c>
      <c r="F8">
        <v>607</v>
      </c>
      <c r="G8">
        <v>-56.327339053999999</v>
      </c>
      <c r="H8">
        <v>34.399235208</v>
      </c>
      <c r="I8">
        <v>203.73987399999999</v>
      </c>
    </row>
    <row r="9" spans="1:9" x14ac:dyDescent="0.45">
      <c r="A9">
        <v>8</v>
      </c>
      <c r="B9">
        <v>25.90362</v>
      </c>
      <c r="C9">
        <v>-116.54492</v>
      </c>
      <c r="D9">
        <v>251.01541</v>
      </c>
      <c r="E9">
        <v>11211606.779999999</v>
      </c>
      <c r="F9">
        <v>608</v>
      </c>
      <c r="G9">
        <v>-21.830185022999999</v>
      </c>
      <c r="H9">
        <v>-208.302079093</v>
      </c>
      <c r="I9">
        <v>66.415525000000002</v>
      </c>
    </row>
    <row r="10" spans="1:9" x14ac:dyDescent="0.45">
      <c r="A10">
        <v>9</v>
      </c>
      <c r="B10">
        <v>88.824870000000004</v>
      </c>
      <c r="C10">
        <v>-171.29023000000001</v>
      </c>
      <c r="D10">
        <v>236.64452</v>
      </c>
      <c r="E10">
        <v>13413100.689999999</v>
      </c>
      <c r="F10">
        <v>609</v>
      </c>
      <c r="G10">
        <v>-31.466907340999999</v>
      </c>
      <c r="H10">
        <v>-228.52300054400001</v>
      </c>
      <c r="I10">
        <v>1.1536029999999999</v>
      </c>
    </row>
    <row r="11" spans="1:9" x14ac:dyDescent="0.45">
      <c r="A11">
        <v>10</v>
      </c>
      <c r="B11">
        <v>-84.626109999999997</v>
      </c>
      <c r="C11">
        <v>-104.26258</v>
      </c>
      <c r="D11">
        <v>334.79194999999999</v>
      </c>
      <c r="E11">
        <v>10061299.77</v>
      </c>
      <c r="F11">
        <v>610</v>
      </c>
      <c r="G11">
        <v>5.4461170660000002</v>
      </c>
      <c r="H11">
        <v>-129.578779674</v>
      </c>
      <c r="I11">
        <v>177.69601</v>
      </c>
    </row>
    <row r="12" spans="1:9" x14ac:dyDescent="0.45">
      <c r="A12">
        <v>11</v>
      </c>
      <c r="B12">
        <v>51.386009999999999</v>
      </c>
      <c r="C12">
        <v>-111.37733</v>
      </c>
      <c r="D12">
        <v>293.94511999999997</v>
      </c>
      <c r="E12">
        <v>13574546.630000001</v>
      </c>
      <c r="F12">
        <v>611</v>
      </c>
      <c r="G12">
        <v>-11.645203156000001</v>
      </c>
      <c r="H12">
        <v>-239.011779467</v>
      </c>
      <c r="I12">
        <v>35.694307999999999</v>
      </c>
    </row>
    <row r="13" spans="1:9" x14ac:dyDescent="0.45">
      <c r="A13">
        <v>12</v>
      </c>
      <c r="B13">
        <v>73.612430000000003</v>
      </c>
      <c r="C13">
        <v>21.299600000000002</v>
      </c>
      <c r="D13">
        <v>351.57213000000002</v>
      </c>
      <c r="E13">
        <v>5397158.5279999999</v>
      </c>
      <c r="F13">
        <v>612</v>
      </c>
      <c r="G13">
        <v>57.784469047000002</v>
      </c>
      <c r="H13">
        <v>-146.84075879100001</v>
      </c>
      <c r="I13">
        <v>4.4517199999999999</v>
      </c>
    </row>
    <row r="14" spans="1:9" x14ac:dyDescent="0.45">
      <c r="A14">
        <v>13</v>
      </c>
      <c r="B14">
        <v>-63.838880000000003</v>
      </c>
      <c r="C14">
        <v>-172.55153000000001</v>
      </c>
      <c r="D14">
        <v>309.01080999999999</v>
      </c>
      <c r="E14">
        <v>1974293.5209999999</v>
      </c>
      <c r="F14">
        <v>613</v>
      </c>
      <c r="G14">
        <v>-50.395150211000001</v>
      </c>
      <c r="H14">
        <v>-194.303033102</v>
      </c>
      <c r="I14">
        <v>147.466904</v>
      </c>
    </row>
    <row r="15" spans="1:9" x14ac:dyDescent="0.45">
      <c r="A15">
        <v>14</v>
      </c>
      <c r="B15">
        <v>-46.89855</v>
      </c>
      <c r="C15">
        <v>173.49565000000001</v>
      </c>
      <c r="D15">
        <v>328.50567999999998</v>
      </c>
      <c r="E15">
        <v>15153458.34</v>
      </c>
      <c r="F15">
        <v>614</v>
      </c>
      <c r="G15">
        <v>68.575577753999994</v>
      </c>
      <c r="H15">
        <v>73.034922921000003</v>
      </c>
      <c r="I15">
        <v>102.53892</v>
      </c>
    </row>
    <row r="16" spans="1:9" x14ac:dyDescent="0.45">
      <c r="A16">
        <v>15</v>
      </c>
      <c r="B16">
        <v>82.990660000000005</v>
      </c>
      <c r="C16">
        <v>-95.849950000000007</v>
      </c>
      <c r="D16">
        <v>330.46499999999997</v>
      </c>
      <c r="E16">
        <v>11924411.23</v>
      </c>
      <c r="F16">
        <v>615</v>
      </c>
      <c r="G16">
        <v>-11.197010650999999</v>
      </c>
      <c r="H16">
        <v>-247.16197592</v>
      </c>
      <c r="I16">
        <v>3.526983</v>
      </c>
    </row>
    <row r="17" spans="1:9" x14ac:dyDescent="0.45">
      <c r="A17">
        <v>16</v>
      </c>
      <c r="B17">
        <v>-55.50224</v>
      </c>
      <c r="C17">
        <v>-151.16014999999999</v>
      </c>
      <c r="D17">
        <v>290.10536000000002</v>
      </c>
      <c r="E17">
        <v>24906146.870000001</v>
      </c>
      <c r="F17">
        <v>616</v>
      </c>
      <c r="G17">
        <v>27.087033463000001</v>
      </c>
      <c r="H17">
        <v>-18.054893285999999</v>
      </c>
      <c r="I17">
        <v>36.750458999999999</v>
      </c>
    </row>
    <row r="18" spans="1:9" x14ac:dyDescent="0.45">
      <c r="A18">
        <v>17</v>
      </c>
      <c r="B18">
        <v>86.372889999999998</v>
      </c>
      <c r="C18">
        <v>-16.154949999999999</v>
      </c>
      <c r="D18">
        <v>151.89456999999999</v>
      </c>
      <c r="E18">
        <v>22990024.52</v>
      </c>
      <c r="F18">
        <v>617</v>
      </c>
      <c r="G18">
        <v>-59.994444176000002</v>
      </c>
      <c r="H18">
        <v>-171.07781274600001</v>
      </c>
      <c r="I18">
        <v>183.419434</v>
      </c>
    </row>
    <row r="19" spans="1:9" x14ac:dyDescent="0.45">
      <c r="A19">
        <v>18</v>
      </c>
      <c r="B19">
        <v>-22.985019999999999</v>
      </c>
      <c r="C19">
        <v>163.42873</v>
      </c>
      <c r="D19">
        <v>109.00563</v>
      </c>
      <c r="E19">
        <v>6642422.875</v>
      </c>
      <c r="F19">
        <v>618</v>
      </c>
      <c r="G19">
        <v>-27.144640603999999</v>
      </c>
      <c r="H19">
        <v>229.87721517099999</v>
      </c>
      <c r="I19">
        <v>257.95273600000002</v>
      </c>
    </row>
    <row r="20" spans="1:9" x14ac:dyDescent="0.45">
      <c r="A20">
        <v>19</v>
      </c>
      <c r="B20">
        <v>43.963540000000002</v>
      </c>
      <c r="C20">
        <v>75.046040000000005</v>
      </c>
      <c r="D20">
        <v>193.59316999999999</v>
      </c>
      <c r="E20">
        <v>12967928.029999999</v>
      </c>
      <c r="F20">
        <v>619</v>
      </c>
      <c r="G20">
        <v>-69.742351131999996</v>
      </c>
      <c r="H20">
        <v>37.936608980000003</v>
      </c>
      <c r="I20">
        <v>29.204471000000002</v>
      </c>
    </row>
    <row r="21" spans="1:9" x14ac:dyDescent="0.45">
      <c r="A21">
        <v>20</v>
      </c>
      <c r="B21">
        <v>33.436070000000001</v>
      </c>
      <c r="C21">
        <v>-128.50958</v>
      </c>
      <c r="D21">
        <v>177.97382999999999</v>
      </c>
      <c r="E21">
        <v>28559805.609999999</v>
      </c>
      <c r="F21">
        <v>620</v>
      </c>
      <c r="G21">
        <v>43.788407016999997</v>
      </c>
      <c r="H21">
        <v>-305.80327963399998</v>
      </c>
      <c r="I21">
        <v>182.34099499999999</v>
      </c>
    </row>
    <row r="22" spans="1:9" x14ac:dyDescent="0.45">
      <c r="A22">
        <v>21</v>
      </c>
      <c r="B22">
        <v>-82.798670000000001</v>
      </c>
      <c r="C22">
        <v>2.3350599999999999</v>
      </c>
      <c r="D22">
        <v>90.620130000000003</v>
      </c>
      <c r="E22">
        <v>19798139.989999998</v>
      </c>
      <c r="F22">
        <v>621</v>
      </c>
      <c r="G22">
        <v>82.549781135999993</v>
      </c>
      <c r="H22">
        <v>167.940350838</v>
      </c>
      <c r="I22">
        <v>255.176648</v>
      </c>
    </row>
    <row r="23" spans="1:9" x14ac:dyDescent="0.45">
      <c r="A23">
        <v>22</v>
      </c>
      <c r="B23">
        <v>-30.6114</v>
      </c>
      <c r="C23">
        <v>-113.41504</v>
      </c>
      <c r="D23">
        <v>138.88732999999999</v>
      </c>
      <c r="E23">
        <v>29611069.559999999</v>
      </c>
      <c r="F23">
        <v>622</v>
      </c>
      <c r="G23">
        <v>42.826532780999997</v>
      </c>
      <c r="H23">
        <v>-177.23948525500001</v>
      </c>
      <c r="I23">
        <v>309.54895399999998</v>
      </c>
    </row>
    <row r="24" spans="1:9" x14ac:dyDescent="0.45">
      <c r="A24">
        <v>23</v>
      </c>
      <c r="B24">
        <v>-87.845410000000001</v>
      </c>
      <c r="C24">
        <v>-13.641120000000001</v>
      </c>
      <c r="D24">
        <v>193.00730999999999</v>
      </c>
      <c r="E24">
        <v>23819608.18</v>
      </c>
      <c r="F24">
        <v>623</v>
      </c>
      <c r="G24">
        <v>57.902336136000002</v>
      </c>
      <c r="H24">
        <v>0.13634522399999999</v>
      </c>
      <c r="I24">
        <v>0.91332899999999995</v>
      </c>
    </row>
    <row r="25" spans="1:9" x14ac:dyDescent="0.45">
      <c r="A25">
        <v>24</v>
      </c>
      <c r="B25">
        <v>-53.746009999999998</v>
      </c>
      <c r="C25">
        <v>-101.11091</v>
      </c>
      <c r="D25">
        <v>326.17998</v>
      </c>
      <c r="E25">
        <v>9694952.3359999992</v>
      </c>
      <c r="F25">
        <v>624</v>
      </c>
      <c r="G25">
        <v>27.096906190999999</v>
      </c>
      <c r="H25">
        <v>-139.630294276</v>
      </c>
      <c r="I25">
        <v>158.267224</v>
      </c>
    </row>
    <row r="26" spans="1:9" x14ac:dyDescent="0.45">
      <c r="A26">
        <v>25</v>
      </c>
      <c r="B26">
        <v>-88.250209999999996</v>
      </c>
      <c r="C26">
        <v>-140.20063999999999</v>
      </c>
      <c r="D26">
        <v>13.93619</v>
      </c>
      <c r="E26">
        <v>792391.58459999994</v>
      </c>
      <c r="F26">
        <v>625</v>
      </c>
      <c r="G26">
        <v>-81.196673763999996</v>
      </c>
      <c r="H26">
        <v>-128.992751089</v>
      </c>
      <c r="I26">
        <v>182.75445199999999</v>
      </c>
    </row>
    <row r="27" spans="1:9" x14ac:dyDescent="0.45">
      <c r="A27">
        <v>26</v>
      </c>
      <c r="B27">
        <v>10.463649999999999</v>
      </c>
      <c r="C27">
        <v>-67.852069999999998</v>
      </c>
      <c r="D27">
        <v>99.000609999999995</v>
      </c>
      <c r="E27">
        <v>29956582.73</v>
      </c>
      <c r="F27">
        <v>626</v>
      </c>
      <c r="G27">
        <v>8.8780868369999997</v>
      </c>
      <c r="H27">
        <v>-160.384135286</v>
      </c>
      <c r="I27">
        <v>259.44194700000003</v>
      </c>
    </row>
    <row r="28" spans="1:9" x14ac:dyDescent="0.45">
      <c r="A28">
        <v>27</v>
      </c>
      <c r="B28">
        <v>67.802539999999993</v>
      </c>
      <c r="C28">
        <v>-156.02512999999999</v>
      </c>
      <c r="D28">
        <v>155.36895999999999</v>
      </c>
      <c r="E28">
        <v>110882.5068</v>
      </c>
      <c r="F28">
        <v>627</v>
      </c>
      <c r="G28">
        <v>66.895255745</v>
      </c>
      <c r="H28">
        <v>-154.97021496599999</v>
      </c>
      <c r="I28">
        <v>336.34254099999998</v>
      </c>
    </row>
    <row r="29" spans="1:9" x14ac:dyDescent="0.45">
      <c r="A29">
        <v>28</v>
      </c>
      <c r="B29">
        <v>-53.219749999999998</v>
      </c>
      <c r="C29">
        <v>-37.619120000000002</v>
      </c>
      <c r="D29">
        <v>193.45201</v>
      </c>
      <c r="E29">
        <v>6349519.3640000001</v>
      </c>
      <c r="F29">
        <v>628</v>
      </c>
      <c r="G29">
        <v>-67.698900695999995</v>
      </c>
      <c r="H29">
        <v>-186.72811411800001</v>
      </c>
      <c r="I29">
        <v>158.48230699999999</v>
      </c>
    </row>
    <row r="30" spans="1:9" x14ac:dyDescent="0.45">
      <c r="A30">
        <v>29</v>
      </c>
      <c r="B30">
        <v>-32.083219999999997</v>
      </c>
      <c r="C30">
        <v>43.79468</v>
      </c>
      <c r="D30">
        <v>185.92912000000001</v>
      </c>
      <c r="E30">
        <v>10318810.029999999</v>
      </c>
      <c r="F30">
        <v>629</v>
      </c>
      <c r="G30">
        <v>-54.876679920999997</v>
      </c>
      <c r="H30">
        <v>-125.870535551</v>
      </c>
      <c r="I30">
        <v>171.26147499999999</v>
      </c>
    </row>
    <row r="31" spans="1:9" x14ac:dyDescent="0.45">
      <c r="A31">
        <v>30</v>
      </c>
      <c r="B31">
        <v>35.123959999999997</v>
      </c>
      <c r="C31">
        <v>93.117800000000003</v>
      </c>
      <c r="D31">
        <v>266.50542000000002</v>
      </c>
      <c r="E31">
        <v>4453734.6880000001</v>
      </c>
      <c r="F31">
        <v>630</v>
      </c>
      <c r="G31">
        <v>24.082164337999998</v>
      </c>
      <c r="H31">
        <v>48.483919043999997</v>
      </c>
      <c r="I31">
        <v>63.47166</v>
      </c>
    </row>
    <row r="32" spans="1:9" x14ac:dyDescent="0.45">
      <c r="A32">
        <v>31</v>
      </c>
      <c r="B32">
        <v>79.2941</v>
      </c>
      <c r="C32">
        <v>46.869430000000001</v>
      </c>
      <c r="D32">
        <v>4.3746799999999997</v>
      </c>
      <c r="E32">
        <v>16192411.119999999</v>
      </c>
      <c r="F32">
        <v>631</v>
      </c>
      <c r="G32">
        <v>-45.113552925</v>
      </c>
      <c r="H32">
        <v>223.37929085600001</v>
      </c>
      <c r="I32">
        <v>358.847666</v>
      </c>
    </row>
    <row r="33" spans="1:9" x14ac:dyDescent="0.45">
      <c r="A33">
        <v>32</v>
      </c>
      <c r="B33">
        <v>54.907170000000001</v>
      </c>
      <c r="C33">
        <v>-9.1991599999999991</v>
      </c>
      <c r="D33">
        <v>159.90083999999999</v>
      </c>
      <c r="E33">
        <v>47791.921600000001</v>
      </c>
      <c r="F33">
        <v>632</v>
      </c>
      <c r="G33">
        <v>54.503722195000002</v>
      </c>
      <c r="H33">
        <v>-8.9456403269999996</v>
      </c>
      <c r="I33">
        <v>340.10776199999998</v>
      </c>
    </row>
    <row r="34" spans="1:9" x14ac:dyDescent="0.45">
      <c r="A34">
        <v>33</v>
      </c>
      <c r="B34">
        <v>-83.446259999999995</v>
      </c>
      <c r="C34">
        <v>129.38958</v>
      </c>
      <c r="D34">
        <v>259.11182000000002</v>
      </c>
      <c r="E34">
        <v>16379592.859999999</v>
      </c>
      <c r="F34">
        <v>633</v>
      </c>
      <c r="G34">
        <v>55.735774032000002</v>
      </c>
      <c r="H34">
        <v>18.956400952999999</v>
      </c>
      <c r="I34">
        <v>168.505303</v>
      </c>
    </row>
    <row r="35" spans="1:9" x14ac:dyDescent="0.45">
      <c r="A35">
        <v>34</v>
      </c>
      <c r="B35">
        <v>10.2753</v>
      </c>
      <c r="C35">
        <v>101.86165</v>
      </c>
      <c r="D35">
        <v>18.37228</v>
      </c>
      <c r="E35">
        <v>25941909.829999998</v>
      </c>
      <c r="F35">
        <v>634</v>
      </c>
      <c r="G35">
        <v>-58.999029952000001</v>
      </c>
      <c r="H35">
        <v>-48.998848520000003</v>
      </c>
      <c r="I35">
        <v>323.078262</v>
      </c>
    </row>
    <row r="36" spans="1:9" x14ac:dyDescent="0.45">
      <c r="A36">
        <v>35</v>
      </c>
      <c r="B36">
        <v>-70.479839999999996</v>
      </c>
      <c r="C36">
        <v>-59.324640000000002</v>
      </c>
      <c r="D36">
        <v>269.09638999999999</v>
      </c>
      <c r="E36">
        <v>19983063.059999999</v>
      </c>
      <c r="F36">
        <v>635</v>
      </c>
      <c r="G36">
        <v>70.476845460999996</v>
      </c>
      <c r="H36">
        <v>-238.66434569399999</v>
      </c>
      <c r="I36">
        <v>91.335482999999996</v>
      </c>
    </row>
    <row r="37" spans="1:9" x14ac:dyDescent="0.45">
      <c r="A37">
        <v>36</v>
      </c>
      <c r="B37">
        <v>-43.310850000000002</v>
      </c>
      <c r="C37">
        <v>142.96419</v>
      </c>
      <c r="D37">
        <v>132.10337000000001</v>
      </c>
      <c r="E37">
        <v>14969044.279999999</v>
      </c>
      <c r="F37">
        <v>636</v>
      </c>
      <c r="G37">
        <v>7.778220428</v>
      </c>
      <c r="H37">
        <v>290.58831347400002</v>
      </c>
      <c r="I37">
        <v>213.072834</v>
      </c>
    </row>
    <row r="38" spans="1:9" x14ac:dyDescent="0.45">
      <c r="A38">
        <v>37</v>
      </c>
      <c r="B38">
        <v>66.897930000000002</v>
      </c>
      <c r="C38">
        <v>62.62509</v>
      </c>
      <c r="D38">
        <v>295.13056</v>
      </c>
      <c r="E38">
        <v>20971884.739999998</v>
      </c>
      <c r="F38">
        <v>637</v>
      </c>
      <c r="G38">
        <v>-69.138707945999997</v>
      </c>
      <c r="H38">
        <v>220.20206759999999</v>
      </c>
      <c r="I38">
        <v>85.903662999999995</v>
      </c>
    </row>
    <row r="39" spans="1:9" x14ac:dyDescent="0.45">
      <c r="A39">
        <v>38</v>
      </c>
      <c r="B39">
        <v>-14.448980000000001</v>
      </c>
      <c r="C39">
        <v>-131.36622</v>
      </c>
      <c r="D39">
        <v>357.39879999999999</v>
      </c>
      <c r="E39">
        <v>5018737.5750000002</v>
      </c>
      <c r="F39">
        <v>638</v>
      </c>
      <c r="G39">
        <v>30.860172737999999</v>
      </c>
      <c r="H39">
        <v>-133.50851918000001</v>
      </c>
      <c r="I39">
        <v>177.06733399999999</v>
      </c>
    </row>
    <row r="40" spans="1:9" x14ac:dyDescent="0.45">
      <c r="A40">
        <v>39</v>
      </c>
      <c r="B40">
        <v>56.26164</v>
      </c>
      <c r="C40">
        <v>160.04601</v>
      </c>
      <c r="D40">
        <v>207.2295</v>
      </c>
      <c r="E40">
        <v>5688651.0159999998</v>
      </c>
      <c r="F40">
        <v>639</v>
      </c>
      <c r="G40">
        <v>7.7505718879999996</v>
      </c>
      <c r="H40">
        <v>138.991987354</v>
      </c>
      <c r="I40">
        <v>14.895099</v>
      </c>
    </row>
    <row r="41" spans="1:9" x14ac:dyDescent="0.45">
      <c r="A41">
        <v>40</v>
      </c>
      <c r="B41">
        <v>-52.43038</v>
      </c>
      <c r="C41">
        <v>-158.68406999999999</v>
      </c>
      <c r="D41">
        <v>295.40204</v>
      </c>
      <c r="E41">
        <v>24475326.59</v>
      </c>
      <c r="F41">
        <v>640</v>
      </c>
      <c r="G41">
        <v>25.781218751000001</v>
      </c>
      <c r="H41">
        <v>-18.737769158999999</v>
      </c>
      <c r="I41">
        <v>37.775033000000001</v>
      </c>
    </row>
    <row r="42" spans="1:9" x14ac:dyDescent="0.45">
      <c r="A42">
        <v>41</v>
      </c>
      <c r="B42">
        <v>18.914919999999999</v>
      </c>
      <c r="C42">
        <v>-16.346509999999999</v>
      </c>
      <c r="D42">
        <v>214.55985000000001</v>
      </c>
      <c r="E42">
        <v>11418445.470000001</v>
      </c>
      <c r="F42">
        <v>641</v>
      </c>
      <c r="G42">
        <v>-56.357512341000003</v>
      </c>
      <c r="H42">
        <v>-101.062704068</v>
      </c>
      <c r="I42">
        <v>75.178996999999995</v>
      </c>
    </row>
    <row r="43" spans="1:9" x14ac:dyDescent="0.45">
      <c r="A43">
        <v>42</v>
      </c>
      <c r="B43">
        <v>-18.661280000000001</v>
      </c>
      <c r="C43">
        <v>-176.80045000000001</v>
      </c>
      <c r="D43">
        <v>293.29950000000002</v>
      </c>
      <c r="E43">
        <v>21962851.260000002</v>
      </c>
      <c r="F43">
        <v>642</v>
      </c>
      <c r="G43">
        <v>10.900476252000001</v>
      </c>
      <c r="H43">
        <v>-12.911212783</v>
      </c>
      <c r="I43">
        <v>62.418159000000003</v>
      </c>
    </row>
    <row r="44" spans="1:9" x14ac:dyDescent="0.45">
      <c r="A44">
        <v>43</v>
      </c>
      <c r="B44">
        <v>-17.826229999999999</v>
      </c>
      <c r="C44">
        <v>131.55552</v>
      </c>
      <c r="D44">
        <v>146.41113999999999</v>
      </c>
      <c r="E44">
        <v>23153552.510000002</v>
      </c>
      <c r="F44">
        <v>643</v>
      </c>
      <c r="G44">
        <v>40.354227152999997</v>
      </c>
      <c r="H44">
        <v>-28.609247285999999</v>
      </c>
      <c r="I44">
        <v>223.65874099999999</v>
      </c>
    </row>
    <row r="45" spans="1:9" x14ac:dyDescent="0.45">
      <c r="A45">
        <v>44</v>
      </c>
      <c r="B45">
        <v>12.142620000000001</v>
      </c>
      <c r="C45">
        <v>-36.635980000000004</v>
      </c>
      <c r="D45">
        <v>146.83186000000001</v>
      </c>
      <c r="E45">
        <v>27457648.370000001</v>
      </c>
      <c r="F45">
        <v>644</v>
      </c>
      <c r="G45">
        <v>42.441562715000003</v>
      </c>
      <c r="H45">
        <v>-174.03343373000001</v>
      </c>
      <c r="I45">
        <v>226.36698000000001</v>
      </c>
    </row>
    <row r="46" spans="1:9" x14ac:dyDescent="0.45">
      <c r="A46">
        <v>45</v>
      </c>
      <c r="B46">
        <v>69.926180000000002</v>
      </c>
      <c r="C46">
        <v>87.82499</v>
      </c>
      <c r="D46">
        <v>48.883920000000003</v>
      </c>
      <c r="E46">
        <v>1594501.665</v>
      </c>
      <c r="F46">
        <v>645</v>
      </c>
      <c r="G46">
        <v>74.997365307999999</v>
      </c>
      <c r="H46">
        <v>133.698700465</v>
      </c>
      <c r="I46">
        <v>272.87155000000001</v>
      </c>
    </row>
    <row r="47" spans="1:9" x14ac:dyDescent="0.45">
      <c r="A47">
        <v>46</v>
      </c>
      <c r="B47">
        <v>-55.565100000000001</v>
      </c>
      <c r="C47">
        <v>30.077780000000001</v>
      </c>
      <c r="D47">
        <v>165.26965000000001</v>
      </c>
      <c r="E47">
        <v>7281691.9380000001</v>
      </c>
      <c r="F47">
        <v>646</v>
      </c>
      <c r="G47">
        <v>-57.332786185000003</v>
      </c>
      <c r="H47">
        <v>184.74099917800001</v>
      </c>
      <c r="I47">
        <v>195.44758400000001</v>
      </c>
    </row>
    <row r="48" spans="1:9" x14ac:dyDescent="0.45">
      <c r="A48">
        <v>47</v>
      </c>
      <c r="B48">
        <v>54.742400000000004</v>
      </c>
      <c r="C48">
        <v>-122.9849</v>
      </c>
      <c r="D48">
        <v>12.37074</v>
      </c>
      <c r="E48">
        <v>23518265.960000001</v>
      </c>
      <c r="F48">
        <v>647</v>
      </c>
      <c r="G48">
        <v>-82.252833417000005</v>
      </c>
      <c r="H48">
        <v>-246.99909057299999</v>
      </c>
      <c r="I48">
        <v>293.58910800000001</v>
      </c>
    </row>
    <row r="49" spans="1:9" x14ac:dyDescent="0.45">
      <c r="A49">
        <v>48</v>
      </c>
      <c r="B49">
        <v>-16.655989999999999</v>
      </c>
      <c r="C49">
        <v>-3.1525599999999998</v>
      </c>
      <c r="D49">
        <v>278.37556000000001</v>
      </c>
      <c r="E49">
        <v>3921469.0980000002</v>
      </c>
      <c r="F49">
        <v>648</v>
      </c>
      <c r="G49">
        <v>-8.7922288969999993</v>
      </c>
      <c r="H49">
        <v>-38.421074216999997</v>
      </c>
      <c r="I49">
        <v>106.40607900000001</v>
      </c>
    </row>
    <row r="50" spans="1:9" x14ac:dyDescent="0.45">
      <c r="A50">
        <v>49</v>
      </c>
      <c r="B50">
        <v>41.28819</v>
      </c>
      <c r="C50">
        <v>-163.27911</v>
      </c>
      <c r="D50">
        <v>93.865449999999996</v>
      </c>
      <c r="E50">
        <v>8374879.0010000002</v>
      </c>
      <c r="F50">
        <v>649</v>
      </c>
      <c r="G50">
        <v>6.7194861320000001</v>
      </c>
      <c r="H50">
        <v>-86.996399543999999</v>
      </c>
      <c r="I50">
        <v>310.89207599999997</v>
      </c>
    </row>
    <row r="51" spans="1:9" x14ac:dyDescent="0.45">
      <c r="A51">
        <v>50</v>
      </c>
      <c r="B51">
        <v>-55.107990000000001</v>
      </c>
      <c r="C51">
        <v>-30.459199999999999</v>
      </c>
      <c r="D51">
        <v>218.89684</v>
      </c>
      <c r="E51">
        <v>2583078.804</v>
      </c>
      <c r="F51">
        <v>650</v>
      </c>
      <c r="G51">
        <v>-68.327727517</v>
      </c>
      <c r="H51">
        <v>-72.378787130999996</v>
      </c>
      <c r="I51">
        <v>76.411344999999997</v>
      </c>
    </row>
    <row r="52" spans="1:9" x14ac:dyDescent="0.45">
      <c r="A52">
        <v>51</v>
      </c>
      <c r="B52">
        <v>80.342839999999995</v>
      </c>
      <c r="C52">
        <v>13.14785</v>
      </c>
      <c r="D52">
        <v>216.89024000000001</v>
      </c>
      <c r="E52">
        <v>14011974.029999999</v>
      </c>
      <c r="F52">
        <v>651</v>
      </c>
      <c r="G52">
        <v>-43.735738738999999</v>
      </c>
      <c r="H52">
        <v>-28.862327577999999</v>
      </c>
      <c r="I52">
        <v>8.0247349999999997</v>
      </c>
    </row>
    <row r="53" spans="1:9" x14ac:dyDescent="0.45">
      <c r="A53">
        <v>52</v>
      </c>
      <c r="B53">
        <v>50.84966</v>
      </c>
      <c r="C53">
        <v>-177.45111</v>
      </c>
      <c r="D53">
        <v>93.091080000000005</v>
      </c>
      <c r="E53">
        <v>18934734.43</v>
      </c>
      <c r="F53">
        <v>652</v>
      </c>
      <c r="G53">
        <v>-50.400528420999997</v>
      </c>
      <c r="H53">
        <v>-12.761364904000001</v>
      </c>
      <c r="I53">
        <v>278.47582299999999</v>
      </c>
    </row>
    <row r="54" spans="1:9" x14ac:dyDescent="0.45">
      <c r="A54">
        <v>53</v>
      </c>
      <c r="B54">
        <v>7.96821</v>
      </c>
      <c r="C54">
        <v>-91.266379999999998</v>
      </c>
      <c r="D54">
        <v>351.80045999999999</v>
      </c>
      <c r="E54">
        <v>77993.078200000004</v>
      </c>
      <c r="F54">
        <v>653</v>
      </c>
      <c r="G54">
        <v>8.6661856900000007</v>
      </c>
      <c r="H54">
        <v>-91.367447490999993</v>
      </c>
      <c r="I54">
        <v>171.78584000000001</v>
      </c>
    </row>
    <row r="55" spans="1:9" x14ac:dyDescent="0.45">
      <c r="A55">
        <v>54</v>
      </c>
      <c r="B55">
        <v>80.796670000000006</v>
      </c>
      <c r="C55">
        <v>-132.59368000000001</v>
      </c>
      <c r="D55">
        <v>52.511809999999997</v>
      </c>
      <c r="E55">
        <v>12601924.449999999</v>
      </c>
      <c r="F55">
        <v>654</v>
      </c>
      <c r="G55">
        <v>-17.672169800999999</v>
      </c>
      <c r="H55">
        <v>-2.4562649849999998</v>
      </c>
      <c r="I55">
        <v>352.32297999999997</v>
      </c>
    </row>
    <row r="56" spans="1:9" x14ac:dyDescent="0.45">
      <c r="A56">
        <v>55</v>
      </c>
      <c r="B56">
        <v>13.14395</v>
      </c>
      <c r="C56">
        <v>15.64518</v>
      </c>
      <c r="D56">
        <v>331.11430000000001</v>
      </c>
      <c r="E56">
        <v>12336200.92</v>
      </c>
      <c r="F56">
        <v>655</v>
      </c>
      <c r="G56">
        <v>45.739355738</v>
      </c>
      <c r="H56">
        <v>-124.006647607</v>
      </c>
      <c r="I56">
        <v>42.296695999999997</v>
      </c>
    </row>
    <row r="57" spans="1:9" x14ac:dyDescent="0.45">
      <c r="A57">
        <v>56</v>
      </c>
      <c r="B57">
        <v>-6.6154799999999998</v>
      </c>
      <c r="C57">
        <v>30.14874</v>
      </c>
      <c r="D57">
        <v>164.33973</v>
      </c>
      <c r="E57">
        <v>12949182.970000001</v>
      </c>
      <c r="F57">
        <v>656</v>
      </c>
      <c r="G57">
        <v>-53.696696078999999</v>
      </c>
      <c r="H57">
        <v>186.015374184</v>
      </c>
      <c r="I57">
        <v>206.86696800000001</v>
      </c>
    </row>
    <row r="58" spans="1:9" x14ac:dyDescent="0.45">
      <c r="A58">
        <v>57</v>
      </c>
      <c r="B58">
        <v>-63.980870000000003</v>
      </c>
      <c r="C58">
        <v>144.50285</v>
      </c>
      <c r="D58">
        <v>213.13917000000001</v>
      </c>
      <c r="E58">
        <v>3218075.0109999999</v>
      </c>
      <c r="F58">
        <v>657</v>
      </c>
      <c r="G58">
        <v>-74.669744842</v>
      </c>
      <c r="H58">
        <v>59.152689273999997</v>
      </c>
      <c r="I58">
        <v>114.948832</v>
      </c>
    </row>
    <row r="59" spans="1:9" x14ac:dyDescent="0.45">
      <c r="A59">
        <v>58</v>
      </c>
      <c r="B59">
        <v>13.03885</v>
      </c>
      <c r="C59">
        <v>-82.284869999999998</v>
      </c>
      <c r="D59">
        <v>7.6526800000000001</v>
      </c>
      <c r="E59">
        <v>14250505.17</v>
      </c>
      <c r="F59">
        <v>658</v>
      </c>
      <c r="G59">
        <v>38.431014150999999</v>
      </c>
      <c r="H59">
        <v>89.988566358</v>
      </c>
      <c r="I59">
        <v>350.47795500000001</v>
      </c>
    </row>
    <row r="60" spans="1:9" x14ac:dyDescent="0.45">
      <c r="A60">
        <v>59</v>
      </c>
      <c r="B60">
        <v>-69.49145</v>
      </c>
      <c r="C60">
        <v>-12.71739</v>
      </c>
      <c r="D60">
        <v>100.01456</v>
      </c>
      <c r="E60">
        <v>29644160.629999999</v>
      </c>
      <c r="F60">
        <v>659</v>
      </c>
      <c r="G60">
        <v>6.5416630250000001</v>
      </c>
      <c r="H60">
        <v>-94.760979348000006</v>
      </c>
      <c r="I60">
        <v>339.61790100000002</v>
      </c>
    </row>
    <row r="61" spans="1:9" x14ac:dyDescent="0.45">
      <c r="A61">
        <v>60</v>
      </c>
      <c r="B61">
        <v>31.452400000000001</v>
      </c>
      <c r="C61">
        <v>82.234369999999998</v>
      </c>
      <c r="D61">
        <v>281.89105999999998</v>
      </c>
      <c r="E61">
        <v>2846281.0970000001</v>
      </c>
      <c r="F61">
        <v>660</v>
      </c>
      <c r="G61">
        <v>33.140283758999999</v>
      </c>
      <c r="H61">
        <v>51.975873491999998</v>
      </c>
      <c r="I61">
        <v>85.448103000000003</v>
      </c>
    </row>
    <row r="62" spans="1:9" x14ac:dyDescent="0.45">
      <c r="A62">
        <v>61</v>
      </c>
      <c r="B62">
        <v>34.213329999999999</v>
      </c>
      <c r="C62">
        <v>134.32218</v>
      </c>
      <c r="D62">
        <v>149.26883000000001</v>
      </c>
      <c r="E62">
        <v>24776891.98</v>
      </c>
      <c r="F62">
        <v>661</v>
      </c>
      <c r="G62">
        <v>4.3713322110000004</v>
      </c>
      <c r="H62">
        <v>-25.512069265000001</v>
      </c>
      <c r="I62">
        <v>205.10344900000001</v>
      </c>
    </row>
    <row r="63" spans="1:9" x14ac:dyDescent="0.45">
      <c r="A63">
        <v>62</v>
      </c>
      <c r="B63">
        <v>-41.72983</v>
      </c>
      <c r="C63">
        <v>-59.259830000000001</v>
      </c>
      <c r="D63">
        <v>255.12925999999999</v>
      </c>
      <c r="E63">
        <v>21636948.27</v>
      </c>
      <c r="F63">
        <v>662</v>
      </c>
      <c r="G63">
        <v>43.832696857999998</v>
      </c>
      <c r="H63">
        <v>101.157243413</v>
      </c>
      <c r="I63">
        <v>91.196663000000001</v>
      </c>
    </row>
    <row r="64" spans="1:9" x14ac:dyDescent="0.45">
      <c r="A64">
        <v>63</v>
      </c>
      <c r="B64">
        <v>-17.98255</v>
      </c>
      <c r="C64">
        <v>5.0138699999999998</v>
      </c>
      <c r="D64">
        <v>76.436949999999996</v>
      </c>
      <c r="E64">
        <v>5257481.7810000004</v>
      </c>
      <c r="F64">
        <v>663</v>
      </c>
      <c r="G64">
        <v>-2.5426506849999999</v>
      </c>
      <c r="H64">
        <v>50.596477354000001</v>
      </c>
      <c r="I64">
        <v>247.793217</v>
      </c>
    </row>
    <row r="65" spans="1:9" x14ac:dyDescent="0.45">
      <c r="A65">
        <v>64</v>
      </c>
      <c r="B65">
        <v>86.663340000000005</v>
      </c>
      <c r="C65">
        <v>87.541089999999997</v>
      </c>
      <c r="D65">
        <v>41.691229999999997</v>
      </c>
      <c r="E65">
        <v>21811258.48</v>
      </c>
      <c r="F65">
        <v>664</v>
      </c>
      <c r="G65">
        <v>-76.133392388000004</v>
      </c>
      <c r="H65">
        <v>36.843899778000001</v>
      </c>
      <c r="I65">
        <v>189.29717199999999</v>
      </c>
    </row>
    <row r="66" spans="1:9" x14ac:dyDescent="0.45">
      <c r="A66">
        <v>65</v>
      </c>
      <c r="B66">
        <v>30.649909999999998</v>
      </c>
      <c r="C66">
        <v>-27.876909999999999</v>
      </c>
      <c r="D66">
        <v>89.163250000000005</v>
      </c>
      <c r="E66">
        <v>27630061.079999998</v>
      </c>
      <c r="F66">
        <v>665</v>
      </c>
      <c r="G66">
        <v>-11.25914145</v>
      </c>
      <c r="H66">
        <v>-136.57234907599999</v>
      </c>
      <c r="I66">
        <v>241.37078500000001</v>
      </c>
    </row>
    <row r="67" spans="1:9" x14ac:dyDescent="0.45">
      <c r="A67">
        <v>66</v>
      </c>
      <c r="B67">
        <v>-87.730369999999994</v>
      </c>
      <c r="C67">
        <v>85.133009999999999</v>
      </c>
      <c r="D67">
        <v>61.30809</v>
      </c>
      <c r="E67">
        <v>27449795.260000002</v>
      </c>
      <c r="F67">
        <v>666</v>
      </c>
      <c r="G67">
        <v>21.990325925</v>
      </c>
      <c r="H67">
        <v>-34.411110866999998</v>
      </c>
      <c r="I67">
        <v>357.84669200000002</v>
      </c>
    </row>
    <row r="68" spans="1:9" x14ac:dyDescent="0.45">
      <c r="A68">
        <v>67</v>
      </c>
      <c r="B68">
        <v>32.493139999999997</v>
      </c>
      <c r="C68">
        <v>100.0766</v>
      </c>
      <c r="D68">
        <v>292.42207000000002</v>
      </c>
      <c r="E68">
        <v>15896057.130000001</v>
      </c>
      <c r="F68">
        <v>667</v>
      </c>
      <c r="G68">
        <v>-13.695584633999999</v>
      </c>
      <c r="H68">
        <v>-44.791037629999998</v>
      </c>
      <c r="I68">
        <v>53.430309999999999</v>
      </c>
    </row>
    <row r="69" spans="1:9" x14ac:dyDescent="0.45">
      <c r="A69">
        <v>68</v>
      </c>
      <c r="B69">
        <v>13.121600000000001</v>
      </c>
      <c r="C69">
        <v>-87.124970000000005</v>
      </c>
      <c r="D69">
        <v>348.05227000000002</v>
      </c>
      <c r="E69">
        <v>27915776.059999999</v>
      </c>
      <c r="F69">
        <v>668</v>
      </c>
      <c r="G69">
        <v>-77.213393295000003</v>
      </c>
      <c r="H69">
        <v>31.081816761999999</v>
      </c>
      <c r="I69">
        <v>65.259403000000006</v>
      </c>
    </row>
    <row r="70" spans="1:9" x14ac:dyDescent="0.45">
      <c r="A70">
        <v>69</v>
      </c>
      <c r="B70">
        <v>86.425539999999998</v>
      </c>
      <c r="C70">
        <v>-58.171019999999999</v>
      </c>
      <c r="D70">
        <v>248.41925000000001</v>
      </c>
      <c r="E70">
        <v>27388054.559999999</v>
      </c>
      <c r="F70">
        <v>669</v>
      </c>
      <c r="G70">
        <v>-22.293088213000001</v>
      </c>
      <c r="H70">
        <v>54.860485455000003</v>
      </c>
      <c r="I70">
        <v>176.39725799999999</v>
      </c>
    </row>
    <row r="71" spans="1:9" x14ac:dyDescent="0.45">
      <c r="A71">
        <v>70</v>
      </c>
      <c r="B71">
        <v>54.768300000000004</v>
      </c>
      <c r="C71">
        <v>-101.0252</v>
      </c>
      <c r="D71">
        <v>84.268180000000001</v>
      </c>
      <c r="E71">
        <v>15232450.550000001</v>
      </c>
      <c r="F71">
        <v>670</v>
      </c>
      <c r="G71">
        <v>-34.082908273999998</v>
      </c>
      <c r="H71">
        <v>24.036523758000001</v>
      </c>
      <c r="I71">
        <v>316.06285800000001</v>
      </c>
    </row>
    <row r="72" spans="1:9" x14ac:dyDescent="0.45">
      <c r="A72">
        <v>71</v>
      </c>
      <c r="B72">
        <v>-60.392220000000002</v>
      </c>
      <c r="C72">
        <v>-43.868369999999999</v>
      </c>
      <c r="D72">
        <v>36.2211</v>
      </c>
      <c r="E72">
        <v>19523196.989999998</v>
      </c>
      <c r="F72">
        <v>671</v>
      </c>
      <c r="G72">
        <v>63.740060898000003</v>
      </c>
      <c r="H72">
        <v>130.23334756899999</v>
      </c>
      <c r="I72">
        <v>318.720688</v>
      </c>
    </row>
    <row r="73" spans="1:9" x14ac:dyDescent="0.45">
      <c r="A73">
        <v>72</v>
      </c>
      <c r="B73">
        <v>-22.344339999999999</v>
      </c>
      <c r="C73">
        <v>-31.85858</v>
      </c>
      <c r="D73">
        <v>96.597899999999996</v>
      </c>
      <c r="E73">
        <v>19262446.870000001</v>
      </c>
      <c r="F73">
        <v>672</v>
      </c>
      <c r="G73">
        <v>21.460928045999999</v>
      </c>
      <c r="H73">
        <v>140.75033329999999</v>
      </c>
      <c r="I73">
        <v>260.84921800000001</v>
      </c>
    </row>
    <row r="74" spans="1:9" x14ac:dyDescent="0.45">
      <c r="A74">
        <v>73</v>
      </c>
      <c r="B74">
        <v>-55.73415</v>
      </c>
      <c r="C74">
        <v>10.406169999999999</v>
      </c>
      <c r="D74">
        <v>167.79789</v>
      </c>
      <c r="E74">
        <v>12572332.93</v>
      </c>
      <c r="F74">
        <v>673</v>
      </c>
      <c r="G74">
        <v>-10.635410501000001</v>
      </c>
      <c r="H74">
        <v>178.95071314899999</v>
      </c>
      <c r="I74">
        <v>186.96985799999999</v>
      </c>
    </row>
    <row r="75" spans="1:9" x14ac:dyDescent="0.45">
      <c r="A75">
        <v>74</v>
      </c>
      <c r="B75">
        <v>21.871289999999998</v>
      </c>
      <c r="C75">
        <v>-169.21358000000001</v>
      </c>
      <c r="D75">
        <v>78.865380000000002</v>
      </c>
      <c r="E75">
        <v>15827008.98</v>
      </c>
      <c r="F75">
        <v>674</v>
      </c>
      <c r="G75">
        <v>-10.770528303000001</v>
      </c>
      <c r="H75">
        <v>-26.976155347999999</v>
      </c>
      <c r="I75">
        <v>291.99677600000001</v>
      </c>
    </row>
    <row r="76" spans="1:9" x14ac:dyDescent="0.45">
      <c r="A76">
        <v>75</v>
      </c>
      <c r="B76">
        <v>53.804670000000002</v>
      </c>
      <c r="C76">
        <v>66.215819999999994</v>
      </c>
      <c r="D76">
        <v>35.777149999999999</v>
      </c>
      <c r="E76">
        <v>12061587.57</v>
      </c>
      <c r="F76">
        <v>675</v>
      </c>
      <c r="G76">
        <v>11.549683890000001</v>
      </c>
      <c r="H76">
        <v>211.63185981199999</v>
      </c>
      <c r="I76">
        <v>339.32244400000002</v>
      </c>
    </row>
    <row r="77" spans="1:9" x14ac:dyDescent="0.45">
      <c r="A77">
        <v>76</v>
      </c>
      <c r="B77">
        <v>-31.836790000000001</v>
      </c>
      <c r="C77">
        <v>-60.509709999999998</v>
      </c>
      <c r="D77">
        <v>345.67815999999999</v>
      </c>
      <c r="E77">
        <v>15839191.949999999</v>
      </c>
      <c r="F77">
        <v>676</v>
      </c>
      <c r="G77">
        <v>66.817276116000002</v>
      </c>
      <c r="H77">
        <v>-218.01152983899999</v>
      </c>
      <c r="I77">
        <v>32.196286999999998</v>
      </c>
    </row>
    <row r="78" spans="1:9" x14ac:dyDescent="0.45">
      <c r="A78">
        <v>77</v>
      </c>
      <c r="B78">
        <v>25.753990000000002</v>
      </c>
      <c r="C78">
        <v>107.30107</v>
      </c>
      <c r="D78">
        <v>36.41404</v>
      </c>
      <c r="E78">
        <v>14247699.16</v>
      </c>
      <c r="F78">
        <v>677</v>
      </c>
      <c r="G78">
        <v>17.622040281</v>
      </c>
      <c r="H78">
        <v>257.78118393800003</v>
      </c>
      <c r="I78">
        <v>325.86409500000002</v>
      </c>
    </row>
    <row r="79" spans="1:9" x14ac:dyDescent="0.45">
      <c r="A79">
        <v>78</v>
      </c>
      <c r="B79">
        <v>67.818039999999996</v>
      </c>
      <c r="C79">
        <v>81.320620000000005</v>
      </c>
      <c r="D79">
        <v>238.44236000000001</v>
      </c>
      <c r="E79">
        <v>10751079.300000001</v>
      </c>
      <c r="F79">
        <v>678</v>
      </c>
      <c r="G79">
        <v>-17.897551375999999</v>
      </c>
      <c r="H79">
        <v>18.694466903999999</v>
      </c>
      <c r="I79">
        <v>19.812467000000002</v>
      </c>
    </row>
    <row r="80" spans="1:9" x14ac:dyDescent="0.45">
      <c r="A80">
        <v>79</v>
      </c>
      <c r="B80">
        <v>76.961079999999995</v>
      </c>
      <c r="C80">
        <v>-54.385579999999997</v>
      </c>
      <c r="D80">
        <v>279.42408999999998</v>
      </c>
      <c r="E80">
        <v>7288327.9890000001</v>
      </c>
      <c r="F80">
        <v>679</v>
      </c>
      <c r="G80">
        <v>25.984120276999999</v>
      </c>
      <c r="H80">
        <v>-147.618649705</v>
      </c>
      <c r="I80">
        <v>14.372601</v>
      </c>
    </row>
    <row r="81" spans="1:9" x14ac:dyDescent="0.45">
      <c r="A81">
        <v>80</v>
      </c>
      <c r="B81">
        <v>-51.090560000000004</v>
      </c>
      <c r="C81">
        <v>11.74319</v>
      </c>
      <c r="D81">
        <v>291.74023999999997</v>
      </c>
      <c r="E81">
        <v>12223215.57</v>
      </c>
      <c r="F81">
        <v>680</v>
      </c>
      <c r="G81">
        <v>29.157223525999999</v>
      </c>
      <c r="H81">
        <v>-74.496059457000001</v>
      </c>
      <c r="I81">
        <v>138.01803000000001</v>
      </c>
    </row>
    <row r="82" spans="1:9" x14ac:dyDescent="0.45">
      <c r="A82">
        <v>81</v>
      </c>
      <c r="B82">
        <v>25.461680000000001</v>
      </c>
      <c r="C82">
        <v>70.65137</v>
      </c>
      <c r="D82">
        <v>273.28305999999998</v>
      </c>
      <c r="E82">
        <v>27794550.93</v>
      </c>
      <c r="F82">
        <v>681</v>
      </c>
      <c r="G82">
        <v>-11.124892347999999</v>
      </c>
      <c r="H82">
        <v>177.95085147</v>
      </c>
      <c r="I82">
        <v>113.203979</v>
      </c>
    </row>
    <row r="83" spans="1:9" x14ac:dyDescent="0.45">
      <c r="A83">
        <v>82</v>
      </c>
      <c r="B83">
        <v>27.532489999999999</v>
      </c>
      <c r="C83">
        <v>66.864069999999998</v>
      </c>
      <c r="D83">
        <v>241.31356</v>
      </c>
      <c r="E83">
        <v>21855867.120000001</v>
      </c>
      <c r="F83">
        <v>682</v>
      </c>
      <c r="G83">
        <v>-18.576347186</v>
      </c>
      <c r="H83">
        <v>231.80662629099999</v>
      </c>
      <c r="I83">
        <v>124.817549</v>
      </c>
    </row>
    <row r="84" spans="1:9" x14ac:dyDescent="0.45">
      <c r="A84">
        <v>83</v>
      </c>
      <c r="B84">
        <v>-74.066460000000006</v>
      </c>
      <c r="C84">
        <v>-160.19710000000001</v>
      </c>
      <c r="D84">
        <v>169.49234999999999</v>
      </c>
      <c r="E84">
        <v>11149450.67</v>
      </c>
      <c r="F84">
        <v>683</v>
      </c>
      <c r="G84">
        <v>-5.4493411859999998</v>
      </c>
      <c r="H84">
        <v>9.4021807909999993</v>
      </c>
      <c r="I84">
        <v>182.89156299999999</v>
      </c>
    </row>
    <row r="85" spans="1:9" x14ac:dyDescent="0.45">
      <c r="A85">
        <v>84</v>
      </c>
      <c r="B85">
        <v>6.8207199999999997</v>
      </c>
      <c r="C85">
        <v>-5.5500699999999998</v>
      </c>
      <c r="D85">
        <v>253.76505</v>
      </c>
      <c r="E85">
        <v>13419455.060000001</v>
      </c>
      <c r="F85">
        <v>684</v>
      </c>
      <c r="G85">
        <v>-17.450683955999999</v>
      </c>
      <c r="H85">
        <v>-125.50931539</v>
      </c>
      <c r="I85">
        <v>92.474106000000006</v>
      </c>
    </row>
    <row r="86" spans="1:9" x14ac:dyDescent="0.45">
      <c r="A86">
        <v>85</v>
      </c>
      <c r="B86">
        <v>-8.9919799999999999</v>
      </c>
      <c r="C86">
        <v>-101.81959999999999</v>
      </c>
      <c r="D86">
        <v>173.00154000000001</v>
      </c>
      <c r="E86">
        <v>15406147.539999999</v>
      </c>
      <c r="F86">
        <v>685</v>
      </c>
      <c r="G86">
        <v>-32.220497887000001</v>
      </c>
      <c r="H86">
        <v>72.661603615000004</v>
      </c>
      <c r="I86">
        <v>188.17099400000001</v>
      </c>
    </row>
    <row r="87" spans="1:9" x14ac:dyDescent="0.45">
      <c r="A87">
        <v>86</v>
      </c>
      <c r="B87">
        <v>41.645980000000002</v>
      </c>
      <c r="C87">
        <v>-166.89362</v>
      </c>
      <c r="D87">
        <v>198.12486000000001</v>
      </c>
      <c r="E87">
        <v>12387170.210000001</v>
      </c>
      <c r="F87">
        <v>686</v>
      </c>
      <c r="G87">
        <v>-64.917009144000005</v>
      </c>
      <c r="H87">
        <v>-209.70118500199999</v>
      </c>
      <c r="I87">
        <v>33.206668999999998</v>
      </c>
    </row>
    <row r="88" spans="1:9" x14ac:dyDescent="0.45">
      <c r="A88">
        <v>87</v>
      </c>
      <c r="B88">
        <v>7.4174100000000003</v>
      </c>
      <c r="C88">
        <v>15.89446</v>
      </c>
      <c r="D88">
        <v>135.06273999999999</v>
      </c>
      <c r="E88">
        <v>2739129.8220000002</v>
      </c>
      <c r="F88">
        <v>687</v>
      </c>
      <c r="G88">
        <v>-10.187683525000001</v>
      </c>
      <c r="H88">
        <v>33.276915256999999</v>
      </c>
      <c r="I88">
        <v>314.63421499999998</v>
      </c>
    </row>
    <row r="89" spans="1:9" x14ac:dyDescent="0.45">
      <c r="A89">
        <v>88</v>
      </c>
      <c r="B89">
        <v>-88.821200000000005</v>
      </c>
      <c r="C89">
        <v>176.71505999999999</v>
      </c>
      <c r="D89">
        <v>114.91654</v>
      </c>
      <c r="E89">
        <v>10992541.66</v>
      </c>
      <c r="F89">
        <v>688</v>
      </c>
      <c r="G89">
        <v>8.4547010569999994</v>
      </c>
      <c r="H89">
        <v>291.788988416</v>
      </c>
      <c r="I89">
        <v>181.08437000000001</v>
      </c>
    </row>
    <row r="90" spans="1:9" x14ac:dyDescent="0.45">
      <c r="A90">
        <v>89</v>
      </c>
      <c r="B90">
        <v>-31.76643</v>
      </c>
      <c r="C90">
        <v>175.65602000000001</v>
      </c>
      <c r="D90">
        <v>230.52977000000001</v>
      </c>
      <c r="E90">
        <v>26809519.600000001</v>
      </c>
      <c r="F90">
        <v>689</v>
      </c>
      <c r="G90">
        <v>46.685593763</v>
      </c>
      <c r="H90">
        <v>275.79531422299999</v>
      </c>
      <c r="I90">
        <v>72.924572999999995</v>
      </c>
    </row>
    <row r="91" spans="1:9" x14ac:dyDescent="0.45">
      <c r="A91">
        <v>90</v>
      </c>
      <c r="B91">
        <v>-33.89461</v>
      </c>
      <c r="C91">
        <v>177.00147000000001</v>
      </c>
      <c r="D91">
        <v>243.01021</v>
      </c>
      <c r="E91">
        <v>16426525.890000001</v>
      </c>
      <c r="F91">
        <v>690</v>
      </c>
      <c r="G91">
        <v>15.796439417</v>
      </c>
      <c r="H91">
        <v>26.802138592999999</v>
      </c>
      <c r="I91">
        <v>129.70889099999999</v>
      </c>
    </row>
    <row r="92" spans="1:9" x14ac:dyDescent="0.45">
      <c r="A92">
        <v>91</v>
      </c>
      <c r="B92">
        <v>-32.473849999999999</v>
      </c>
      <c r="C92">
        <v>16.285630000000001</v>
      </c>
      <c r="D92">
        <v>24.15812</v>
      </c>
      <c r="E92">
        <v>3009187.45</v>
      </c>
      <c r="F92">
        <v>691</v>
      </c>
      <c r="G92">
        <v>-7.2422264839999997</v>
      </c>
      <c r="H92">
        <v>27.090086758000002</v>
      </c>
      <c r="I92">
        <v>200.386912</v>
      </c>
    </row>
    <row r="93" spans="1:9" x14ac:dyDescent="0.45">
      <c r="A93">
        <v>92</v>
      </c>
      <c r="B93">
        <v>72.12079</v>
      </c>
      <c r="C93">
        <v>-154.69436999999999</v>
      </c>
      <c r="D93">
        <v>137.78511</v>
      </c>
      <c r="E93">
        <v>14766525.039999999</v>
      </c>
      <c r="F93">
        <v>692</v>
      </c>
      <c r="G93">
        <v>-54.692418750000002</v>
      </c>
      <c r="H93">
        <v>-96.673767115999993</v>
      </c>
      <c r="I93">
        <v>339.071438</v>
      </c>
    </row>
    <row r="94" spans="1:9" x14ac:dyDescent="0.45">
      <c r="A94">
        <v>93</v>
      </c>
      <c r="B94">
        <v>25.50112</v>
      </c>
      <c r="C94">
        <v>97.481629999999996</v>
      </c>
      <c r="D94">
        <v>8.1338899999999992</v>
      </c>
      <c r="E94">
        <v>11388563.960000001</v>
      </c>
      <c r="F94">
        <v>693</v>
      </c>
      <c r="G94">
        <v>51.449002239000002</v>
      </c>
      <c r="H94">
        <v>264.65353396099999</v>
      </c>
      <c r="I94">
        <v>348.19286499999998</v>
      </c>
    </row>
    <row r="95" spans="1:9" x14ac:dyDescent="0.45">
      <c r="A95">
        <v>94</v>
      </c>
      <c r="B95">
        <v>41.900829999999999</v>
      </c>
      <c r="C95">
        <v>-160.6241</v>
      </c>
      <c r="D95">
        <v>266.49374999999998</v>
      </c>
      <c r="E95">
        <v>11341171.710000001</v>
      </c>
      <c r="F95">
        <v>694</v>
      </c>
      <c r="G95">
        <v>-10.694816415</v>
      </c>
      <c r="H95">
        <v>-257.21630951600002</v>
      </c>
      <c r="I95">
        <v>49.207915999999997</v>
      </c>
    </row>
    <row r="96" spans="1:9" x14ac:dyDescent="0.45">
      <c r="A96">
        <v>95</v>
      </c>
      <c r="B96">
        <v>48.390430000000002</v>
      </c>
      <c r="C96">
        <v>-167.33677</v>
      </c>
      <c r="D96">
        <v>292.34510999999998</v>
      </c>
      <c r="E96">
        <v>8308069.4910000004</v>
      </c>
      <c r="F96">
        <v>695</v>
      </c>
      <c r="G96">
        <v>26.198762559999999</v>
      </c>
      <c r="H96">
        <v>-263.511108084</v>
      </c>
      <c r="I96">
        <v>43.262816999999998</v>
      </c>
    </row>
    <row r="97" spans="1:9" x14ac:dyDescent="0.45">
      <c r="A97">
        <v>96</v>
      </c>
      <c r="B97">
        <v>-38.660769999999999</v>
      </c>
      <c r="C97">
        <v>54.641919999999999</v>
      </c>
      <c r="D97">
        <v>59.211219999999997</v>
      </c>
      <c r="E97">
        <v>4874355.4790000003</v>
      </c>
      <c r="F97">
        <v>696</v>
      </c>
      <c r="G97">
        <v>-9.9146563190000006</v>
      </c>
      <c r="H97">
        <v>91.751058825000001</v>
      </c>
      <c r="I97">
        <v>222.984308</v>
      </c>
    </row>
    <row r="98" spans="1:9" x14ac:dyDescent="0.45">
      <c r="A98">
        <v>97</v>
      </c>
      <c r="B98">
        <v>-7.4569999999999997E-2</v>
      </c>
      <c r="C98">
        <v>46.472079999999998</v>
      </c>
      <c r="D98">
        <v>278.01758999999998</v>
      </c>
      <c r="E98">
        <v>20547852.620000001</v>
      </c>
      <c r="F98">
        <v>697</v>
      </c>
      <c r="G98">
        <v>-0.652410818</v>
      </c>
      <c r="H98">
        <v>221.938010346</v>
      </c>
      <c r="I98">
        <v>82.008304999999993</v>
      </c>
    </row>
    <row r="99" spans="1:9" x14ac:dyDescent="0.45">
      <c r="A99">
        <v>98</v>
      </c>
      <c r="B99">
        <v>45.63044</v>
      </c>
      <c r="C99">
        <v>-129.56118000000001</v>
      </c>
      <c r="D99">
        <v>147.68849</v>
      </c>
      <c r="E99">
        <v>2696126.929</v>
      </c>
      <c r="F99">
        <v>698</v>
      </c>
      <c r="G99">
        <v>24.100341202999999</v>
      </c>
      <c r="H99">
        <v>-115.670119589</v>
      </c>
      <c r="I99">
        <v>335.79836299999999</v>
      </c>
    </row>
    <row r="100" spans="1:9" x14ac:dyDescent="0.45">
      <c r="A100">
        <v>99</v>
      </c>
      <c r="B100">
        <v>-31.687740000000002</v>
      </c>
      <c r="C100">
        <v>45.147069999999999</v>
      </c>
      <c r="D100">
        <v>172.66594000000001</v>
      </c>
      <c r="E100">
        <v>4461921.0269999998</v>
      </c>
      <c r="F100">
        <v>699</v>
      </c>
      <c r="G100">
        <v>-70.992572042000006</v>
      </c>
      <c r="H100">
        <v>59.722005445999997</v>
      </c>
      <c r="I100">
        <v>340.559552</v>
      </c>
    </row>
    <row r="101" spans="1:9" x14ac:dyDescent="0.45">
      <c r="A101">
        <v>100</v>
      </c>
      <c r="B101">
        <v>-58.967529999999996</v>
      </c>
      <c r="C101">
        <v>85.038359999999997</v>
      </c>
      <c r="D101">
        <v>115.29264000000001</v>
      </c>
      <c r="E101">
        <v>8938931.9949999992</v>
      </c>
      <c r="F101">
        <v>700</v>
      </c>
      <c r="G101">
        <v>-21.178767285999999</v>
      </c>
      <c r="H101">
        <v>192.034069171</v>
      </c>
      <c r="I101">
        <v>210.05826999999999</v>
      </c>
    </row>
    <row r="102" spans="1:9" x14ac:dyDescent="0.45">
      <c r="A102">
        <v>101</v>
      </c>
      <c r="B102">
        <v>15.35918</v>
      </c>
      <c r="C102">
        <v>147.99860000000001</v>
      </c>
      <c r="D102">
        <v>17.105060000000002</v>
      </c>
      <c r="E102">
        <v>736539.3763</v>
      </c>
      <c r="F102">
        <v>701</v>
      </c>
      <c r="G102">
        <v>21.708343638999999</v>
      </c>
      <c r="H102">
        <v>150.08804405800001</v>
      </c>
      <c r="I102">
        <v>197.770309</v>
      </c>
    </row>
    <row r="103" spans="1:9" x14ac:dyDescent="0.45">
      <c r="A103">
        <v>102</v>
      </c>
      <c r="B103">
        <v>16.97861</v>
      </c>
      <c r="C103">
        <v>-69.482510000000005</v>
      </c>
      <c r="D103">
        <v>337.9323</v>
      </c>
      <c r="E103">
        <v>2680862.162</v>
      </c>
      <c r="F103">
        <v>702</v>
      </c>
      <c r="G103">
        <v>39.019838841999999</v>
      </c>
      <c r="H103">
        <v>-80.846730003999994</v>
      </c>
      <c r="I103">
        <v>152.482834</v>
      </c>
    </row>
    <row r="104" spans="1:9" x14ac:dyDescent="0.45">
      <c r="A104">
        <v>103</v>
      </c>
      <c r="B104">
        <v>10.929650000000001</v>
      </c>
      <c r="C104">
        <v>-135.72478000000001</v>
      </c>
      <c r="D104">
        <v>249.20694</v>
      </c>
      <c r="E104">
        <v>2593134.8229999999</v>
      </c>
      <c r="F104">
        <v>703</v>
      </c>
      <c r="G104">
        <v>2.023874588</v>
      </c>
      <c r="H104">
        <v>-157.43554659399999</v>
      </c>
      <c r="I104">
        <v>66.720884999999996</v>
      </c>
    </row>
    <row r="105" spans="1:9" x14ac:dyDescent="0.45">
      <c r="A105">
        <v>104</v>
      </c>
      <c r="B105">
        <v>-59.242919999999998</v>
      </c>
      <c r="C105">
        <v>64.601219999999998</v>
      </c>
      <c r="D105">
        <v>245.32203999999999</v>
      </c>
      <c r="E105">
        <v>1124977.1810000001</v>
      </c>
      <c r="F105">
        <v>704</v>
      </c>
      <c r="G105">
        <v>-62.065730414000001</v>
      </c>
      <c r="H105">
        <v>44.756509088000001</v>
      </c>
      <c r="I105">
        <v>82.666971000000004</v>
      </c>
    </row>
    <row r="106" spans="1:9" x14ac:dyDescent="0.45">
      <c r="A106">
        <v>105</v>
      </c>
      <c r="B106">
        <v>2.3506800000000001</v>
      </c>
      <c r="C106">
        <v>-118.36722</v>
      </c>
      <c r="D106">
        <v>318.8005</v>
      </c>
      <c r="E106">
        <v>8704.3340000000007</v>
      </c>
      <c r="F106">
        <v>705</v>
      </c>
      <c r="G106">
        <v>2.4099080669999999</v>
      </c>
      <c r="H106">
        <v>-118.41876924899999</v>
      </c>
      <c r="I106">
        <v>138.798359</v>
      </c>
    </row>
    <row r="107" spans="1:9" x14ac:dyDescent="0.45">
      <c r="A107">
        <v>106</v>
      </c>
      <c r="B107">
        <v>-62.10389</v>
      </c>
      <c r="C107">
        <v>145.56889000000001</v>
      </c>
      <c r="D107">
        <v>255.88317000000001</v>
      </c>
      <c r="E107">
        <v>13395.294099999999</v>
      </c>
      <c r="F107">
        <v>706</v>
      </c>
      <c r="G107">
        <v>-62.132981362000002</v>
      </c>
      <c r="H107">
        <v>145.31987977700001</v>
      </c>
      <c r="I107">
        <v>76.103273999999999</v>
      </c>
    </row>
    <row r="108" spans="1:9" x14ac:dyDescent="0.45">
      <c r="A108">
        <v>107</v>
      </c>
      <c r="B108">
        <v>77.644260000000003</v>
      </c>
      <c r="C108">
        <v>-149.10624999999999</v>
      </c>
      <c r="D108">
        <v>106.19928</v>
      </c>
      <c r="E108">
        <v>2002954.959</v>
      </c>
      <c r="F108">
        <v>707</v>
      </c>
      <c r="G108">
        <v>65.631356772000004</v>
      </c>
      <c r="H108">
        <v>-103.299126253</v>
      </c>
      <c r="I108">
        <v>330.117254</v>
      </c>
    </row>
    <row r="109" spans="1:9" x14ac:dyDescent="0.45">
      <c r="A109">
        <v>108</v>
      </c>
      <c r="B109">
        <v>63.34713</v>
      </c>
      <c r="C109">
        <v>-89.70778</v>
      </c>
      <c r="D109">
        <v>173.62156999999999</v>
      </c>
      <c r="E109">
        <v>2686520.6910000001</v>
      </c>
      <c r="F109">
        <v>708</v>
      </c>
      <c r="G109">
        <v>39.282973812999998</v>
      </c>
      <c r="H109">
        <v>-86.347917585000005</v>
      </c>
      <c r="I109">
        <v>356.30354599999998</v>
      </c>
    </row>
    <row r="110" spans="1:9" x14ac:dyDescent="0.45">
      <c r="A110">
        <v>109</v>
      </c>
      <c r="B110">
        <v>-35.52337</v>
      </c>
      <c r="C110">
        <v>84.479879999999994</v>
      </c>
      <c r="D110">
        <v>19.505510000000001</v>
      </c>
      <c r="E110">
        <v>798705.37609999999</v>
      </c>
      <c r="F110">
        <v>709</v>
      </c>
      <c r="G110">
        <v>-28.702651337999999</v>
      </c>
      <c r="H110">
        <v>87.202939611999994</v>
      </c>
      <c r="I110">
        <v>198.055183</v>
      </c>
    </row>
    <row r="111" spans="1:9" x14ac:dyDescent="0.45">
      <c r="A111">
        <v>110</v>
      </c>
      <c r="B111">
        <v>-84.516180000000006</v>
      </c>
      <c r="C111">
        <v>-15.54405</v>
      </c>
      <c r="D111">
        <v>200.28919999999999</v>
      </c>
      <c r="E111">
        <v>665017.86780000001</v>
      </c>
      <c r="F111">
        <v>710</v>
      </c>
      <c r="G111">
        <v>-87.936098658000006</v>
      </c>
      <c r="H111">
        <v>-108.411023728</v>
      </c>
      <c r="I111">
        <v>113.05744</v>
      </c>
    </row>
    <row r="112" spans="1:9" x14ac:dyDescent="0.45">
      <c r="A112">
        <v>111</v>
      </c>
      <c r="B112">
        <v>-52.912570000000002</v>
      </c>
      <c r="C112">
        <v>-154.26669999999999</v>
      </c>
      <c r="D112">
        <v>248.05546000000001</v>
      </c>
      <c r="E112">
        <v>1950926.7749999999</v>
      </c>
      <c r="F112">
        <v>711</v>
      </c>
      <c r="G112">
        <v>-55.958352597999998</v>
      </c>
      <c r="H112">
        <v>-184.123882498</v>
      </c>
      <c r="I112">
        <v>92.537857000000002</v>
      </c>
    </row>
    <row r="113" spans="1:9" x14ac:dyDescent="0.45">
      <c r="A113">
        <v>112</v>
      </c>
      <c r="B113">
        <v>-7.6414200000000001</v>
      </c>
      <c r="C113">
        <v>157.20014</v>
      </c>
      <c r="D113">
        <v>124.09694</v>
      </c>
      <c r="E113">
        <v>2303142.2280000001</v>
      </c>
      <c r="F113">
        <v>712</v>
      </c>
      <c r="G113">
        <v>-18.772439298999998</v>
      </c>
      <c r="H113">
        <v>175.19234164</v>
      </c>
      <c r="I113">
        <v>299.93408099999999</v>
      </c>
    </row>
    <row r="114" spans="1:9" x14ac:dyDescent="0.45">
      <c r="A114">
        <v>113</v>
      </c>
      <c r="B114">
        <v>-3.24092</v>
      </c>
      <c r="C114">
        <v>136.62436</v>
      </c>
      <c r="D114">
        <v>48.931519999999999</v>
      </c>
      <c r="E114">
        <v>2125350.6009999998</v>
      </c>
      <c r="F114">
        <v>713</v>
      </c>
      <c r="G114">
        <v>9.3543525509999998</v>
      </c>
      <c r="H114">
        <v>151.095406841</v>
      </c>
      <c r="I114">
        <v>229.71205599999999</v>
      </c>
    </row>
    <row r="115" spans="1:9" x14ac:dyDescent="0.45">
      <c r="A115">
        <v>114</v>
      </c>
      <c r="B115">
        <v>78.895430000000005</v>
      </c>
      <c r="C115">
        <v>61.840670000000003</v>
      </c>
      <c r="D115">
        <v>273.64731</v>
      </c>
      <c r="E115">
        <v>1313369.7520000001</v>
      </c>
      <c r="F115">
        <v>714</v>
      </c>
      <c r="G115">
        <v>74.401194439999998</v>
      </c>
      <c r="H115">
        <v>12.683071267000001</v>
      </c>
      <c r="I115">
        <v>45.633940000000003</v>
      </c>
    </row>
    <row r="116" spans="1:9" x14ac:dyDescent="0.45">
      <c r="A116">
        <v>115</v>
      </c>
      <c r="B116">
        <v>-48.021189999999997</v>
      </c>
      <c r="C116">
        <v>42.157789999999999</v>
      </c>
      <c r="D116">
        <v>7.6122399999999999</v>
      </c>
      <c r="E116">
        <v>1139720.7169999999</v>
      </c>
      <c r="F116">
        <v>715</v>
      </c>
      <c r="G116">
        <v>-37.838073467000001</v>
      </c>
      <c r="H116">
        <v>43.864077291999997</v>
      </c>
      <c r="I116">
        <v>186.44542799999999</v>
      </c>
    </row>
    <row r="117" spans="1:9" x14ac:dyDescent="0.45">
      <c r="A117">
        <v>116</v>
      </c>
      <c r="B117">
        <v>-82.629829999999998</v>
      </c>
      <c r="C117">
        <v>66.270340000000004</v>
      </c>
      <c r="D117">
        <v>319.08735999999999</v>
      </c>
      <c r="E117">
        <v>783546.70979999995</v>
      </c>
      <c r="F117">
        <v>716</v>
      </c>
      <c r="G117">
        <v>-76.523534437999999</v>
      </c>
      <c r="H117">
        <v>46.193703038999999</v>
      </c>
      <c r="I117">
        <v>158.866795</v>
      </c>
    </row>
    <row r="118" spans="1:9" x14ac:dyDescent="0.45">
      <c r="A118">
        <v>117</v>
      </c>
      <c r="B118">
        <v>-72.955299999999994</v>
      </c>
      <c r="C118">
        <v>51.112259999999999</v>
      </c>
      <c r="D118">
        <v>98.025000000000006</v>
      </c>
      <c r="E118">
        <v>963166.20239999995</v>
      </c>
      <c r="F118">
        <v>717</v>
      </c>
      <c r="G118">
        <v>-72.063151982999997</v>
      </c>
      <c r="H118">
        <v>79.944230766000004</v>
      </c>
      <c r="I118">
        <v>250.473298</v>
      </c>
    </row>
    <row r="119" spans="1:9" x14ac:dyDescent="0.45">
      <c r="A119">
        <v>118</v>
      </c>
      <c r="B119">
        <v>1.9955499999999999</v>
      </c>
      <c r="C119">
        <v>18.549589999999998</v>
      </c>
      <c r="D119">
        <v>205.93687</v>
      </c>
      <c r="E119">
        <v>2610595.4759999998</v>
      </c>
      <c r="F119">
        <v>718</v>
      </c>
      <c r="G119">
        <v>-19.143131724</v>
      </c>
      <c r="H119">
        <v>7.9373826770000004</v>
      </c>
      <c r="I119">
        <v>27.550933000000001</v>
      </c>
    </row>
    <row r="120" spans="1:9" x14ac:dyDescent="0.45">
      <c r="A120">
        <v>119</v>
      </c>
      <c r="B120">
        <v>-45.648980000000002</v>
      </c>
      <c r="C120">
        <v>-35.092579999999998</v>
      </c>
      <c r="D120">
        <v>205.41822999999999</v>
      </c>
      <c r="E120">
        <v>2662309.7689999999</v>
      </c>
      <c r="F120">
        <v>719</v>
      </c>
      <c r="G120">
        <v>-65.458139399000004</v>
      </c>
      <c r="H120">
        <v>-59.788590366000001</v>
      </c>
      <c r="I120">
        <v>46.188316</v>
      </c>
    </row>
    <row r="121" spans="1:9" x14ac:dyDescent="0.45">
      <c r="A121">
        <v>120</v>
      </c>
      <c r="B121">
        <v>79.030199999999994</v>
      </c>
      <c r="C121">
        <v>-49.263179999999998</v>
      </c>
      <c r="D121">
        <v>305.83573999999999</v>
      </c>
      <c r="E121">
        <v>1821170.49</v>
      </c>
      <c r="F121">
        <v>720</v>
      </c>
      <c r="G121">
        <v>76.783372856</v>
      </c>
      <c r="H121">
        <v>-133.92953106900001</v>
      </c>
      <c r="I121">
        <v>42.437151999999998</v>
      </c>
    </row>
    <row r="122" spans="1:9" x14ac:dyDescent="0.45">
      <c r="A122">
        <v>121</v>
      </c>
      <c r="B122">
        <v>37.448909999999998</v>
      </c>
      <c r="C122">
        <v>-25.214690000000001</v>
      </c>
      <c r="D122">
        <v>299.32281</v>
      </c>
      <c r="E122">
        <v>2787665.4</v>
      </c>
      <c r="F122">
        <v>721</v>
      </c>
      <c r="G122">
        <v>45.704958773000001</v>
      </c>
      <c r="H122">
        <v>-57.057740451999997</v>
      </c>
      <c r="I122">
        <v>97.827659999999995</v>
      </c>
    </row>
    <row r="123" spans="1:9" x14ac:dyDescent="0.45">
      <c r="A123">
        <v>122</v>
      </c>
      <c r="B123">
        <v>-35.959099999999999</v>
      </c>
      <c r="C123">
        <v>-53.573349999999998</v>
      </c>
      <c r="D123">
        <v>317.02665000000002</v>
      </c>
      <c r="E123">
        <v>2445529.3059999999</v>
      </c>
      <c r="F123">
        <v>722</v>
      </c>
      <c r="G123">
        <v>-18.768825919000001</v>
      </c>
      <c r="H123">
        <v>-69.191406233999999</v>
      </c>
      <c r="I123">
        <v>144.32277999999999</v>
      </c>
    </row>
    <row r="124" spans="1:9" x14ac:dyDescent="0.45">
      <c r="A124">
        <v>123</v>
      </c>
      <c r="B124">
        <v>-38.204389999999997</v>
      </c>
      <c r="C124">
        <v>-71.393510000000006</v>
      </c>
      <c r="D124">
        <v>266.36977000000002</v>
      </c>
      <c r="E124">
        <v>344966.30699999997</v>
      </c>
      <c r="F124">
        <v>723</v>
      </c>
      <c r="G124">
        <v>-38.335140582999998</v>
      </c>
      <c r="H124">
        <v>-75.332353029000004</v>
      </c>
      <c r="I124">
        <v>88.809946999999994</v>
      </c>
    </row>
    <row r="125" spans="1:9" x14ac:dyDescent="0.45">
      <c r="A125">
        <v>124</v>
      </c>
      <c r="B125">
        <v>30.126300000000001</v>
      </c>
      <c r="C125">
        <v>-91.789060000000006</v>
      </c>
      <c r="D125">
        <v>12.69722</v>
      </c>
      <c r="E125">
        <v>2319961.3679999998</v>
      </c>
      <c r="F125">
        <v>724</v>
      </c>
      <c r="G125">
        <v>50.337821916999999</v>
      </c>
      <c r="H125">
        <v>-84.765859457000005</v>
      </c>
      <c r="I125">
        <v>197.30836500000001</v>
      </c>
    </row>
    <row r="126" spans="1:9" x14ac:dyDescent="0.45">
      <c r="A126">
        <v>125</v>
      </c>
      <c r="B126">
        <v>16.645330000000001</v>
      </c>
      <c r="C126">
        <v>-152.07943</v>
      </c>
      <c r="D126">
        <v>262.28955999999999</v>
      </c>
      <c r="E126">
        <v>181575.44039999999</v>
      </c>
      <c r="F126">
        <v>725</v>
      </c>
      <c r="G126">
        <v>16.418374816</v>
      </c>
      <c r="H126">
        <v>-153.76407927299999</v>
      </c>
      <c r="I126">
        <v>81.810163000000003</v>
      </c>
    </row>
    <row r="127" spans="1:9" x14ac:dyDescent="0.45">
      <c r="A127">
        <v>126</v>
      </c>
      <c r="B127">
        <v>-88.874809999999997</v>
      </c>
      <c r="C127">
        <v>84.816130000000001</v>
      </c>
      <c r="D127">
        <v>155.5087</v>
      </c>
      <c r="E127">
        <v>2189603.9449999998</v>
      </c>
      <c r="F127">
        <v>726</v>
      </c>
      <c r="G127">
        <v>-71.408270107000007</v>
      </c>
      <c r="H127">
        <v>238.94169780999999</v>
      </c>
      <c r="I127">
        <v>181.46361400000001</v>
      </c>
    </row>
    <row r="128" spans="1:9" x14ac:dyDescent="0.45">
      <c r="A128">
        <v>127</v>
      </c>
      <c r="B128">
        <v>16.28764</v>
      </c>
      <c r="C128">
        <v>-146.46427</v>
      </c>
      <c r="D128">
        <v>108.74630000000001</v>
      </c>
      <c r="E128">
        <v>428196.28370000003</v>
      </c>
      <c r="F128">
        <v>727</v>
      </c>
      <c r="G128">
        <v>15.011054327</v>
      </c>
      <c r="H128">
        <v>-142.69404390700001</v>
      </c>
      <c r="I128">
        <v>289.76372199999997</v>
      </c>
    </row>
    <row r="129" spans="1:9" x14ac:dyDescent="0.45">
      <c r="A129">
        <v>128</v>
      </c>
      <c r="B129">
        <v>-51.531190000000002</v>
      </c>
      <c r="C129">
        <v>-66.095110000000005</v>
      </c>
      <c r="D129">
        <v>343.22847999999999</v>
      </c>
      <c r="E129">
        <v>1626173.7620000001</v>
      </c>
      <c r="F129">
        <v>728</v>
      </c>
      <c r="G129">
        <v>-37.377884223999999</v>
      </c>
      <c r="H129">
        <v>-71.343261853000001</v>
      </c>
      <c r="I129">
        <v>166.93356800000001</v>
      </c>
    </row>
    <row r="130" spans="1:9" x14ac:dyDescent="0.45">
      <c r="A130">
        <v>129</v>
      </c>
      <c r="B130">
        <v>44.172539999999998</v>
      </c>
      <c r="C130">
        <v>-15.464270000000001</v>
      </c>
      <c r="D130">
        <v>30.423839999999998</v>
      </c>
      <c r="E130">
        <v>52780.7088</v>
      </c>
      <c r="F130">
        <v>729</v>
      </c>
      <c r="G130">
        <v>44.581631925000003</v>
      </c>
      <c r="H130">
        <v>-15.127728701000001</v>
      </c>
      <c r="I130">
        <v>210.659211</v>
      </c>
    </row>
    <row r="131" spans="1:9" x14ac:dyDescent="0.45">
      <c r="A131">
        <v>130</v>
      </c>
      <c r="B131">
        <v>-8.7405799999999996</v>
      </c>
      <c r="C131">
        <v>-91.287660000000002</v>
      </c>
      <c r="D131">
        <v>111.05248</v>
      </c>
      <c r="E131">
        <v>873745.98479999998</v>
      </c>
      <c r="F131">
        <v>730</v>
      </c>
      <c r="G131">
        <v>-11.497447312</v>
      </c>
      <c r="H131">
        <v>-83.815776967999994</v>
      </c>
      <c r="I131">
        <v>289.73751900000002</v>
      </c>
    </row>
    <row r="132" spans="1:9" x14ac:dyDescent="0.45">
      <c r="A132">
        <v>131</v>
      </c>
      <c r="B132">
        <v>7.5902399999999997</v>
      </c>
      <c r="C132">
        <v>-126.13188</v>
      </c>
      <c r="D132">
        <v>183.72388000000001</v>
      </c>
      <c r="E132">
        <v>1467787.2390000001</v>
      </c>
      <c r="F132">
        <v>731</v>
      </c>
      <c r="G132">
        <v>-5.6556803130000004</v>
      </c>
      <c r="H132">
        <v>-126.98481234099999</v>
      </c>
      <c r="I132">
        <v>3.709384</v>
      </c>
    </row>
    <row r="133" spans="1:9" x14ac:dyDescent="0.45">
      <c r="A133">
        <v>132</v>
      </c>
      <c r="B133">
        <v>30.957820000000002</v>
      </c>
      <c r="C133">
        <v>107.38433999999999</v>
      </c>
      <c r="D133">
        <v>302.95084000000003</v>
      </c>
      <c r="E133">
        <v>633511.36100000003</v>
      </c>
      <c r="F133">
        <v>732</v>
      </c>
      <c r="G133">
        <v>33.937653898000001</v>
      </c>
      <c r="H133">
        <v>101.63410469999999</v>
      </c>
      <c r="I133">
        <v>119.862765</v>
      </c>
    </row>
    <row r="134" spans="1:9" x14ac:dyDescent="0.45">
      <c r="A134">
        <v>133</v>
      </c>
      <c r="B134">
        <v>-27.116849999999999</v>
      </c>
      <c r="C134">
        <v>-95.377880000000005</v>
      </c>
      <c r="D134">
        <v>284.91935000000001</v>
      </c>
      <c r="E134">
        <v>77703.400999999998</v>
      </c>
      <c r="F134">
        <v>733</v>
      </c>
      <c r="G134">
        <v>-26.934268160999999</v>
      </c>
      <c r="H134">
        <v>-96.133920305000004</v>
      </c>
      <c r="I134">
        <v>105.26289</v>
      </c>
    </row>
    <row r="135" spans="1:9" x14ac:dyDescent="0.45">
      <c r="A135">
        <v>134</v>
      </c>
      <c r="B135">
        <v>36.551279999999998</v>
      </c>
      <c r="C135">
        <v>-105.62241</v>
      </c>
      <c r="D135">
        <v>356.37335000000002</v>
      </c>
      <c r="E135">
        <v>2618918.1120000002</v>
      </c>
      <c r="F135">
        <v>734</v>
      </c>
      <c r="G135">
        <v>60.030184536999997</v>
      </c>
      <c r="H135">
        <v>-108.512405766</v>
      </c>
      <c r="I135">
        <v>174.16950700000001</v>
      </c>
    </row>
    <row r="136" spans="1:9" x14ac:dyDescent="0.45">
      <c r="A136">
        <v>135</v>
      </c>
      <c r="B136">
        <v>87.715130000000002</v>
      </c>
      <c r="C136">
        <v>-55.234169999999999</v>
      </c>
      <c r="D136">
        <v>208.72172</v>
      </c>
      <c r="E136">
        <v>1139643.1459999999</v>
      </c>
      <c r="F136">
        <v>735</v>
      </c>
      <c r="G136">
        <v>77.742364816999995</v>
      </c>
      <c r="H136">
        <v>-78.875889228999995</v>
      </c>
      <c r="I136">
        <v>5.1782050000000002</v>
      </c>
    </row>
    <row r="137" spans="1:9" x14ac:dyDescent="0.45">
      <c r="A137">
        <v>136</v>
      </c>
      <c r="B137">
        <v>20.04429</v>
      </c>
      <c r="C137">
        <v>39.647959999999998</v>
      </c>
      <c r="D137">
        <v>32.218359999999997</v>
      </c>
      <c r="E137">
        <v>1149778.372</v>
      </c>
      <c r="F137">
        <v>736</v>
      </c>
      <c r="G137">
        <v>28.708348313999998</v>
      </c>
      <c r="H137">
        <v>45.899948858000002</v>
      </c>
      <c r="I137">
        <v>214.80829299999999</v>
      </c>
    </row>
    <row r="138" spans="1:9" x14ac:dyDescent="0.45">
      <c r="A138">
        <v>137</v>
      </c>
      <c r="B138">
        <v>-39.779949999999999</v>
      </c>
      <c r="C138">
        <v>89.824470000000005</v>
      </c>
      <c r="D138">
        <v>12.89039</v>
      </c>
      <c r="E138">
        <v>617458.06770000001</v>
      </c>
      <c r="F138">
        <v>737</v>
      </c>
      <c r="G138">
        <v>-34.346461404999999</v>
      </c>
      <c r="H138">
        <v>91.319413799000003</v>
      </c>
      <c r="I138">
        <v>191.98834400000001</v>
      </c>
    </row>
    <row r="139" spans="1:9" x14ac:dyDescent="0.45">
      <c r="A139">
        <v>138</v>
      </c>
      <c r="B139">
        <v>85.093040000000002</v>
      </c>
      <c r="C139">
        <v>2.5342699999999998</v>
      </c>
      <c r="D139">
        <v>308.66298999999998</v>
      </c>
      <c r="E139">
        <v>2770816.5970000001</v>
      </c>
      <c r="F139">
        <v>738</v>
      </c>
      <c r="G139">
        <v>67.933493752000004</v>
      </c>
      <c r="H139">
        <v>-116.72172601699999</v>
      </c>
      <c r="I139">
        <v>10.245469999999999</v>
      </c>
    </row>
    <row r="140" spans="1:9" x14ac:dyDescent="0.45">
      <c r="A140">
        <v>139</v>
      </c>
      <c r="B140">
        <v>43.894480000000001</v>
      </c>
      <c r="C140">
        <v>-46.916089999999997</v>
      </c>
      <c r="D140">
        <v>345.82888000000003</v>
      </c>
      <c r="E140">
        <v>1509940.105</v>
      </c>
      <c r="F140">
        <v>739</v>
      </c>
      <c r="G140">
        <v>56.924744136999998</v>
      </c>
      <c r="H140">
        <v>-52.941221431999999</v>
      </c>
      <c r="I140">
        <v>161.15383800000001</v>
      </c>
    </row>
    <row r="141" spans="1:9" x14ac:dyDescent="0.45">
      <c r="A141">
        <v>140</v>
      </c>
      <c r="B141">
        <v>63.401179999999997</v>
      </c>
      <c r="C141">
        <v>167.19977</v>
      </c>
      <c r="D141">
        <v>94.497129999999999</v>
      </c>
      <c r="E141">
        <v>2044625.3829999999</v>
      </c>
      <c r="F141">
        <v>740</v>
      </c>
      <c r="G141">
        <v>56.898772356000002</v>
      </c>
      <c r="H141">
        <v>202.22302454800001</v>
      </c>
      <c r="I141">
        <v>305.15448300000003</v>
      </c>
    </row>
    <row r="142" spans="1:9" x14ac:dyDescent="0.45">
      <c r="A142">
        <v>141</v>
      </c>
      <c r="B142">
        <v>16.416530000000002</v>
      </c>
      <c r="C142">
        <v>-30.20589</v>
      </c>
      <c r="D142">
        <v>159.85739000000001</v>
      </c>
      <c r="E142">
        <v>81952.523000000001</v>
      </c>
      <c r="F142">
        <v>741</v>
      </c>
      <c r="G142">
        <v>15.721078507</v>
      </c>
      <c r="H142">
        <v>-29.942595526000002</v>
      </c>
      <c r="I142">
        <v>339.93026900000001</v>
      </c>
    </row>
    <row r="143" spans="1:9" x14ac:dyDescent="0.45">
      <c r="A143">
        <v>142</v>
      </c>
      <c r="B143">
        <v>89.181359999999998</v>
      </c>
      <c r="C143">
        <v>-12.85374</v>
      </c>
      <c r="D143">
        <v>333.07477</v>
      </c>
      <c r="E143">
        <v>1367935.172</v>
      </c>
      <c r="F143">
        <v>742</v>
      </c>
      <c r="G143">
        <v>78.475295802000005</v>
      </c>
      <c r="H143">
        <v>-164.11229100400001</v>
      </c>
      <c r="I143">
        <v>1.8559669999999999</v>
      </c>
    </row>
    <row r="144" spans="1:9" x14ac:dyDescent="0.45">
      <c r="A144">
        <v>143</v>
      </c>
      <c r="B144">
        <v>47.418869999999998</v>
      </c>
      <c r="C144">
        <v>-138.48464000000001</v>
      </c>
      <c r="D144">
        <v>128.64583999999999</v>
      </c>
      <c r="E144">
        <v>497647.92460000003</v>
      </c>
      <c r="F144">
        <v>743</v>
      </c>
      <c r="G144">
        <v>44.514594744999997</v>
      </c>
      <c r="H144">
        <v>-133.59527850500001</v>
      </c>
      <c r="I144">
        <v>312.16314499999999</v>
      </c>
    </row>
    <row r="145" spans="1:9" x14ac:dyDescent="0.45">
      <c r="A145">
        <v>144</v>
      </c>
      <c r="B145">
        <v>-77.300409999999999</v>
      </c>
      <c r="C145">
        <v>-174.85292000000001</v>
      </c>
      <c r="D145">
        <v>347.72064999999998</v>
      </c>
      <c r="E145">
        <v>2549616.412</v>
      </c>
      <c r="F145">
        <v>744</v>
      </c>
      <c r="G145">
        <v>-54.626495447000003</v>
      </c>
      <c r="H145">
        <v>-183.05566274899999</v>
      </c>
      <c r="I145">
        <v>175.36299500000001</v>
      </c>
    </row>
    <row r="146" spans="1:9" x14ac:dyDescent="0.45">
      <c r="A146">
        <v>145</v>
      </c>
      <c r="B146">
        <v>10.731249999999999</v>
      </c>
      <c r="C146">
        <v>153.64383000000001</v>
      </c>
      <c r="D146">
        <v>294.47431999999998</v>
      </c>
      <c r="E146">
        <v>923961.64540000004</v>
      </c>
      <c r="F146">
        <v>745</v>
      </c>
      <c r="G146">
        <v>14.085199765</v>
      </c>
      <c r="H146">
        <v>145.86021961500001</v>
      </c>
      <c r="I146">
        <v>112.798618</v>
      </c>
    </row>
    <row r="147" spans="1:9" x14ac:dyDescent="0.45">
      <c r="A147">
        <v>146</v>
      </c>
      <c r="B147">
        <v>40.893459999999997</v>
      </c>
      <c r="C147">
        <v>13.135</v>
      </c>
      <c r="D147">
        <v>250.38964000000001</v>
      </c>
      <c r="E147">
        <v>436314.18910000002</v>
      </c>
      <c r="F147">
        <v>746</v>
      </c>
      <c r="G147">
        <v>39.474522618999998</v>
      </c>
      <c r="H147">
        <v>8.3565214979999993</v>
      </c>
      <c r="I147">
        <v>67.305070000000001</v>
      </c>
    </row>
    <row r="148" spans="1:9" x14ac:dyDescent="0.45">
      <c r="A148">
        <v>147</v>
      </c>
      <c r="B148">
        <v>3.4207999999999998</v>
      </c>
      <c r="C148">
        <v>68.399109999999993</v>
      </c>
      <c r="D148">
        <v>318.18173999999999</v>
      </c>
      <c r="E148">
        <v>235621.66570000001</v>
      </c>
      <c r="F148">
        <v>747</v>
      </c>
      <c r="G148">
        <v>5.007578004</v>
      </c>
      <c r="H148">
        <v>66.982615500999998</v>
      </c>
      <c r="I148">
        <v>138.07763299999999</v>
      </c>
    </row>
    <row r="149" spans="1:9" x14ac:dyDescent="0.45">
      <c r="A149">
        <v>148</v>
      </c>
      <c r="B149">
        <v>-76.697630000000004</v>
      </c>
      <c r="C149">
        <v>144.84648999999999</v>
      </c>
      <c r="D149">
        <v>343.57542999999998</v>
      </c>
      <c r="E149">
        <v>1297329.2390000001</v>
      </c>
      <c r="F149">
        <v>748</v>
      </c>
      <c r="G149">
        <v>-65.328464756000002</v>
      </c>
      <c r="H149">
        <v>137.00339050299999</v>
      </c>
      <c r="I149">
        <v>171.02960400000001</v>
      </c>
    </row>
    <row r="150" spans="1:9" x14ac:dyDescent="0.45">
      <c r="A150">
        <v>149</v>
      </c>
      <c r="B150">
        <v>-66.055880000000002</v>
      </c>
      <c r="C150">
        <v>76.348560000000006</v>
      </c>
      <c r="D150">
        <v>348.79194999999999</v>
      </c>
      <c r="E150">
        <v>487865.03379999998</v>
      </c>
      <c r="F150">
        <v>749</v>
      </c>
      <c r="G150">
        <v>-61.750881403000001</v>
      </c>
      <c r="H150">
        <v>74.55490623</v>
      </c>
      <c r="I150">
        <v>170.40391099999999</v>
      </c>
    </row>
    <row r="151" spans="1:9" x14ac:dyDescent="0.45">
      <c r="A151">
        <v>150</v>
      </c>
      <c r="B151">
        <v>63.912300000000002</v>
      </c>
      <c r="C151">
        <v>-166.40602000000001</v>
      </c>
      <c r="D151">
        <v>35.086489999999998</v>
      </c>
      <c r="E151">
        <v>2107759.412</v>
      </c>
      <c r="F151">
        <v>750</v>
      </c>
      <c r="G151">
        <v>75.077068507999996</v>
      </c>
      <c r="H151">
        <v>-120.178533726</v>
      </c>
      <c r="I151">
        <v>258.85557699999998</v>
      </c>
    </row>
    <row r="152" spans="1:9" x14ac:dyDescent="0.45">
      <c r="A152">
        <v>151</v>
      </c>
      <c r="B152">
        <v>-15.636659999999999</v>
      </c>
      <c r="C152">
        <v>172.95704000000001</v>
      </c>
      <c r="D152">
        <v>249.20849999999999</v>
      </c>
      <c r="E152">
        <v>932904.55359999998</v>
      </c>
      <c r="F152">
        <v>751</v>
      </c>
      <c r="G152">
        <v>-18.466566883999999</v>
      </c>
      <c r="H152">
        <v>164.70068887900001</v>
      </c>
      <c r="I152">
        <v>71.634136999999996</v>
      </c>
    </row>
    <row r="153" spans="1:9" x14ac:dyDescent="0.45">
      <c r="A153">
        <v>152</v>
      </c>
      <c r="B153">
        <v>34.470559999999999</v>
      </c>
      <c r="C153">
        <v>149.87987000000001</v>
      </c>
      <c r="D153">
        <v>123.46666</v>
      </c>
      <c r="E153">
        <v>1885709.7080000001</v>
      </c>
      <c r="F153">
        <v>752</v>
      </c>
      <c r="G153">
        <v>24.096584982</v>
      </c>
      <c r="H153">
        <v>165.312801253</v>
      </c>
      <c r="I153">
        <v>311.08166399999999</v>
      </c>
    </row>
    <row r="154" spans="1:9" x14ac:dyDescent="0.45">
      <c r="A154">
        <v>153</v>
      </c>
      <c r="B154">
        <v>70.729879999999994</v>
      </c>
      <c r="C154">
        <v>38.88579</v>
      </c>
      <c r="D154">
        <v>191.17984999999999</v>
      </c>
      <c r="E154">
        <v>1874375.611</v>
      </c>
      <c r="F154">
        <v>753</v>
      </c>
      <c r="G154">
        <v>54.088231741999998</v>
      </c>
      <c r="H154">
        <v>33.402959267</v>
      </c>
      <c r="I154">
        <v>6.2680600000000002</v>
      </c>
    </row>
    <row r="155" spans="1:9" x14ac:dyDescent="0.45">
      <c r="A155">
        <v>154</v>
      </c>
      <c r="B155">
        <v>-4.0652499999999998</v>
      </c>
      <c r="C155">
        <v>-141.67541</v>
      </c>
      <c r="D155">
        <v>353.87957</v>
      </c>
      <c r="E155">
        <v>1483495.49</v>
      </c>
      <c r="F155">
        <v>754</v>
      </c>
      <c r="G155">
        <v>9.2735589350000005</v>
      </c>
      <c r="H155">
        <v>-143.10206826500001</v>
      </c>
      <c r="I155">
        <v>173.814302</v>
      </c>
    </row>
    <row r="156" spans="1:9" x14ac:dyDescent="0.45">
      <c r="A156">
        <v>155</v>
      </c>
      <c r="B156">
        <v>79.544569999999993</v>
      </c>
      <c r="C156">
        <v>116.16714</v>
      </c>
      <c r="D156">
        <v>38.644680000000001</v>
      </c>
      <c r="E156">
        <v>2689115.548</v>
      </c>
      <c r="F156">
        <v>755</v>
      </c>
      <c r="G156">
        <v>72.869929698999997</v>
      </c>
      <c r="H156">
        <v>236.26497409800001</v>
      </c>
      <c r="I156">
        <v>337.36716000000001</v>
      </c>
    </row>
    <row r="157" spans="1:9" x14ac:dyDescent="0.45">
      <c r="A157">
        <v>156</v>
      </c>
      <c r="B157">
        <v>19.886410000000001</v>
      </c>
      <c r="C157">
        <v>113.63709</v>
      </c>
      <c r="D157">
        <v>292.68759999999997</v>
      </c>
      <c r="E157">
        <v>1829661.7709999999</v>
      </c>
      <c r="F157">
        <v>756</v>
      </c>
      <c r="G157">
        <v>25.425447101</v>
      </c>
      <c r="H157">
        <v>96.846694714999998</v>
      </c>
      <c r="I157">
        <v>106.17246900000001</v>
      </c>
    </row>
    <row r="158" spans="1:9" x14ac:dyDescent="0.45">
      <c r="A158">
        <v>157</v>
      </c>
      <c r="B158">
        <v>-10.59013</v>
      </c>
      <c r="C158">
        <v>-116.79353999999999</v>
      </c>
      <c r="D158">
        <v>151.79773</v>
      </c>
      <c r="E158">
        <v>734948.68389999995</v>
      </c>
      <c r="F158">
        <v>757</v>
      </c>
      <c r="G158">
        <v>-16.425147098</v>
      </c>
      <c r="H158">
        <v>-113.547065354</v>
      </c>
      <c r="I158">
        <v>331.038253</v>
      </c>
    </row>
    <row r="159" spans="1:9" x14ac:dyDescent="0.45">
      <c r="A159">
        <v>158</v>
      </c>
      <c r="B159">
        <v>-53.979939999999999</v>
      </c>
      <c r="C159">
        <v>176.4941</v>
      </c>
      <c r="D159">
        <v>351.76226000000003</v>
      </c>
      <c r="E159">
        <v>290204.74209999997</v>
      </c>
      <c r="F159">
        <v>758</v>
      </c>
      <c r="G159">
        <v>-51.397419337999999</v>
      </c>
      <c r="H159">
        <v>175.896838067</v>
      </c>
      <c r="I159">
        <v>172.23741699999999</v>
      </c>
    </row>
    <row r="160" spans="1:9" x14ac:dyDescent="0.45">
      <c r="A160">
        <v>159</v>
      </c>
      <c r="B160">
        <v>85.193060000000003</v>
      </c>
      <c r="C160">
        <v>-48.257959999999997</v>
      </c>
      <c r="D160">
        <v>98.196830000000006</v>
      </c>
      <c r="E160">
        <v>2348678.622</v>
      </c>
      <c r="F160">
        <v>759</v>
      </c>
      <c r="G160">
        <v>67.783943312999995</v>
      </c>
      <c r="H160">
        <v>21.752296004000002</v>
      </c>
      <c r="I160">
        <v>347.32228199999997</v>
      </c>
    </row>
    <row r="161" spans="1:9" x14ac:dyDescent="0.45">
      <c r="A161">
        <v>160</v>
      </c>
      <c r="B161">
        <v>82.395070000000004</v>
      </c>
      <c r="C161">
        <v>-52.371380000000002</v>
      </c>
      <c r="D161">
        <v>316.65381000000002</v>
      </c>
      <c r="E161">
        <v>2636.9313999999999</v>
      </c>
      <c r="F161">
        <v>760</v>
      </c>
      <c r="G161">
        <v>82.412224417999994</v>
      </c>
      <c r="H161">
        <v>-52.494110806999998</v>
      </c>
      <c r="I161">
        <v>136.53215599999999</v>
      </c>
    </row>
    <row r="162" spans="1:9" x14ac:dyDescent="0.45">
      <c r="A162">
        <v>161</v>
      </c>
      <c r="B162">
        <v>-59.903570000000002</v>
      </c>
      <c r="C162">
        <v>108.36845</v>
      </c>
      <c r="D162">
        <v>145.06591</v>
      </c>
      <c r="E162">
        <v>1868677.446</v>
      </c>
      <c r="F162">
        <v>761</v>
      </c>
      <c r="G162">
        <v>-71.261431281</v>
      </c>
      <c r="H162">
        <v>139.251964023</v>
      </c>
      <c r="I162">
        <v>296.69530800000001</v>
      </c>
    </row>
    <row r="163" spans="1:9" x14ac:dyDescent="0.45">
      <c r="A163">
        <v>162</v>
      </c>
      <c r="B163">
        <v>-89.752740000000003</v>
      </c>
      <c r="C163">
        <v>10.639889999999999</v>
      </c>
      <c r="D163">
        <v>279.07071000000002</v>
      </c>
      <c r="E163">
        <v>1326845.27</v>
      </c>
      <c r="F163">
        <v>762</v>
      </c>
      <c r="G163">
        <v>-78.077538656000002</v>
      </c>
      <c r="H163">
        <v>-69.132647612</v>
      </c>
      <c r="I163">
        <v>178.81784099999999</v>
      </c>
    </row>
    <row r="164" spans="1:9" x14ac:dyDescent="0.45">
      <c r="A164">
        <v>163</v>
      </c>
      <c r="B164">
        <v>87.834500000000006</v>
      </c>
      <c r="C164">
        <v>160.72366</v>
      </c>
      <c r="D164">
        <v>295.68838</v>
      </c>
      <c r="E164">
        <v>2618896.7390000001</v>
      </c>
      <c r="F164">
        <v>763</v>
      </c>
      <c r="G164">
        <v>67.400454972000006</v>
      </c>
      <c r="H164">
        <v>49.716939324000002</v>
      </c>
      <c r="I164">
        <v>5.0861210000000003</v>
      </c>
    </row>
    <row r="165" spans="1:9" x14ac:dyDescent="0.45">
      <c r="A165">
        <v>164</v>
      </c>
      <c r="B165">
        <v>-46.257820000000002</v>
      </c>
      <c r="C165">
        <v>128.56489999999999</v>
      </c>
      <c r="D165">
        <v>346.95398</v>
      </c>
      <c r="E165">
        <v>870222.554</v>
      </c>
      <c r="F165">
        <v>764</v>
      </c>
      <c r="G165">
        <v>-38.601950997000003</v>
      </c>
      <c r="H165">
        <v>126.316245123</v>
      </c>
      <c r="I165">
        <v>168.474626</v>
      </c>
    </row>
    <row r="166" spans="1:9" x14ac:dyDescent="0.45">
      <c r="A166">
        <v>165</v>
      </c>
      <c r="B166">
        <v>56.544490000000003</v>
      </c>
      <c r="C166">
        <v>80.514269999999996</v>
      </c>
      <c r="D166">
        <v>274.28678000000002</v>
      </c>
      <c r="E166">
        <v>181242.50839999999</v>
      </c>
      <c r="F166">
        <v>765</v>
      </c>
      <c r="G166">
        <v>56.631323197999997</v>
      </c>
      <c r="H166">
        <v>77.568442970999996</v>
      </c>
      <c r="I166">
        <v>91.827640000000002</v>
      </c>
    </row>
    <row r="167" spans="1:9" x14ac:dyDescent="0.45">
      <c r="A167">
        <v>166</v>
      </c>
      <c r="B167">
        <v>28.704160000000002</v>
      </c>
      <c r="C167">
        <v>37.652299999999997</v>
      </c>
      <c r="D167">
        <v>298.13015999999999</v>
      </c>
      <c r="E167">
        <v>2847014.2119999998</v>
      </c>
      <c r="F167">
        <v>766</v>
      </c>
      <c r="G167">
        <v>37.750741355999999</v>
      </c>
      <c r="H167">
        <v>8.9077156449999997</v>
      </c>
      <c r="I167">
        <v>102.094217</v>
      </c>
    </row>
    <row r="168" spans="1:9" x14ac:dyDescent="0.45">
      <c r="A168">
        <v>167</v>
      </c>
      <c r="B168">
        <v>57.864229999999999</v>
      </c>
      <c r="C168">
        <v>-127.27303000000001</v>
      </c>
      <c r="D168">
        <v>287.40098</v>
      </c>
      <c r="E168">
        <v>2605914.9849999999</v>
      </c>
      <c r="F168">
        <v>767</v>
      </c>
      <c r="G168">
        <v>57.189154324999997</v>
      </c>
      <c r="H168">
        <v>-171.54663094399999</v>
      </c>
      <c r="I168">
        <v>69.515094000000005</v>
      </c>
    </row>
    <row r="169" spans="1:9" x14ac:dyDescent="0.45">
      <c r="A169">
        <v>168</v>
      </c>
      <c r="B169">
        <v>-3.3862000000000001</v>
      </c>
      <c r="C169">
        <v>7.5736299999999996</v>
      </c>
      <c r="D169">
        <v>116.54897</v>
      </c>
      <c r="E169">
        <v>2164002.2919999999</v>
      </c>
      <c r="F169">
        <v>768</v>
      </c>
      <c r="G169">
        <v>-11.836352527000001</v>
      </c>
      <c r="H169">
        <v>25.279856066000001</v>
      </c>
      <c r="I169">
        <v>294.17865399999999</v>
      </c>
    </row>
    <row r="170" spans="1:9" x14ac:dyDescent="0.45">
      <c r="A170">
        <v>169</v>
      </c>
      <c r="B170">
        <v>-80.098529999999997</v>
      </c>
      <c r="C170">
        <v>-167.62505999999999</v>
      </c>
      <c r="D170">
        <v>342.86336</v>
      </c>
      <c r="E170">
        <v>2374062.4010000001</v>
      </c>
      <c r="F170">
        <v>769</v>
      </c>
      <c r="G170">
        <v>-59.123818249999999</v>
      </c>
      <c r="H170">
        <v>-179.64911177499999</v>
      </c>
      <c r="I170">
        <v>174.32949199999999</v>
      </c>
    </row>
    <row r="171" spans="1:9" x14ac:dyDescent="0.45">
      <c r="A171">
        <v>170</v>
      </c>
      <c r="B171">
        <v>-25.796659999999999</v>
      </c>
      <c r="C171">
        <v>-91.601020000000005</v>
      </c>
      <c r="D171">
        <v>110.88793</v>
      </c>
      <c r="E171">
        <v>1445060.199</v>
      </c>
      <c r="F171">
        <v>770</v>
      </c>
      <c r="G171">
        <v>-29.764890154</v>
      </c>
      <c r="H171">
        <v>-77.621978794</v>
      </c>
      <c r="I171">
        <v>284.34297700000002</v>
      </c>
    </row>
    <row r="172" spans="1:9" x14ac:dyDescent="0.45">
      <c r="A172">
        <v>171</v>
      </c>
      <c r="B172">
        <v>-15.803190000000001</v>
      </c>
      <c r="C172">
        <v>62.382840000000002</v>
      </c>
      <c r="D172">
        <v>103.39551</v>
      </c>
      <c r="E172">
        <v>371706.70150000002</v>
      </c>
      <c r="F172">
        <v>771</v>
      </c>
      <c r="G172">
        <v>-16.554647609</v>
      </c>
      <c r="H172">
        <v>65.770698519999996</v>
      </c>
      <c r="I172">
        <v>282.45124900000002</v>
      </c>
    </row>
    <row r="173" spans="1:9" x14ac:dyDescent="0.45">
      <c r="A173">
        <v>172</v>
      </c>
      <c r="B173">
        <v>-20.979209999999998</v>
      </c>
      <c r="C173">
        <v>130.19318999999999</v>
      </c>
      <c r="D173">
        <v>323.70004999999998</v>
      </c>
      <c r="E173">
        <v>473620.68780000001</v>
      </c>
      <c r="F173">
        <v>772</v>
      </c>
      <c r="G173">
        <v>-17.511175625</v>
      </c>
      <c r="H173">
        <v>127.554314193</v>
      </c>
      <c r="I173">
        <v>144.570392</v>
      </c>
    </row>
    <row r="174" spans="1:9" x14ac:dyDescent="0.45">
      <c r="A174">
        <v>173</v>
      </c>
      <c r="B174">
        <v>-14.930389999999999</v>
      </c>
      <c r="C174">
        <v>52.182670000000002</v>
      </c>
      <c r="D174">
        <v>183.96492000000001</v>
      </c>
      <c r="E174">
        <v>1869949.3870000001</v>
      </c>
      <c r="F174">
        <v>773</v>
      </c>
      <c r="G174">
        <v>-31.768885826999998</v>
      </c>
      <c r="H174">
        <v>50.837175086000002</v>
      </c>
      <c r="I174">
        <v>4.5040469999999999</v>
      </c>
    </row>
    <row r="175" spans="1:9" x14ac:dyDescent="0.45">
      <c r="A175">
        <v>174</v>
      </c>
      <c r="B175">
        <v>22.319859999999998</v>
      </c>
      <c r="C175">
        <v>107.55486000000001</v>
      </c>
      <c r="D175">
        <v>345.03863999999999</v>
      </c>
      <c r="E175">
        <v>1165528.9180000001</v>
      </c>
      <c r="F175">
        <v>774</v>
      </c>
      <c r="G175">
        <v>32.448655457999998</v>
      </c>
      <c r="H175">
        <v>104.371006665</v>
      </c>
      <c r="I175">
        <v>163.56814900000001</v>
      </c>
    </row>
    <row r="176" spans="1:9" x14ac:dyDescent="0.45">
      <c r="A176">
        <v>175</v>
      </c>
      <c r="B176">
        <v>11.624750000000001</v>
      </c>
      <c r="C176">
        <v>-125.80128000000001</v>
      </c>
      <c r="D176">
        <v>130.08402000000001</v>
      </c>
      <c r="E176">
        <v>2133546.645</v>
      </c>
      <c r="F176">
        <v>775</v>
      </c>
      <c r="G176">
        <v>-1.0409997799999999</v>
      </c>
      <c r="H176">
        <v>-111.251856782</v>
      </c>
      <c r="I176">
        <v>311.44146699999999</v>
      </c>
    </row>
    <row r="177" spans="1:9" x14ac:dyDescent="0.45">
      <c r="A177">
        <v>176</v>
      </c>
      <c r="B177">
        <v>-39.609909999999999</v>
      </c>
      <c r="C177">
        <v>-63.982979999999998</v>
      </c>
      <c r="D177">
        <v>65.534149999999997</v>
      </c>
      <c r="E177">
        <v>1948522.8910000001</v>
      </c>
      <c r="F177">
        <v>776</v>
      </c>
      <c r="G177">
        <v>-30.774317572000001</v>
      </c>
      <c r="H177">
        <v>-45.419423467000001</v>
      </c>
      <c r="I177">
        <v>234.74051499999999</v>
      </c>
    </row>
    <row r="178" spans="1:9" x14ac:dyDescent="0.45">
      <c r="A178">
        <v>177</v>
      </c>
      <c r="B178">
        <v>-46.98603</v>
      </c>
      <c r="C178">
        <v>9.5822699999999994</v>
      </c>
      <c r="D178">
        <v>213.37765999999999</v>
      </c>
      <c r="E178">
        <v>2987346.844</v>
      </c>
      <c r="F178">
        <v>777</v>
      </c>
      <c r="G178">
        <v>-65.458353207000002</v>
      </c>
      <c r="H178">
        <v>-27.027984803999999</v>
      </c>
      <c r="I178">
        <v>64.513054999999994</v>
      </c>
    </row>
    <row r="179" spans="1:9" x14ac:dyDescent="0.45">
      <c r="A179">
        <v>178</v>
      </c>
      <c r="B179">
        <v>89.82347</v>
      </c>
      <c r="C179">
        <v>85.361630000000005</v>
      </c>
      <c r="D179">
        <v>90.753590000000003</v>
      </c>
      <c r="E179">
        <v>2388158.3119999999</v>
      </c>
      <c r="F179">
        <v>778</v>
      </c>
      <c r="G179">
        <v>68.605952926000001</v>
      </c>
      <c r="H179">
        <v>174.15725801799999</v>
      </c>
      <c r="I179">
        <v>359.51588400000003</v>
      </c>
    </row>
    <row r="180" spans="1:9" x14ac:dyDescent="0.45">
      <c r="A180">
        <v>179</v>
      </c>
      <c r="B180">
        <v>-45.130540000000003</v>
      </c>
      <c r="C180">
        <v>109.06982000000001</v>
      </c>
      <c r="D180">
        <v>23.030760000000001</v>
      </c>
      <c r="E180">
        <v>1516703.969</v>
      </c>
      <c r="F180">
        <v>779</v>
      </c>
      <c r="G180">
        <v>-32.365237117</v>
      </c>
      <c r="H180">
        <v>115.32760155299999</v>
      </c>
      <c r="I180">
        <v>199.08717899999999</v>
      </c>
    </row>
    <row r="181" spans="1:9" x14ac:dyDescent="0.45">
      <c r="A181">
        <v>180</v>
      </c>
      <c r="B181">
        <v>-79.574380000000005</v>
      </c>
      <c r="C181">
        <v>34.26979</v>
      </c>
      <c r="D181">
        <v>313.0317</v>
      </c>
      <c r="E181">
        <v>1158783.379</v>
      </c>
      <c r="F181">
        <v>780</v>
      </c>
      <c r="G181">
        <v>-70.933546445999994</v>
      </c>
      <c r="H181">
        <v>10.496693304000001</v>
      </c>
      <c r="I181">
        <v>156.10686100000001</v>
      </c>
    </row>
    <row r="182" spans="1:9" x14ac:dyDescent="0.45">
      <c r="A182">
        <v>181</v>
      </c>
      <c r="B182">
        <v>38.25056</v>
      </c>
      <c r="C182">
        <v>-173.99167</v>
      </c>
      <c r="D182">
        <v>181.36596</v>
      </c>
      <c r="E182">
        <v>1704611.014</v>
      </c>
      <c r="F182">
        <v>781</v>
      </c>
      <c r="G182">
        <v>22.878724652999999</v>
      </c>
      <c r="H182">
        <v>-174.38295885799999</v>
      </c>
      <c r="I182">
        <v>1.1651750000000001</v>
      </c>
    </row>
    <row r="183" spans="1:9" x14ac:dyDescent="0.45">
      <c r="A183">
        <v>182</v>
      </c>
      <c r="B183">
        <v>72.217129999999997</v>
      </c>
      <c r="C183">
        <v>175.3751</v>
      </c>
      <c r="D183">
        <v>116.47589000000001</v>
      </c>
      <c r="E183">
        <v>1416256.808</v>
      </c>
      <c r="F183">
        <v>782</v>
      </c>
      <c r="G183">
        <v>64.029342778</v>
      </c>
      <c r="H183">
        <v>202.052316402</v>
      </c>
      <c r="I183">
        <v>321.35531300000002</v>
      </c>
    </row>
    <row r="184" spans="1:9" x14ac:dyDescent="0.45">
      <c r="A184">
        <v>183</v>
      </c>
      <c r="B184">
        <v>-51.30735</v>
      </c>
      <c r="C184">
        <v>37.752899999999997</v>
      </c>
      <c r="D184">
        <v>262.05437999999998</v>
      </c>
      <c r="E184">
        <v>37084.650699999998</v>
      </c>
      <c r="F184">
        <v>783</v>
      </c>
      <c r="G184">
        <v>-51.352241685999999</v>
      </c>
      <c r="H184">
        <v>37.225676430999997</v>
      </c>
      <c r="I184">
        <v>82.466014000000001</v>
      </c>
    </row>
    <row r="185" spans="1:9" x14ac:dyDescent="0.45">
      <c r="A185">
        <v>184</v>
      </c>
      <c r="B185">
        <v>-82.285049999999998</v>
      </c>
      <c r="C185">
        <v>116.79396</v>
      </c>
      <c r="D185">
        <v>329.89497999999998</v>
      </c>
      <c r="E185">
        <v>2760978.398</v>
      </c>
      <c r="F185">
        <v>784</v>
      </c>
      <c r="G185">
        <v>-58.353982823999999</v>
      </c>
      <c r="H185">
        <v>93.208043697999997</v>
      </c>
      <c r="I185">
        <v>172.61998199999999</v>
      </c>
    </row>
    <row r="186" spans="1:9" x14ac:dyDescent="0.45">
      <c r="A186">
        <v>185</v>
      </c>
      <c r="B186">
        <v>9.4714899999999993</v>
      </c>
      <c r="C186">
        <v>48.057989999999997</v>
      </c>
      <c r="D186">
        <v>122.84132</v>
      </c>
      <c r="E186">
        <v>2197247.2039999999</v>
      </c>
      <c r="F186">
        <v>785</v>
      </c>
      <c r="G186">
        <v>-1.548417071</v>
      </c>
      <c r="H186">
        <v>64.547403857000006</v>
      </c>
      <c r="I186">
        <v>303.99381199999999</v>
      </c>
    </row>
    <row r="187" spans="1:9" x14ac:dyDescent="0.45">
      <c r="A187">
        <v>186</v>
      </c>
      <c r="B187">
        <v>41.320790000000002</v>
      </c>
      <c r="C187">
        <v>30.491199999999999</v>
      </c>
      <c r="D187">
        <v>177.5402</v>
      </c>
      <c r="E187">
        <v>2332316.253</v>
      </c>
      <c r="F187">
        <v>786</v>
      </c>
      <c r="G187">
        <v>20.299903020999999</v>
      </c>
      <c r="H187">
        <v>31.428329300000001</v>
      </c>
      <c r="I187">
        <v>358.02842099999998</v>
      </c>
    </row>
    <row r="188" spans="1:9" x14ac:dyDescent="0.45">
      <c r="A188">
        <v>187</v>
      </c>
      <c r="B188">
        <v>2.6245699999999998</v>
      </c>
      <c r="C188">
        <v>79.611260000000001</v>
      </c>
      <c r="D188">
        <v>349.54712000000001</v>
      </c>
      <c r="E188">
        <v>934757.1679</v>
      </c>
      <c r="F188">
        <v>787</v>
      </c>
      <c r="G188">
        <v>10.934681647</v>
      </c>
      <c r="H188">
        <v>78.065217769</v>
      </c>
      <c r="I188">
        <v>169.364114</v>
      </c>
    </row>
    <row r="189" spans="1:9" x14ac:dyDescent="0.45">
      <c r="A189">
        <v>188</v>
      </c>
      <c r="B189">
        <v>73.9572</v>
      </c>
      <c r="C189">
        <v>-21.14536</v>
      </c>
      <c r="D189">
        <v>113.57872999999999</v>
      </c>
      <c r="E189">
        <v>2202448.0320000001</v>
      </c>
      <c r="F189">
        <v>788</v>
      </c>
      <c r="G189">
        <v>60.135731587999999</v>
      </c>
      <c r="H189">
        <v>17.281352891000001</v>
      </c>
      <c r="I189">
        <v>329.40622100000002</v>
      </c>
    </row>
    <row r="190" spans="1:9" x14ac:dyDescent="0.45">
      <c r="A190">
        <v>189</v>
      </c>
      <c r="B190">
        <v>-26.624669999999998</v>
      </c>
      <c r="C190">
        <v>-129.90504999999999</v>
      </c>
      <c r="D190">
        <v>15.761990000000001</v>
      </c>
      <c r="E190">
        <v>1541236.2860000001</v>
      </c>
      <c r="F190">
        <v>789</v>
      </c>
      <c r="G190">
        <v>-13.178633229000001</v>
      </c>
      <c r="H190">
        <v>-126.077877167</v>
      </c>
      <c r="I190">
        <v>194.44970599999999</v>
      </c>
    </row>
    <row r="191" spans="1:9" x14ac:dyDescent="0.45">
      <c r="A191">
        <v>190</v>
      </c>
      <c r="B191">
        <v>66.366519999999994</v>
      </c>
      <c r="C191">
        <v>-161.80237</v>
      </c>
      <c r="D191">
        <v>326.47483999999997</v>
      </c>
      <c r="E191">
        <v>2847786.9180000001</v>
      </c>
      <c r="F191">
        <v>790</v>
      </c>
      <c r="G191">
        <v>76.110885433999997</v>
      </c>
      <c r="H191">
        <v>-243.930495476</v>
      </c>
      <c r="I191">
        <v>67.228048999999999</v>
      </c>
    </row>
    <row r="192" spans="1:9" x14ac:dyDescent="0.45">
      <c r="A192">
        <v>191</v>
      </c>
      <c r="B192">
        <v>27.10934</v>
      </c>
      <c r="C192">
        <v>-107.87071</v>
      </c>
      <c r="D192">
        <v>65.259439999999998</v>
      </c>
      <c r="E192">
        <v>2278616.4049999998</v>
      </c>
      <c r="F192">
        <v>791</v>
      </c>
      <c r="G192">
        <v>33.890507900000003</v>
      </c>
      <c r="H192">
        <v>-85.399480208</v>
      </c>
      <c r="I192">
        <v>256.79466000000002</v>
      </c>
    </row>
    <row r="193" spans="1:9" x14ac:dyDescent="0.45">
      <c r="A193">
        <v>192</v>
      </c>
      <c r="B193">
        <v>27.242100000000001</v>
      </c>
      <c r="C193">
        <v>-150.59838999999999</v>
      </c>
      <c r="D193">
        <v>206.12979999999999</v>
      </c>
      <c r="E193">
        <v>2226010.7080000001</v>
      </c>
      <c r="F193">
        <v>792</v>
      </c>
      <c r="G193">
        <v>8.9408645189999998</v>
      </c>
      <c r="H193">
        <v>-159.36615039899999</v>
      </c>
      <c r="I193">
        <v>23.366978</v>
      </c>
    </row>
    <row r="194" spans="1:9" x14ac:dyDescent="0.45">
      <c r="A194">
        <v>193</v>
      </c>
      <c r="B194">
        <v>-51.306910000000002</v>
      </c>
      <c r="C194">
        <v>-69.268109999999993</v>
      </c>
      <c r="D194">
        <v>29.194759999999999</v>
      </c>
      <c r="E194">
        <v>165961.9748</v>
      </c>
      <c r="F194">
        <v>793</v>
      </c>
      <c r="G194">
        <v>-49.998963871999997</v>
      </c>
      <c r="H194">
        <v>-68.139071240000007</v>
      </c>
      <c r="I194">
        <v>208.321584</v>
      </c>
    </row>
    <row r="195" spans="1:9" x14ac:dyDescent="0.45">
      <c r="A195">
        <v>194</v>
      </c>
      <c r="B195">
        <v>72.25667</v>
      </c>
      <c r="C195">
        <v>43.026400000000002</v>
      </c>
      <c r="D195">
        <v>199.46280999999999</v>
      </c>
      <c r="E195">
        <v>176432.5575</v>
      </c>
      <c r="F195">
        <v>794</v>
      </c>
      <c r="G195">
        <v>70.758832501000001</v>
      </c>
      <c r="H195">
        <v>41.428709851000001</v>
      </c>
      <c r="I195">
        <v>17.947475000000001</v>
      </c>
    </row>
    <row r="196" spans="1:9" x14ac:dyDescent="0.45">
      <c r="A196">
        <v>195</v>
      </c>
      <c r="B196">
        <v>-0.96489000000000003</v>
      </c>
      <c r="C196">
        <v>93.639960000000002</v>
      </c>
      <c r="D196">
        <v>334.64443999999997</v>
      </c>
      <c r="E196">
        <v>2913012.577</v>
      </c>
      <c r="F196">
        <v>795</v>
      </c>
      <c r="G196">
        <v>22.687216135</v>
      </c>
      <c r="H196">
        <v>81.836545721999997</v>
      </c>
      <c r="I196">
        <v>152.364069</v>
      </c>
    </row>
    <row r="197" spans="1:9" x14ac:dyDescent="0.45">
      <c r="A197">
        <v>196</v>
      </c>
      <c r="B197">
        <v>79.068299999999994</v>
      </c>
      <c r="C197">
        <v>-14.22913</v>
      </c>
      <c r="D197">
        <v>217.73258999999999</v>
      </c>
      <c r="E197">
        <v>55334.114500000003</v>
      </c>
      <c r="F197">
        <v>796</v>
      </c>
      <c r="G197">
        <v>78.672335571000005</v>
      </c>
      <c r="H197">
        <v>-15.773022567</v>
      </c>
      <c r="I197">
        <v>36.217720999999997</v>
      </c>
    </row>
    <row r="198" spans="1:9" x14ac:dyDescent="0.45">
      <c r="A198">
        <v>197</v>
      </c>
      <c r="B198">
        <v>64.10736</v>
      </c>
      <c r="C198">
        <v>-122.36005</v>
      </c>
      <c r="D198">
        <v>299.22041000000002</v>
      </c>
      <c r="E198">
        <v>1237165.5630000001</v>
      </c>
      <c r="F198">
        <v>797</v>
      </c>
      <c r="G198">
        <v>67.493951815000003</v>
      </c>
      <c r="H198">
        <v>-148.35198748299999</v>
      </c>
      <c r="I198">
        <v>95.434381000000002</v>
      </c>
    </row>
    <row r="199" spans="1:9" x14ac:dyDescent="0.45">
      <c r="A199">
        <v>198</v>
      </c>
      <c r="B199">
        <v>80.774240000000006</v>
      </c>
      <c r="C199">
        <v>127.7698</v>
      </c>
      <c r="D199">
        <v>218.86179000000001</v>
      </c>
      <c r="E199">
        <v>106597.6541</v>
      </c>
      <c r="F199">
        <v>798</v>
      </c>
      <c r="G199">
        <v>80.013077706999994</v>
      </c>
      <c r="H199">
        <v>124.31460708900001</v>
      </c>
      <c r="I199">
        <v>35.454943</v>
      </c>
    </row>
    <row r="200" spans="1:9" x14ac:dyDescent="0.45">
      <c r="A200">
        <v>199</v>
      </c>
      <c r="B200">
        <v>-11.60303</v>
      </c>
      <c r="C200">
        <v>79.391970000000001</v>
      </c>
      <c r="D200">
        <v>87.639240000000001</v>
      </c>
      <c r="E200">
        <v>2806480.98</v>
      </c>
      <c r="F200">
        <v>799</v>
      </c>
      <c r="G200">
        <v>-9.4715959020000007</v>
      </c>
      <c r="H200">
        <v>104.950816722</v>
      </c>
      <c r="I200">
        <v>262.88745399999999</v>
      </c>
    </row>
    <row r="201" spans="1:9" x14ac:dyDescent="0.45">
      <c r="A201">
        <v>200</v>
      </c>
      <c r="B201">
        <v>63.920409999999997</v>
      </c>
      <c r="C201">
        <v>71.722110000000001</v>
      </c>
      <c r="D201">
        <v>83.220979999999997</v>
      </c>
      <c r="E201">
        <v>2700547.5249999999</v>
      </c>
      <c r="F201">
        <v>800</v>
      </c>
      <c r="G201">
        <v>57.187127433999997</v>
      </c>
      <c r="H201">
        <v>120.41976199699999</v>
      </c>
      <c r="I201">
        <v>306.30659300000002</v>
      </c>
    </row>
    <row r="202" spans="1:9" x14ac:dyDescent="0.45">
      <c r="A202">
        <v>201</v>
      </c>
      <c r="B202">
        <v>21.538509999999999</v>
      </c>
      <c r="C202">
        <v>175.23721</v>
      </c>
      <c r="D202">
        <v>199.35462999999999</v>
      </c>
      <c r="E202">
        <v>176914.5307</v>
      </c>
      <c r="F202">
        <v>801</v>
      </c>
      <c r="G202">
        <v>20.029949558999999</v>
      </c>
      <c r="H202">
        <v>174.676884255</v>
      </c>
      <c r="I202">
        <v>19.15578</v>
      </c>
    </row>
    <row r="203" spans="1:9" x14ac:dyDescent="0.45">
      <c r="A203">
        <v>202</v>
      </c>
      <c r="B203">
        <v>-59.665759999999999</v>
      </c>
      <c r="C203">
        <v>-72.618840000000006</v>
      </c>
      <c r="D203">
        <v>224.98760999999999</v>
      </c>
      <c r="E203">
        <v>150372.09640000001</v>
      </c>
      <c r="F203">
        <v>802</v>
      </c>
      <c r="G203">
        <v>-60.606327204999999</v>
      </c>
      <c r="H203">
        <v>-74.559782115999994</v>
      </c>
      <c r="I203">
        <v>46.670910999999997</v>
      </c>
    </row>
    <row r="204" spans="1:9" x14ac:dyDescent="0.45">
      <c r="A204">
        <v>203</v>
      </c>
      <c r="B204">
        <v>-33.798830000000002</v>
      </c>
      <c r="C204">
        <v>25.238350000000001</v>
      </c>
      <c r="D204">
        <v>228.72524000000001</v>
      </c>
      <c r="E204">
        <v>207159.9688</v>
      </c>
      <c r="F204">
        <v>803</v>
      </c>
      <c r="G204">
        <v>-35.019009734000001</v>
      </c>
      <c r="H204">
        <v>23.532502182999998</v>
      </c>
      <c r="I204">
        <v>49.689309999999999</v>
      </c>
    </row>
    <row r="205" spans="1:9" x14ac:dyDescent="0.45">
      <c r="A205">
        <v>204</v>
      </c>
      <c r="B205">
        <v>-31.408069999999999</v>
      </c>
      <c r="C205">
        <v>-121.16597</v>
      </c>
      <c r="D205">
        <v>189.62191999999999</v>
      </c>
      <c r="E205">
        <v>158829.51319999999</v>
      </c>
      <c r="F205">
        <v>804</v>
      </c>
      <c r="G205">
        <v>-32.819938436999998</v>
      </c>
      <c r="H205">
        <v>-121.449442195</v>
      </c>
      <c r="I205">
        <v>9.772627</v>
      </c>
    </row>
    <row r="206" spans="1:9" x14ac:dyDescent="0.45">
      <c r="A206">
        <v>205</v>
      </c>
      <c r="B206">
        <v>-47.694389999999999</v>
      </c>
      <c r="C206">
        <v>-133.09656000000001</v>
      </c>
      <c r="D206">
        <v>281.80646000000002</v>
      </c>
      <c r="E206">
        <v>250931.2175</v>
      </c>
      <c r="F206">
        <v>805</v>
      </c>
      <c r="G206">
        <v>-47.186485755</v>
      </c>
      <c r="H206">
        <v>-136.33824626200001</v>
      </c>
      <c r="I206">
        <v>104.19452</v>
      </c>
    </row>
    <row r="207" spans="1:9" x14ac:dyDescent="0.45">
      <c r="A207">
        <v>206</v>
      </c>
      <c r="B207">
        <v>-55.798969999999997</v>
      </c>
      <c r="C207">
        <v>62.763629999999999</v>
      </c>
      <c r="D207">
        <v>42.702710000000003</v>
      </c>
      <c r="E207">
        <v>55238.374199999998</v>
      </c>
      <c r="F207">
        <v>806</v>
      </c>
      <c r="G207">
        <v>-55.432925523999998</v>
      </c>
      <c r="H207">
        <v>63.355425140999998</v>
      </c>
      <c r="I207">
        <v>222.214315</v>
      </c>
    </row>
    <row r="208" spans="1:9" x14ac:dyDescent="0.45">
      <c r="A208">
        <v>207</v>
      </c>
      <c r="B208">
        <v>-39.496360000000003</v>
      </c>
      <c r="C208">
        <v>-55.758110000000002</v>
      </c>
      <c r="D208">
        <v>114.02579</v>
      </c>
      <c r="E208">
        <v>159268.535</v>
      </c>
      <c r="F208">
        <v>807</v>
      </c>
      <c r="G208">
        <v>-40.067944674000003</v>
      </c>
      <c r="H208">
        <v>-54.052826953999997</v>
      </c>
      <c r="I208">
        <v>292.93456900000001</v>
      </c>
    </row>
    <row r="209" spans="1:9" x14ac:dyDescent="0.45">
      <c r="A209">
        <v>208</v>
      </c>
      <c r="B209">
        <v>56.888509999999997</v>
      </c>
      <c r="C209">
        <v>139.53071</v>
      </c>
      <c r="D209">
        <v>168.49395999999999</v>
      </c>
      <c r="E209">
        <v>239557.7653</v>
      </c>
      <c r="F209">
        <v>808</v>
      </c>
      <c r="G209">
        <v>54.777827074000001</v>
      </c>
      <c r="H209">
        <v>140.273166221</v>
      </c>
      <c r="I209">
        <v>349.10838000000001</v>
      </c>
    </row>
    <row r="210" spans="1:9" x14ac:dyDescent="0.45">
      <c r="A210">
        <v>209</v>
      </c>
      <c r="B210">
        <v>71.575249999999997</v>
      </c>
      <c r="C210">
        <v>23.944949999999999</v>
      </c>
      <c r="D210">
        <v>68.937200000000004</v>
      </c>
      <c r="E210">
        <v>60041.874300000003</v>
      </c>
      <c r="F210">
        <v>809</v>
      </c>
      <c r="G210">
        <v>71.761966784999998</v>
      </c>
      <c r="H210">
        <v>25.548529211999998</v>
      </c>
      <c r="I210">
        <v>250.45941500000001</v>
      </c>
    </row>
    <row r="211" spans="1:9" x14ac:dyDescent="0.45">
      <c r="A211">
        <v>210</v>
      </c>
      <c r="B211">
        <v>20.433440000000001</v>
      </c>
      <c r="C211">
        <v>-21.656220000000001</v>
      </c>
      <c r="D211">
        <v>120.85769999999999</v>
      </c>
      <c r="E211">
        <v>155642.25839999999</v>
      </c>
      <c r="F211">
        <v>810</v>
      </c>
      <c r="G211">
        <v>19.707701545999999</v>
      </c>
      <c r="H211">
        <v>-20.381808578000001</v>
      </c>
      <c r="I211">
        <v>301.295074</v>
      </c>
    </row>
    <row r="212" spans="1:9" x14ac:dyDescent="0.45">
      <c r="A212">
        <v>211</v>
      </c>
      <c r="B212">
        <v>76.526079999999993</v>
      </c>
      <c r="C212">
        <v>52.966540000000002</v>
      </c>
      <c r="D212">
        <v>268.70026000000001</v>
      </c>
      <c r="E212">
        <v>135939.71830000001</v>
      </c>
      <c r="F212">
        <v>811</v>
      </c>
      <c r="G212">
        <v>76.444712734000007</v>
      </c>
      <c r="H212">
        <v>47.767518746999997</v>
      </c>
      <c r="I212">
        <v>83.645007000000007</v>
      </c>
    </row>
    <row r="213" spans="1:9" x14ac:dyDescent="0.45">
      <c r="A213">
        <v>212</v>
      </c>
      <c r="B213">
        <v>13.729810000000001</v>
      </c>
      <c r="C213">
        <v>58.733600000000003</v>
      </c>
      <c r="D213">
        <v>139.60749000000001</v>
      </c>
      <c r="E213">
        <v>181052.9467</v>
      </c>
      <c r="F213">
        <v>812</v>
      </c>
      <c r="G213">
        <v>12.481081987</v>
      </c>
      <c r="H213">
        <v>59.812817549000002</v>
      </c>
      <c r="I213">
        <v>319.852217</v>
      </c>
    </row>
    <row r="214" spans="1:9" x14ac:dyDescent="0.45">
      <c r="A214">
        <v>213</v>
      </c>
      <c r="B214">
        <v>-34.268940000000001</v>
      </c>
      <c r="C214">
        <v>-128.57247000000001</v>
      </c>
      <c r="D214">
        <v>306.93416999999999</v>
      </c>
      <c r="E214">
        <v>229254.93650000001</v>
      </c>
      <c r="F214">
        <v>813</v>
      </c>
      <c r="G214">
        <v>-33.011179454000001</v>
      </c>
      <c r="H214">
        <v>-130.53354734000001</v>
      </c>
      <c r="I214">
        <v>128.02069499999999</v>
      </c>
    </row>
    <row r="215" spans="1:9" x14ac:dyDescent="0.45">
      <c r="A215">
        <v>214</v>
      </c>
      <c r="B215">
        <v>67.883499999999998</v>
      </c>
      <c r="C215">
        <v>102.04498</v>
      </c>
      <c r="D215">
        <v>125.37953</v>
      </c>
      <c r="E215">
        <v>269764.81349999999</v>
      </c>
      <c r="F215">
        <v>814</v>
      </c>
      <c r="G215">
        <v>66.404651560000005</v>
      </c>
      <c r="H215">
        <v>106.971886212</v>
      </c>
      <c r="I215">
        <v>309.92039799999998</v>
      </c>
    </row>
    <row r="216" spans="1:9" x14ac:dyDescent="0.45">
      <c r="A216">
        <v>215</v>
      </c>
      <c r="B216">
        <v>63.306890000000003</v>
      </c>
      <c r="C216">
        <v>-176.46136999999999</v>
      </c>
      <c r="D216">
        <v>198.92063999999999</v>
      </c>
      <c r="E216">
        <v>109197.39780000001</v>
      </c>
      <c r="F216">
        <v>815</v>
      </c>
      <c r="G216">
        <v>62.378426951000002</v>
      </c>
      <c r="H216">
        <v>-177.14560584200001</v>
      </c>
      <c r="I216">
        <v>18.311814999999999</v>
      </c>
    </row>
    <row r="217" spans="1:9" x14ac:dyDescent="0.45">
      <c r="A217">
        <v>216</v>
      </c>
      <c r="B217">
        <v>5.7434000000000003</v>
      </c>
      <c r="C217">
        <v>125.30200000000001</v>
      </c>
      <c r="D217">
        <v>97.137860000000003</v>
      </c>
      <c r="E217">
        <v>239202.74900000001</v>
      </c>
      <c r="F217">
        <v>816</v>
      </c>
      <c r="G217">
        <v>5.4706714180000002</v>
      </c>
      <c r="H217">
        <v>127.44382942999999</v>
      </c>
      <c r="I217">
        <v>277.34715299999999</v>
      </c>
    </row>
    <row r="218" spans="1:9" x14ac:dyDescent="0.45">
      <c r="A218">
        <v>217</v>
      </c>
      <c r="B218">
        <v>-21.29729</v>
      </c>
      <c r="C218">
        <v>-2.90787</v>
      </c>
      <c r="D218">
        <v>283.41816</v>
      </c>
      <c r="E218">
        <v>261627.51920000001</v>
      </c>
      <c r="F218">
        <v>817</v>
      </c>
      <c r="G218">
        <v>-20.731282236999999</v>
      </c>
      <c r="H218">
        <v>-5.3512540470000003</v>
      </c>
      <c r="I218">
        <v>104.29448600000001</v>
      </c>
    </row>
    <row r="219" spans="1:9" x14ac:dyDescent="0.45">
      <c r="A219">
        <v>218</v>
      </c>
      <c r="B219">
        <v>42.500529999999998</v>
      </c>
      <c r="C219">
        <v>89.240600000000001</v>
      </c>
      <c r="D219">
        <v>117.77651</v>
      </c>
      <c r="E219">
        <v>288789.2316</v>
      </c>
      <c r="F219">
        <v>818</v>
      </c>
      <c r="G219">
        <v>41.247816071000003</v>
      </c>
      <c r="H219">
        <v>92.289375348999997</v>
      </c>
      <c r="I219">
        <v>299.81194699999998</v>
      </c>
    </row>
    <row r="220" spans="1:9" x14ac:dyDescent="0.45">
      <c r="A220">
        <v>219</v>
      </c>
      <c r="B220">
        <v>-43.726329999999997</v>
      </c>
      <c r="C220">
        <v>-162.36582999999999</v>
      </c>
      <c r="D220">
        <v>248.34501</v>
      </c>
      <c r="E220">
        <v>223681.27929999999</v>
      </c>
      <c r="F220">
        <v>819</v>
      </c>
      <c r="G220">
        <v>-44.439582203999997</v>
      </c>
      <c r="H220">
        <v>-164.977558055</v>
      </c>
      <c r="I220">
        <v>70.162184999999994</v>
      </c>
    </row>
    <row r="221" spans="1:9" x14ac:dyDescent="0.45">
      <c r="A221">
        <v>220</v>
      </c>
      <c r="B221">
        <v>85.670190000000005</v>
      </c>
      <c r="C221">
        <v>-30.801480000000002</v>
      </c>
      <c r="D221">
        <v>310.89265999999998</v>
      </c>
      <c r="E221">
        <v>250297.2035</v>
      </c>
      <c r="F221">
        <v>820</v>
      </c>
      <c r="G221">
        <v>86.674404425999995</v>
      </c>
      <c r="H221">
        <v>-61.434860608999998</v>
      </c>
      <c r="I221">
        <v>100.323295</v>
      </c>
    </row>
    <row r="222" spans="1:9" x14ac:dyDescent="0.45">
      <c r="A222">
        <v>221</v>
      </c>
      <c r="B222">
        <v>-42.551229999999997</v>
      </c>
      <c r="C222">
        <v>7.8101500000000001</v>
      </c>
      <c r="D222">
        <v>321.21706</v>
      </c>
      <c r="E222">
        <v>117917.5376</v>
      </c>
      <c r="F222">
        <v>821</v>
      </c>
      <c r="G222">
        <v>-41.720226662000002</v>
      </c>
      <c r="H222">
        <v>6.9225573789999997</v>
      </c>
      <c r="I222">
        <v>141.81255899999999</v>
      </c>
    </row>
    <row r="223" spans="1:9" x14ac:dyDescent="0.45">
      <c r="A223">
        <v>222</v>
      </c>
      <c r="B223">
        <v>81.664879999999997</v>
      </c>
      <c r="C223">
        <v>172.62612999999999</v>
      </c>
      <c r="D223">
        <v>326.02055000000001</v>
      </c>
      <c r="E223">
        <v>236250.2966</v>
      </c>
      <c r="F223">
        <v>822</v>
      </c>
      <c r="G223">
        <v>83.314532635999996</v>
      </c>
      <c r="H223">
        <v>162.41978013100001</v>
      </c>
      <c r="I223">
        <v>135.90025700000001</v>
      </c>
    </row>
    <row r="224" spans="1:9" x14ac:dyDescent="0.45">
      <c r="A224">
        <v>223</v>
      </c>
      <c r="B224">
        <v>-67.322550000000007</v>
      </c>
      <c r="C224">
        <v>144.511</v>
      </c>
      <c r="D224">
        <v>168.7217</v>
      </c>
      <c r="E224">
        <v>152724.31289999999</v>
      </c>
      <c r="F224">
        <v>823</v>
      </c>
      <c r="G224">
        <v>-68.663804541000005</v>
      </c>
      <c r="H224">
        <v>145.246267391</v>
      </c>
      <c r="I224">
        <v>348.03995700000002</v>
      </c>
    </row>
    <row r="225" spans="1:9" x14ac:dyDescent="0.45">
      <c r="A225">
        <v>224</v>
      </c>
      <c r="B225">
        <v>-36.309139999999999</v>
      </c>
      <c r="C225">
        <v>-105.28355000000001</v>
      </c>
      <c r="D225">
        <v>238.57171</v>
      </c>
      <c r="E225">
        <v>140330.49110000001</v>
      </c>
      <c r="F225">
        <v>824</v>
      </c>
      <c r="G225">
        <v>-36.960990309000003</v>
      </c>
      <c r="H225">
        <v>-106.62813002999999</v>
      </c>
      <c r="I225">
        <v>59.374079000000002</v>
      </c>
    </row>
    <row r="226" spans="1:9" x14ac:dyDescent="0.45">
      <c r="A226">
        <v>225</v>
      </c>
      <c r="B226">
        <v>41.576300000000003</v>
      </c>
      <c r="C226">
        <v>54.880719999999997</v>
      </c>
      <c r="D226">
        <v>302.06475</v>
      </c>
      <c r="E226">
        <v>108131.13069999999</v>
      </c>
      <c r="F226">
        <v>825</v>
      </c>
      <c r="G226">
        <v>42.087820657000002</v>
      </c>
      <c r="H226">
        <v>53.773147891000001</v>
      </c>
      <c r="I226">
        <v>121.326035</v>
      </c>
    </row>
    <row r="227" spans="1:9" x14ac:dyDescent="0.45">
      <c r="A227">
        <v>226</v>
      </c>
      <c r="B227">
        <v>56.360080000000004</v>
      </c>
      <c r="C227">
        <v>-36.270580000000002</v>
      </c>
      <c r="D227">
        <v>305.72883999999999</v>
      </c>
      <c r="E227">
        <v>234979.94039999999</v>
      </c>
      <c r="F227">
        <v>826</v>
      </c>
      <c r="G227">
        <v>57.552421213000002</v>
      </c>
      <c r="H227">
        <v>-39.457707104000001</v>
      </c>
      <c r="I227">
        <v>123.056866</v>
      </c>
    </row>
    <row r="228" spans="1:9" x14ac:dyDescent="0.45">
      <c r="A228">
        <v>227</v>
      </c>
      <c r="B228">
        <v>74.583179999999999</v>
      </c>
      <c r="C228">
        <v>-170.44665000000001</v>
      </c>
      <c r="D228">
        <v>223.96682000000001</v>
      </c>
      <c r="E228">
        <v>221205.2267</v>
      </c>
      <c r="F228">
        <v>827</v>
      </c>
      <c r="G228">
        <v>73.101921578000002</v>
      </c>
      <c r="H228">
        <v>-175.182605921</v>
      </c>
      <c r="I228">
        <v>39.417350999999996</v>
      </c>
    </row>
    <row r="229" spans="1:9" x14ac:dyDescent="0.45">
      <c r="A229">
        <v>228</v>
      </c>
      <c r="B229">
        <v>0.32369999999999999</v>
      </c>
      <c r="C229">
        <v>-32.251750000000001</v>
      </c>
      <c r="D229">
        <v>218.91633999999999</v>
      </c>
      <c r="E229">
        <v>77287.303799999994</v>
      </c>
      <c r="F229">
        <v>828</v>
      </c>
      <c r="G229">
        <v>-0.22014191</v>
      </c>
      <c r="H229">
        <v>-32.687885258999998</v>
      </c>
      <c r="I229">
        <v>38.915945999999998</v>
      </c>
    </row>
    <row r="230" spans="1:9" x14ac:dyDescent="0.45">
      <c r="A230">
        <v>229</v>
      </c>
      <c r="B230">
        <v>-84.848879999999994</v>
      </c>
      <c r="C230">
        <v>79.329400000000007</v>
      </c>
      <c r="D230">
        <v>356.97872999999998</v>
      </c>
      <c r="E230">
        <v>206909.5417</v>
      </c>
      <c r="F230">
        <v>829</v>
      </c>
      <c r="G230">
        <v>-82.998096489000005</v>
      </c>
      <c r="H230">
        <v>78.528525211000002</v>
      </c>
      <c r="I230">
        <v>177.77520899999999</v>
      </c>
    </row>
    <row r="231" spans="1:9" x14ac:dyDescent="0.45">
      <c r="A231">
        <v>230</v>
      </c>
      <c r="B231">
        <v>-22.447389999999999</v>
      </c>
      <c r="C231">
        <v>61.43526</v>
      </c>
      <c r="D231">
        <v>180.12512000000001</v>
      </c>
      <c r="E231">
        <v>55374.978499999997</v>
      </c>
      <c r="F231">
        <v>830</v>
      </c>
      <c r="G231">
        <v>-22.947434632</v>
      </c>
      <c r="H231">
        <v>61.434080971</v>
      </c>
      <c r="I231">
        <v>0.12557499999999999</v>
      </c>
    </row>
    <row r="232" spans="1:9" x14ac:dyDescent="0.45">
      <c r="A232">
        <v>231</v>
      </c>
      <c r="B232">
        <v>7.9348999999999998</v>
      </c>
      <c r="C232">
        <v>135.13274000000001</v>
      </c>
      <c r="D232">
        <v>104.66131</v>
      </c>
      <c r="E232">
        <v>19205.576300000001</v>
      </c>
      <c r="F232">
        <v>831</v>
      </c>
      <c r="G232">
        <v>7.8909127269999999</v>
      </c>
      <c r="H232">
        <v>135.30123385300001</v>
      </c>
      <c r="I232">
        <v>284.684506</v>
      </c>
    </row>
    <row r="233" spans="1:9" x14ac:dyDescent="0.45">
      <c r="A233">
        <v>232</v>
      </c>
      <c r="B233">
        <v>52.739800000000002</v>
      </c>
      <c r="C233">
        <v>-104.9357</v>
      </c>
      <c r="D233">
        <v>311.80421000000001</v>
      </c>
      <c r="E233">
        <v>287624.93400000001</v>
      </c>
      <c r="F233">
        <v>832</v>
      </c>
      <c r="G233">
        <v>54.417920186000003</v>
      </c>
      <c r="H233">
        <v>-108.23913526600001</v>
      </c>
      <c r="I233">
        <v>129.14547300000001</v>
      </c>
    </row>
    <row r="234" spans="1:9" x14ac:dyDescent="0.45">
      <c r="A234">
        <v>233</v>
      </c>
      <c r="B234">
        <v>-50.593969999999999</v>
      </c>
      <c r="C234">
        <v>99.317189999999997</v>
      </c>
      <c r="D234">
        <v>5.0808499999999999</v>
      </c>
      <c r="E234">
        <v>28140.0406</v>
      </c>
      <c r="F234">
        <v>833</v>
      </c>
      <c r="G234">
        <v>-50.341987400999997</v>
      </c>
      <c r="H234">
        <v>99.352198526999999</v>
      </c>
      <c r="I234">
        <v>185.05384900000001</v>
      </c>
    </row>
    <row r="235" spans="1:9" x14ac:dyDescent="0.45">
      <c r="A235">
        <v>234</v>
      </c>
      <c r="B235">
        <v>-25.973269999999999</v>
      </c>
      <c r="C235">
        <v>-17.925370000000001</v>
      </c>
      <c r="D235">
        <v>2.7909299999999999</v>
      </c>
      <c r="E235">
        <v>174600.7726</v>
      </c>
      <c r="F235">
        <v>834</v>
      </c>
      <c r="G235">
        <v>-24.398950655</v>
      </c>
      <c r="H235">
        <v>-17.841567721000001</v>
      </c>
      <c r="I235">
        <v>182.75526400000001</v>
      </c>
    </row>
    <row r="236" spans="1:9" x14ac:dyDescent="0.45">
      <c r="A236">
        <v>235</v>
      </c>
      <c r="B236">
        <v>82.774640000000005</v>
      </c>
      <c r="C236">
        <v>152.99755999999999</v>
      </c>
      <c r="D236">
        <v>335.66955000000002</v>
      </c>
      <c r="E236">
        <v>118249.6508</v>
      </c>
      <c r="F236">
        <v>835</v>
      </c>
      <c r="G236">
        <v>83.724341190000004</v>
      </c>
      <c r="H236">
        <v>149.00416390999999</v>
      </c>
      <c r="I236">
        <v>151.70367999999999</v>
      </c>
    </row>
    <row r="237" spans="1:9" x14ac:dyDescent="0.45">
      <c r="A237">
        <v>236</v>
      </c>
      <c r="B237">
        <v>-39.776350000000001</v>
      </c>
      <c r="C237">
        <v>1.72333</v>
      </c>
      <c r="D237">
        <v>5.2405499999999998</v>
      </c>
      <c r="E237">
        <v>199578.12959999999</v>
      </c>
      <c r="F237">
        <v>836</v>
      </c>
      <c r="G237">
        <v>-37.985890081000001</v>
      </c>
      <c r="H237">
        <v>1.9307989990000001</v>
      </c>
      <c r="I237">
        <v>185.11030400000001</v>
      </c>
    </row>
    <row r="238" spans="1:9" x14ac:dyDescent="0.45">
      <c r="A238">
        <v>237</v>
      </c>
      <c r="B238">
        <v>-88.795199999999994</v>
      </c>
      <c r="C238">
        <v>-50.071170000000002</v>
      </c>
      <c r="D238">
        <v>190.27211</v>
      </c>
      <c r="E238">
        <v>12571.034600000001</v>
      </c>
      <c r="F238">
        <v>837</v>
      </c>
      <c r="G238">
        <v>-88.905761365000004</v>
      </c>
      <c r="H238">
        <v>-51.122189722999998</v>
      </c>
      <c r="I238">
        <v>11.322919000000001</v>
      </c>
    </row>
    <row r="239" spans="1:9" x14ac:dyDescent="0.45">
      <c r="A239">
        <v>238</v>
      </c>
      <c r="B239">
        <v>60.718339999999998</v>
      </c>
      <c r="C239">
        <v>-70.369810000000001</v>
      </c>
      <c r="D239">
        <v>35.957909999999998</v>
      </c>
      <c r="E239">
        <v>207268.5889</v>
      </c>
      <c r="F239">
        <v>838</v>
      </c>
      <c r="G239">
        <v>62.204349268999998</v>
      </c>
      <c r="H239">
        <v>-68.031178120000007</v>
      </c>
      <c r="I239">
        <v>218.01262399999999</v>
      </c>
    </row>
    <row r="240" spans="1:9" x14ac:dyDescent="0.45">
      <c r="A240">
        <v>239</v>
      </c>
      <c r="B240">
        <v>-12.41427</v>
      </c>
      <c r="C240">
        <v>-79.374200000000002</v>
      </c>
      <c r="D240">
        <v>103.33063</v>
      </c>
      <c r="E240">
        <v>45876.0173</v>
      </c>
      <c r="F240">
        <v>839</v>
      </c>
      <c r="G240">
        <v>-12.509574453999999</v>
      </c>
      <c r="H240">
        <v>-78.963505804999997</v>
      </c>
      <c r="I240">
        <v>283.242006</v>
      </c>
    </row>
    <row r="241" spans="1:9" x14ac:dyDescent="0.45">
      <c r="A241">
        <v>240</v>
      </c>
      <c r="B241">
        <v>-7.6498100000000004</v>
      </c>
      <c r="C241">
        <v>-170.84107</v>
      </c>
      <c r="D241">
        <v>244.39635999999999</v>
      </c>
      <c r="E241">
        <v>97962.3079</v>
      </c>
      <c r="F241">
        <v>840</v>
      </c>
      <c r="G241">
        <v>-8.0318357969999994</v>
      </c>
      <c r="H241">
        <v>-171.64247189400001</v>
      </c>
      <c r="I241">
        <v>64.505690999999999</v>
      </c>
    </row>
    <row r="242" spans="1:9" x14ac:dyDescent="0.45">
      <c r="A242">
        <v>241</v>
      </c>
      <c r="B242">
        <v>-19.262889999999999</v>
      </c>
      <c r="C242">
        <v>-114.08077</v>
      </c>
      <c r="D242">
        <v>207.94067000000001</v>
      </c>
      <c r="E242">
        <v>183912.6581</v>
      </c>
      <c r="F242">
        <v>841</v>
      </c>
      <c r="G242">
        <v>-20.728635598</v>
      </c>
      <c r="H242">
        <v>-114.90802540999999</v>
      </c>
      <c r="I242">
        <v>28.223578</v>
      </c>
    </row>
    <row r="243" spans="1:9" x14ac:dyDescent="0.45">
      <c r="A243">
        <v>242</v>
      </c>
      <c r="B243">
        <v>85.425820000000002</v>
      </c>
      <c r="C243">
        <v>51.507939999999998</v>
      </c>
      <c r="D243">
        <v>309.94004999999999</v>
      </c>
      <c r="E243">
        <v>182734.12549999999</v>
      </c>
      <c r="F243">
        <v>842</v>
      </c>
      <c r="G243">
        <v>86.260013083000004</v>
      </c>
      <c r="H243">
        <v>31.899458430999999</v>
      </c>
      <c r="I243">
        <v>110.381652</v>
      </c>
    </row>
    <row r="244" spans="1:9" x14ac:dyDescent="0.45">
      <c r="A244">
        <v>243</v>
      </c>
      <c r="B244">
        <v>-73.406419999999997</v>
      </c>
      <c r="C244">
        <v>-147.40089</v>
      </c>
      <c r="D244">
        <v>134.14331000000001</v>
      </c>
      <c r="E244">
        <v>25367.8884</v>
      </c>
      <c r="F244">
        <v>843</v>
      </c>
      <c r="G244">
        <v>-73.563941666000005</v>
      </c>
      <c r="H244">
        <v>-146.824710106</v>
      </c>
      <c r="I244">
        <v>313.59089899999998</v>
      </c>
    </row>
    <row r="245" spans="1:9" x14ac:dyDescent="0.45">
      <c r="A245">
        <v>244</v>
      </c>
      <c r="B245">
        <v>-17.195329999999998</v>
      </c>
      <c r="C245">
        <v>-155.57432</v>
      </c>
      <c r="D245">
        <v>134.59263999999999</v>
      </c>
      <c r="E245">
        <v>159167.3683</v>
      </c>
      <c r="F245">
        <v>844</v>
      </c>
      <c r="G245">
        <v>-18.202097895000001</v>
      </c>
      <c r="H245">
        <v>-154.50288370999999</v>
      </c>
      <c r="I245">
        <v>314.26688999999999</v>
      </c>
    </row>
    <row r="246" spans="1:9" x14ac:dyDescent="0.45">
      <c r="A246">
        <v>245</v>
      </c>
      <c r="B246">
        <v>-85.787790000000001</v>
      </c>
      <c r="C246">
        <v>173.88919999999999</v>
      </c>
      <c r="D246">
        <v>243.84408999999999</v>
      </c>
      <c r="E246">
        <v>292098.01140000002</v>
      </c>
      <c r="F246">
        <v>845</v>
      </c>
      <c r="G246">
        <v>-86.145114254000006</v>
      </c>
      <c r="H246">
        <v>136.35825572499999</v>
      </c>
      <c r="I246">
        <v>101.288726</v>
      </c>
    </row>
    <row r="247" spans="1:9" x14ac:dyDescent="0.45">
      <c r="A247">
        <v>246</v>
      </c>
      <c r="B247">
        <v>64.4529</v>
      </c>
      <c r="C247">
        <v>130.70177000000001</v>
      </c>
      <c r="D247">
        <v>324.40525000000002</v>
      </c>
      <c r="E247">
        <v>136302.18700000001</v>
      </c>
      <c r="F247">
        <v>846</v>
      </c>
      <c r="G247">
        <v>65.437400175999997</v>
      </c>
      <c r="H247">
        <v>128.99195211700001</v>
      </c>
      <c r="I247">
        <v>142.85624300000001</v>
      </c>
    </row>
    <row r="248" spans="1:9" x14ac:dyDescent="0.45">
      <c r="A248">
        <v>247</v>
      </c>
      <c r="B248">
        <v>-36.730919999999998</v>
      </c>
      <c r="C248">
        <v>62.2044</v>
      </c>
      <c r="D248">
        <v>191.80562</v>
      </c>
      <c r="E248">
        <v>90021.128100000002</v>
      </c>
      <c r="F248">
        <v>847</v>
      </c>
      <c r="G248">
        <v>-37.524727484000003</v>
      </c>
      <c r="H248">
        <v>61.996053705999998</v>
      </c>
      <c r="I248">
        <v>11.931380000000001</v>
      </c>
    </row>
    <row r="249" spans="1:9" x14ac:dyDescent="0.45">
      <c r="A249">
        <v>248</v>
      </c>
      <c r="B249">
        <v>-36.426609999999997</v>
      </c>
      <c r="C249">
        <v>97.364329999999995</v>
      </c>
      <c r="D249">
        <v>155.47677999999999</v>
      </c>
      <c r="E249">
        <v>34078.6319</v>
      </c>
      <c r="F249">
        <v>848</v>
      </c>
      <c r="G249">
        <v>-36.705901769999997</v>
      </c>
      <c r="H249">
        <v>97.522630731000007</v>
      </c>
      <c r="I249">
        <v>335.38247200000001</v>
      </c>
    </row>
    <row r="250" spans="1:9" x14ac:dyDescent="0.45">
      <c r="A250">
        <v>249</v>
      </c>
      <c r="B250">
        <v>-30.062360000000002</v>
      </c>
      <c r="C250">
        <v>120.28981</v>
      </c>
      <c r="D250">
        <v>351.96325000000002</v>
      </c>
      <c r="E250">
        <v>72338.909400000004</v>
      </c>
      <c r="F250">
        <v>849</v>
      </c>
      <c r="G250">
        <v>-29.416132959999999</v>
      </c>
      <c r="H250">
        <v>120.185598023</v>
      </c>
      <c r="I250">
        <v>172.01494600000001</v>
      </c>
    </row>
    <row r="251" spans="1:9" x14ac:dyDescent="0.45">
      <c r="A251">
        <v>250</v>
      </c>
      <c r="B251">
        <v>-41.601529999999997</v>
      </c>
      <c r="C251">
        <v>-126.05842</v>
      </c>
      <c r="D251">
        <v>84.820650000000001</v>
      </c>
      <c r="E251">
        <v>114948.1189</v>
      </c>
      <c r="F251">
        <v>850</v>
      </c>
      <c r="G251">
        <v>-41.499916325999997</v>
      </c>
      <c r="H251">
        <v>-124.687298574</v>
      </c>
      <c r="I251">
        <v>263.91118399999999</v>
      </c>
    </row>
    <row r="252" spans="1:9" x14ac:dyDescent="0.45">
      <c r="A252">
        <v>251</v>
      </c>
      <c r="B252">
        <v>-58.229199999999999</v>
      </c>
      <c r="C252">
        <v>-22.044229999999999</v>
      </c>
      <c r="D252">
        <v>61.329009999999997</v>
      </c>
      <c r="E252">
        <v>12919.8554</v>
      </c>
      <c r="F252">
        <v>851</v>
      </c>
      <c r="G252">
        <v>-58.173401740999999</v>
      </c>
      <c r="H252">
        <v>-21.85159814</v>
      </c>
      <c r="I252">
        <v>241.165291</v>
      </c>
    </row>
    <row r="253" spans="1:9" x14ac:dyDescent="0.45">
      <c r="A253">
        <v>252</v>
      </c>
      <c r="B253">
        <v>79.469350000000006</v>
      </c>
      <c r="C253">
        <v>-49.015509999999999</v>
      </c>
      <c r="D253">
        <v>233.84180000000001</v>
      </c>
      <c r="E253">
        <v>266034.81579999998</v>
      </c>
      <c r="F253">
        <v>852</v>
      </c>
      <c r="G253">
        <v>77.911219996</v>
      </c>
      <c r="H253">
        <v>-58.236448873999997</v>
      </c>
      <c r="I253">
        <v>44.798335999999999</v>
      </c>
    </row>
    <row r="254" spans="1:9" x14ac:dyDescent="0.45">
      <c r="A254">
        <v>253</v>
      </c>
      <c r="B254">
        <v>-66.508170000000007</v>
      </c>
      <c r="C254">
        <v>162.89202</v>
      </c>
      <c r="D254">
        <v>271.56639000000001</v>
      </c>
      <c r="E254">
        <v>36730.163999999997</v>
      </c>
      <c r="F254">
        <v>853</v>
      </c>
      <c r="G254">
        <v>-66.496993149999994</v>
      </c>
      <c r="H254">
        <v>162.06726695899999</v>
      </c>
      <c r="I254">
        <v>92.322755000000001</v>
      </c>
    </row>
    <row r="255" spans="1:9" x14ac:dyDescent="0.45">
      <c r="A255">
        <v>254</v>
      </c>
      <c r="B255">
        <v>-89.068039999999996</v>
      </c>
      <c r="C255">
        <v>137.26307</v>
      </c>
      <c r="D255">
        <v>188.14599999999999</v>
      </c>
      <c r="E255">
        <v>195008.64120000001</v>
      </c>
      <c r="F255">
        <v>854</v>
      </c>
      <c r="G255">
        <v>-89.166116982000005</v>
      </c>
      <c r="H255">
        <v>-25.481215246000001</v>
      </c>
      <c r="I255">
        <v>170.888273</v>
      </c>
    </row>
    <row r="256" spans="1:9" x14ac:dyDescent="0.45">
      <c r="A256">
        <v>255</v>
      </c>
      <c r="B256">
        <v>27.484500000000001</v>
      </c>
      <c r="C256">
        <v>-151.23648</v>
      </c>
      <c r="D256">
        <v>176.18144000000001</v>
      </c>
      <c r="E256">
        <v>253855.41510000001</v>
      </c>
      <c r="F256">
        <v>855</v>
      </c>
      <c r="G256">
        <v>25.198234639999999</v>
      </c>
      <c r="H256">
        <v>-151.068784808</v>
      </c>
      <c r="I256">
        <v>356.25586399999997</v>
      </c>
    </row>
    <row r="257" spans="1:9" x14ac:dyDescent="0.45">
      <c r="A257">
        <v>256</v>
      </c>
      <c r="B257">
        <v>-67.861440000000002</v>
      </c>
      <c r="C257">
        <v>45.040439999999997</v>
      </c>
      <c r="D257">
        <v>47.127630000000003</v>
      </c>
      <c r="E257">
        <v>132081.4932</v>
      </c>
      <c r="F257">
        <v>856</v>
      </c>
      <c r="G257">
        <v>-67.040119426999993</v>
      </c>
      <c r="H257">
        <v>47.263645332999999</v>
      </c>
      <c r="I257">
        <v>225.074297</v>
      </c>
    </row>
    <row r="258" spans="1:9" x14ac:dyDescent="0.45">
      <c r="A258">
        <v>257</v>
      </c>
      <c r="B258">
        <v>-15.984220000000001</v>
      </c>
      <c r="C258">
        <v>-14.593719999999999</v>
      </c>
      <c r="D258">
        <v>341.59005000000002</v>
      </c>
      <c r="E258">
        <v>170365.54819999999</v>
      </c>
      <c r="F258">
        <v>857</v>
      </c>
      <c r="G258">
        <v>-14.522789656</v>
      </c>
      <c r="H258">
        <v>-15.092842280999999</v>
      </c>
      <c r="I258">
        <v>161.72137599999999</v>
      </c>
    </row>
    <row r="259" spans="1:9" x14ac:dyDescent="0.45">
      <c r="A259">
        <v>258</v>
      </c>
      <c r="B259">
        <v>75.715829999999997</v>
      </c>
      <c r="C259">
        <v>67.995959999999997</v>
      </c>
      <c r="D259">
        <v>45.207999999999998</v>
      </c>
      <c r="E259">
        <v>169355.3083</v>
      </c>
      <c r="F259">
        <v>858</v>
      </c>
      <c r="G259">
        <v>76.741830003999993</v>
      </c>
      <c r="H259">
        <v>72.693381844000001</v>
      </c>
      <c r="I259">
        <v>229.77071799999999</v>
      </c>
    </row>
    <row r="260" spans="1:9" x14ac:dyDescent="0.45">
      <c r="A260">
        <v>259</v>
      </c>
      <c r="B260">
        <v>30.255659999999999</v>
      </c>
      <c r="C260">
        <v>54.106180000000002</v>
      </c>
      <c r="D260">
        <v>40.88852</v>
      </c>
      <c r="E260">
        <v>34280.7667</v>
      </c>
      <c r="F260">
        <v>859</v>
      </c>
      <c r="G260">
        <v>30.489224059000001</v>
      </c>
      <c r="H260">
        <v>54.33990455</v>
      </c>
      <c r="I260">
        <v>221.00669600000001</v>
      </c>
    </row>
    <row r="261" spans="1:9" x14ac:dyDescent="0.45">
      <c r="A261">
        <v>260</v>
      </c>
      <c r="B261">
        <v>55.852899999999998</v>
      </c>
      <c r="C261">
        <v>-102.58091</v>
      </c>
      <c r="D261">
        <v>2.56027</v>
      </c>
      <c r="E261">
        <v>95631.720499999996</v>
      </c>
      <c r="F261">
        <v>860</v>
      </c>
      <c r="G261">
        <v>56.710885906000001</v>
      </c>
      <c r="H261">
        <v>-102.511159015</v>
      </c>
      <c r="I261">
        <v>182.618289</v>
      </c>
    </row>
    <row r="262" spans="1:9" x14ac:dyDescent="0.45">
      <c r="A262">
        <v>261</v>
      </c>
      <c r="B262">
        <v>-18.257709999999999</v>
      </c>
      <c r="C262">
        <v>-67.428340000000006</v>
      </c>
      <c r="D262">
        <v>219.79338999999999</v>
      </c>
      <c r="E262">
        <v>103399.0039</v>
      </c>
      <c r="F262">
        <v>861</v>
      </c>
      <c r="G262">
        <v>-18.974432561</v>
      </c>
      <c r="H262">
        <v>-68.056743443000002</v>
      </c>
      <c r="I262">
        <v>39.993997999999998</v>
      </c>
    </row>
    <row r="263" spans="1:9" x14ac:dyDescent="0.45">
      <c r="A263">
        <v>262</v>
      </c>
      <c r="B263">
        <v>57.290219999999998</v>
      </c>
      <c r="C263">
        <v>-50.804630000000003</v>
      </c>
      <c r="D263">
        <v>139.18638999999999</v>
      </c>
      <c r="E263">
        <v>198631.8469</v>
      </c>
      <c r="F263">
        <v>862</v>
      </c>
      <c r="G263">
        <v>55.922474074</v>
      </c>
      <c r="H263">
        <v>-48.727881291999999</v>
      </c>
      <c r="I263">
        <v>320.92046699999997</v>
      </c>
    </row>
    <row r="264" spans="1:9" x14ac:dyDescent="0.45">
      <c r="A264">
        <v>263</v>
      </c>
      <c r="B264">
        <v>-3.7221899999999999</v>
      </c>
      <c r="C264">
        <v>-31.04684</v>
      </c>
      <c r="D264">
        <v>4.0206900000000001</v>
      </c>
      <c r="E264">
        <v>165946.44219999999</v>
      </c>
      <c r="F264">
        <v>863</v>
      </c>
      <c r="G264">
        <v>-2.2251506349999999</v>
      </c>
      <c r="H264">
        <v>-30.942248953</v>
      </c>
      <c r="I264">
        <v>184.015264</v>
      </c>
    </row>
    <row r="265" spans="1:9" x14ac:dyDescent="0.45">
      <c r="A265">
        <v>264</v>
      </c>
      <c r="B265">
        <v>24.50461</v>
      </c>
      <c r="C265">
        <v>-130.68146999999999</v>
      </c>
      <c r="D265">
        <v>53.574210000000001</v>
      </c>
      <c r="E265">
        <v>177415.48389999999</v>
      </c>
      <c r="F265">
        <v>864</v>
      </c>
      <c r="G265">
        <v>25.448921147</v>
      </c>
      <c r="H265">
        <v>-129.26221061499999</v>
      </c>
      <c r="I265">
        <v>234.17353900000001</v>
      </c>
    </row>
    <row r="266" spans="1:9" x14ac:dyDescent="0.45">
      <c r="A266">
        <v>265</v>
      </c>
      <c r="B266">
        <v>-49.103529999999999</v>
      </c>
      <c r="C266">
        <v>-34.437240000000003</v>
      </c>
      <c r="D266">
        <v>123.05946</v>
      </c>
      <c r="E266">
        <v>100912.3855</v>
      </c>
      <c r="F266">
        <v>865</v>
      </c>
      <c r="G266">
        <v>-49.592615445</v>
      </c>
      <c r="H266">
        <v>-33.267422428000003</v>
      </c>
      <c r="I266">
        <v>302.17192</v>
      </c>
    </row>
    <row r="267" spans="1:9" x14ac:dyDescent="0.45">
      <c r="A267">
        <v>266</v>
      </c>
      <c r="B267">
        <v>78.33399</v>
      </c>
      <c r="C267">
        <v>15.32395</v>
      </c>
      <c r="D267">
        <v>106.19398</v>
      </c>
      <c r="E267">
        <v>165257.90979999999</v>
      </c>
      <c r="F267">
        <v>866</v>
      </c>
      <c r="G267">
        <v>77.838998864000004</v>
      </c>
      <c r="H267">
        <v>22.084682788999999</v>
      </c>
      <c r="I267">
        <v>292.80947800000001</v>
      </c>
    </row>
    <row r="268" spans="1:9" x14ac:dyDescent="0.45">
      <c r="A268">
        <v>267</v>
      </c>
      <c r="B268">
        <v>-17.395489999999999</v>
      </c>
      <c r="C268">
        <v>-64.608440000000002</v>
      </c>
      <c r="D268">
        <v>52.176949999999998</v>
      </c>
      <c r="E268">
        <v>104705.3213</v>
      </c>
      <c r="F268">
        <v>867</v>
      </c>
      <c r="G268">
        <v>-16.813821089000001</v>
      </c>
      <c r="H268">
        <v>-63.832512635000001</v>
      </c>
      <c r="I268">
        <v>231.94873000000001</v>
      </c>
    </row>
    <row r="269" spans="1:9" x14ac:dyDescent="0.45">
      <c r="A269">
        <v>268</v>
      </c>
      <c r="B269">
        <v>25.40428</v>
      </c>
      <c r="C269">
        <v>92.048240000000007</v>
      </c>
      <c r="D269">
        <v>193.15189000000001</v>
      </c>
      <c r="E269">
        <v>186534.3131</v>
      </c>
      <c r="F269">
        <v>868</v>
      </c>
      <c r="G269">
        <v>23.763838772</v>
      </c>
      <c r="H269">
        <v>91.631931558000005</v>
      </c>
      <c r="I269">
        <v>12.978676</v>
      </c>
    </row>
    <row r="270" spans="1:9" x14ac:dyDescent="0.45">
      <c r="A270">
        <v>269</v>
      </c>
      <c r="B270">
        <v>-84.760810000000006</v>
      </c>
      <c r="C270">
        <v>-141.00604000000001</v>
      </c>
      <c r="D270">
        <v>72.059640000000002</v>
      </c>
      <c r="E270">
        <v>144966.76180000001</v>
      </c>
      <c r="F270">
        <v>869</v>
      </c>
      <c r="G270">
        <v>-84.227729870999994</v>
      </c>
      <c r="H270">
        <v>-128.63344767800001</v>
      </c>
      <c r="I270">
        <v>239.74355499999999</v>
      </c>
    </row>
    <row r="271" spans="1:9" x14ac:dyDescent="0.45">
      <c r="A271">
        <v>270</v>
      </c>
      <c r="B271">
        <v>53.348779999999998</v>
      </c>
      <c r="C271">
        <v>44.853169999999999</v>
      </c>
      <c r="D271">
        <v>316.99038999999999</v>
      </c>
      <c r="E271">
        <v>130323.55349999999</v>
      </c>
      <c r="F271">
        <v>870</v>
      </c>
      <c r="G271">
        <v>54.197352703</v>
      </c>
      <c r="H271">
        <v>43.491056342</v>
      </c>
      <c r="I271">
        <v>135.891548</v>
      </c>
    </row>
    <row r="272" spans="1:9" x14ac:dyDescent="0.45">
      <c r="A272">
        <v>271</v>
      </c>
      <c r="B272">
        <v>13.801080000000001</v>
      </c>
      <c r="C272">
        <v>78.251080000000002</v>
      </c>
      <c r="D272">
        <v>213.95029</v>
      </c>
      <c r="E272">
        <v>204439.66</v>
      </c>
      <c r="F272">
        <v>871</v>
      </c>
      <c r="G272">
        <v>12.265995938</v>
      </c>
      <c r="H272">
        <v>77.201756279999998</v>
      </c>
      <c r="I272">
        <v>33.713616999999999</v>
      </c>
    </row>
    <row r="273" spans="1:9" x14ac:dyDescent="0.45">
      <c r="A273">
        <v>272</v>
      </c>
      <c r="B273">
        <v>-51.927579999999999</v>
      </c>
      <c r="C273">
        <v>35.426679999999998</v>
      </c>
      <c r="D273">
        <v>0.50551000000000001</v>
      </c>
      <c r="E273">
        <v>178801.56409999999</v>
      </c>
      <c r="F273">
        <v>872</v>
      </c>
      <c r="G273">
        <v>-50.320444522000003</v>
      </c>
      <c r="H273">
        <v>35.448827551999997</v>
      </c>
      <c r="I273">
        <v>180.48826600000001</v>
      </c>
    </row>
    <row r="274" spans="1:9" x14ac:dyDescent="0.45">
      <c r="A274">
        <v>273</v>
      </c>
      <c r="B274">
        <v>-17.479710000000001</v>
      </c>
      <c r="C274">
        <v>-68.211600000000004</v>
      </c>
      <c r="D274">
        <v>357.62948</v>
      </c>
      <c r="E274">
        <v>83198.181500000006</v>
      </c>
      <c r="F274">
        <v>873</v>
      </c>
      <c r="G274">
        <v>-16.728585322000001</v>
      </c>
      <c r="H274">
        <v>-68.243869103999998</v>
      </c>
      <c r="I274">
        <v>177.638971</v>
      </c>
    </row>
    <row r="275" spans="1:9" x14ac:dyDescent="0.45">
      <c r="A275">
        <v>274</v>
      </c>
      <c r="B275">
        <v>7.2005299999999997</v>
      </c>
      <c r="C275">
        <v>115.12662</v>
      </c>
      <c r="D275">
        <v>69.900729999999996</v>
      </c>
      <c r="E275">
        <v>274779.46269999997</v>
      </c>
      <c r="F275">
        <v>874</v>
      </c>
      <c r="G275">
        <v>8.0481425019999993</v>
      </c>
      <c r="H275">
        <v>117.467509036</v>
      </c>
      <c r="I275">
        <v>250.211364</v>
      </c>
    </row>
    <row r="276" spans="1:9" x14ac:dyDescent="0.45">
      <c r="A276">
        <v>275</v>
      </c>
      <c r="B276">
        <v>49.770699999999998</v>
      </c>
      <c r="C276">
        <v>90.89958</v>
      </c>
      <c r="D276">
        <v>61.03425</v>
      </c>
      <c r="E276">
        <v>110341.4342</v>
      </c>
      <c r="F276">
        <v>875</v>
      </c>
      <c r="G276">
        <v>50.243276713999997</v>
      </c>
      <c r="H276">
        <v>92.252985875999997</v>
      </c>
      <c r="I276">
        <v>242.07115400000001</v>
      </c>
    </row>
    <row r="277" spans="1:9" x14ac:dyDescent="0.45">
      <c r="A277">
        <v>276</v>
      </c>
      <c r="B277">
        <v>-27.150790000000001</v>
      </c>
      <c r="C277">
        <v>96.234210000000004</v>
      </c>
      <c r="D277">
        <v>316.70879000000002</v>
      </c>
      <c r="E277">
        <v>193300.0251</v>
      </c>
      <c r="F277">
        <v>876</v>
      </c>
      <c r="G277">
        <v>-25.874689149999998</v>
      </c>
      <c r="H277">
        <v>94.911782520000003</v>
      </c>
      <c r="I277">
        <v>137.29917499999999</v>
      </c>
    </row>
    <row r="278" spans="1:9" x14ac:dyDescent="0.45">
      <c r="A278">
        <v>277</v>
      </c>
      <c r="B278">
        <v>-82.286060000000006</v>
      </c>
      <c r="C278">
        <v>49.893050000000002</v>
      </c>
      <c r="D278">
        <v>22.143830000000001</v>
      </c>
      <c r="E278">
        <v>77243.746899999998</v>
      </c>
      <c r="F278">
        <v>877</v>
      </c>
      <c r="G278">
        <v>-81.641334829000002</v>
      </c>
      <c r="H278">
        <v>51.686611401</v>
      </c>
      <c r="I278">
        <v>200.367851</v>
      </c>
    </row>
    <row r="279" spans="1:9" x14ac:dyDescent="0.45">
      <c r="A279">
        <v>278</v>
      </c>
      <c r="B279">
        <v>-38.246949999999998</v>
      </c>
      <c r="C279">
        <v>-76.409300000000002</v>
      </c>
      <c r="D279">
        <v>296.10725000000002</v>
      </c>
      <c r="E279">
        <v>288295.25770000002</v>
      </c>
      <c r="F279">
        <v>878</v>
      </c>
      <c r="G279">
        <v>-37.067546204000003</v>
      </c>
      <c r="H279">
        <v>-79.320534283000001</v>
      </c>
      <c r="I279">
        <v>117.88616500000001</v>
      </c>
    </row>
    <row r="280" spans="1:9" x14ac:dyDescent="0.45">
      <c r="A280">
        <v>279</v>
      </c>
      <c r="B280">
        <v>-9.3842300000000005</v>
      </c>
      <c r="C280">
        <v>168.07739000000001</v>
      </c>
      <c r="D280">
        <v>253.15599</v>
      </c>
      <c r="E280">
        <v>292025.33350000001</v>
      </c>
      <c r="F280">
        <v>879</v>
      </c>
      <c r="G280">
        <v>-10.13986484</v>
      </c>
      <c r="H280">
        <v>165.527104909</v>
      </c>
      <c r="I280">
        <v>73.588487000000001</v>
      </c>
    </row>
    <row r="281" spans="1:9" x14ac:dyDescent="0.45">
      <c r="A281">
        <v>280</v>
      </c>
      <c r="B281">
        <v>71.533760000000001</v>
      </c>
      <c r="C281">
        <v>55.158099999999997</v>
      </c>
      <c r="D281">
        <v>141.4316</v>
      </c>
      <c r="E281">
        <v>222200.34969999999</v>
      </c>
      <c r="F281">
        <v>880</v>
      </c>
      <c r="G281">
        <v>69.939541617000003</v>
      </c>
      <c r="H281">
        <v>58.777031780000002</v>
      </c>
      <c r="I281">
        <v>324.84836999999999</v>
      </c>
    </row>
    <row r="282" spans="1:9" x14ac:dyDescent="0.45">
      <c r="A282">
        <v>281</v>
      </c>
      <c r="B282">
        <v>15.882110000000001</v>
      </c>
      <c r="C282">
        <v>19.712569999999999</v>
      </c>
      <c r="D282">
        <v>115.18104</v>
      </c>
      <c r="E282">
        <v>177401.35699999999</v>
      </c>
      <c r="F282">
        <v>881</v>
      </c>
      <c r="G282">
        <v>15.194873313</v>
      </c>
      <c r="H282">
        <v>21.206626101000001</v>
      </c>
      <c r="I282">
        <v>295.58130499999999</v>
      </c>
    </row>
    <row r="283" spans="1:9" x14ac:dyDescent="0.45">
      <c r="A283">
        <v>282</v>
      </c>
      <c r="B283">
        <v>-5.5233600000000003</v>
      </c>
      <c r="C283">
        <v>64.698269999999994</v>
      </c>
      <c r="D283">
        <v>166.57232999999999</v>
      </c>
      <c r="E283">
        <v>197105.63070000001</v>
      </c>
      <c r="F283">
        <v>882</v>
      </c>
      <c r="G283">
        <v>-7.2568186920000004</v>
      </c>
      <c r="H283">
        <v>65.112676768</v>
      </c>
      <c r="I283">
        <v>346.52620200000001</v>
      </c>
    </row>
    <row r="284" spans="1:9" x14ac:dyDescent="0.45">
      <c r="A284">
        <v>283</v>
      </c>
      <c r="B284">
        <v>-1.2930000000000001E-2</v>
      </c>
      <c r="C284">
        <v>-152.20808</v>
      </c>
      <c r="D284">
        <v>52.045490000000001</v>
      </c>
      <c r="E284">
        <v>262201.39919999999</v>
      </c>
      <c r="F284">
        <v>883</v>
      </c>
      <c r="G284">
        <v>1.4452318</v>
      </c>
      <c r="H284">
        <v>-150.35046458599999</v>
      </c>
      <c r="I284">
        <v>232.068712</v>
      </c>
    </row>
    <row r="285" spans="1:9" x14ac:dyDescent="0.45">
      <c r="A285">
        <v>284</v>
      </c>
      <c r="B285">
        <v>-44.229190000000003</v>
      </c>
      <c r="C285">
        <v>5.6013099999999998</v>
      </c>
      <c r="D285">
        <v>179.15088</v>
      </c>
      <c r="E285">
        <v>286129.73320000002</v>
      </c>
      <c r="F285">
        <v>884</v>
      </c>
      <c r="G285">
        <v>-46.803349228000002</v>
      </c>
      <c r="H285">
        <v>5.6568398479999997</v>
      </c>
      <c r="I285">
        <v>359.11125199999998</v>
      </c>
    </row>
    <row r="286" spans="1:9" x14ac:dyDescent="0.45">
      <c r="A286">
        <v>285</v>
      </c>
      <c r="B286">
        <v>-39.063740000000003</v>
      </c>
      <c r="C286">
        <v>127.23394999999999</v>
      </c>
      <c r="D286">
        <v>46.69359</v>
      </c>
      <c r="E286">
        <v>88781.474700000006</v>
      </c>
      <c r="F286">
        <v>885</v>
      </c>
      <c r="G286">
        <v>-38.512829793999998</v>
      </c>
      <c r="H286">
        <v>127.974693504</v>
      </c>
      <c r="I286">
        <v>226.229546</v>
      </c>
    </row>
    <row r="287" spans="1:9" x14ac:dyDescent="0.45">
      <c r="A287">
        <v>286</v>
      </c>
      <c r="B287">
        <v>-30.410959999999999</v>
      </c>
      <c r="C287">
        <v>169.83555999999999</v>
      </c>
      <c r="D287">
        <v>235.24044000000001</v>
      </c>
      <c r="E287">
        <v>25934.422999999999</v>
      </c>
      <c r="F287">
        <v>886</v>
      </c>
      <c r="G287">
        <v>-30.544146861000002</v>
      </c>
      <c r="H287">
        <v>169.61351481200001</v>
      </c>
      <c r="I287">
        <v>55.353062000000001</v>
      </c>
    </row>
    <row r="288" spans="1:9" x14ac:dyDescent="0.45">
      <c r="A288">
        <v>287</v>
      </c>
      <c r="B288">
        <v>13.316839999999999</v>
      </c>
      <c r="C288">
        <v>3.9E-2</v>
      </c>
      <c r="D288">
        <v>45.356749999999998</v>
      </c>
      <c r="E288">
        <v>165847.5191</v>
      </c>
      <c r="F288">
        <v>887</v>
      </c>
      <c r="G288">
        <v>14.367775313999999</v>
      </c>
      <c r="H288">
        <v>1.1329522030000001</v>
      </c>
      <c r="I288">
        <v>225.61849699999999</v>
      </c>
    </row>
    <row r="289" spans="1:9" x14ac:dyDescent="0.45">
      <c r="A289">
        <v>288</v>
      </c>
      <c r="B289">
        <v>-54.13944</v>
      </c>
      <c r="C289">
        <v>-135.55312000000001</v>
      </c>
      <c r="D289">
        <v>349.81680999999998</v>
      </c>
      <c r="E289">
        <v>135935.63690000001</v>
      </c>
      <c r="F289">
        <v>888</v>
      </c>
      <c r="G289">
        <v>-52.936752376000001</v>
      </c>
      <c r="H289">
        <v>-135.91053963100001</v>
      </c>
      <c r="I289">
        <v>170.10428200000001</v>
      </c>
    </row>
    <row r="290" spans="1:9" x14ac:dyDescent="0.45">
      <c r="A290">
        <v>289</v>
      </c>
      <c r="B290">
        <v>-11.50356</v>
      </c>
      <c r="C290">
        <v>-79.062759999999997</v>
      </c>
      <c r="D290">
        <v>9.8500399999999999</v>
      </c>
      <c r="E290">
        <v>8165.8377</v>
      </c>
      <c r="F290">
        <v>889</v>
      </c>
      <c r="G290">
        <v>-11.430827874</v>
      </c>
      <c r="H290">
        <v>-79.049958900999997</v>
      </c>
      <c r="I290">
        <v>189.84749500000001</v>
      </c>
    </row>
    <row r="291" spans="1:9" x14ac:dyDescent="0.45">
      <c r="A291">
        <v>290</v>
      </c>
      <c r="B291">
        <v>63.859450000000002</v>
      </c>
      <c r="C291">
        <v>-85.935820000000007</v>
      </c>
      <c r="D291">
        <v>142.18870000000001</v>
      </c>
      <c r="E291">
        <v>297038.68729999999</v>
      </c>
      <c r="F291">
        <v>890</v>
      </c>
      <c r="G291">
        <v>61.710171567000003</v>
      </c>
      <c r="H291">
        <v>-82.492273326000003</v>
      </c>
      <c r="I291">
        <v>325.25176099999999</v>
      </c>
    </row>
    <row r="292" spans="1:9" x14ac:dyDescent="0.45">
      <c r="A292">
        <v>291</v>
      </c>
      <c r="B292">
        <v>79.603430000000003</v>
      </c>
      <c r="C292">
        <v>-25.198319999999999</v>
      </c>
      <c r="D292">
        <v>142.81933000000001</v>
      </c>
      <c r="E292">
        <v>20162.4198</v>
      </c>
      <c r="F292">
        <v>891</v>
      </c>
      <c r="G292">
        <v>79.459001166999997</v>
      </c>
      <c r="H292">
        <v>-24.601920946</v>
      </c>
      <c r="I292">
        <v>323.40580199999999</v>
      </c>
    </row>
    <row r="293" spans="1:9" x14ac:dyDescent="0.45">
      <c r="A293">
        <v>292</v>
      </c>
      <c r="B293">
        <v>-64.213909999999998</v>
      </c>
      <c r="C293">
        <v>107.39639</v>
      </c>
      <c r="D293">
        <v>84.293390000000002</v>
      </c>
      <c r="E293">
        <v>164584.4406</v>
      </c>
      <c r="F293">
        <v>892</v>
      </c>
      <c r="G293">
        <v>-64.028425752999993</v>
      </c>
      <c r="H293">
        <v>110.748217876</v>
      </c>
      <c r="I293">
        <v>261.27751799999999</v>
      </c>
    </row>
    <row r="294" spans="1:9" x14ac:dyDescent="0.45">
      <c r="A294">
        <v>293</v>
      </c>
      <c r="B294">
        <v>78.640919999999994</v>
      </c>
      <c r="C294">
        <v>-43.137920000000001</v>
      </c>
      <c r="D294">
        <v>339.28708</v>
      </c>
      <c r="E294">
        <v>38397.614699999998</v>
      </c>
      <c r="F294">
        <v>893</v>
      </c>
      <c r="G294">
        <v>78.961936397000002</v>
      </c>
      <c r="H294">
        <v>-43.773062963000001</v>
      </c>
      <c r="I294">
        <v>158.664027</v>
      </c>
    </row>
    <row r="295" spans="1:9" x14ac:dyDescent="0.45">
      <c r="A295">
        <v>294</v>
      </c>
      <c r="B295">
        <v>-18.062360000000002</v>
      </c>
      <c r="C295">
        <v>-64.4589</v>
      </c>
      <c r="D295">
        <v>156.02377999999999</v>
      </c>
      <c r="E295">
        <v>215099.4129</v>
      </c>
      <c r="F295">
        <v>894</v>
      </c>
      <c r="G295">
        <v>-19.836080422999999</v>
      </c>
      <c r="H295">
        <v>-63.624632308999999</v>
      </c>
      <c r="I295">
        <v>335.75283100000001</v>
      </c>
    </row>
    <row r="296" spans="1:9" x14ac:dyDescent="0.45">
      <c r="A296">
        <v>295</v>
      </c>
      <c r="B296">
        <v>77.103059999999999</v>
      </c>
      <c r="C296">
        <v>66.263689999999997</v>
      </c>
      <c r="D296">
        <v>297.70787999999999</v>
      </c>
      <c r="E296">
        <v>6297.3679000000002</v>
      </c>
      <c r="F296">
        <v>895</v>
      </c>
      <c r="G296">
        <v>77.129192877999998</v>
      </c>
      <c r="H296">
        <v>66.039568478999996</v>
      </c>
      <c r="I296">
        <v>117.489401</v>
      </c>
    </row>
    <row r="297" spans="1:9" x14ac:dyDescent="0.45">
      <c r="A297">
        <v>296</v>
      </c>
      <c r="B297">
        <v>54.81241</v>
      </c>
      <c r="C297">
        <v>-36.177729999999997</v>
      </c>
      <c r="D297">
        <v>341.52323000000001</v>
      </c>
      <c r="E297">
        <v>187751.1091</v>
      </c>
      <c r="F297">
        <v>896</v>
      </c>
      <c r="G297">
        <v>56.408150401</v>
      </c>
      <c r="H297">
        <v>-37.141489137999997</v>
      </c>
      <c r="I297">
        <v>160.72783799999999</v>
      </c>
    </row>
    <row r="298" spans="1:9" x14ac:dyDescent="0.45">
      <c r="A298">
        <v>297</v>
      </c>
      <c r="B298">
        <v>37.155099999999997</v>
      </c>
      <c r="C298">
        <v>175.12719999999999</v>
      </c>
      <c r="D298">
        <v>202.77239</v>
      </c>
      <c r="E298">
        <v>152425.64629999999</v>
      </c>
      <c r="F298">
        <v>897</v>
      </c>
      <c r="G298">
        <v>35.886767235999997</v>
      </c>
      <c r="H298">
        <v>174.47382001700001</v>
      </c>
      <c r="I298">
        <v>22.383526</v>
      </c>
    </row>
    <row r="299" spans="1:9" x14ac:dyDescent="0.45">
      <c r="A299">
        <v>298</v>
      </c>
      <c r="B299">
        <v>-77.082490000000007</v>
      </c>
      <c r="C299">
        <v>32.140450000000001</v>
      </c>
      <c r="D299">
        <v>201.11084</v>
      </c>
      <c r="E299">
        <v>110725.2023</v>
      </c>
      <c r="F299">
        <v>898</v>
      </c>
      <c r="G299">
        <v>-78.002492219000004</v>
      </c>
      <c r="H299">
        <v>30.422364193</v>
      </c>
      <c r="I299">
        <v>22.788536000000001</v>
      </c>
    </row>
    <row r="300" spans="1:9" x14ac:dyDescent="0.45">
      <c r="A300">
        <v>299</v>
      </c>
      <c r="B300">
        <v>-70.880790000000005</v>
      </c>
      <c r="C300">
        <v>-124.19826</v>
      </c>
      <c r="D300">
        <v>343.82002999999997</v>
      </c>
      <c r="E300">
        <v>71301.474900000001</v>
      </c>
      <c r="F300">
        <v>899</v>
      </c>
      <c r="G300">
        <v>-70.266251667999995</v>
      </c>
      <c r="H300">
        <v>-124.72528797</v>
      </c>
      <c r="I300">
        <v>164.317061</v>
      </c>
    </row>
    <row r="301" spans="1:9" x14ac:dyDescent="0.45">
      <c r="A301">
        <v>300</v>
      </c>
      <c r="B301">
        <v>56.882150000000003</v>
      </c>
      <c r="C301">
        <v>-12.01582</v>
      </c>
      <c r="D301">
        <v>74.446529999999996</v>
      </c>
      <c r="E301">
        <v>147375.0055</v>
      </c>
      <c r="F301">
        <v>900</v>
      </c>
      <c r="G301">
        <v>57.215072005000003</v>
      </c>
      <c r="H301">
        <v>-9.6655600740000001</v>
      </c>
      <c r="I301">
        <v>256.41879899999998</v>
      </c>
    </row>
    <row r="302" spans="1:9" x14ac:dyDescent="0.45">
      <c r="A302">
        <v>301</v>
      </c>
      <c r="B302">
        <v>62.916879999999999</v>
      </c>
      <c r="C302">
        <v>114.59908</v>
      </c>
      <c r="D302">
        <v>54.045189999999998</v>
      </c>
      <c r="E302">
        <v>7257.9587000000001</v>
      </c>
      <c r="F302">
        <v>901</v>
      </c>
      <c r="G302">
        <v>62.955065707999999</v>
      </c>
      <c r="H302">
        <v>114.714845462</v>
      </c>
      <c r="I302">
        <v>234.148279</v>
      </c>
    </row>
    <row r="303" spans="1:9" x14ac:dyDescent="0.45">
      <c r="A303">
        <v>302</v>
      </c>
      <c r="B303">
        <v>31.286470000000001</v>
      </c>
      <c r="C303">
        <v>127.72828</v>
      </c>
      <c r="D303">
        <v>23.56521</v>
      </c>
      <c r="E303">
        <v>12132.3408</v>
      </c>
      <c r="F303">
        <v>902</v>
      </c>
      <c r="G303">
        <v>31.386757921000001</v>
      </c>
      <c r="H303">
        <v>127.77927441200001</v>
      </c>
      <c r="I303">
        <v>203.59173000000001</v>
      </c>
    </row>
    <row r="304" spans="1:9" x14ac:dyDescent="0.45">
      <c r="A304">
        <v>303</v>
      </c>
      <c r="B304">
        <v>13.955679999999999</v>
      </c>
      <c r="C304">
        <v>106.92726999999999</v>
      </c>
      <c r="D304">
        <v>143.01515000000001</v>
      </c>
      <c r="E304">
        <v>1942.0318</v>
      </c>
      <c r="F304">
        <v>903</v>
      </c>
      <c r="G304">
        <v>13.941658601</v>
      </c>
      <c r="H304">
        <v>106.938081779</v>
      </c>
      <c r="I304">
        <v>323.01775600000002</v>
      </c>
    </row>
    <row r="305" spans="1:9" x14ac:dyDescent="0.45">
      <c r="A305">
        <v>304</v>
      </c>
      <c r="B305">
        <v>48.459600000000002</v>
      </c>
      <c r="C305">
        <v>62.42924</v>
      </c>
      <c r="D305">
        <v>46.348959999999998</v>
      </c>
      <c r="E305">
        <v>17871.3066</v>
      </c>
      <c r="F305">
        <v>904</v>
      </c>
      <c r="G305">
        <v>48.570401095999998</v>
      </c>
      <c r="H305">
        <v>62.604457998000001</v>
      </c>
      <c r="I305">
        <v>226.480221</v>
      </c>
    </row>
    <row r="306" spans="1:9" x14ac:dyDescent="0.45">
      <c r="A306">
        <v>305</v>
      </c>
      <c r="B306">
        <v>-29.79008</v>
      </c>
      <c r="C306">
        <v>6.68893</v>
      </c>
      <c r="D306">
        <v>136.10297</v>
      </c>
      <c r="E306">
        <v>9537.8850000000002</v>
      </c>
      <c r="F306">
        <v>905</v>
      </c>
      <c r="G306">
        <v>-29.852064196000001</v>
      </c>
      <c r="H306">
        <v>6.7573693419999996</v>
      </c>
      <c r="I306">
        <v>316.06893600000001</v>
      </c>
    </row>
    <row r="307" spans="1:9" x14ac:dyDescent="0.45">
      <c r="A307">
        <v>306</v>
      </c>
      <c r="B307">
        <v>50.317419999999998</v>
      </c>
      <c r="C307">
        <v>-59.62623</v>
      </c>
      <c r="D307">
        <v>355.24381</v>
      </c>
      <c r="E307">
        <v>22982.406299999999</v>
      </c>
      <c r="F307">
        <v>906</v>
      </c>
      <c r="G307">
        <v>50.523312744999998</v>
      </c>
      <c r="H307">
        <v>-59.653101823</v>
      </c>
      <c r="I307">
        <v>175.22309899999999</v>
      </c>
    </row>
    <row r="308" spans="1:9" x14ac:dyDescent="0.45">
      <c r="A308">
        <v>307</v>
      </c>
      <c r="B308">
        <v>-78.428160000000005</v>
      </c>
      <c r="C308">
        <v>39.337110000000003</v>
      </c>
      <c r="D308">
        <v>195.47834</v>
      </c>
      <c r="E308">
        <v>20848.2294</v>
      </c>
      <c r="F308">
        <v>907</v>
      </c>
      <c r="G308">
        <v>-78.608009779</v>
      </c>
      <c r="H308">
        <v>39.084882884000002</v>
      </c>
      <c r="I308">
        <v>15.725519999999999</v>
      </c>
    </row>
    <row r="309" spans="1:9" x14ac:dyDescent="0.45">
      <c r="A309">
        <v>308</v>
      </c>
      <c r="B309">
        <v>-59.35342</v>
      </c>
      <c r="C309">
        <v>-29.843499999999999</v>
      </c>
      <c r="D309">
        <v>69.971779999999995</v>
      </c>
      <c r="E309">
        <v>13206.8264</v>
      </c>
      <c r="F309">
        <v>908</v>
      </c>
      <c r="G309">
        <v>-59.312635712000002</v>
      </c>
      <c r="H309">
        <v>-29.625635096</v>
      </c>
      <c r="I309">
        <v>249.78438399999999</v>
      </c>
    </row>
    <row r="310" spans="1:9" x14ac:dyDescent="0.45">
      <c r="A310">
        <v>309</v>
      </c>
      <c r="B310">
        <v>57.926810000000003</v>
      </c>
      <c r="C310">
        <v>-42.026730000000001</v>
      </c>
      <c r="D310">
        <v>318.43894999999998</v>
      </c>
      <c r="E310">
        <v>7221.5405000000001</v>
      </c>
      <c r="F310">
        <v>909</v>
      </c>
      <c r="G310">
        <v>57.975299849000002</v>
      </c>
      <c r="H310">
        <v>-42.107693476999998</v>
      </c>
      <c r="I310">
        <v>138.37032600000001</v>
      </c>
    </row>
    <row r="311" spans="1:9" x14ac:dyDescent="0.45">
      <c r="A311">
        <v>310</v>
      </c>
      <c r="B311">
        <v>12.99788</v>
      </c>
      <c r="C311">
        <v>-120.31726999999999</v>
      </c>
      <c r="D311">
        <v>88.075620000000001</v>
      </c>
      <c r="E311">
        <v>26715.8367</v>
      </c>
      <c r="F311">
        <v>910</v>
      </c>
      <c r="G311">
        <v>13.005872627</v>
      </c>
      <c r="H311">
        <v>-120.07113955299999</v>
      </c>
      <c r="I311">
        <v>268.13099499999998</v>
      </c>
    </row>
    <row r="312" spans="1:9" x14ac:dyDescent="0.45">
      <c r="A312">
        <v>311</v>
      </c>
      <c r="B312">
        <v>-18.429410000000001</v>
      </c>
      <c r="C312">
        <v>-87.414559999999994</v>
      </c>
      <c r="D312">
        <v>19.704820000000002</v>
      </c>
      <c r="E312">
        <v>2268.5140000000001</v>
      </c>
      <c r="F312">
        <v>911</v>
      </c>
      <c r="G312">
        <v>-18.410114832000001</v>
      </c>
      <c r="H312">
        <v>-87.407320710999997</v>
      </c>
      <c r="I312">
        <v>199.70253299999999</v>
      </c>
    </row>
    <row r="313" spans="1:9" x14ac:dyDescent="0.45">
      <c r="A313">
        <v>312</v>
      </c>
      <c r="B313">
        <v>6.5839100000000004</v>
      </c>
      <c r="C313">
        <v>95.047150000000002</v>
      </c>
      <c r="D313">
        <v>352.29441000000003</v>
      </c>
      <c r="E313">
        <v>3493.4261999999999</v>
      </c>
      <c r="F313">
        <v>912</v>
      </c>
      <c r="G313">
        <v>6.6152140240000001</v>
      </c>
      <c r="H313">
        <v>95.042914199999998</v>
      </c>
      <c r="I313">
        <v>172.29392300000001</v>
      </c>
    </row>
    <row r="314" spans="1:9" x14ac:dyDescent="0.45">
      <c r="A314">
        <v>313</v>
      </c>
      <c r="B314">
        <v>76.157539999999997</v>
      </c>
      <c r="C314">
        <v>76.154849999999996</v>
      </c>
      <c r="D314">
        <v>122.24347</v>
      </c>
      <c r="E314">
        <v>28650.026600000001</v>
      </c>
      <c r="F314">
        <v>913</v>
      </c>
      <c r="G314">
        <v>76.018958394999999</v>
      </c>
      <c r="H314">
        <v>77.053023917000004</v>
      </c>
      <c r="I314">
        <v>303.11529999999999</v>
      </c>
    </row>
    <row r="315" spans="1:9" x14ac:dyDescent="0.45">
      <c r="A315">
        <v>314</v>
      </c>
      <c r="B315">
        <v>-38.692169999999997</v>
      </c>
      <c r="C315">
        <v>11.741680000000001</v>
      </c>
      <c r="D315">
        <v>115.08647000000001</v>
      </c>
      <c r="E315">
        <v>17881.781599999998</v>
      </c>
      <c r="F315">
        <v>914</v>
      </c>
      <c r="G315">
        <v>-38.760318181000002</v>
      </c>
      <c r="H315">
        <v>11.928005043000001</v>
      </c>
      <c r="I315">
        <v>294.96990499999998</v>
      </c>
    </row>
    <row r="316" spans="1:9" x14ac:dyDescent="0.45">
      <c r="A316">
        <v>315</v>
      </c>
      <c r="B316">
        <v>7.6002900000000002</v>
      </c>
      <c r="C316">
        <v>-18.95205</v>
      </c>
      <c r="D316">
        <v>121.41288</v>
      </c>
      <c r="E316">
        <v>8602.7864000000009</v>
      </c>
      <c r="F316">
        <v>915</v>
      </c>
      <c r="G316">
        <v>7.5597420120000001</v>
      </c>
      <c r="H316">
        <v>-18.885522104</v>
      </c>
      <c r="I316">
        <v>301.42165599999998</v>
      </c>
    </row>
    <row r="317" spans="1:9" x14ac:dyDescent="0.45">
      <c r="A317">
        <v>316</v>
      </c>
      <c r="B317">
        <v>8.7885799999999996</v>
      </c>
      <c r="C317">
        <v>-6.5092100000000004</v>
      </c>
      <c r="D317">
        <v>263.46775000000002</v>
      </c>
      <c r="E317">
        <v>4760.5142999999998</v>
      </c>
      <c r="F317">
        <v>916</v>
      </c>
      <c r="G317">
        <v>8.7836809230000004</v>
      </c>
      <c r="H317">
        <v>-6.5521976469999998</v>
      </c>
      <c r="I317">
        <v>83.461184000000003</v>
      </c>
    </row>
    <row r="318" spans="1:9" x14ac:dyDescent="0.45">
      <c r="A318">
        <v>317</v>
      </c>
      <c r="B318">
        <v>-18.837409999999998</v>
      </c>
      <c r="C318">
        <v>-21.42191</v>
      </c>
      <c r="D318">
        <v>76.472800000000007</v>
      </c>
      <c r="E318">
        <v>15629.453799999999</v>
      </c>
      <c r="F318">
        <v>917</v>
      </c>
      <c r="G318">
        <v>-18.804326535000001</v>
      </c>
      <c r="H318">
        <v>-21.277756378999999</v>
      </c>
      <c r="I318">
        <v>256.42629499999998</v>
      </c>
    </row>
    <row r="319" spans="1:9" x14ac:dyDescent="0.45">
      <c r="A319">
        <v>318</v>
      </c>
      <c r="B319">
        <v>82.096909999999994</v>
      </c>
      <c r="C319">
        <v>-144.61358999999999</v>
      </c>
      <c r="D319">
        <v>56.097079999999998</v>
      </c>
      <c r="E319">
        <v>8482.1638000000003</v>
      </c>
      <c r="F319">
        <v>918</v>
      </c>
      <c r="G319">
        <v>82.139025891000003</v>
      </c>
      <c r="H319">
        <v>-144.15270974500001</v>
      </c>
      <c r="I319">
        <v>236.553606</v>
      </c>
    </row>
    <row r="320" spans="1:9" x14ac:dyDescent="0.45">
      <c r="A320">
        <v>319</v>
      </c>
      <c r="B320">
        <v>-73.587190000000007</v>
      </c>
      <c r="C320">
        <v>64.883449999999996</v>
      </c>
      <c r="D320">
        <v>219.97379000000001</v>
      </c>
      <c r="E320">
        <v>5976.9780000000001</v>
      </c>
      <c r="F320">
        <v>919</v>
      </c>
      <c r="G320">
        <v>-73.628196250000002</v>
      </c>
      <c r="H320">
        <v>64.761452423999998</v>
      </c>
      <c r="I320">
        <v>40.090828999999999</v>
      </c>
    </row>
    <row r="321" spans="1:9" x14ac:dyDescent="0.45">
      <c r="A321">
        <v>320</v>
      </c>
      <c r="B321">
        <v>74.276669999999996</v>
      </c>
      <c r="C321">
        <v>11.632849999999999</v>
      </c>
      <c r="D321">
        <v>110.60079</v>
      </c>
      <c r="E321">
        <v>14930.198</v>
      </c>
      <c r="F321">
        <v>920</v>
      </c>
      <c r="G321">
        <v>74.229118061999998</v>
      </c>
      <c r="H321">
        <v>12.093333403999999</v>
      </c>
      <c r="I321">
        <v>291.04399100000001</v>
      </c>
    </row>
    <row r="322" spans="1:9" x14ac:dyDescent="0.45">
      <c r="A322">
        <v>321</v>
      </c>
      <c r="B322">
        <v>87.329520000000002</v>
      </c>
      <c r="C322">
        <v>-60.50273</v>
      </c>
      <c r="D322">
        <v>262.91134</v>
      </c>
      <c r="E322">
        <v>4443.6885000000002</v>
      </c>
      <c r="F322">
        <v>921</v>
      </c>
      <c r="G322">
        <v>87.324319197999998</v>
      </c>
      <c r="H322">
        <v>-61.348489006999998</v>
      </c>
      <c r="I322">
        <v>82.066501000000002</v>
      </c>
    </row>
    <row r="323" spans="1:9" x14ac:dyDescent="0.45">
      <c r="A323">
        <v>322</v>
      </c>
      <c r="B323">
        <v>7.2256799999999997</v>
      </c>
      <c r="C323">
        <v>-156.59262000000001</v>
      </c>
      <c r="D323">
        <v>159.33009999999999</v>
      </c>
      <c r="E323">
        <v>2152.6453000000001</v>
      </c>
      <c r="F323">
        <v>922</v>
      </c>
      <c r="G323">
        <v>7.2074681219999999</v>
      </c>
      <c r="H323">
        <v>-156.58574016700001</v>
      </c>
      <c r="I323">
        <v>339.33096399999999</v>
      </c>
    </row>
    <row r="324" spans="1:9" x14ac:dyDescent="0.45">
      <c r="A324">
        <v>323</v>
      </c>
      <c r="B324">
        <v>-75.23912</v>
      </c>
      <c r="C324">
        <v>149.93953999999999</v>
      </c>
      <c r="D324">
        <v>246.50832</v>
      </c>
      <c r="E324">
        <v>15120.408799999999</v>
      </c>
      <c r="F324">
        <v>923</v>
      </c>
      <c r="G324">
        <v>-75.292604498000003</v>
      </c>
      <c r="H324">
        <v>149.450409345</v>
      </c>
      <c r="I324">
        <v>66.981367000000006</v>
      </c>
    </row>
    <row r="325" spans="1:9" x14ac:dyDescent="0.45">
      <c r="A325">
        <v>324</v>
      </c>
      <c r="B325">
        <v>71.338549999999998</v>
      </c>
      <c r="C325">
        <v>72.222679999999997</v>
      </c>
      <c r="D325">
        <v>98.245189999999994</v>
      </c>
      <c r="E325">
        <v>25341.7575</v>
      </c>
      <c r="F325">
        <v>924</v>
      </c>
      <c r="G325">
        <v>71.304676454000003</v>
      </c>
      <c r="H325">
        <v>72.923454211999996</v>
      </c>
      <c r="I325">
        <v>278.90905600000002</v>
      </c>
    </row>
    <row r="326" spans="1:9" x14ac:dyDescent="0.45">
      <c r="A326">
        <v>325</v>
      </c>
      <c r="B326">
        <v>-83.366630000000001</v>
      </c>
      <c r="C326">
        <v>39.498179999999998</v>
      </c>
      <c r="D326">
        <v>180.97749999999999</v>
      </c>
      <c r="E326">
        <v>3720.5039000000002</v>
      </c>
      <c r="F326">
        <v>925</v>
      </c>
      <c r="G326">
        <v>-83.399939396999997</v>
      </c>
      <c r="H326">
        <v>39.493235755000001</v>
      </c>
      <c r="I326">
        <v>0.98241100000000003</v>
      </c>
    </row>
    <row r="327" spans="1:9" x14ac:dyDescent="0.45">
      <c r="A327">
        <v>326</v>
      </c>
      <c r="B327">
        <v>-8.4651200000000006</v>
      </c>
      <c r="C327">
        <v>172.90547000000001</v>
      </c>
      <c r="D327">
        <v>43.146749999999997</v>
      </c>
      <c r="E327">
        <v>6894.2614999999996</v>
      </c>
      <c r="F327">
        <v>926</v>
      </c>
      <c r="G327">
        <v>-8.4196369579999999</v>
      </c>
      <c r="H327">
        <v>172.948281909</v>
      </c>
      <c r="I327">
        <v>223.14046500000001</v>
      </c>
    </row>
    <row r="328" spans="1:9" x14ac:dyDescent="0.45">
      <c r="A328">
        <v>327</v>
      </c>
      <c r="B328">
        <v>16.637</v>
      </c>
      <c r="C328">
        <v>15.36511</v>
      </c>
      <c r="D328">
        <v>13.22964</v>
      </c>
      <c r="E328">
        <v>19129.257399999999</v>
      </c>
      <c r="F328">
        <v>927</v>
      </c>
      <c r="G328">
        <v>16.805263837999998</v>
      </c>
      <c r="H328">
        <v>15.40617949</v>
      </c>
      <c r="I328">
        <v>193.241456</v>
      </c>
    </row>
    <row r="329" spans="1:9" x14ac:dyDescent="0.45">
      <c r="A329">
        <v>328</v>
      </c>
      <c r="B329">
        <v>37.150179999999999</v>
      </c>
      <c r="C329">
        <v>-8.9908400000000004</v>
      </c>
      <c r="D329">
        <v>315.87772999999999</v>
      </c>
      <c r="E329">
        <v>8139.16</v>
      </c>
      <c r="F329">
        <v>928</v>
      </c>
      <c r="G329">
        <v>37.202809174999999</v>
      </c>
      <c r="H329">
        <v>-9.0546691809999995</v>
      </c>
      <c r="I329">
        <v>135.83915999999999</v>
      </c>
    </row>
    <row r="330" spans="1:9" x14ac:dyDescent="0.45">
      <c r="A330">
        <v>329</v>
      </c>
      <c r="B330">
        <v>-32.96116</v>
      </c>
      <c r="C330">
        <v>166.1567</v>
      </c>
      <c r="D330">
        <v>34.893540000000002</v>
      </c>
      <c r="E330">
        <v>10194.331099999999</v>
      </c>
      <c r="F330">
        <v>929</v>
      </c>
      <c r="G330">
        <v>-32.885749285000003</v>
      </c>
      <c r="H330">
        <v>166.219022153</v>
      </c>
      <c r="I330">
        <v>214.859667</v>
      </c>
    </row>
    <row r="331" spans="1:9" x14ac:dyDescent="0.45">
      <c r="A331">
        <v>330</v>
      </c>
      <c r="B331">
        <v>-8.6792499999999997</v>
      </c>
      <c r="C331">
        <v>-127.74823000000001</v>
      </c>
      <c r="D331">
        <v>113.39433</v>
      </c>
      <c r="E331">
        <v>10382.603300000001</v>
      </c>
      <c r="F331">
        <v>930</v>
      </c>
      <c r="G331">
        <v>-8.7165141049999999</v>
      </c>
      <c r="H331">
        <v>-127.661635163</v>
      </c>
      <c r="I331">
        <v>293.381235</v>
      </c>
    </row>
    <row r="332" spans="1:9" x14ac:dyDescent="0.45">
      <c r="A332">
        <v>331</v>
      </c>
      <c r="B332">
        <v>-83.581980000000001</v>
      </c>
      <c r="C332">
        <v>2.7842500000000001</v>
      </c>
      <c r="D332">
        <v>61.323059999999998</v>
      </c>
      <c r="E332">
        <v>3685.6846999999998</v>
      </c>
      <c r="F332">
        <v>931</v>
      </c>
      <c r="G332">
        <v>-83.566078329000007</v>
      </c>
      <c r="H332">
        <v>3.042616277</v>
      </c>
      <c r="I332">
        <v>241.066317</v>
      </c>
    </row>
    <row r="333" spans="1:9" x14ac:dyDescent="0.45">
      <c r="A333">
        <v>332</v>
      </c>
      <c r="B333">
        <v>-10.0052</v>
      </c>
      <c r="C333">
        <v>39.578560000000003</v>
      </c>
      <c r="D333">
        <v>129.38193000000001</v>
      </c>
      <c r="E333">
        <v>415.12889999999999</v>
      </c>
      <c r="F333">
        <v>932</v>
      </c>
      <c r="G333">
        <v>-10.007581318</v>
      </c>
      <c r="H333">
        <v>39.581486636999998</v>
      </c>
      <c r="I333">
        <v>309.38142099999999</v>
      </c>
    </row>
    <row r="334" spans="1:9" x14ac:dyDescent="0.45">
      <c r="A334">
        <v>333</v>
      </c>
      <c r="B334">
        <v>-37.678669999999997</v>
      </c>
      <c r="C334">
        <v>167.51958999999999</v>
      </c>
      <c r="D334">
        <v>147.51739000000001</v>
      </c>
      <c r="E334">
        <v>21589.996299999999</v>
      </c>
      <c r="F334">
        <v>933</v>
      </c>
      <c r="G334">
        <v>-37.842683522000002</v>
      </c>
      <c r="H334">
        <v>167.65131903</v>
      </c>
      <c r="I334">
        <v>327.43672400000003</v>
      </c>
    </row>
    <row r="335" spans="1:9" x14ac:dyDescent="0.45">
      <c r="A335">
        <v>334</v>
      </c>
      <c r="B335">
        <v>71.529849999999996</v>
      </c>
      <c r="C335">
        <v>91.221180000000004</v>
      </c>
      <c r="D335">
        <v>169.45003</v>
      </c>
      <c r="E335">
        <v>6650.0622000000003</v>
      </c>
      <c r="F335">
        <v>934</v>
      </c>
      <c r="G335">
        <v>71.471255544000002</v>
      </c>
      <c r="H335">
        <v>91.255495338000003</v>
      </c>
      <c r="I335">
        <v>349.482572</v>
      </c>
    </row>
    <row r="336" spans="1:9" x14ac:dyDescent="0.45">
      <c r="A336">
        <v>335</v>
      </c>
      <c r="B336">
        <v>18.083159999999999</v>
      </c>
      <c r="C336">
        <v>40.104170000000003</v>
      </c>
      <c r="D336">
        <v>188.96442999999999</v>
      </c>
      <c r="E336">
        <v>29162.233</v>
      </c>
      <c r="F336">
        <v>935</v>
      </c>
      <c r="G336">
        <v>17.822890871999999</v>
      </c>
      <c r="H336">
        <v>40.061305441000002</v>
      </c>
      <c r="I336">
        <v>8.9512180000000008</v>
      </c>
    </row>
    <row r="337" spans="1:9" x14ac:dyDescent="0.45">
      <c r="A337">
        <v>336</v>
      </c>
      <c r="B337">
        <v>46.808669999999999</v>
      </c>
      <c r="C337">
        <v>64.066220000000001</v>
      </c>
      <c r="D337">
        <v>261.57501000000002</v>
      </c>
      <c r="E337">
        <v>23801.801100000001</v>
      </c>
      <c r="F337">
        <v>936</v>
      </c>
      <c r="G337">
        <v>46.776884576999997</v>
      </c>
      <c r="H337">
        <v>63.757926445000003</v>
      </c>
      <c r="I337">
        <v>81.350300000000004</v>
      </c>
    </row>
    <row r="338" spans="1:9" x14ac:dyDescent="0.45">
      <c r="A338">
        <v>337</v>
      </c>
      <c r="B338">
        <v>55.995649999999998</v>
      </c>
      <c r="C338">
        <v>68.921090000000007</v>
      </c>
      <c r="D338">
        <v>63.914360000000002</v>
      </c>
      <c r="E338">
        <v>19883.556799999998</v>
      </c>
      <c r="F338">
        <v>937</v>
      </c>
      <c r="G338">
        <v>56.073841375999997</v>
      </c>
      <c r="H338">
        <v>69.207859593999999</v>
      </c>
      <c r="I338">
        <v>244.15219999999999</v>
      </c>
    </row>
    <row r="339" spans="1:9" x14ac:dyDescent="0.45">
      <c r="A339">
        <v>338</v>
      </c>
      <c r="B339">
        <v>4.6281999999999996</v>
      </c>
      <c r="C339">
        <v>165.89741000000001</v>
      </c>
      <c r="D339">
        <v>51.106110000000001</v>
      </c>
      <c r="E339">
        <v>28786.854500000001</v>
      </c>
      <c r="F339">
        <v>938</v>
      </c>
      <c r="G339">
        <v>4.7916217769999996</v>
      </c>
      <c r="H339">
        <v>166.099379333</v>
      </c>
      <c r="I339">
        <v>231.122694</v>
      </c>
    </row>
    <row r="340" spans="1:9" x14ac:dyDescent="0.45">
      <c r="A340">
        <v>339</v>
      </c>
      <c r="B340">
        <v>-36.8232</v>
      </c>
      <c r="C340">
        <v>132.84128000000001</v>
      </c>
      <c r="D340">
        <v>250.78496000000001</v>
      </c>
      <c r="E340">
        <v>20321.9139</v>
      </c>
      <c r="F340">
        <v>939</v>
      </c>
      <c r="G340">
        <v>-36.883273244999998</v>
      </c>
      <c r="H340">
        <v>132.626021221</v>
      </c>
      <c r="I340">
        <v>70.914064999999994</v>
      </c>
    </row>
    <row r="341" spans="1:9" x14ac:dyDescent="0.45">
      <c r="A341">
        <v>340</v>
      </c>
      <c r="B341">
        <v>75.537220000000005</v>
      </c>
      <c r="C341">
        <v>139.07900000000001</v>
      </c>
      <c r="D341">
        <v>196.20652999999999</v>
      </c>
      <c r="E341">
        <v>19106.947899999999</v>
      </c>
      <c r="F341">
        <v>940</v>
      </c>
      <c r="G341">
        <v>75.372771579000002</v>
      </c>
      <c r="H341">
        <v>138.889894537</v>
      </c>
      <c r="I341">
        <v>16.023485000000001</v>
      </c>
    </row>
    <row r="342" spans="1:9" x14ac:dyDescent="0.45">
      <c r="A342">
        <v>341</v>
      </c>
      <c r="B342">
        <v>-81.00497</v>
      </c>
      <c r="C342">
        <v>-124.15531</v>
      </c>
      <c r="D342">
        <v>29.91328</v>
      </c>
      <c r="E342">
        <v>19978.191999999999</v>
      </c>
      <c r="F342">
        <v>941</v>
      </c>
      <c r="G342">
        <v>-80.849462509999995</v>
      </c>
      <c r="H342">
        <v>-123.59436154399999</v>
      </c>
      <c r="I342">
        <v>209.35934900000001</v>
      </c>
    </row>
    <row r="343" spans="1:9" x14ac:dyDescent="0.45">
      <c r="A343">
        <v>342</v>
      </c>
      <c r="B343">
        <v>59.21228</v>
      </c>
      <c r="C343">
        <v>-73.938140000000004</v>
      </c>
      <c r="D343">
        <v>50.911679999999997</v>
      </c>
      <c r="E343">
        <v>22287.987400000002</v>
      </c>
      <c r="F343">
        <v>942</v>
      </c>
      <c r="G343">
        <v>59.338074825</v>
      </c>
      <c r="H343">
        <v>-73.634166085000004</v>
      </c>
      <c r="I343">
        <v>231.17298600000001</v>
      </c>
    </row>
    <row r="344" spans="1:9" x14ac:dyDescent="0.45">
      <c r="A344">
        <v>343</v>
      </c>
      <c r="B344">
        <v>30.309439999999999</v>
      </c>
      <c r="C344">
        <v>82.808499999999995</v>
      </c>
      <c r="D344">
        <v>322.81364000000002</v>
      </c>
      <c r="E344">
        <v>21229.444200000002</v>
      </c>
      <c r="F344">
        <v>943</v>
      </c>
      <c r="G344">
        <v>30.461934482</v>
      </c>
      <c r="H344">
        <v>82.674891492</v>
      </c>
      <c r="I344">
        <v>142.746058</v>
      </c>
    </row>
    <row r="345" spans="1:9" x14ac:dyDescent="0.45">
      <c r="A345">
        <v>344</v>
      </c>
      <c r="B345">
        <v>-27.001480000000001</v>
      </c>
      <c r="C345">
        <v>-70.466790000000003</v>
      </c>
      <c r="D345">
        <v>76.186160000000001</v>
      </c>
      <c r="E345">
        <v>5761.8068000000003</v>
      </c>
      <c r="F345">
        <v>944</v>
      </c>
      <c r="G345">
        <v>-26.989052727000001</v>
      </c>
      <c r="H345">
        <v>-70.410423866000002</v>
      </c>
      <c r="I345">
        <v>256.160574</v>
      </c>
    </row>
    <row r="346" spans="1:9" x14ac:dyDescent="0.45">
      <c r="A346">
        <v>345</v>
      </c>
      <c r="B346">
        <v>21.06606</v>
      </c>
      <c r="C346">
        <v>179.42932999999999</v>
      </c>
      <c r="D346">
        <v>323.99011000000002</v>
      </c>
      <c r="E346">
        <v>22381.129499999999</v>
      </c>
      <c r="F346">
        <v>945</v>
      </c>
      <c r="G346">
        <v>21.229529738</v>
      </c>
      <c r="H346">
        <v>179.30257604400001</v>
      </c>
      <c r="I346">
        <v>143.94438</v>
      </c>
    </row>
    <row r="347" spans="1:9" x14ac:dyDescent="0.45">
      <c r="A347">
        <v>346</v>
      </c>
      <c r="B347">
        <v>1.8658999999999999</v>
      </c>
      <c r="C347">
        <v>21.927510000000002</v>
      </c>
      <c r="D347">
        <v>9.7335999999999991</v>
      </c>
      <c r="E347">
        <v>20614.375899999999</v>
      </c>
      <c r="F347">
        <v>946</v>
      </c>
      <c r="G347">
        <v>2.049643922</v>
      </c>
      <c r="H347">
        <v>21.958838109999999</v>
      </c>
      <c r="I347">
        <v>189.73466999999999</v>
      </c>
    </row>
    <row r="348" spans="1:9" x14ac:dyDescent="0.45">
      <c r="A348">
        <v>347</v>
      </c>
      <c r="B348">
        <v>87.573009999999996</v>
      </c>
      <c r="C348">
        <v>-122.39171</v>
      </c>
      <c r="D348">
        <v>90.482740000000007</v>
      </c>
      <c r="E348">
        <v>13877.534299999999</v>
      </c>
      <c r="F348">
        <v>947</v>
      </c>
      <c r="G348">
        <v>87.568788374999997</v>
      </c>
      <c r="H348">
        <v>-119.461566101</v>
      </c>
      <c r="I348">
        <v>273.41025200000001</v>
      </c>
    </row>
    <row r="349" spans="1:9" x14ac:dyDescent="0.45">
      <c r="A349">
        <v>348</v>
      </c>
      <c r="B349">
        <v>-49.391500000000001</v>
      </c>
      <c r="C349">
        <v>34.455530000000003</v>
      </c>
      <c r="D349">
        <v>235.17873</v>
      </c>
      <c r="E349">
        <v>24868.251799999998</v>
      </c>
      <c r="F349">
        <v>948</v>
      </c>
      <c r="G349">
        <v>-49.518835510000002</v>
      </c>
      <c r="H349">
        <v>34.173584708999996</v>
      </c>
      <c r="I349">
        <v>55.392980000000001</v>
      </c>
    </row>
    <row r="350" spans="1:9" x14ac:dyDescent="0.45">
      <c r="A350">
        <v>349</v>
      </c>
      <c r="B350">
        <v>19.561489999999999</v>
      </c>
      <c r="C350">
        <v>-15.093909999999999</v>
      </c>
      <c r="D350">
        <v>177.76183</v>
      </c>
      <c r="E350">
        <v>7600.4764999999998</v>
      </c>
      <c r="F350">
        <v>949</v>
      </c>
      <c r="G350">
        <v>19.492883068000001</v>
      </c>
      <c r="H350">
        <v>-15.091082504999999</v>
      </c>
      <c r="I350">
        <v>357.76277499999998</v>
      </c>
    </row>
    <row r="351" spans="1:9" x14ac:dyDescent="0.45">
      <c r="A351">
        <v>350</v>
      </c>
      <c r="B351">
        <v>22.08745</v>
      </c>
      <c r="C351">
        <v>-50.177840000000003</v>
      </c>
      <c r="D351">
        <v>4.9460800000000003</v>
      </c>
      <c r="E351">
        <v>16591.260399999999</v>
      </c>
      <c r="F351">
        <v>950</v>
      </c>
      <c r="G351">
        <v>22.236723418</v>
      </c>
      <c r="H351">
        <v>-50.16396408</v>
      </c>
      <c r="I351">
        <v>184.951314</v>
      </c>
    </row>
    <row r="352" spans="1:9" x14ac:dyDescent="0.45">
      <c r="A352">
        <v>351</v>
      </c>
      <c r="B352">
        <v>60.219909999999999</v>
      </c>
      <c r="C352">
        <v>140.29279</v>
      </c>
      <c r="D352">
        <v>41.953949999999999</v>
      </c>
      <c r="E352">
        <v>9391.4030000000002</v>
      </c>
      <c r="F352">
        <v>951</v>
      </c>
      <c r="G352">
        <v>60.282547223000002</v>
      </c>
      <c r="H352">
        <v>140.4062764</v>
      </c>
      <c r="I352">
        <v>222.05248</v>
      </c>
    </row>
    <row r="353" spans="1:9" x14ac:dyDescent="0.45">
      <c r="A353">
        <v>352</v>
      </c>
      <c r="B353">
        <v>55.900210000000001</v>
      </c>
      <c r="C353">
        <v>151.31617</v>
      </c>
      <c r="D353">
        <v>313.54763000000003</v>
      </c>
      <c r="E353">
        <v>2792.5965999999999</v>
      </c>
      <c r="F353">
        <v>952</v>
      </c>
      <c r="G353">
        <v>55.917485943000003</v>
      </c>
      <c r="H353">
        <v>151.28379801099999</v>
      </c>
      <c r="I353">
        <v>133.52082100000001</v>
      </c>
    </row>
    <row r="354" spans="1:9" x14ac:dyDescent="0.45">
      <c r="A354">
        <v>353</v>
      </c>
      <c r="B354">
        <v>-2.49248</v>
      </c>
      <c r="C354">
        <v>7.2590399999999997</v>
      </c>
      <c r="D354">
        <v>257.20011</v>
      </c>
      <c r="E354">
        <v>28192.577000000001</v>
      </c>
      <c r="F354">
        <v>953</v>
      </c>
      <c r="G354">
        <v>-2.54894205</v>
      </c>
      <c r="H354">
        <v>7.0118323800000004</v>
      </c>
      <c r="I354">
        <v>77.210982000000001</v>
      </c>
    </row>
    <row r="355" spans="1:9" x14ac:dyDescent="0.45">
      <c r="A355">
        <v>354</v>
      </c>
      <c r="B355">
        <v>-5.765E-2</v>
      </c>
      <c r="C355">
        <v>-157.81970999999999</v>
      </c>
      <c r="D355">
        <v>166.02350999999999</v>
      </c>
      <c r="E355">
        <v>27140.077000000001</v>
      </c>
      <c r="F355">
        <v>954</v>
      </c>
      <c r="G355">
        <v>-0.29583000599999998</v>
      </c>
      <c r="H355">
        <v>-157.760825066</v>
      </c>
      <c r="I355">
        <v>346.02332799999999</v>
      </c>
    </row>
    <row r="356" spans="1:9" x14ac:dyDescent="0.45">
      <c r="A356">
        <v>355</v>
      </c>
      <c r="B356">
        <v>59.596429999999998</v>
      </c>
      <c r="C356">
        <v>60.226509999999998</v>
      </c>
      <c r="D356">
        <v>180.20901000000001</v>
      </c>
      <c r="E356">
        <v>11706.651400000001</v>
      </c>
      <c r="F356">
        <v>955</v>
      </c>
      <c r="G356">
        <v>59.491348305000002</v>
      </c>
      <c r="H356">
        <v>60.225756222999998</v>
      </c>
      <c r="I356">
        <v>0.20835999999999999</v>
      </c>
    </row>
    <row r="357" spans="1:9" x14ac:dyDescent="0.45">
      <c r="A357">
        <v>356</v>
      </c>
      <c r="B357">
        <v>-36.75421</v>
      </c>
      <c r="C357">
        <v>-142.1782</v>
      </c>
      <c r="D357">
        <v>211.17688000000001</v>
      </c>
      <c r="E357">
        <v>8158.5919000000004</v>
      </c>
      <c r="F357">
        <v>956</v>
      </c>
      <c r="G357">
        <v>-36.817100871000001</v>
      </c>
      <c r="H357">
        <v>-142.22553630199999</v>
      </c>
      <c r="I357">
        <v>31.205226</v>
      </c>
    </row>
    <row r="358" spans="1:9" x14ac:dyDescent="0.45">
      <c r="A358">
        <v>357</v>
      </c>
      <c r="B358">
        <v>61.48621</v>
      </c>
      <c r="C358">
        <v>27.960650000000001</v>
      </c>
      <c r="D358">
        <v>134.62588</v>
      </c>
      <c r="E358">
        <v>1874.9798000000001</v>
      </c>
      <c r="F358">
        <v>957</v>
      </c>
      <c r="G358">
        <v>61.474388243</v>
      </c>
      <c r="H358">
        <v>27.985687006999999</v>
      </c>
      <c r="I358">
        <v>314.64787899999999</v>
      </c>
    </row>
    <row r="359" spans="1:9" x14ac:dyDescent="0.45">
      <c r="A359">
        <v>358</v>
      </c>
      <c r="B359">
        <v>-88.946669999999997</v>
      </c>
      <c r="C359">
        <v>22.380780000000001</v>
      </c>
      <c r="D359">
        <v>13.434760000000001</v>
      </c>
      <c r="E359">
        <v>13484.368700000001</v>
      </c>
      <c r="F359">
        <v>958</v>
      </c>
      <c r="G359">
        <v>-88.828911274000006</v>
      </c>
      <c r="H359">
        <v>23.753323254000001</v>
      </c>
      <c r="I359">
        <v>192.06247500000001</v>
      </c>
    </row>
    <row r="360" spans="1:9" x14ac:dyDescent="0.45">
      <c r="A360">
        <v>359</v>
      </c>
      <c r="B360">
        <v>-19.17191</v>
      </c>
      <c r="C360">
        <v>-166.02682999999999</v>
      </c>
      <c r="D360">
        <v>178.93833000000001</v>
      </c>
      <c r="E360">
        <v>23242.379099999998</v>
      </c>
      <c r="F360">
        <v>959</v>
      </c>
      <c r="G360">
        <v>-19.381840889999999</v>
      </c>
      <c r="H360">
        <v>-166.02273053100001</v>
      </c>
      <c r="I360">
        <v>358.93697700000001</v>
      </c>
    </row>
    <row r="361" spans="1:9" x14ac:dyDescent="0.45">
      <c r="A361">
        <v>360</v>
      </c>
      <c r="B361">
        <v>60.863930000000003</v>
      </c>
      <c r="C361">
        <v>93.278059999999996</v>
      </c>
      <c r="D361">
        <v>0.91698999999999997</v>
      </c>
      <c r="E361">
        <v>4824.5838999999996</v>
      </c>
      <c r="F361">
        <v>960</v>
      </c>
      <c r="G361">
        <v>60.907222527000002</v>
      </c>
      <c r="H361">
        <v>93.279482857999994</v>
      </c>
      <c r="I361">
        <v>180.91823299999999</v>
      </c>
    </row>
    <row r="362" spans="1:9" x14ac:dyDescent="0.45">
      <c r="A362">
        <v>361</v>
      </c>
      <c r="B362">
        <v>88.060959999999994</v>
      </c>
      <c r="C362">
        <v>-16.23498</v>
      </c>
      <c r="D362">
        <v>131.22766999999999</v>
      </c>
      <c r="E362">
        <v>11868.7088</v>
      </c>
      <c r="F362">
        <v>961</v>
      </c>
      <c r="G362">
        <v>87.989339263000005</v>
      </c>
      <c r="H362">
        <v>-13.956546271000001</v>
      </c>
      <c r="I362">
        <v>313.504751</v>
      </c>
    </row>
    <row r="363" spans="1:9" x14ac:dyDescent="0.45">
      <c r="A363">
        <v>362</v>
      </c>
      <c r="B363">
        <v>27.288689999999999</v>
      </c>
      <c r="C363">
        <v>82.386259999999993</v>
      </c>
      <c r="D363">
        <v>88.458340000000007</v>
      </c>
      <c r="E363">
        <v>24911.404200000001</v>
      </c>
      <c r="F363">
        <v>962</v>
      </c>
      <c r="G363">
        <v>27.294512197</v>
      </c>
      <c r="H363">
        <v>82.637812111000002</v>
      </c>
      <c r="I363">
        <v>268.57368200000002</v>
      </c>
    </row>
    <row r="364" spans="1:9" x14ac:dyDescent="0.45">
      <c r="A364">
        <v>363</v>
      </c>
      <c r="B364">
        <v>-70.597409999999996</v>
      </c>
      <c r="C364">
        <v>155.70582999999999</v>
      </c>
      <c r="D364">
        <v>64.652959999999993</v>
      </c>
      <c r="E364">
        <v>501.83679999999998</v>
      </c>
      <c r="F364">
        <v>963</v>
      </c>
      <c r="G364">
        <v>-70.595484008</v>
      </c>
      <c r="H364">
        <v>155.71805609</v>
      </c>
      <c r="I364">
        <v>244.64142799999999</v>
      </c>
    </row>
    <row r="365" spans="1:9" x14ac:dyDescent="0.45">
      <c r="A365">
        <v>364</v>
      </c>
      <c r="B365">
        <v>70.229839999999996</v>
      </c>
      <c r="C365">
        <v>165.31209000000001</v>
      </c>
      <c r="D365">
        <v>235.96164999999999</v>
      </c>
      <c r="E365">
        <v>5521.8651</v>
      </c>
      <c r="F365">
        <v>964</v>
      </c>
      <c r="G365">
        <v>70.202094696000003</v>
      </c>
      <c r="H365">
        <v>165.191090825</v>
      </c>
      <c r="I365">
        <v>55.847793000000003</v>
      </c>
    </row>
    <row r="366" spans="1:9" x14ac:dyDescent="0.45">
      <c r="A366">
        <v>365</v>
      </c>
      <c r="B366">
        <v>-42.106540000000003</v>
      </c>
      <c r="C366">
        <v>-176.0924</v>
      </c>
      <c r="D366">
        <v>162.23258999999999</v>
      </c>
      <c r="E366">
        <v>2561.4078</v>
      </c>
      <c r="F366">
        <v>965</v>
      </c>
      <c r="G366">
        <v>-42.128499765999997</v>
      </c>
      <c r="H366">
        <v>-176.08294685000001</v>
      </c>
      <c r="I366">
        <v>342.22624999999999</v>
      </c>
    </row>
    <row r="367" spans="1:9" x14ac:dyDescent="0.45">
      <c r="A367">
        <v>366</v>
      </c>
      <c r="B367">
        <v>67.836740000000006</v>
      </c>
      <c r="C367">
        <v>158.67313999999999</v>
      </c>
      <c r="D367">
        <v>323.97041000000002</v>
      </c>
      <c r="E367">
        <v>18639.528399999999</v>
      </c>
      <c r="F367">
        <v>966</v>
      </c>
      <c r="G367">
        <v>67.971683356</v>
      </c>
      <c r="H367">
        <v>158.41130194499999</v>
      </c>
      <c r="I367">
        <v>143.727802</v>
      </c>
    </row>
    <row r="368" spans="1:9" x14ac:dyDescent="0.45">
      <c r="A368">
        <v>367</v>
      </c>
      <c r="B368">
        <v>87.507450000000006</v>
      </c>
      <c r="C368">
        <v>14.386900000000001</v>
      </c>
      <c r="D368">
        <v>247.52189999999999</v>
      </c>
      <c r="E368">
        <v>4096.0942999999997</v>
      </c>
      <c r="F368">
        <v>967</v>
      </c>
      <c r="G368">
        <v>87.493199829000005</v>
      </c>
      <c r="H368">
        <v>13.612114048</v>
      </c>
      <c r="I368">
        <v>66.747850999999997</v>
      </c>
    </row>
    <row r="369" spans="1:9" x14ac:dyDescent="0.45">
      <c r="A369">
        <v>368</v>
      </c>
      <c r="B369">
        <v>-89.259979999999999</v>
      </c>
      <c r="C369">
        <v>-12.74414</v>
      </c>
      <c r="D369">
        <v>199.65513000000001</v>
      </c>
      <c r="E369">
        <v>11243.4959</v>
      </c>
      <c r="F369">
        <v>968</v>
      </c>
      <c r="G369">
        <v>-89.353890574000005</v>
      </c>
      <c r="H369">
        <v>-15.748125923</v>
      </c>
      <c r="I369">
        <v>22.658897</v>
      </c>
    </row>
    <row r="370" spans="1:9" x14ac:dyDescent="0.45">
      <c r="A370">
        <v>369</v>
      </c>
      <c r="B370">
        <v>81.874219999999994</v>
      </c>
      <c r="C370">
        <v>57.893509999999999</v>
      </c>
      <c r="D370">
        <v>33.985300000000002</v>
      </c>
      <c r="E370">
        <v>9933.9928</v>
      </c>
      <c r="F370">
        <v>969</v>
      </c>
      <c r="G370">
        <v>81.947829115999994</v>
      </c>
      <c r="H370">
        <v>58.248455761000002</v>
      </c>
      <c r="I370">
        <v>214.336714</v>
      </c>
    </row>
    <row r="371" spans="1:9" x14ac:dyDescent="0.45">
      <c r="A371">
        <v>370</v>
      </c>
      <c r="B371">
        <v>-21.817710000000002</v>
      </c>
      <c r="C371">
        <v>17.49494</v>
      </c>
      <c r="D371">
        <v>353.72638000000001</v>
      </c>
      <c r="E371">
        <v>8854.6332000000002</v>
      </c>
      <c r="F371">
        <v>970</v>
      </c>
      <c r="G371">
        <v>-21.738220693999999</v>
      </c>
      <c r="H371">
        <v>17.485586699999999</v>
      </c>
      <c r="I371">
        <v>173.72985</v>
      </c>
    </row>
    <row r="372" spans="1:9" x14ac:dyDescent="0.45">
      <c r="A372">
        <v>371</v>
      </c>
      <c r="B372">
        <v>-37.559930000000001</v>
      </c>
      <c r="C372">
        <v>-81.024519999999995</v>
      </c>
      <c r="D372">
        <v>5.2679900000000002</v>
      </c>
      <c r="E372">
        <v>13118.181200000001</v>
      </c>
      <c r="F372">
        <v>971</v>
      </c>
      <c r="G372">
        <v>-37.442232861000001</v>
      </c>
      <c r="H372">
        <v>-81.010909561999995</v>
      </c>
      <c r="I372">
        <v>185.259704</v>
      </c>
    </row>
    <row r="373" spans="1:9" x14ac:dyDescent="0.45">
      <c r="A373">
        <v>372</v>
      </c>
      <c r="B373">
        <v>85.397639999999996</v>
      </c>
      <c r="C373">
        <v>-40.022979999999997</v>
      </c>
      <c r="D373">
        <v>303.10987999999998</v>
      </c>
      <c r="E373">
        <v>19251.567299999999</v>
      </c>
      <c r="F373">
        <v>972</v>
      </c>
      <c r="G373">
        <v>85.489490638000007</v>
      </c>
      <c r="H373">
        <v>-41.859155420999997</v>
      </c>
      <c r="I373">
        <v>121.279506</v>
      </c>
    </row>
    <row r="374" spans="1:9" x14ac:dyDescent="0.45">
      <c r="A374">
        <v>373</v>
      </c>
      <c r="B374">
        <v>-84.312060000000002</v>
      </c>
      <c r="C374">
        <v>177.09359000000001</v>
      </c>
      <c r="D374">
        <v>321.60068000000001</v>
      </c>
      <c r="E374">
        <v>6324.0820000000003</v>
      </c>
      <c r="F374">
        <v>973</v>
      </c>
      <c r="G374">
        <v>-84.267575094999998</v>
      </c>
      <c r="H374">
        <v>176.74147666799999</v>
      </c>
      <c r="I374">
        <v>141.95104599999999</v>
      </c>
    </row>
    <row r="375" spans="1:9" x14ac:dyDescent="0.45">
      <c r="A375">
        <v>374</v>
      </c>
      <c r="B375">
        <v>-10.193519999999999</v>
      </c>
      <c r="C375">
        <v>92.658469999999994</v>
      </c>
      <c r="D375">
        <v>37.950960000000002</v>
      </c>
      <c r="E375">
        <v>17659.712500000001</v>
      </c>
      <c r="F375">
        <v>974</v>
      </c>
      <c r="G375">
        <v>-10.067607599</v>
      </c>
      <c r="H375">
        <v>92.757546954000006</v>
      </c>
      <c r="I375">
        <v>217.93353300000001</v>
      </c>
    </row>
    <row r="376" spans="1:9" x14ac:dyDescent="0.45">
      <c r="A376">
        <v>375</v>
      </c>
      <c r="B376">
        <v>-68.737470000000002</v>
      </c>
      <c r="C376">
        <v>128.52743000000001</v>
      </c>
      <c r="D376">
        <v>270.75546000000003</v>
      </c>
      <c r="E376">
        <v>24197.2647</v>
      </c>
      <c r="F376">
        <v>975</v>
      </c>
      <c r="G376">
        <v>-68.733555820000007</v>
      </c>
      <c r="H376">
        <v>127.92992178999999</v>
      </c>
      <c r="I376">
        <v>91.312287999999995</v>
      </c>
    </row>
    <row r="377" spans="1:9" x14ac:dyDescent="0.45">
      <c r="A377">
        <v>376</v>
      </c>
      <c r="B377">
        <v>-47.171120000000002</v>
      </c>
      <c r="C377">
        <v>99.953890000000001</v>
      </c>
      <c r="D377">
        <v>112.09734</v>
      </c>
      <c r="E377">
        <v>11984.5826</v>
      </c>
      <c r="F377">
        <v>976</v>
      </c>
      <c r="G377">
        <v>-47.211578494000001</v>
      </c>
      <c r="H377">
        <v>100.100470939</v>
      </c>
      <c r="I377">
        <v>291.98980399999999</v>
      </c>
    </row>
    <row r="378" spans="1:9" x14ac:dyDescent="0.45">
      <c r="A378">
        <v>377</v>
      </c>
      <c r="B378">
        <v>61.776020000000003</v>
      </c>
      <c r="C378">
        <v>77.402339999999995</v>
      </c>
      <c r="D378">
        <v>51.526249999999997</v>
      </c>
      <c r="E378">
        <v>22940.981500000002</v>
      </c>
      <c r="F378">
        <v>977</v>
      </c>
      <c r="G378">
        <v>61.903669729999997</v>
      </c>
      <c r="H378">
        <v>77.744029022000007</v>
      </c>
      <c r="I378">
        <v>231.827494</v>
      </c>
    </row>
    <row r="379" spans="1:9" x14ac:dyDescent="0.45">
      <c r="A379">
        <v>378</v>
      </c>
      <c r="B379">
        <v>13.718999999999999</v>
      </c>
      <c r="C379">
        <v>3.6030799999999998</v>
      </c>
      <c r="D379">
        <v>203.28585000000001</v>
      </c>
      <c r="E379">
        <v>1283.5830000000001</v>
      </c>
      <c r="F379">
        <v>978</v>
      </c>
      <c r="G379">
        <v>13.708343208000001</v>
      </c>
      <c r="H379">
        <v>3.5983889609999999</v>
      </c>
      <c r="I379">
        <v>23.284738000000001</v>
      </c>
    </row>
    <row r="380" spans="1:9" x14ac:dyDescent="0.45">
      <c r="A380">
        <v>379</v>
      </c>
      <c r="B380">
        <v>-31.255189999999999</v>
      </c>
      <c r="C380">
        <v>36.001280000000001</v>
      </c>
      <c r="D380">
        <v>285.43349000000001</v>
      </c>
      <c r="E380">
        <v>18201.4208</v>
      </c>
      <c r="F380">
        <v>979</v>
      </c>
      <c r="G380">
        <v>-31.211370909999999</v>
      </c>
      <c r="H380">
        <v>35.817162674000002</v>
      </c>
      <c r="I380">
        <v>105.528959</v>
      </c>
    </row>
    <row r="381" spans="1:9" x14ac:dyDescent="0.45">
      <c r="A381">
        <v>380</v>
      </c>
      <c r="B381">
        <v>70.234660000000005</v>
      </c>
      <c r="C381">
        <v>32.877980000000001</v>
      </c>
      <c r="D381">
        <v>219.08575999999999</v>
      </c>
      <c r="E381">
        <v>22871.2582</v>
      </c>
      <c r="F381">
        <v>980</v>
      </c>
      <c r="G381">
        <v>70.075131729000006</v>
      </c>
      <c r="H381">
        <v>32.498995086999997</v>
      </c>
      <c r="I381">
        <v>38.729281</v>
      </c>
    </row>
    <row r="382" spans="1:9" x14ac:dyDescent="0.45">
      <c r="A382">
        <v>381</v>
      </c>
      <c r="B382">
        <v>-65.090829999999997</v>
      </c>
      <c r="C382">
        <v>-6.8039399999999999</v>
      </c>
      <c r="D382">
        <v>259.05286000000001</v>
      </c>
      <c r="E382">
        <v>23273.973000000002</v>
      </c>
      <c r="F382">
        <v>981</v>
      </c>
      <c r="G382">
        <v>-65.129681896999998</v>
      </c>
      <c r="H382">
        <v>-7.2906765609999997</v>
      </c>
      <c r="I382">
        <v>79.494388999999998</v>
      </c>
    </row>
    <row r="383" spans="1:9" x14ac:dyDescent="0.45">
      <c r="A383">
        <v>382</v>
      </c>
      <c r="B383">
        <v>-7.7777599999999998</v>
      </c>
      <c r="C383">
        <v>133.24248</v>
      </c>
      <c r="D383">
        <v>34.366959999999999</v>
      </c>
      <c r="E383">
        <v>8216.3669000000009</v>
      </c>
      <c r="F383">
        <v>982</v>
      </c>
      <c r="G383">
        <v>-7.7164337730000003</v>
      </c>
      <c r="H383">
        <v>133.284522641</v>
      </c>
      <c r="I383">
        <v>214.36129299999999</v>
      </c>
    </row>
    <row r="384" spans="1:9" x14ac:dyDescent="0.45">
      <c r="A384">
        <v>383</v>
      </c>
      <c r="B384">
        <v>-70.271079999999998</v>
      </c>
      <c r="C384">
        <v>41.891539999999999</v>
      </c>
      <c r="D384">
        <v>162.38686000000001</v>
      </c>
      <c r="E384">
        <v>13182.615400000001</v>
      </c>
      <c r="F384">
        <v>983</v>
      </c>
      <c r="G384">
        <v>-70.383669216000001</v>
      </c>
      <c r="H384">
        <v>41.997957177000004</v>
      </c>
      <c r="I384">
        <v>342.286654</v>
      </c>
    </row>
    <row r="385" spans="1:9" x14ac:dyDescent="0.45">
      <c r="A385">
        <v>384</v>
      </c>
      <c r="B385">
        <v>-51.177599999999998</v>
      </c>
      <c r="C385">
        <v>123.76352</v>
      </c>
      <c r="D385">
        <v>73.117620000000002</v>
      </c>
      <c r="E385">
        <v>8746.3081999999995</v>
      </c>
      <c r="F385">
        <v>984</v>
      </c>
      <c r="G385">
        <v>-51.154707684999998</v>
      </c>
      <c r="H385">
        <v>123.883144014</v>
      </c>
      <c r="I385">
        <v>253.02443700000001</v>
      </c>
    </row>
    <row r="386" spans="1:9" x14ac:dyDescent="0.45">
      <c r="A386">
        <v>385</v>
      </c>
      <c r="B386">
        <v>54.591160000000002</v>
      </c>
      <c r="C386">
        <v>49.19435</v>
      </c>
      <c r="D386">
        <v>1.57955</v>
      </c>
      <c r="E386">
        <v>14926.705900000001</v>
      </c>
      <c r="F386">
        <v>985</v>
      </c>
      <c r="G386">
        <v>54.725200493000003</v>
      </c>
      <c r="H386">
        <v>49.200735958999999</v>
      </c>
      <c r="I386">
        <v>181.58475899999999</v>
      </c>
    </row>
    <row r="387" spans="1:9" x14ac:dyDescent="0.45">
      <c r="A387">
        <v>386</v>
      </c>
      <c r="B387">
        <v>19.514759999999999</v>
      </c>
      <c r="C387">
        <v>1.95926</v>
      </c>
      <c r="D387">
        <v>327.70679999999999</v>
      </c>
      <c r="E387">
        <v>22339.502799999998</v>
      </c>
      <c r="F387">
        <v>986</v>
      </c>
      <c r="G387">
        <v>19.685313633</v>
      </c>
      <c r="H387">
        <v>1.845435363</v>
      </c>
      <c r="I387">
        <v>147.66861700000001</v>
      </c>
    </row>
    <row r="388" spans="1:9" x14ac:dyDescent="0.45">
      <c r="A388">
        <v>387</v>
      </c>
      <c r="B388">
        <v>65.420969999999997</v>
      </c>
      <c r="C388">
        <v>-170.35336000000001</v>
      </c>
      <c r="D388">
        <v>213.65719000000001</v>
      </c>
      <c r="E388">
        <v>12379.651</v>
      </c>
      <c r="F388">
        <v>987</v>
      </c>
      <c r="G388">
        <v>65.328480213999995</v>
      </c>
      <c r="H388">
        <v>-170.500608019</v>
      </c>
      <c r="I388">
        <v>33.523333999999998</v>
      </c>
    </row>
    <row r="389" spans="1:9" x14ac:dyDescent="0.45">
      <c r="A389">
        <v>388</v>
      </c>
      <c r="B389">
        <v>27.229510000000001</v>
      </c>
      <c r="C389">
        <v>65.716399999999993</v>
      </c>
      <c r="D389">
        <v>38.016590000000001</v>
      </c>
      <c r="E389">
        <v>9394.1258999999991</v>
      </c>
      <c r="F389">
        <v>988</v>
      </c>
      <c r="G389">
        <v>27.296289185999999</v>
      </c>
      <c r="H389">
        <v>65.774845729999996</v>
      </c>
      <c r="I389">
        <v>218.043362</v>
      </c>
    </row>
    <row r="390" spans="1:9" x14ac:dyDescent="0.45">
      <c r="A390">
        <v>389</v>
      </c>
      <c r="B390">
        <v>-33.65849</v>
      </c>
      <c r="C390">
        <v>65.295010000000005</v>
      </c>
      <c r="D390">
        <v>105.4221</v>
      </c>
      <c r="E390">
        <v>15742.0088</v>
      </c>
      <c r="F390">
        <v>989</v>
      </c>
      <c r="G390">
        <v>-33.696123896000003</v>
      </c>
      <c r="H390">
        <v>65.458690171000001</v>
      </c>
      <c r="I390">
        <v>285.33133700000002</v>
      </c>
    </row>
    <row r="391" spans="1:9" x14ac:dyDescent="0.45">
      <c r="A391">
        <v>390</v>
      </c>
      <c r="B391">
        <v>-6.7320099999999998</v>
      </c>
      <c r="C391">
        <v>35.167299999999997</v>
      </c>
      <c r="D391">
        <v>291.31416999999999</v>
      </c>
      <c r="E391">
        <v>2455.7743</v>
      </c>
      <c r="F391">
        <v>990</v>
      </c>
      <c r="G391">
        <v>-6.7239380119999996</v>
      </c>
      <c r="H391">
        <v>35.146606931000001</v>
      </c>
      <c r="I391">
        <v>111.31659399999999</v>
      </c>
    </row>
    <row r="392" spans="1:9" x14ac:dyDescent="0.45">
      <c r="A392">
        <v>391</v>
      </c>
      <c r="B392">
        <v>-45.224739999999997</v>
      </c>
      <c r="C392">
        <v>-26.575240000000001</v>
      </c>
      <c r="D392">
        <v>132.31314</v>
      </c>
      <c r="E392">
        <v>8116.2794999999996</v>
      </c>
      <c r="F392">
        <v>991</v>
      </c>
      <c r="G392">
        <v>-45.273876713999996</v>
      </c>
      <c r="H392">
        <v>-26.498755015</v>
      </c>
      <c r="I392">
        <v>312.25882200000001</v>
      </c>
    </row>
    <row r="393" spans="1:9" x14ac:dyDescent="0.45">
      <c r="A393">
        <v>392</v>
      </c>
      <c r="B393">
        <v>-23.66947</v>
      </c>
      <c r="C393">
        <v>-102.49858999999999</v>
      </c>
      <c r="D393">
        <v>8.3412699999999997</v>
      </c>
      <c r="E393">
        <v>21432.472000000002</v>
      </c>
      <c r="F393">
        <v>992</v>
      </c>
      <c r="G393">
        <v>-23.477996615999999</v>
      </c>
      <c r="H393">
        <v>-102.468154986</v>
      </c>
      <c r="I393">
        <v>188.32909799999999</v>
      </c>
    </row>
    <row r="394" spans="1:9" x14ac:dyDescent="0.45">
      <c r="A394">
        <v>393</v>
      </c>
      <c r="B394">
        <v>-44.371169999999999</v>
      </c>
      <c r="C394">
        <v>-88.262230000000002</v>
      </c>
      <c r="D394">
        <v>132.73383999999999</v>
      </c>
      <c r="E394">
        <v>13205.754800000001</v>
      </c>
      <c r="F394">
        <v>993</v>
      </c>
      <c r="G394">
        <v>-44.451750465000003</v>
      </c>
      <c r="H394">
        <v>-88.140365607000007</v>
      </c>
      <c r="I394">
        <v>312.64855899999998</v>
      </c>
    </row>
    <row r="395" spans="1:9" x14ac:dyDescent="0.45">
      <c r="A395">
        <v>394</v>
      </c>
      <c r="B395">
        <v>83.380719999999997</v>
      </c>
      <c r="C395">
        <v>95.78349</v>
      </c>
      <c r="D395">
        <v>206.85676000000001</v>
      </c>
      <c r="E395">
        <v>29222.171399999999</v>
      </c>
      <c r="F395">
        <v>994</v>
      </c>
      <c r="G395">
        <v>83.146265017000005</v>
      </c>
      <c r="H395">
        <v>94.792967157000007</v>
      </c>
      <c r="I395">
        <v>25.873073000000002</v>
      </c>
    </row>
    <row r="396" spans="1:9" x14ac:dyDescent="0.45">
      <c r="A396">
        <v>395</v>
      </c>
      <c r="B396">
        <v>-12.13261</v>
      </c>
      <c r="C396">
        <v>-95.774749999999997</v>
      </c>
      <c r="D396">
        <v>213.42152999999999</v>
      </c>
      <c r="E396">
        <v>25749.614000000001</v>
      </c>
      <c r="F396">
        <v>995</v>
      </c>
      <c r="G396">
        <v>-12.326855818</v>
      </c>
      <c r="H396">
        <v>-95.905142189000003</v>
      </c>
      <c r="I396">
        <v>33.449151000000001</v>
      </c>
    </row>
    <row r="397" spans="1:9" x14ac:dyDescent="0.45">
      <c r="A397">
        <v>396</v>
      </c>
      <c r="B397">
        <v>49.43486</v>
      </c>
      <c r="C397">
        <v>166.94150999999999</v>
      </c>
      <c r="D397">
        <v>267.01952</v>
      </c>
      <c r="E397">
        <v>13669.7415</v>
      </c>
      <c r="F397">
        <v>996</v>
      </c>
      <c r="G397">
        <v>49.428316117999998</v>
      </c>
      <c r="H397">
        <v>166.75332651100001</v>
      </c>
      <c r="I397">
        <v>86.876570000000001</v>
      </c>
    </row>
    <row r="398" spans="1:9" x14ac:dyDescent="0.45">
      <c r="A398">
        <v>397</v>
      </c>
      <c r="B398">
        <v>-23.851330000000001</v>
      </c>
      <c r="C398">
        <v>-71.16771</v>
      </c>
      <c r="D398">
        <v>238.72827000000001</v>
      </c>
      <c r="E398">
        <v>29773.488300000001</v>
      </c>
      <c r="F398">
        <v>997</v>
      </c>
      <c r="G398">
        <v>-23.990669570000001</v>
      </c>
      <c r="H398">
        <v>-71.417789204000002</v>
      </c>
      <c r="I398">
        <v>58.829670999999998</v>
      </c>
    </row>
    <row r="399" spans="1:9" x14ac:dyDescent="0.45">
      <c r="A399">
        <v>398</v>
      </c>
      <c r="B399">
        <v>66.933080000000004</v>
      </c>
      <c r="C399">
        <v>1.2861100000000001</v>
      </c>
      <c r="D399">
        <v>90.079899999999995</v>
      </c>
      <c r="E399">
        <v>29052.516299999999</v>
      </c>
      <c r="F399">
        <v>998</v>
      </c>
      <c r="G399">
        <v>66.931327487999994</v>
      </c>
      <c r="H399">
        <v>1.950287431</v>
      </c>
      <c r="I399">
        <v>270.69097199999999</v>
      </c>
    </row>
    <row r="400" spans="1:9" x14ac:dyDescent="0.45">
      <c r="A400">
        <v>399</v>
      </c>
      <c r="B400">
        <v>3.09491</v>
      </c>
      <c r="C400">
        <v>122.9888</v>
      </c>
      <c r="D400">
        <v>295.12929000000003</v>
      </c>
      <c r="E400">
        <v>3862.9740000000002</v>
      </c>
      <c r="F400">
        <v>999</v>
      </c>
      <c r="G400">
        <v>3.1097449080000001</v>
      </c>
      <c r="H400">
        <v>122.957336744</v>
      </c>
      <c r="I400">
        <v>115.12758700000001</v>
      </c>
    </row>
    <row r="401" spans="1:9" x14ac:dyDescent="0.45">
      <c r="A401">
        <v>400</v>
      </c>
      <c r="B401">
        <v>49.475580000000001</v>
      </c>
      <c r="C401">
        <v>-101.38177</v>
      </c>
      <c r="D401">
        <v>38.834029999999998</v>
      </c>
      <c r="E401">
        <v>26818.222600000001</v>
      </c>
      <c r="F401">
        <v>1000</v>
      </c>
      <c r="G401">
        <v>49.663175076999998</v>
      </c>
      <c r="H401">
        <v>-101.14883539500001</v>
      </c>
      <c r="I401">
        <v>219.01133799999999</v>
      </c>
    </row>
    <row r="402" spans="1:9" x14ac:dyDescent="0.45">
      <c r="A402">
        <v>401</v>
      </c>
      <c r="B402">
        <v>66.461460000000002</v>
      </c>
      <c r="C402">
        <v>93.656599999999997</v>
      </c>
      <c r="D402">
        <v>337.96960999999999</v>
      </c>
      <c r="E402">
        <v>127.5797</v>
      </c>
      <c r="F402">
        <v>1001</v>
      </c>
      <c r="G402">
        <v>66.462520530000006</v>
      </c>
      <c r="H402">
        <v>93.655526559999998</v>
      </c>
      <c r="I402">
        <v>157.968626</v>
      </c>
    </row>
    <row r="403" spans="1:9" x14ac:dyDescent="0.45">
      <c r="A403">
        <v>402</v>
      </c>
      <c r="B403">
        <v>70.826660000000004</v>
      </c>
      <c r="C403">
        <v>-104.88619</v>
      </c>
      <c r="D403">
        <v>3.5659100000000001</v>
      </c>
      <c r="E403">
        <v>926.50239999999997</v>
      </c>
      <c r="F403">
        <v>1002</v>
      </c>
      <c r="G403">
        <v>70.834947966000001</v>
      </c>
      <c r="H403">
        <v>-104.88461788799999</v>
      </c>
      <c r="I403">
        <v>183.567395</v>
      </c>
    </row>
    <row r="404" spans="1:9" x14ac:dyDescent="0.45">
      <c r="A404">
        <v>403</v>
      </c>
      <c r="B404">
        <v>4.0334099999999999</v>
      </c>
      <c r="C404">
        <v>3.1151</v>
      </c>
      <c r="D404">
        <v>77.926869999999994</v>
      </c>
      <c r="E404">
        <v>2066.0987</v>
      </c>
      <c r="F404">
        <v>1003</v>
      </c>
      <c r="G404">
        <v>4.0373177910000004</v>
      </c>
      <c r="H404">
        <v>3.1332944079999998</v>
      </c>
      <c r="I404">
        <v>257.92815000000002</v>
      </c>
    </row>
    <row r="405" spans="1:9" x14ac:dyDescent="0.45">
      <c r="A405">
        <v>404</v>
      </c>
      <c r="B405">
        <v>-87.02346</v>
      </c>
      <c r="C405">
        <v>40.207279999999997</v>
      </c>
      <c r="D405">
        <v>162.63477</v>
      </c>
      <c r="E405">
        <v>2378.8726000000001</v>
      </c>
      <c r="F405">
        <v>1004</v>
      </c>
      <c r="G405">
        <v>-87.043781115000002</v>
      </c>
      <c r="H405">
        <v>40.330537380000003</v>
      </c>
      <c r="I405">
        <v>342.51167800000002</v>
      </c>
    </row>
    <row r="406" spans="1:9" x14ac:dyDescent="0.45">
      <c r="A406">
        <v>405</v>
      </c>
      <c r="B406">
        <v>15.754440000000001</v>
      </c>
      <c r="C406">
        <v>28.95121</v>
      </c>
      <c r="D406">
        <v>113.33511</v>
      </c>
      <c r="E406">
        <v>598.16459999999995</v>
      </c>
      <c r="F406">
        <v>1005</v>
      </c>
      <c r="G406">
        <v>15.752298731</v>
      </c>
      <c r="H406">
        <v>28.956335141</v>
      </c>
      <c r="I406">
        <v>293.336501</v>
      </c>
    </row>
    <row r="407" spans="1:9" x14ac:dyDescent="0.45">
      <c r="A407">
        <v>406</v>
      </c>
      <c r="B407">
        <v>-80.318340000000006</v>
      </c>
      <c r="C407">
        <v>171.35975999999999</v>
      </c>
      <c r="D407">
        <v>128.19161</v>
      </c>
      <c r="E407">
        <v>2658.8733999999999</v>
      </c>
      <c r="F407">
        <v>1006</v>
      </c>
      <c r="G407">
        <v>-80.333044724999993</v>
      </c>
      <c r="H407">
        <v>171.47118901100001</v>
      </c>
      <c r="I407">
        <v>308.08176600000002</v>
      </c>
    </row>
    <row r="408" spans="1:9" x14ac:dyDescent="0.45">
      <c r="A408">
        <v>407</v>
      </c>
      <c r="B408">
        <v>-42.492170000000002</v>
      </c>
      <c r="C408">
        <v>170.47765999999999</v>
      </c>
      <c r="D408">
        <v>310.09372000000002</v>
      </c>
      <c r="E408">
        <v>1865.2722000000001</v>
      </c>
      <c r="F408">
        <v>1007</v>
      </c>
      <c r="G408">
        <v>-42.481354138999997</v>
      </c>
      <c r="H408">
        <v>170.46030584299999</v>
      </c>
      <c r="I408">
        <v>130.10544100000001</v>
      </c>
    </row>
    <row r="409" spans="1:9" x14ac:dyDescent="0.45">
      <c r="A409">
        <v>408</v>
      </c>
      <c r="B409">
        <v>34.714449999999999</v>
      </c>
      <c r="C409">
        <v>-142.19544999999999</v>
      </c>
      <c r="D409">
        <v>255.7319</v>
      </c>
      <c r="E409">
        <v>2963.6988000000001</v>
      </c>
      <c r="F409">
        <v>1008</v>
      </c>
      <c r="G409">
        <v>34.707861663000003</v>
      </c>
      <c r="H409">
        <v>-142.22680283400001</v>
      </c>
      <c r="I409">
        <v>75.714045999999996</v>
      </c>
    </row>
    <row r="410" spans="1:9" x14ac:dyDescent="0.45">
      <c r="A410">
        <v>409</v>
      </c>
      <c r="B410">
        <v>-10.031370000000001</v>
      </c>
      <c r="C410">
        <v>58.65645</v>
      </c>
      <c r="D410">
        <v>74.390590000000003</v>
      </c>
      <c r="E410">
        <v>1864.1994</v>
      </c>
      <c r="F410">
        <v>1009</v>
      </c>
      <c r="G410">
        <v>-10.026834524</v>
      </c>
      <c r="H410">
        <v>58.672827259000002</v>
      </c>
      <c r="I410">
        <v>254.38773800000001</v>
      </c>
    </row>
    <row r="411" spans="1:9" x14ac:dyDescent="0.45">
      <c r="A411">
        <v>410</v>
      </c>
      <c r="B411">
        <v>-60.351030000000002</v>
      </c>
      <c r="C411">
        <v>58.51435</v>
      </c>
      <c r="D411">
        <v>192.98403999999999</v>
      </c>
      <c r="E411">
        <v>434.13080000000002</v>
      </c>
      <c r="F411">
        <v>1010</v>
      </c>
      <c r="G411">
        <v>-60.354826774000003</v>
      </c>
      <c r="H411">
        <v>58.512583008999997</v>
      </c>
      <c r="I411">
        <v>12.985576</v>
      </c>
    </row>
    <row r="412" spans="1:9" x14ac:dyDescent="0.45">
      <c r="A412">
        <v>411</v>
      </c>
      <c r="B412">
        <v>79.351789999999994</v>
      </c>
      <c r="C412">
        <v>-56.456060000000001</v>
      </c>
      <c r="D412">
        <v>51.214190000000002</v>
      </c>
      <c r="E412">
        <v>2755.375</v>
      </c>
      <c r="F412">
        <v>1011</v>
      </c>
      <c r="G412">
        <v>79.367231036999996</v>
      </c>
      <c r="H412">
        <v>-56.351831816999997</v>
      </c>
      <c r="I412">
        <v>231.31662600000001</v>
      </c>
    </row>
    <row r="413" spans="1:9" x14ac:dyDescent="0.45">
      <c r="A413">
        <v>412</v>
      </c>
      <c r="B413">
        <v>32.115189999999998</v>
      </c>
      <c r="C413">
        <v>-85.646919999999994</v>
      </c>
      <c r="D413">
        <v>24.316459999999999</v>
      </c>
      <c r="E413">
        <v>551.63620000000003</v>
      </c>
      <c r="F413">
        <v>1012</v>
      </c>
      <c r="G413">
        <v>32.119723325000002</v>
      </c>
      <c r="H413">
        <v>-85.644512981999995</v>
      </c>
      <c r="I413">
        <v>204.31773999999999</v>
      </c>
    </row>
    <row r="414" spans="1:9" x14ac:dyDescent="0.45">
      <c r="A414">
        <v>413</v>
      </c>
      <c r="B414">
        <v>-66.744129999999998</v>
      </c>
      <c r="C414">
        <v>112.51819</v>
      </c>
      <c r="D414">
        <v>64.061499999999995</v>
      </c>
      <c r="E414">
        <v>1356.1890000000001</v>
      </c>
      <c r="F414">
        <v>1013</v>
      </c>
      <c r="G414">
        <v>-66.738808211999995</v>
      </c>
      <c r="H414">
        <v>112.545852604</v>
      </c>
      <c r="I414">
        <v>244.03608500000001</v>
      </c>
    </row>
    <row r="415" spans="1:9" x14ac:dyDescent="0.45">
      <c r="A415">
        <v>414</v>
      </c>
      <c r="B415">
        <v>0.26845000000000002</v>
      </c>
      <c r="C415">
        <v>-15.071</v>
      </c>
      <c r="D415">
        <v>247.40186</v>
      </c>
      <c r="E415">
        <v>914.31590000000006</v>
      </c>
      <c r="F415">
        <v>1014</v>
      </c>
      <c r="G415">
        <v>0.265272587</v>
      </c>
      <c r="H415">
        <v>-15.078582914</v>
      </c>
      <c r="I415">
        <v>67.401825000000002</v>
      </c>
    </row>
    <row r="416" spans="1:9" x14ac:dyDescent="0.45">
      <c r="A416">
        <v>415</v>
      </c>
      <c r="B416">
        <v>-78.616709999999998</v>
      </c>
      <c r="C416">
        <v>-159.26516000000001</v>
      </c>
      <c r="D416">
        <v>299.11264999999997</v>
      </c>
      <c r="E416">
        <v>543.87559999999996</v>
      </c>
      <c r="F416">
        <v>1015</v>
      </c>
      <c r="G416">
        <v>-78.614339212000004</v>
      </c>
      <c r="H416">
        <v>-159.286712524</v>
      </c>
      <c r="I416">
        <v>119.13377800000001</v>
      </c>
    </row>
    <row r="417" spans="1:9" x14ac:dyDescent="0.45">
      <c r="A417">
        <v>416</v>
      </c>
      <c r="B417">
        <v>50.509030000000003</v>
      </c>
      <c r="C417">
        <v>89.373239999999996</v>
      </c>
      <c r="D417">
        <v>29.855509999999999</v>
      </c>
      <c r="E417">
        <v>2619.2867999999999</v>
      </c>
      <c r="F417">
        <v>1016</v>
      </c>
      <c r="G417">
        <v>50.529450011999998</v>
      </c>
      <c r="H417">
        <v>89.391629578000007</v>
      </c>
      <c r="I417">
        <v>209.86970400000001</v>
      </c>
    </row>
    <row r="418" spans="1:9" x14ac:dyDescent="0.45">
      <c r="A418">
        <v>417</v>
      </c>
      <c r="B418">
        <v>-27.730129999999999</v>
      </c>
      <c r="C418">
        <v>154.33895000000001</v>
      </c>
      <c r="D418">
        <v>6.3365299999999998</v>
      </c>
      <c r="E418">
        <v>500.95839999999998</v>
      </c>
      <c r="F418">
        <v>1017</v>
      </c>
      <c r="G418">
        <v>-27.725636947000002</v>
      </c>
      <c r="H418">
        <v>154.339510692</v>
      </c>
      <c r="I418">
        <v>186.33626899999999</v>
      </c>
    </row>
    <row r="419" spans="1:9" x14ac:dyDescent="0.45">
      <c r="A419">
        <v>418</v>
      </c>
      <c r="B419">
        <v>46.087499999999999</v>
      </c>
      <c r="C419">
        <v>-169.65037000000001</v>
      </c>
      <c r="D419">
        <v>47.855159999999998</v>
      </c>
      <c r="E419">
        <v>612.99509999999998</v>
      </c>
      <c r="F419">
        <v>1018</v>
      </c>
      <c r="G419">
        <v>46.091200368000003</v>
      </c>
      <c r="H419">
        <v>-169.64449296699999</v>
      </c>
      <c r="I419">
        <v>227.85939400000001</v>
      </c>
    </row>
    <row r="420" spans="1:9" x14ac:dyDescent="0.45">
      <c r="A420">
        <v>419</v>
      </c>
      <c r="B420">
        <v>-89.666889999999995</v>
      </c>
      <c r="C420">
        <v>179.43251000000001</v>
      </c>
      <c r="D420">
        <v>260.77467000000001</v>
      </c>
      <c r="E420">
        <v>2206.3631999999998</v>
      </c>
      <c r="F420">
        <v>1019</v>
      </c>
      <c r="G420">
        <v>-89.669481239999996</v>
      </c>
      <c r="H420">
        <v>176.05050381000001</v>
      </c>
      <c r="I420">
        <v>84.156620000000004</v>
      </c>
    </row>
    <row r="421" spans="1:9" x14ac:dyDescent="0.45">
      <c r="A421">
        <v>420</v>
      </c>
      <c r="B421">
        <v>5.4884199999999996</v>
      </c>
      <c r="C421">
        <v>-54.188720000000004</v>
      </c>
      <c r="D421">
        <v>183.5258</v>
      </c>
      <c r="E421">
        <v>373.10430000000002</v>
      </c>
      <c r="F421">
        <v>1020</v>
      </c>
      <c r="G421">
        <v>5.4850524539999999</v>
      </c>
      <c r="H421">
        <v>-54.188927061999998</v>
      </c>
      <c r="I421">
        <v>3.5257800000000001</v>
      </c>
    </row>
    <row r="422" spans="1:9" x14ac:dyDescent="0.45">
      <c r="A422">
        <v>421</v>
      </c>
      <c r="B422">
        <v>-3.02867</v>
      </c>
      <c r="C422">
        <v>-128.25211999999999</v>
      </c>
      <c r="D422">
        <v>205.12929</v>
      </c>
      <c r="E422">
        <v>968.30229999999995</v>
      </c>
      <c r="F422">
        <v>1021</v>
      </c>
      <c r="G422">
        <v>-3.0365979639999998</v>
      </c>
      <c r="H422">
        <v>-128.25581904500001</v>
      </c>
      <c r="I422">
        <v>25.129486</v>
      </c>
    </row>
    <row r="423" spans="1:9" x14ac:dyDescent="0.45">
      <c r="A423">
        <v>422</v>
      </c>
      <c r="B423">
        <v>61.862470000000002</v>
      </c>
      <c r="C423">
        <v>165.48783</v>
      </c>
      <c r="D423">
        <v>105.66137000000001</v>
      </c>
      <c r="E423">
        <v>526.63610000000006</v>
      </c>
      <c r="F423">
        <v>1022</v>
      </c>
      <c r="G423">
        <v>61.861193982000003</v>
      </c>
      <c r="H423">
        <v>165.49746370299999</v>
      </c>
      <c r="I423">
        <v>285.66986500000002</v>
      </c>
    </row>
    <row r="424" spans="1:9" x14ac:dyDescent="0.45">
      <c r="A424">
        <v>423</v>
      </c>
      <c r="B424">
        <v>-53.516199999999998</v>
      </c>
      <c r="C424">
        <v>140.94195999999999</v>
      </c>
      <c r="D424">
        <v>237.90854999999999</v>
      </c>
      <c r="E424">
        <v>2120.3481999999999</v>
      </c>
      <c r="F424">
        <v>1023</v>
      </c>
      <c r="G424">
        <v>-53.526318422999999</v>
      </c>
      <c r="H424">
        <v>140.91487289099999</v>
      </c>
      <c r="I424">
        <v>57.930329999999998</v>
      </c>
    </row>
    <row r="425" spans="1:9" x14ac:dyDescent="0.45">
      <c r="A425">
        <v>424</v>
      </c>
      <c r="B425">
        <v>32.604289999999999</v>
      </c>
      <c r="C425">
        <v>159.29326</v>
      </c>
      <c r="D425">
        <v>120.34804</v>
      </c>
      <c r="E425">
        <v>2285.7537000000002</v>
      </c>
      <c r="F425">
        <v>1024</v>
      </c>
      <c r="G425">
        <v>32.593874286000002</v>
      </c>
      <c r="H425">
        <v>159.31427153300001</v>
      </c>
      <c r="I425">
        <v>300.35935999999998</v>
      </c>
    </row>
    <row r="426" spans="1:9" x14ac:dyDescent="0.45">
      <c r="A426">
        <v>425</v>
      </c>
      <c r="B426">
        <v>16.600010000000001</v>
      </c>
      <c r="C426">
        <v>3.6727500000000002</v>
      </c>
      <c r="D426">
        <v>266.90591999999998</v>
      </c>
      <c r="E426">
        <v>1122.5577000000001</v>
      </c>
      <c r="F426">
        <v>1025</v>
      </c>
      <c r="G426">
        <v>16.599462218999999</v>
      </c>
      <c r="H426">
        <v>3.662245575</v>
      </c>
      <c r="I426">
        <v>86.902918999999997</v>
      </c>
    </row>
    <row r="427" spans="1:9" x14ac:dyDescent="0.45">
      <c r="A427">
        <v>426</v>
      </c>
      <c r="B427">
        <v>-51.484250000000003</v>
      </c>
      <c r="C427">
        <v>88.669690000000003</v>
      </c>
      <c r="D427">
        <v>301.63119999999998</v>
      </c>
      <c r="E427">
        <v>2974.0944</v>
      </c>
      <c r="F427">
        <v>1026</v>
      </c>
      <c r="G427">
        <v>-51.470224930000001</v>
      </c>
      <c r="H427">
        <v>88.633247029000003</v>
      </c>
      <c r="I427">
        <v>121.659712</v>
      </c>
    </row>
    <row r="428" spans="1:9" x14ac:dyDescent="0.45">
      <c r="A428">
        <v>427</v>
      </c>
      <c r="B428">
        <v>-40.90269</v>
      </c>
      <c r="C428">
        <v>73.915390000000002</v>
      </c>
      <c r="D428">
        <v>163.66669999999999</v>
      </c>
      <c r="E428">
        <v>581.15200000000004</v>
      </c>
      <c r="F428">
        <v>1027</v>
      </c>
      <c r="G428">
        <v>-40.907711933000002</v>
      </c>
      <c r="H428">
        <v>73.917329816000006</v>
      </c>
      <c r="I428">
        <v>343.66543000000001</v>
      </c>
    </row>
    <row r="429" spans="1:9" x14ac:dyDescent="0.45">
      <c r="A429">
        <v>428</v>
      </c>
      <c r="B429">
        <v>-25.64594</v>
      </c>
      <c r="C429">
        <v>139.58041</v>
      </c>
      <c r="D429">
        <v>100.22121</v>
      </c>
      <c r="E429">
        <v>1778.7229</v>
      </c>
      <c r="F429">
        <v>1028</v>
      </c>
      <c r="G429">
        <v>-25.648788076999999</v>
      </c>
      <c r="H429">
        <v>139.59784285399999</v>
      </c>
      <c r="I429">
        <v>280.21366499999999</v>
      </c>
    </row>
    <row r="430" spans="1:9" x14ac:dyDescent="0.45">
      <c r="A430">
        <v>429</v>
      </c>
      <c r="B430">
        <v>-85.719920000000002</v>
      </c>
      <c r="C430">
        <v>8.6200200000000002</v>
      </c>
      <c r="D430">
        <v>232.77705</v>
      </c>
      <c r="E430">
        <v>2334.7959999999998</v>
      </c>
      <c r="F430">
        <v>1029</v>
      </c>
      <c r="G430">
        <v>-85.732533215999993</v>
      </c>
      <c r="H430">
        <v>8.3963269629999999</v>
      </c>
      <c r="I430">
        <v>53.000121</v>
      </c>
    </row>
    <row r="431" spans="1:9" x14ac:dyDescent="0.45">
      <c r="A431">
        <v>430</v>
      </c>
      <c r="B431">
        <v>-21.546500000000002</v>
      </c>
      <c r="C431">
        <v>124.54858</v>
      </c>
      <c r="D431">
        <v>39.628720000000001</v>
      </c>
      <c r="E431">
        <v>2644.8265000000001</v>
      </c>
      <c r="F431">
        <v>1030</v>
      </c>
      <c r="G431">
        <v>-21.528101866</v>
      </c>
      <c r="H431">
        <v>124.564862745</v>
      </c>
      <c r="I431">
        <v>219.62274199999999</v>
      </c>
    </row>
    <row r="432" spans="1:9" x14ac:dyDescent="0.45">
      <c r="A432">
        <v>431</v>
      </c>
      <c r="B432">
        <v>27.212689999999998</v>
      </c>
      <c r="C432">
        <v>35.605499999999999</v>
      </c>
      <c r="D432">
        <v>64.784980000000004</v>
      </c>
      <c r="E432">
        <v>2982.7921000000001</v>
      </c>
      <c r="F432">
        <v>1031</v>
      </c>
      <c r="G432">
        <v>27.224155209999999</v>
      </c>
      <c r="H432">
        <v>35.632742587000003</v>
      </c>
      <c r="I432">
        <v>244.79743999999999</v>
      </c>
    </row>
    <row r="433" spans="1:9" x14ac:dyDescent="0.45">
      <c r="A433">
        <v>432</v>
      </c>
      <c r="B433">
        <v>61.464239999999997</v>
      </c>
      <c r="C433">
        <v>52.84836</v>
      </c>
      <c r="D433">
        <v>166.41623000000001</v>
      </c>
      <c r="E433">
        <v>1329.8941</v>
      </c>
      <c r="F433">
        <v>1032</v>
      </c>
      <c r="G433">
        <v>61.452639623000003</v>
      </c>
      <c r="H433">
        <v>52.854216248</v>
      </c>
      <c r="I433">
        <v>346.42137500000001</v>
      </c>
    </row>
    <row r="434" spans="1:9" x14ac:dyDescent="0.45">
      <c r="A434">
        <v>433</v>
      </c>
      <c r="B434">
        <v>26.652750000000001</v>
      </c>
      <c r="C434">
        <v>49.841790000000003</v>
      </c>
      <c r="D434">
        <v>142.38714999999999</v>
      </c>
      <c r="E434">
        <v>270.02050000000003</v>
      </c>
      <c r="F434">
        <v>1033</v>
      </c>
      <c r="G434">
        <v>26.650819473999999</v>
      </c>
      <c r="H434">
        <v>49.843445285999998</v>
      </c>
      <c r="I434">
        <v>322.38789300000002</v>
      </c>
    </row>
    <row r="435" spans="1:9" x14ac:dyDescent="0.45">
      <c r="A435">
        <v>434</v>
      </c>
      <c r="B435">
        <v>-88.782409999999999</v>
      </c>
      <c r="C435">
        <v>-73.764449999999997</v>
      </c>
      <c r="D435">
        <v>291.10323</v>
      </c>
      <c r="E435">
        <v>1791.4936</v>
      </c>
      <c r="F435">
        <v>1034</v>
      </c>
      <c r="G435">
        <v>-88.776543535000002</v>
      </c>
      <c r="H435">
        <v>-74.465283205999995</v>
      </c>
      <c r="I435">
        <v>111.803904</v>
      </c>
    </row>
    <row r="436" spans="1:9" x14ac:dyDescent="0.45">
      <c r="A436">
        <v>435</v>
      </c>
      <c r="B436">
        <v>29.366720000000001</v>
      </c>
      <c r="C436">
        <v>117.47463999999999</v>
      </c>
      <c r="D436">
        <v>177.71938</v>
      </c>
      <c r="E436">
        <v>1454.0617</v>
      </c>
      <c r="F436">
        <v>1035</v>
      </c>
      <c r="G436">
        <v>29.353612030000001</v>
      </c>
      <c r="H436">
        <v>117.475235875</v>
      </c>
      <c r="I436">
        <v>357.719672</v>
      </c>
    </row>
    <row r="437" spans="1:9" x14ac:dyDescent="0.45">
      <c r="A437">
        <v>436</v>
      </c>
      <c r="B437">
        <v>26.948540000000001</v>
      </c>
      <c r="C437">
        <v>19.346270000000001</v>
      </c>
      <c r="D437">
        <v>114.25369999999999</v>
      </c>
      <c r="E437">
        <v>1584.9976999999999</v>
      </c>
      <c r="F437">
        <v>1036</v>
      </c>
      <c r="G437">
        <v>26.942663201999999</v>
      </c>
      <c r="H437">
        <v>19.360822098</v>
      </c>
      <c r="I437">
        <v>294.26029399999999</v>
      </c>
    </row>
    <row r="438" spans="1:9" x14ac:dyDescent="0.45">
      <c r="A438">
        <v>437</v>
      </c>
      <c r="B438">
        <v>89.631810000000002</v>
      </c>
      <c r="C438">
        <v>11.580299999999999</v>
      </c>
      <c r="D438">
        <v>49.81174</v>
      </c>
      <c r="E438">
        <v>1250.5150000000001</v>
      </c>
      <c r="F438">
        <v>1037</v>
      </c>
      <c r="G438">
        <v>89.638933420000001</v>
      </c>
      <c r="H438">
        <v>12.937646150000001</v>
      </c>
      <c r="I438">
        <v>231.169059</v>
      </c>
    </row>
    <row r="439" spans="1:9" x14ac:dyDescent="0.45">
      <c r="A439">
        <v>438</v>
      </c>
      <c r="B439">
        <v>-26.93751</v>
      </c>
      <c r="C439">
        <v>122.75523</v>
      </c>
      <c r="D439">
        <v>107.32465000000001</v>
      </c>
      <c r="E439">
        <v>2712.2029000000002</v>
      </c>
      <c r="F439">
        <v>1038</v>
      </c>
      <c r="G439">
        <v>-26.944796725</v>
      </c>
      <c r="H439">
        <v>122.781303227</v>
      </c>
      <c r="I439">
        <v>287.312837</v>
      </c>
    </row>
    <row r="440" spans="1:9" x14ac:dyDescent="0.45">
      <c r="A440">
        <v>439</v>
      </c>
      <c r="B440">
        <v>45.122979999999998</v>
      </c>
      <c r="C440">
        <v>172.37832</v>
      </c>
      <c r="D440">
        <v>347.08416999999997</v>
      </c>
      <c r="E440">
        <v>2240.8114</v>
      </c>
      <c r="F440">
        <v>1039</v>
      </c>
      <c r="G440">
        <v>45.142632767000002</v>
      </c>
      <c r="H440">
        <v>172.371951803</v>
      </c>
      <c r="I440">
        <v>167.079657</v>
      </c>
    </row>
    <row r="441" spans="1:9" x14ac:dyDescent="0.45">
      <c r="A441">
        <v>440</v>
      </c>
      <c r="B441">
        <v>42.462569999999999</v>
      </c>
      <c r="C441">
        <v>21.18187</v>
      </c>
      <c r="D441">
        <v>78.801850000000002</v>
      </c>
      <c r="E441">
        <v>606.53039999999999</v>
      </c>
      <c r="F441">
        <v>1040</v>
      </c>
      <c r="G441">
        <v>42.463630154999997</v>
      </c>
      <c r="H441">
        <v>21.189104131000001</v>
      </c>
      <c r="I441">
        <v>258.80673400000001</v>
      </c>
    </row>
    <row r="442" spans="1:9" x14ac:dyDescent="0.45">
      <c r="A442">
        <v>441</v>
      </c>
      <c r="B442">
        <v>30.746449999999999</v>
      </c>
      <c r="C442">
        <v>66.220020000000005</v>
      </c>
      <c r="D442">
        <v>177.19843</v>
      </c>
      <c r="E442">
        <v>2875.1604000000002</v>
      </c>
      <c r="F442">
        <v>1041</v>
      </c>
      <c r="G442">
        <v>30.720547075999999</v>
      </c>
      <c r="H442">
        <v>66.221487186999994</v>
      </c>
      <c r="I442">
        <v>357.19918000000001</v>
      </c>
    </row>
    <row r="443" spans="1:9" x14ac:dyDescent="0.45">
      <c r="A443">
        <v>442</v>
      </c>
      <c r="B443">
        <v>30.223690000000001</v>
      </c>
      <c r="C443">
        <v>76.529499999999999</v>
      </c>
      <c r="D443">
        <v>250.32104000000001</v>
      </c>
      <c r="E443">
        <v>1967.2678000000001</v>
      </c>
      <c r="F443">
        <v>1042</v>
      </c>
      <c r="G443">
        <v>30.217712588000001</v>
      </c>
      <c r="H443">
        <v>76.510259610000006</v>
      </c>
      <c r="I443">
        <v>70.311356000000004</v>
      </c>
    </row>
    <row r="444" spans="1:9" x14ac:dyDescent="0.45">
      <c r="A444">
        <v>443</v>
      </c>
      <c r="B444">
        <v>-2.31047</v>
      </c>
      <c r="C444">
        <v>40.459800000000001</v>
      </c>
      <c r="D444">
        <v>46.148719999999997</v>
      </c>
      <c r="E444">
        <v>1943.4681</v>
      </c>
      <c r="F444">
        <v>1043</v>
      </c>
      <c r="G444">
        <v>-2.2982935929999999</v>
      </c>
      <c r="H444">
        <v>40.472400078</v>
      </c>
      <c r="I444">
        <v>226.148213</v>
      </c>
    </row>
    <row r="445" spans="1:9" x14ac:dyDescent="0.45">
      <c r="A445">
        <v>444</v>
      </c>
      <c r="B445">
        <v>82.367189999999994</v>
      </c>
      <c r="C445">
        <v>122.33834</v>
      </c>
      <c r="D445">
        <v>76.671930000000003</v>
      </c>
      <c r="E445">
        <v>2836.5140000000001</v>
      </c>
      <c r="F445">
        <v>1044</v>
      </c>
      <c r="G445">
        <v>82.373005551999995</v>
      </c>
      <c r="H445">
        <v>122.524538675</v>
      </c>
      <c r="I445">
        <v>256.85647999999998</v>
      </c>
    </row>
    <row r="446" spans="1:9" x14ac:dyDescent="0.45">
      <c r="A446">
        <v>445</v>
      </c>
      <c r="B446">
        <v>47.432690000000001</v>
      </c>
      <c r="C446">
        <v>-97.156400000000005</v>
      </c>
      <c r="D446">
        <v>20.601299999999998</v>
      </c>
      <c r="E446">
        <v>1327.5139999999999</v>
      </c>
      <c r="F446">
        <v>1045</v>
      </c>
      <c r="G446">
        <v>47.443866559</v>
      </c>
      <c r="H446">
        <v>-97.150206959000002</v>
      </c>
      <c r="I446">
        <v>200.605861</v>
      </c>
    </row>
    <row r="447" spans="1:9" x14ac:dyDescent="0.45">
      <c r="A447">
        <v>446</v>
      </c>
      <c r="B447">
        <v>-36.95899</v>
      </c>
      <c r="C447">
        <v>93.75658</v>
      </c>
      <c r="D447">
        <v>158.23999000000001</v>
      </c>
      <c r="E447">
        <v>509.322</v>
      </c>
      <c r="F447">
        <v>1046</v>
      </c>
      <c r="G447">
        <v>-36.963252400999998</v>
      </c>
      <c r="H447">
        <v>93.758700227000006</v>
      </c>
      <c r="I447">
        <v>338.23871500000001</v>
      </c>
    </row>
    <row r="448" spans="1:9" x14ac:dyDescent="0.45">
      <c r="A448">
        <v>447</v>
      </c>
      <c r="B448">
        <v>-4.4054399999999996</v>
      </c>
      <c r="C448">
        <v>120.34432</v>
      </c>
      <c r="D448">
        <v>96.75797</v>
      </c>
      <c r="E448">
        <v>1593.0436999999999</v>
      </c>
      <c r="F448">
        <v>1047</v>
      </c>
      <c r="G448">
        <v>-4.4071351139999999</v>
      </c>
      <c r="H448">
        <v>120.358572989</v>
      </c>
      <c r="I448">
        <v>276.75687499999998</v>
      </c>
    </row>
    <row r="449" spans="1:9" x14ac:dyDescent="0.45">
      <c r="A449">
        <v>448</v>
      </c>
      <c r="B449">
        <v>43.101329999999997</v>
      </c>
      <c r="C449">
        <v>-153.50833</v>
      </c>
      <c r="D449">
        <v>207.45282</v>
      </c>
      <c r="E449">
        <v>2276.5025999999998</v>
      </c>
      <c r="F449">
        <v>1048</v>
      </c>
      <c r="G449">
        <v>43.083145235000003</v>
      </c>
      <c r="H449">
        <v>-153.52121833000001</v>
      </c>
      <c r="I449">
        <v>27.444015</v>
      </c>
    </row>
    <row r="450" spans="1:9" x14ac:dyDescent="0.45">
      <c r="A450">
        <v>449</v>
      </c>
      <c r="B450">
        <v>-46.994439999999997</v>
      </c>
      <c r="C450">
        <v>-134.40164999999999</v>
      </c>
      <c r="D450">
        <v>246.76301000000001</v>
      </c>
      <c r="E450">
        <v>1491.5641000000001</v>
      </c>
      <c r="F450">
        <v>1049</v>
      </c>
      <c r="G450">
        <v>-46.999732010000002</v>
      </c>
      <c r="H450">
        <v>-134.419670443</v>
      </c>
      <c r="I450">
        <v>66.776189000000002</v>
      </c>
    </row>
    <row r="451" spans="1:9" x14ac:dyDescent="0.45">
      <c r="A451">
        <v>450</v>
      </c>
      <c r="B451">
        <v>47.026739999999997</v>
      </c>
      <c r="C451">
        <v>-136.01058</v>
      </c>
      <c r="D451">
        <v>101.47855</v>
      </c>
      <c r="E451">
        <v>2384.1579000000002</v>
      </c>
      <c r="F451">
        <v>1050</v>
      </c>
      <c r="G451">
        <v>47.022468138999997</v>
      </c>
      <c r="H451">
        <v>-135.97984668300001</v>
      </c>
      <c r="I451">
        <v>281.501036</v>
      </c>
    </row>
    <row r="452" spans="1:9" x14ac:dyDescent="0.45">
      <c r="A452">
        <v>451</v>
      </c>
      <c r="B452">
        <v>37.676609999999997</v>
      </c>
      <c r="C452">
        <v>127.77905</v>
      </c>
      <c r="D452">
        <v>121.64788</v>
      </c>
      <c r="E452">
        <v>900.21310000000005</v>
      </c>
      <c r="F452">
        <v>1051</v>
      </c>
      <c r="G452">
        <v>37.672353997999998</v>
      </c>
      <c r="H452">
        <v>127.78773653</v>
      </c>
      <c r="I452">
        <v>301.653189</v>
      </c>
    </row>
    <row r="453" spans="1:9" x14ac:dyDescent="0.45">
      <c r="A453">
        <v>452</v>
      </c>
      <c r="B453">
        <v>-12.139749999999999</v>
      </c>
      <c r="C453">
        <v>-137.83193</v>
      </c>
      <c r="D453">
        <v>339.84532999999999</v>
      </c>
      <c r="E453">
        <v>1913.3998999999999</v>
      </c>
      <c r="F453">
        <v>1052</v>
      </c>
      <c r="G453">
        <v>-12.12351254</v>
      </c>
      <c r="H453">
        <v>-137.837986551</v>
      </c>
      <c r="I453">
        <v>159.84660299999999</v>
      </c>
    </row>
    <row r="454" spans="1:9" x14ac:dyDescent="0.45">
      <c r="A454">
        <v>453</v>
      </c>
      <c r="B454">
        <v>-88.131879999999995</v>
      </c>
      <c r="C454">
        <v>-81.528090000000006</v>
      </c>
      <c r="D454">
        <v>97.079589999999996</v>
      </c>
      <c r="E454">
        <v>1380.5322000000001</v>
      </c>
      <c r="F454">
        <v>1053</v>
      </c>
      <c r="G454">
        <v>-88.133363070000001</v>
      </c>
      <c r="H454">
        <v>-81.151527325999993</v>
      </c>
      <c r="I454">
        <v>276.70322700000003</v>
      </c>
    </row>
    <row r="455" spans="1:9" x14ac:dyDescent="0.45">
      <c r="A455">
        <v>454</v>
      </c>
      <c r="B455">
        <v>-8.3412500000000005</v>
      </c>
      <c r="C455">
        <v>21.823329999999999</v>
      </c>
      <c r="D455">
        <v>301.81740000000002</v>
      </c>
      <c r="E455">
        <v>1735.1509000000001</v>
      </c>
      <c r="F455">
        <v>1054</v>
      </c>
      <c r="G455">
        <v>-8.3329783880000008</v>
      </c>
      <c r="H455">
        <v>21.809944727000001</v>
      </c>
      <c r="I455">
        <v>121.81934099999999</v>
      </c>
    </row>
    <row r="456" spans="1:9" x14ac:dyDescent="0.45">
      <c r="A456">
        <v>455</v>
      </c>
      <c r="B456">
        <v>62.624600000000001</v>
      </c>
      <c r="C456">
        <v>-127.76622999999999</v>
      </c>
      <c r="D456">
        <v>122.26999000000001</v>
      </c>
      <c r="E456">
        <v>2539.4928</v>
      </c>
      <c r="F456">
        <v>1055</v>
      </c>
      <c r="G456">
        <v>62.612428733999998</v>
      </c>
      <c r="H456">
        <v>-127.724408744</v>
      </c>
      <c r="I456">
        <v>302.30712599999998</v>
      </c>
    </row>
    <row r="457" spans="1:9" x14ac:dyDescent="0.45">
      <c r="A457">
        <v>456</v>
      </c>
      <c r="B457">
        <v>37.274369999999998</v>
      </c>
      <c r="C457">
        <v>37.531089999999999</v>
      </c>
      <c r="D457">
        <v>109.78476000000001</v>
      </c>
      <c r="E457">
        <v>880.4864</v>
      </c>
      <c r="F457">
        <v>1056</v>
      </c>
      <c r="G457">
        <v>37.271684225999998</v>
      </c>
      <c r="H457">
        <v>37.540431243999997</v>
      </c>
      <c r="I457">
        <v>289.79041699999999</v>
      </c>
    </row>
    <row r="458" spans="1:9" x14ac:dyDescent="0.45">
      <c r="A458">
        <v>457</v>
      </c>
      <c r="B458">
        <v>-73.901790000000005</v>
      </c>
      <c r="C458">
        <v>74.680090000000007</v>
      </c>
      <c r="D458">
        <v>60.125520000000002</v>
      </c>
      <c r="E458">
        <v>1238.2325000000001</v>
      </c>
      <c r="F458">
        <v>1057</v>
      </c>
      <c r="G458">
        <v>-73.896260987000005</v>
      </c>
      <c r="H458">
        <v>74.714755109999999</v>
      </c>
      <c r="I458">
        <v>240.09221500000001</v>
      </c>
    </row>
    <row r="459" spans="1:9" x14ac:dyDescent="0.45">
      <c r="A459">
        <v>458</v>
      </c>
      <c r="B459">
        <v>-89.379109999999997</v>
      </c>
      <c r="C459">
        <v>-96.268940000000001</v>
      </c>
      <c r="D459">
        <v>176.62004999999999</v>
      </c>
      <c r="E459">
        <v>1481.5454</v>
      </c>
      <c r="F459">
        <v>1058</v>
      </c>
      <c r="G459">
        <v>-89.392350766000007</v>
      </c>
      <c r="H459">
        <v>-96.195200697999994</v>
      </c>
      <c r="I459">
        <v>356.54631499999999</v>
      </c>
    </row>
    <row r="460" spans="1:9" x14ac:dyDescent="0.45">
      <c r="A460">
        <v>459</v>
      </c>
      <c r="B460">
        <v>-3.9828800000000002</v>
      </c>
      <c r="C460">
        <v>-58.210630000000002</v>
      </c>
      <c r="D460">
        <v>118.69334000000001</v>
      </c>
      <c r="E460">
        <v>170.26910000000001</v>
      </c>
      <c r="F460">
        <v>1059</v>
      </c>
      <c r="G460">
        <v>-3.983619284</v>
      </c>
      <c r="H460">
        <v>-58.209285045000001</v>
      </c>
      <c r="I460">
        <v>298.69324699999999</v>
      </c>
    </row>
    <row r="461" spans="1:9" x14ac:dyDescent="0.45">
      <c r="A461">
        <v>460</v>
      </c>
      <c r="B461">
        <v>60.613079999999997</v>
      </c>
      <c r="C461">
        <v>-24.641100000000002</v>
      </c>
      <c r="D461">
        <v>103.25893000000001</v>
      </c>
      <c r="E461">
        <v>1191.329</v>
      </c>
      <c r="F461">
        <v>1060</v>
      </c>
      <c r="G461">
        <v>60.610626095000001</v>
      </c>
      <c r="H461">
        <v>-24.619927756999999</v>
      </c>
      <c r="I461">
        <v>283.277378</v>
      </c>
    </row>
    <row r="462" spans="1:9" x14ac:dyDescent="0.45">
      <c r="A462">
        <v>461</v>
      </c>
      <c r="B462">
        <v>-53.123269999999998</v>
      </c>
      <c r="C462">
        <v>148.29747</v>
      </c>
      <c r="D462">
        <v>230.70348000000001</v>
      </c>
      <c r="E462">
        <v>952.34939999999995</v>
      </c>
      <c r="F462">
        <v>1061</v>
      </c>
      <c r="G462">
        <v>-53.128689227999999</v>
      </c>
      <c r="H462">
        <v>148.286459675</v>
      </c>
      <c r="I462">
        <v>50.712288000000001</v>
      </c>
    </row>
    <row r="463" spans="1:9" x14ac:dyDescent="0.45">
      <c r="A463">
        <v>462</v>
      </c>
      <c r="B463">
        <v>-38.636450000000004</v>
      </c>
      <c r="C463">
        <v>-159.59639000000001</v>
      </c>
      <c r="D463">
        <v>117.90428</v>
      </c>
      <c r="E463">
        <v>2320.2631999999999</v>
      </c>
      <c r="F463">
        <v>1062</v>
      </c>
      <c r="G463">
        <v>-38.646229511000001</v>
      </c>
      <c r="H463">
        <v>-159.572836368</v>
      </c>
      <c r="I463">
        <v>297.88957199999999</v>
      </c>
    </row>
    <row r="464" spans="1:9" x14ac:dyDescent="0.45">
      <c r="A464">
        <v>463</v>
      </c>
      <c r="B464">
        <v>4.07592</v>
      </c>
      <c r="C464">
        <v>10.46036</v>
      </c>
      <c r="D464">
        <v>283.61604</v>
      </c>
      <c r="E464">
        <v>1113.6715999999999</v>
      </c>
      <c r="F464">
        <v>1063</v>
      </c>
      <c r="G464">
        <v>4.0782908430000004</v>
      </c>
      <c r="H464">
        <v>10.450612368</v>
      </c>
      <c r="I464">
        <v>103.615347</v>
      </c>
    </row>
    <row r="465" spans="1:9" x14ac:dyDescent="0.45">
      <c r="A465">
        <v>464</v>
      </c>
      <c r="B465">
        <v>3.9200599999999999</v>
      </c>
      <c r="C465">
        <v>-81.034180000000006</v>
      </c>
      <c r="D465">
        <v>352.59393999999998</v>
      </c>
      <c r="E465">
        <v>2897.2872000000002</v>
      </c>
      <c r="F465">
        <v>1064</v>
      </c>
      <c r="G465">
        <v>3.946042356</v>
      </c>
      <c r="H465">
        <v>-81.037542783000006</v>
      </c>
      <c r="I465">
        <v>172.59370899999999</v>
      </c>
    </row>
    <row r="466" spans="1:9" x14ac:dyDescent="0.45">
      <c r="A466">
        <v>465</v>
      </c>
      <c r="B466">
        <v>-47.079470000000001</v>
      </c>
      <c r="C466">
        <v>-53.435029999999998</v>
      </c>
      <c r="D466">
        <v>72.137389999999996</v>
      </c>
      <c r="E466">
        <v>2001.7566999999999</v>
      </c>
      <c r="F466">
        <v>1065</v>
      </c>
      <c r="G466">
        <v>-47.073944206</v>
      </c>
      <c r="H466">
        <v>-53.409944596000003</v>
      </c>
      <c r="I466">
        <v>252.119021</v>
      </c>
    </row>
    <row r="467" spans="1:9" x14ac:dyDescent="0.45">
      <c r="A467">
        <v>466</v>
      </c>
      <c r="B467">
        <v>14.09404</v>
      </c>
      <c r="C467">
        <v>-37.694540000000003</v>
      </c>
      <c r="D467">
        <v>346.49799999999999</v>
      </c>
      <c r="E467">
        <v>167.43340000000001</v>
      </c>
      <c r="F467">
        <v>1066</v>
      </c>
      <c r="G467">
        <v>14.095511489</v>
      </c>
      <c r="H467">
        <v>-37.694902001000003</v>
      </c>
      <c r="I467">
        <v>166.49791200000001</v>
      </c>
    </row>
    <row r="468" spans="1:9" x14ac:dyDescent="0.45">
      <c r="A468">
        <v>467</v>
      </c>
      <c r="B468">
        <v>-52.998240000000003</v>
      </c>
      <c r="C468">
        <v>-148.73666</v>
      </c>
      <c r="D468">
        <v>244.64949999999999</v>
      </c>
      <c r="E468">
        <v>1155.6850999999999</v>
      </c>
      <c r="F468">
        <v>1067</v>
      </c>
      <c r="G468">
        <v>-53.002685278999998</v>
      </c>
      <c r="H468">
        <v>-148.75221714899999</v>
      </c>
      <c r="I468">
        <v>64.661924999999997</v>
      </c>
    </row>
    <row r="469" spans="1:9" x14ac:dyDescent="0.45">
      <c r="A469">
        <v>468</v>
      </c>
      <c r="B469">
        <v>54.64817</v>
      </c>
      <c r="C469">
        <v>8.3456200000000003</v>
      </c>
      <c r="D469">
        <v>90.053619999999995</v>
      </c>
      <c r="E469">
        <v>2369.3285999999998</v>
      </c>
      <c r="F469">
        <v>1068</v>
      </c>
      <c r="G469">
        <v>54.648144520999999</v>
      </c>
      <c r="H469">
        <v>8.3823236530000003</v>
      </c>
      <c r="I469">
        <v>270.08355599999999</v>
      </c>
    </row>
    <row r="470" spans="1:9" x14ac:dyDescent="0.45">
      <c r="A470">
        <v>469</v>
      </c>
      <c r="B470">
        <v>89.877889999999994</v>
      </c>
      <c r="C470">
        <v>152.97896</v>
      </c>
      <c r="D470">
        <v>31.659759999999999</v>
      </c>
      <c r="E470">
        <v>2099.6320000000001</v>
      </c>
      <c r="F470">
        <v>1069</v>
      </c>
      <c r="G470">
        <v>89.893432809000004</v>
      </c>
      <c r="H470">
        <v>158.29135375199999</v>
      </c>
      <c r="I470">
        <v>216.97214299999999</v>
      </c>
    </row>
    <row r="471" spans="1:9" x14ac:dyDescent="0.45">
      <c r="A471">
        <v>470</v>
      </c>
      <c r="B471">
        <v>-85.22278</v>
      </c>
      <c r="C471">
        <v>23.71979</v>
      </c>
      <c r="D471">
        <v>142.60686000000001</v>
      </c>
      <c r="E471">
        <v>1566.3607999999999</v>
      </c>
      <c r="F471">
        <v>1070</v>
      </c>
      <c r="G471">
        <v>-85.233914824999999</v>
      </c>
      <c r="H471">
        <v>23.822289952999999</v>
      </c>
      <c r="I471">
        <v>322.50471499999998</v>
      </c>
    </row>
    <row r="472" spans="1:9" x14ac:dyDescent="0.45">
      <c r="A472">
        <v>471</v>
      </c>
      <c r="B472">
        <v>-1.8529599999999999</v>
      </c>
      <c r="C472">
        <v>-162.90022999999999</v>
      </c>
      <c r="D472">
        <v>1.0216400000000001</v>
      </c>
      <c r="E472">
        <v>1913.6427000000001</v>
      </c>
      <c r="F472">
        <v>1071</v>
      </c>
      <c r="G472">
        <v>-1.8356565309999999</v>
      </c>
      <c r="H472">
        <v>-162.899923336</v>
      </c>
      <c r="I472">
        <v>181.02162999999999</v>
      </c>
    </row>
    <row r="473" spans="1:9" x14ac:dyDescent="0.45">
      <c r="A473">
        <v>472</v>
      </c>
      <c r="B473">
        <v>-50.760620000000003</v>
      </c>
      <c r="C473">
        <v>-103.93796</v>
      </c>
      <c r="D473">
        <v>43.065800000000003</v>
      </c>
      <c r="E473">
        <v>2141.8692999999998</v>
      </c>
      <c r="F473">
        <v>1072</v>
      </c>
      <c r="G473">
        <v>-50.746551857</v>
      </c>
      <c r="H473">
        <v>-103.91723796399999</v>
      </c>
      <c r="I473">
        <v>223.04975200000001</v>
      </c>
    </row>
    <row r="474" spans="1:9" x14ac:dyDescent="0.45">
      <c r="A474">
        <v>473</v>
      </c>
      <c r="B474">
        <v>49.041820000000001</v>
      </c>
      <c r="C474">
        <v>-163.32679999999999</v>
      </c>
      <c r="D474">
        <v>219.15434999999999</v>
      </c>
      <c r="E474">
        <v>283.83530000000002</v>
      </c>
      <c r="F474">
        <v>1073</v>
      </c>
      <c r="G474">
        <v>49.039840849999997</v>
      </c>
      <c r="H474">
        <v>-163.329251218</v>
      </c>
      <c r="I474">
        <v>39.152498999999999</v>
      </c>
    </row>
    <row r="475" spans="1:9" x14ac:dyDescent="0.45">
      <c r="A475">
        <v>474</v>
      </c>
      <c r="B475">
        <v>82.745810000000006</v>
      </c>
      <c r="C475">
        <v>156.34327999999999</v>
      </c>
      <c r="D475">
        <v>55.118319999999997</v>
      </c>
      <c r="E475">
        <v>706.19870000000003</v>
      </c>
      <c r="F475">
        <v>1074</v>
      </c>
      <c r="G475">
        <v>82.749424540000007</v>
      </c>
      <c r="H475">
        <v>156.38437807899999</v>
      </c>
      <c r="I475">
        <v>235.15908899999999</v>
      </c>
    </row>
    <row r="476" spans="1:9" x14ac:dyDescent="0.45">
      <c r="A476">
        <v>475</v>
      </c>
      <c r="B476">
        <v>-73.563220000000001</v>
      </c>
      <c r="C476">
        <v>108.30370000000001</v>
      </c>
      <c r="D476">
        <v>25.50957</v>
      </c>
      <c r="E476">
        <v>1764.5993000000001</v>
      </c>
      <c r="F476">
        <v>1075</v>
      </c>
      <c r="G476">
        <v>-73.548948705000001</v>
      </c>
      <c r="H476">
        <v>108.327731607</v>
      </c>
      <c r="I476">
        <v>205.48652100000001</v>
      </c>
    </row>
    <row r="477" spans="1:9" x14ac:dyDescent="0.45">
      <c r="A477">
        <v>476</v>
      </c>
      <c r="B477">
        <v>83.163110000000003</v>
      </c>
      <c r="C477">
        <v>-121.99243</v>
      </c>
      <c r="D477">
        <v>70.844089999999994</v>
      </c>
      <c r="E477">
        <v>1206.1131</v>
      </c>
      <c r="F477">
        <v>1076</v>
      </c>
      <c r="G477">
        <v>83.166646305</v>
      </c>
      <c r="H477">
        <v>-121.906694777</v>
      </c>
      <c r="I477">
        <v>250.929216</v>
      </c>
    </row>
    <row r="478" spans="1:9" x14ac:dyDescent="0.45">
      <c r="A478">
        <v>477</v>
      </c>
      <c r="B478">
        <v>-43.220440000000004</v>
      </c>
      <c r="C478">
        <v>-158.75604000000001</v>
      </c>
      <c r="D478">
        <v>354.94718</v>
      </c>
      <c r="E478">
        <v>667.92190000000005</v>
      </c>
      <c r="F478">
        <v>1077</v>
      </c>
      <c r="G478">
        <v>-43.214451298999997</v>
      </c>
      <c r="H478">
        <v>-158.75676395900001</v>
      </c>
      <c r="I478">
        <v>174.947676</v>
      </c>
    </row>
    <row r="479" spans="1:9" x14ac:dyDescent="0.45">
      <c r="A479">
        <v>478</v>
      </c>
      <c r="B479">
        <v>19.110880000000002</v>
      </c>
      <c r="C479">
        <v>-152.16387</v>
      </c>
      <c r="D479">
        <v>79.474339999999998</v>
      </c>
      <c r="E479">
        <v>785.29570000000001</v>
      </c>
      <c r="F479">
        <v>1078</v>
      </c>
      <c r="G479">
        <v>19.112175817000001</v>
      </c>
      <c r="H479">
        <v>-152.15653230300001</v>
      </c>
      <c r="I479">
        <v>259.476742</v>
      </c>
    </row>
    <row r="480" spans="1:9" x14ac:dyDescent="0.45">
      <c r="A480">
        <v>479</v>
      </c>
      <c r="B480">
        <v>71.325559999999996</v>
      </c>
      <c r="C480">
        <v>-137.79587000000001</v>
      </c>
      <c r="D480">
        <v>337.93723999999997</v>
      </c>
      <c r="E480">
        <v>1268.9889000000001</v>
      </c>
      <c r="F480">
        <v>1079</v>
      </c>
      <c r="G480">
        <v>71.336099783999998</v>
      </c>
      <c r="H480">
        <v>-137.809210036</v>
      </c>
      <c r="I480">
        <v>157.92460199999999</v>
      </c>
    </row>
    <row r="481" spans="1:9" x14ac:dyDescent="0.45">
      <c r="A481">
        <v>480</v>
      </c>
      <c r="B481">
        <v>58.819180000000003</v>
      </c>
      <c r="C481">
        <v>22.398800000000001</v>
      </c>
      <c r="D481">
        <v>144.72909000000001</v>
      </c>
      <c r="E481">
        <v>1835.7257</v>
      </c>
      <c r="F481">
        <v>1080</v>
      </c>
      <c r="G481">
        <v>58.805724007000002</v>
      </c>
      <c r="H481">
        <v>22.417139976000001</v>
      </c>
      <c r="I481">
        <v>324.74477899999999</v>
      </c>
    </row>
    <row r="482" spans="1:9" x14ac:dyDescent="0.45">
      <c r="A482">
        <v>481</v>
      </c>
      <c r="B482">
        <v>-3.2574299999999998</v>
      </c>
      <c r="C482">
        <v>172.19671</v>
      </c>
      <c r="D482">
        <v>28.176300000000001</v>
      </c>
      <c r="E482">
        <v>1166.6110000000001</v>
      </c>
      <c r="F482">
        <v>1081</v>
      </c>
      <c r="G482">
        <v>-3.2481300580000001</v>
      </c>
      <c r="H482">
        <v>172.20166634700001</v>
      </c>
      <c r="I482">
        <v>208.176019</v>
      </c>
    </row>
    <row r="483" spans="1:9" x14ac:dyDescent="0.45">
      <c r="A483">
        <v>482</v>
      </c>
      <c r="B483">
        <v>-3.2598600000000002</v>
      </c>
      <c r="C483">
        <v>113.29009000000001</v>
      </c>
      <c r="D483">
        <v>210.50439</v>
      </c>
      <c r="E483">
        <v>662.86389999999994</v>
      </c>
      <c r="F483">
        <v>1082</v>
      </c>
      <c r="G483">
        <v>-3.2650248359999998</v>
      </c>
      <c r="H483">
        <v>113.287062534</v>
      </c>
      <c r="I483">
        <v>30.504562</v>
      </c>
    </row>
    <row r="484" spans="1:9" x14ac:dyDescent="0.45">
      <c r="A484">
        <v>483</v>
      </c>
      <c r="B484">
        <v>19.137039999999999</v>
      </c>
      <c r="C484">
        <v>177.69049999999999</v>
      </c>
      <c r="D484">
        <v>106.10713</v>
      </c>
      <c r="E484">
        <v>470.29559999999998</v>
      </c>
      <c r="F484">
        <v>1083</v>
      </c>
      <c r="G484">
        <v>19.135861237</v>
      </c>
      <c r="H484">
        <v>177.69479474400001</v>
      </c>
      <c r="I484">
        <v>286.10853800000001</v>
      </c>
    </row>
    <row r="485" spans="1:9" x14ac:dyDescent="0.45">
      <c r="A485">
        <v>484</v>
      </c>
      <c r="B485">
        <v>35.104019999999998</v>
      </c>
      <c r="C485">
        <v>-30.630109999999998</v>
      </c>
      <c r="D485">
        <v>258.13099999999997</v>
      </c>
      <c r="E485">
        <v>566.70489999999995</v>
      </c>
      <c r="F485">
        <v>1084</v>
      </c>
      <c r="G485">
        <v>35.102969240999997</v>
      </c>
      <c r="H485">
        <v>-30.636192776000001</v>
      </c>
      <c r="I485">
        <v>78.127502000000007</v>
      </c>
    </row>
    <row r="486" spans="1:9" x14ac:dyDescent="0.45">
      <c r="A486">
        <v>485</v>
      </c>
      <c r="B486">
        <v>74.040040000000005</v>
      </c>
      <c r="C486">
        <v>-142.56762000000001</v>
      </c>
      <c r="D486">
        <v>234.23329000000001</v>
      </c>
      <c r="E486">
        <v>2049.8571999999999</v>
      </c>
      <c r="F486">
        <v>1085</v>
      </c>
      <c r="G486">
        <v>74.029298275000002</v>
      </c>
      <c r="H486">
        <v>-142.62175507200001</v>
      </c>
      <c r="I486">
        <v>54.181243000000002</v>
      </c>
    </row>
    <row r="487" spans="1:9" x14ac:dyDescent="0.45">
      <c r="A487">
        <v>486</v>
      </c>
      <c r="B487">
        <v>24.983989999999999</v>
      </c>
      <c r="C487">
        <v>-177.4408</v>
      </c>
      <c r="D487">
        <v>134.02439000000001</v>
      </c>
      <c r="E487">
        <v>2794.4827</v>
      </c>
      <c r="F487">
        <v>1086</v>
      </c>
      <c r="G487">
        <v>24.966456647000001</v>
      </c>
      <c r="H487">
        <v>-177.42090094900001</v>
      </c>
      <c r="I487">
        <v>314.03279199999997</v>
      </c>
    </row>
    <row r="488" spans="1:9" x14ac:dyDescent="0.45">
      <c r="A488">
        <v>487</v>
      </c>
      <c r="B488">
        <v>-23.939299999999999</v>
      </c>
      <c r="C488">
        <v>-165.25326999999999</v>
      </c>
      <c r="D488">
        <v>35.894150000000003</v>
      </c>
      <c r="E488">
        <v>2940.1424000000002</v>
      </c>
      <c r="F488">
        <v>1087</v>
      </c>
      <c r="G488">
        <v>-23.917794244</v>
      </c>
      <c r="H488">
        <v>-165.23633975499999</v>
      </c>
      <c r="I488">
        <v>215.887283</v>
      </c>
    </row>
    <row r="489" spans="1:9" x14ac:dyDescent="0.45">
      <c r="A489">
        <v>488</v>
      </c>
      <c r="B489">
        <v>-56.913820000000001</v>
      </c>
      <c r="C489">
        <v>53.500300000000003</v>
      </c>
      <c r="D489">
        <v>296.83118000000002</v>
      </c>
      <c r="E489">
        <v>1283.4010000000001</v>
      </c>
      <c r="F489">
        <v>1088</v>
      </c>
      <c r="G489">
        <v>-56.908616639000002</v>
      </c>
      <c r="H489">
        <v>53.481501403999999</v>
      </c>
      <c r="I489">
        <v>116.84693</v>
      </c>
    </row>
    <row r="490" spans="1:9" x14ac:dyDescent="0.45">
      <c r="A490">
        <v>489</v>
      </c>
      <c r="B490">
        <v>-39.224420000000002</v>
      </c>
      <c r="C490">
        <v>39.377049999999997</v>
      </c>
      <c r="D490">
        <v>100.64051000000001</v>
      </c>
      <c r="E490">
        <v>2161.7483000000002</v>
      </c>
      <c r="F490">
        <v>1089</v>
      </c>
      <c r="G490">
        <v>-39.228012784999997</v>
      </c>
      <c r="H490">
        <v>39.401654911000001</v>
      </c>
      <c r="I490">
        <v>280.62495000000001</v>
      </c>
    </row>
    <row r="491" spans="1:9" x14ac:dyDescent="0.45">
      <c r="A491">
        <v>490</v>
      </c>
      <c r="B491">
        <v>39.756720000000001</v>
      </c>
      <c r="C491">
        <v>60.739130000000003</v>
      </c>
      <c r="D491">
        <v>59.963830000000002</v>
      </c>
      <c r="E491">
        <v>574.19349999999997</v>
      </c>
      <c r="F491">
        <v>1090</v>
      </c>
      <c r="G491">
        <v>39.759308441000002</v>
      </c>
      <c r="H491">
        <v>60.744930769</v>
      </c>
      <c r="I491">
        <v>239.96754000000001</v>
      </c>
    </row>
    <row r="492" spans="1:9" x14ac:dyDescent="0.45">
      <c r="A492">
        <v>491</v>
      </c>
      <c r="B492">
        <v>53.71452</v>
      </c>
      <c r="C492">
        <v>106.21198</v>
      </c>
      <c r="D492">
        <v>81.984049999999996</v>
      </c>
      <c r="E492">
        <v>2322.3270000000002</v>
      </c>
      <c r="F492">
        <v>1091</v>
      </c>
      <c r="G492">
        <v>53.717424608999998</v>
      </c>
      <c r="H492">
        <v>106.24681291</v>
      </c>
      <c r="I492">
        <v>262.01212900000002</v>
      </c>
    </row>
    <row r="493" spans="1:9" x14ac:dyDescent="0.45">
      <c r="A493">
        <v>492</v>
      </c>
      <c r="B493">
        <v>21.165520000000001</v>
      </c>
      <c r="C493">
        <v>-24.952359999999999</v>
      </c>
      <c r="D493">
        <v>136.77870999999999</v>
      </c>
      <c r="E493">
        <v>214.89680000000001</v>
      </c>
      <c r="F493">
        <v>1092</v>
      </c>
      <c r="G493">
        <v>21.164105620000001</v>
      </c>
      <c r="H493">
        <v>-24.950942993000002</v>
      </c>
      <c r="I493">
        <v>316.779222</v>
      </c>
    </row>
    <row r="494" spans="1:9" x14ac:dyDescent="0.45">
      <c r="A494">
        <v>493</v>
      </c>
      <c r="B494">
        <v>21.482230000000001</v>
      </c>
      <c r="C494">
        <v>-104.71257</v>
      </c>
      <c r="D494">
        <v>254.71663000000001</v>
      </c>
      <c r="E494">
        <v>1289.5731000000001</v>
      </c>
      <c r="F494">
        <v>1093</v>
      </c>
      <c r="G494">
        <v>21.479159551999999</v>
      </c>
      <c r="H494">
        <v>-104.724573343</v>
      </c>
      <c r="I494">
        <v>74.712235000000007</v>
      </c>
    </row>
    <row r="495" spans="1:9" x14ac:dyDescent="0.45">
      <c r="A495">
        <v>494</v>
      </c>
      <c r="B495">
        <v>-80.251000000000005</v>
      </c>
      <c r="C495">
        <v>-11.22095</v>
      </c>
      <c r="D495">
        <v>294.80853000000002</v>
      </c>
      <c r="E495">
        <v>1929.104</v>
      </c>
      <c r="F495">
        <v>1094</v>
      </c>
      <c r="G495">
        <v>-80.243738587999999</v>
      </c>
      <c r="H495">
        <v>-11.313474673</v>
      </c>
      <c r="I495">
        <v>114.89971799999999</v>
      </c>
    </row>
    <row r="496" spans="1:9" x14ac:dyDescent="0.45">
      <c r="A496">
        <v>495</v>
      </c>
      <c r="B496">
        <v>-41.807189999999999</v>
      </c>
      <c r="C496">
        <v>-95.592320000000001</v>
      </c>
      <c r="D496">
        <v>298.19812999999999</v>
      </c>
      <c r="E496">
        <v>2028.0549000000001</v>
      </c>
      <c r="F496">
        <v>1095</v>
      </c>
      <c r="G496">
        <v>-41.798560047000002</v>
      </c>
      <c r="H496">
        <v>-95.613825591999998</v>
      </c>
      <c r="I496">
        <v>118.21246499999999</v>
      </c>
    </row>
    <row r="497" spans="1:9" x14ac:dyDescent="0.45">
      <c r="A497">
        <v>496</v>
      </c>
      <c r="B497">
        <v>-53.464919999999999</v>
      </c>
      <c r="C497">
        <v>10.17784</v>
      </c>
      <c r="D497">
        <v>309.47633000000002</v>
      </c>
      <c r="E497">
        <v>954.67409999999995</v>
      </c>
      <c r="F497">
        <v>1096</v>
      </c>
      <c r="G497">
        <v>-53.459466020999997</v>
      </c>
      <c r="H497">
        <v>10.166745827</v>
      </c>
      <c r="I497">
        <v>129.48524399999999</v>
      </c>
    </row>
    <row r="498" spans="1:9" x14ac:dyDescent="0.45">
      <c r="A498">
        <v>497</v>
      </c>
      <c r="B498">
        <v>35.098280000000003</v>
      </c>
      <c r="C498">
        <v>10.69909</v>
      </c>
      <c r="D498">
        <v>111.38601</v>
      </c>
      <c r="E498">
        <v>2645.9000999999998</v>
      </c>
      <c r="F498">
        <v>1097</v>
      </c>
      <c r="G498">
        <v>35.089580343000002</v>
      </c>
      <c r="H498">
        <v>10.726107819999999</v>
      </c>
      <c r="I498">
        <v>291.401543</v>
      </c>
    </row>
    <row r="499" spans="1:9" x14ac:dyDescent="0.45">
      <c r="A499">
        <v>498</v>
      </c>
      <c r="B499">
        <v>-26.025849999999998</v>
      </c>
      <c r="C499">
        <v>-112.98105</v>
      </c>
      <c r="D499">
        <v>262.43319000000002</v>
      </c>
      <c r="E499">
        <v>1037.9902</v>
      </c>
      <c r="F499">
        <v>1098</v>
      </c>
      <c r="G499">
        <v>-26.027083381000001</v>
      </c>
      <c r="H499">
        <v>-112.99132977399999</v>
      </c>
      <c r="I499">
        <v>82.437701000000004</v>
      </c>
    </row>
    <row r="500" spans="1:9" x14ac:dyDescent="0.45">
      <c r="A500">
        <v>499</v>
      </c>
      <c r="B500">
        <v>-12.496169999999999</v>
      </c>
      <c r="C500">
        <v>177.97058999999999</v>
      </c>
      <c r="D500">
        <v>315.38481999999999</v>
      </c>
      <c r="E500">
        <v>2665.431</v>
      </c>
      <c r="F500">
        <v>1099</v>
      </c>
      <c r="G500">
        <v>-12.479018356999999</v>
      </c>
      <c r="H500">
        <v>177.953368934</v>
      </c>
      <c r="I500">
        <v>135.388544</v>
      </c>
    </row>
    <row r="501" spans="1:9" x14ac:dyDescent="0.45">
      <c r="A501">
        <v>500</v>
      </c>
      <c r="B501">
        <v>-11.61533</v>
      </c>
      <c r="C501">
        <v>173.26237</v>
      </c>
      <c r="D501">
        <v>173.36855</v>
      </c>
      <c r="E501">
        <v>2753.4184</v>
      </c>
      <c r="F501">
        <v>1100</v>
      </c>
      <c r="G501">
        <v>-11.640054372</v>
      </c>
      <c r="H501">
        <v>173.265285965</v>
      </c>
      <c r="I501">
        <v>353.36796199999998</v>
      </c>
    </row>
    <row r="502" spans="1:9" x14ac:dyDescent="0.45">
      <c r="A502">
        <v>501</v>
      </c>
      <c r="B502">
        <v>21.873650000000001</v>
      </c>
      <c r="C502">
        <v>-20.562519999999999</v>
      </c>
      <c r="D502">
        <v>166.18342000000001</v>
      </c>
      <c r="E502">
        <v>264.5086</v>
      </c>
      <c r="F502">
        <v>1101</v>
      </c>
      <c r="G502">
        <v>21.871330316000002</v>
      </c>
      <c r="H502">
        <v>-20.561908820999999</v>
      </c>
      <c r="I502">
        <v>346.18364800000001</v>
      </c>
    </row>
    <row r="503" spans="1:9" x14ac:dyDescent="0.45">
      <c r="A503">
        <v>502</v>
      </c>
      <c r="B503">
        <v>1.35799</v>
      </c>
      <c r="C503">
        <v>-13.302680000000001</v>
      </c>
      <c r="D503">
        <v>288.05</v>
      </c>
      <c r="E503">
        <v>6.3822000000000001</v>
      </c>
      <c r="F503">
        <v>1102</v>
      </c>
      <c r="G503">
        <v>1.3580078840000001</v>
      </c>
      <c r="H503">
        <v>-13.302734526</v>
      </c>
      <c r="I503">
        <v>108.049999</v>
      </c>
    </row>
    <row r="504" spans="1:9" x14ac:dyDescent="0.45">
      <c r="A504">
        <v>503</v>
      </c>
      <c r="B504">
        <v>-33.337649999999996</v>
      </c>
      <c r="C504">
        <v>-174.36304999999999</v>
      </c>
      <c r="D504">
        <v>27.023720000000001</v>
      </c>
      <c r="E504">
        <v>131.6283</v>
      </c>
      <c r="F504">
        <v>1103</v>
      </c>
      <c r="G504">
        <v>-33.336592777</v>
      </c>
      <c r="H504">
        <v>-174.36240758700001</v>
      </c>
      <c r="I504">
        <v>207.02336700000001</v>
      </c>
    </row>
    <row r="505" spans="1:9" x14ac:dyDescent="0.45">
      <c r="A505">
        <v>504</v>
      </c>
      <c r="B505">
        <v>-1.3826000000000001</v>
      </c>
      <c r="C505">
        <v>-104.57032</v>
      </c>
      <c r="D505">
        <v>45.487139999999997</v>
      </c>
      <c r="E505">
        <v>173.012</v>
      </c>
      <c r="F505">
        <v>1104</v>
      </c>
      <c r="G505">
        <v>-1.3815030660000001</v>
      </c>
      <c r="H505">
        <v>-104.569211395</v>
      </c>
      <c r="I505">
        <v>225.48711299999999</v>
      </c>
    </row>
    <row r="506" spans="1:9" x14ac:dyDescent="0.45">
      <c r="A506">
        <v>505</v>
      </c>
      <c r="B506">
        <v>61.856349999999999</v>
      </c>
      <c r="C506">
        <v>-111.99178999999999</v>
      </c>
      <c r="D506">
        <v>215.14201</v>
      </c>
      <c r="E506">
        <v>188.12110000000001</v>
      </c>
      <c r="F506">
        <v>1105</v>
      </c>
      <c r="G506">
        <v>61.854969623999999</v>
      </c>
      <c r="H506">
        <v>-111.993846777</v>
      </c>
      <c r="I506">
        <v>35.140196000000003</v>
      </c>
    </row>
    <row r="507" spans="1:9" x14ac:dyDescent="0.45">
      <c r="A507">
        <v>506</v>
      </c>
      <c r="B507">
        <v>-32.009039999999999</v>
      </c>
      <c r="C507">
        <v>-36.844709999999999</v>
      </c>
      <c r="D507">
        <v>100.82675</v>
      </c>
      <c r="E507">
        <v>101.82980000000001</v>
      </c>
      <c r="F507">
        <v>1106</v>
      </c>
      <c r="G507">
        <v>-32.009212493</v>
      </c>
      <c r="H507">
        <v>-36.843651434000002</v>
      </c>
      <c r="I507">
        <v>280.826189</v>
      </c>
    </row>
    <row r="508" spans="1:9" x14ac:dyDescent="0.45">
      <c r="A508">
        <v>507</v>
      </c>
      <c r="B508">
        <v>69.095749999999995</v>
      </c>
      <c r="C508">
        <v>165.33557999999999</v>
      </c>
      <c r="D508">
        <v>47.534529999999997</v>
      </c>
      <c r="E508">
        <v>65.089699999999993</v>
      </c>
      <c r="F508">
        <v>1107</v>
      </c>
      <c r="G508">
        <v>69.096143944000005</v>
      </c>
      <c r="H508">
        <v>165.336785351</v>
      </c>
      <c r="I508">
        <v>227.53565599999999</v>
      </c>
    </row>
    <row r="509" spans="1:9" x14ac:dyDescent="0.45">
      <c r="A509">
        <v>508</v>
      </c>
      <c r="B509">
        <v>24.48837</v>
      </c>
      <c r="C509">
        <v>81.266869999999997</v>
      </c>
      <c r="D509">
        <v>193.37889000000001</v>
      </c>
      <c r="E509">
        <v>152.2518</v>
      </c>
      <c r="F509">
        <v>1108</v>
      </c>
      <c r="G509">
        <v>24.487032759000002</v>
      </c>
      <c r="H509">
        <v>81.266522449999997</v>
      </c>
      <c r="I509">
        <v>13.378746</v>
      </c>
    </row>
    <row r="510" spans="1:9" x14ac:dyDescent="0.45">
      <c r="A510">
        <v>509</v>
      </c>
      <c r="B510">
        <v>82.781409999999994</v>
      </c>
      <c r="C510">
        <v>28.353629999999999</v>
      </c>
      <c r="D510">
        <v>335.40109000000001</v>
      </c>
      <c r="E510">
        <v>49.255200000000002</v>
      </c>
      <c r="F510">
        <v>1109</v>
      </c>
      <c r="G510">
        <v>82.781811023000003</v>
      </c>
      <c r="H510">
        <v>28.352168975000001</v>
      </c>
      <c r="I510">
        <v>155.399641</v>
      </c>
    </row>
    <row r="511" spans="1:9" x14ac:dyDescent="0.45">
      <c r="A511">
        <v>510</v>
      </c>
      <c r="B511">
        <v>-30.31739</v>
      </c>
      <c r="C511">
        <v>151.85156000000001</v>
      </c>
      <c r="D511">
        <v>279.11272000000002</v>
      </c>
      <c r="E511">
        <v>232.5444</v>
      </c>
      <c r="F511">
        <v>1110</v>
      </c>
      <c r="G511">
        <v>-30.317057753</v>
      </c>
      <c r="H511">
        <v>151.84917266400001</v>
      </c>
      <c r="I511">
        <v>99.113924999999995</v>
      </c>
    </row>
    <row r="512" spans="1:9" x14ac:dyDescent="0.45">
      <c r="A512">
        <v>511</v>
      </c>
      <c r="B512">
        <v>23.356680000000001</v>
      </c>
      <c r="C512">
        <v>-164.59180000000001</v>
      </c>
      <c r="D512">
        <v>326.82810000000001</v>
      </c>
      <c r="E512">
        <v>107.157</v>
      </c>
      <c r="F512">
        <v>1111</v>
      </c>
      <c r="G512">
        <v>23.357489883</v>
      </c>
      <c r="H512">
        <v>-164.59237340799999</v>
      </c>
      <c r="I512">
        <v>146.82787300000001</v>
      </c>
    </row>
    <row r="513" spans="1:9" x14ac:dyDescent="0.45">
      <c r="A513">
        <v>512</v>
      </c>
      <c r="B513">
        <v>-73.492310000000003</v>
      </c>
      <c r="C513">
        <v>15.927949999999999</v>
      </c>
      <c r="D513">
        <v>148.55090000000001</v>
      </c>
      <c r="E513">
        <v>74.548699999999997</v>
      </c>
      <c r="F513">
        <v>1112</v>
      </c>
      <c r="G513">
        <v>-73.492879853999995</v>
      </c>
      <c r="H513">
        <v>15.929175912</v>
      </c>
      <c r="I513">
        <v>328.54972500000002</v>
      </c>
    </row>
    <row r="514" spans="1:9" x14ac:dyDescent="0.45">
      <c r="A514">
        <v>513</v>
      </c>
      <c r="B514">
        <v>-46.820689999999999</v>
      </c>
      <c r="C514">
        <v>-33.363880000000002</v>
      </c>
      <c r="D514">
        <v>328.67232999999999</v>
      </c>
      <c r="E514">
        <v>75.305599999999998</v>
      </c>
      <c r="F514">
        <v>1113</v>
      </c>
      <c r="G514">
        <v>-46.820111351999998</v>
      </c>
      <c r="H514">
        <v>-33.364393081999999</v>
      </c>
      <c r="I514">
        <v>148.67270400000001</v>
      </c>
    </row>
    <row r="515" spans="1:9" x14ac:dyDescent="0.45">
      <c r="A515">
        <v>514</v>
      </c>
      <c r="B515">
        <v>11.27017</v>
      </c>
      <c r="C515">
        <v>-26.875640000000001</v>
      </c>
      <c r="D515">
        <v>89.378320000000002</v>
      </c>
      <c r="E515">
        <v>194.6788</v>
      </c>
      <c r="F515">
        <v>1114</v>
      </c>
      <c r="G515">
        <v>11.270189090000001</v>
      </c>
      <c r="H515">
        <v>-26.873857117</v>
      </c>
      <c r="I515">
        <v>269.378668</v>
      </c>
    </row>
    <row r="516" spans="1:9" x14ac:dyDescent="0.45">
      <c r="A516">
        <v>515</v>
      </c>
      <c r="B516">
        <v>42.259520000000002</v>
      </c>
      <c r="C516">
        <v>-92.030280000000005</v>
      </c>
      <c r="D516">
        <v>289.71839999999997</v>
      </c>
      <c r="E516">
        <v>66.631600000000006</v>
      </c>
      <c r="F516">
        <v>1115</v>
      </c>
      <c r="G516">
        <v>42.259722388999997</v>
      </c>
      <c r="H516">
        <v>-92.031040176999994</v>
      </c>
      <c r="I516">
        <v>109.717889</v>
      </c>
    </row>
    <row r="517" spans="1:9" x14ac:dyDescent="0.45">
      <c r="A517">
        <v>516</v>
      </c>
      <c r="B517">
        <v>-44.623159999999999</v>
      </c>
      <c r="C517">
        <v>-9.2262699999999995</v>
      </c>
      <c r="D517">
        <v>175.12504999999999</v>
      </c>
      <c r="E517">
        <v>85.505399999999995</v>
      </c>
      <c r="F517">
        <v>1116</v>
      </c>
      <c r="G517">
        <v>-44.623926673</v>
      </c>
      <c r="H517">
        <v>-9.2261784389999999</v>
      </c>
      <c r="I517">
        <v>355.12498599999998</v>
      </c>
    </row>
    <row r="518" spans="1:9" x14ac:dyDescent="0.45">
      <c r="A518">
        <v>517</v>
      </c>
      <c r="B518">
        <v>27.231000000000002</v>
      </c>
      <c r="C518">
        <v>-174.14616000000001</v>
      </c>
      <c r="D518">
        <v>54.313270000000003</v>
      </c>
      <c r="E518">
        <v>92.513499999999993</v>
      </c>
      <c r="F518">
        <v>1117</v>
      </c>
      <c r="G518">
        <v>27.231487043000001</v>
      </c>
      <c r="H518">
        <v>-174.14540138800001</v>
      </c>
      <c r="I518">
        <v>234.31361699999999</v>
      </c>
    </row>
    <row r="519" spans="1:9" x14ac:dyDescent="0.45">
      <c r="A519">
        <v>518</v>
      </c>
      <c r="B519">
        <v>-37.711570000000002</v>
      </c>
      <c r="C519">
        <v>96.488259999999997</v>
      </c>
      <c r="D519">
        <v>1.2880199999999999</v>
      </c>
      <c r="E519">
        <v>198.68539999999999</v>
      </c>
      <c r="F519">
        <v>1118</v>
      </c>
      <c r="G519">
        <v>-37.709780348999999</v>
      </c>
      <c r="H519">
        <v>96.488310648999999</v>
      </c>
      <c r="I519">
        <v>181.28798900000001</v>
      </c>
    </row>
    <row r="520" spans="1:9" x14ac:dyDescent="0.45">
      <c r="A520">
        <v>519</v>
      </c>
      <c r="B520">
        <v>88.094620000000006</v>
      </c>
      <c r="C520">
        <v>26.098240000000001</v>
      </c>
      <c r="D520">
        <v>148.42997</v>
      </c>
      <c r="E520">
        <v>16.641500000000001</v>
      </c>
      <c r="F520">
        <v>1119</v>
      </c>
      <c r="G520">
        <v>88.094493056000005</v>
      </c>
      <c r="H520">
        <v>26.100585884000001</v>
      </c>
      <c r="I520">
        <v>328.43231500000002</v>
      </c>
    </row>
    <row r="521" spans="1:9" x14ac:dyDescent="0.45">
      <c r="A521">
        <v>520</v>
      </c>
      <c r="B521">
        <v>-56.325490000000002</v>
      </c>
      <c r="C521">
        <v>-107.77484</v>
      </c>
      <c r="D521">
        <v>351.82191999999998</v>
      </c>
      <c r="E521">
        <v>22.802299999999999</v>
      </c>
      <c r="F521">
        <v>1120</v>
      </c>
      <c r="G521">
        <v>-56.325287297999999</v>
      </c>
      <c r="H521">
        <v>-107.774892429</v>
      </c>
      <c r="I521">
        <v>171.82196400000001</v>
      </c>
    </row>
    <row r="522" spans="1:9" x14ac:dyDescent="0.45">
      <c r="A522">
        <v>521</v>
      </c>
      <c r="B522">
        <v>76.131950000000003</v>
      </c>
      <c r="C522">
        <v>76.322109999999995</v>
      </c>
      <c r="D522">
        <v>48.037730000000003</v>
      </c>
      <c r="E522">
        <v>54.732100000000003</v>
      </c>
      <c r="F522">
        <v>1121</v>
      </c>
      <c r="G522">
        <v>76.132277832</v>
      </c>
      <c r="H522">
        <v>76.323630523999995</v>
      </c>
      <c r="I522">
        <v>228.03920600000001</v>
      </c>
    </row>
    <row r="523" spans="1:9" x14ac:dyDescent="0.45">
      <c r="A523">
        <v>522</v>
      </c>
      <c r="B523">
        <v>-17.751480000000001</v>
      </c>
      <c r="C523">
        <v>140.92678000000001</v>
      </c>
      <c r="D523">
        <v>22.109079999999999</v>
      </c>
      <c r="E523">
        <v>26.3157</v>
      </c>
      <c r="F523">
        <v>1122</v>
      </c>
      <c r="G523">
        <v>-17.751259714</v>
      </c>
      <c r="H523">
        <v>140.926873392</v>
      </c>
      <c r="I523">
        <v>202.10905199999999</v>
      </c>
    </row>
    <row r="524" spans="1:9" x14ac:dyDescent="0.45">
      <c r="A524">
        <v>523</v>
      </c>
      <c r="B524">
        <v>-25.518599999999999</v>
      </c>
      <c r="C524">
        <v>102.41481</v>
      </c>
      <c r="D524">
        <v>250.43512999999999</v>
      </c>
      <c r="E524">
        <v>287.31920000000002</v>
      </c>
      <c r="F524">
        <v>1123</v>
      </c>
      <c r="G524">
        <v>-25.519468499999999</v>
      </c>
      <c r="H524">
        <v>102.412116743</v>
      </c>
      <c r="I524">
        <v>70.43629</v>
      </c>
    </row>
    <row r="525" spans="1:9" x14ac:dyDescent="0.45">
      <c r="A525">
        <v>524</v>
      </c>
      <c r="B525">
        <v>10.159509999999999</v>
      </c>
      <c r="C525">
        <v>149.08867000000001</v>
      </c>
      <c r="D525">
        <v>22.20468</v>
      </c>
      <c r="E525">
        <v>249.56829999999999</v>
      </c>
      <c r="F525">
        <v>1124</v>
      </c>
      <c r="G525">
        <v>10.161598983999999</v>
      </c>
      <c r="H525">
        <v>149.08953066699999</v>
      </c>
      <c r="I525">
        <v>202.20483200000001</v>
      </c>
    </row>
    <row r="526" spans="1:9" x14ac:dyDescent="0.45">
      <c r="A526">
        <v>525</v>
      </c>
      <c r="B526">
        <v>6.9403699999999997</v>
      </c>
      <c r="C526">
        <v>147.22119000000001</v>
      </c>
      <c r="D526">
        <v>186.31595999999999</v>
      </c>
      <c r="E526">
        <v>102.48309999999999</v>
      </c>
      <c r="F526">
        <v>1125</v>
      </c>
      <c r="G526">
        <v>6.9394489349999997</v>
      </c>
      <c r="H526">
        <v>147.221087979</v>
      </c>
      <c r="I526">
        <v>6.3159479999999997</v>
      </c>
    </row>
    <row r="527" spans="1:9" x14ac:dyDescent="0.45">
      <c r="A527">
        <v>526</v>
      </c>
      <c r="B527">
        <v>-61.764209999999999</v>
      </c>
      <c r="C527">
        <v>152.63578000000001</v>
      </c>
      <c r="D527">
        <v>89.417590000000004</v>
      </c>
      <c r="E527">
        <v>112.4393</v>
      </c>
      <c r="F527">
        <v>1126</v>
      </c>
      <c r="G527">
        <v>-61.764199728000001</v>
      </c>
      <c r="H527">
        <v>152.63790931099999</v>
      </c>
      <c r="I527">
        <v>269.41571399999998</v>
      </c>
    </row>
    <row r="528" spans="1:9" x14ac:dyDescent="0.45">
      <c r="A528">
        <v>527</v>
      </c>
      <c r="B528">
        <v>79.593010000000007</v>
      </c>
      <c r="C528">
        <v>-28.278780000000001</v>
      </c>
      <c r="D528">
        <v>256.24286000000001</v>
      </c>
      <c r="E528">
        <v>188.01929999999999</v>
      </c>
      <c r="F528">
        <v>1127</v>
      </c>
      <c r="G528">
        <v>79.592609429999996</v>
      </c>
      <c r="H528">
        <v>-28.287832133999999</v>
      </c>
      <c r="I528">
        <v>76.233957000000004</v>
      </c>
    </row>
    <row r="529" spans="1:9" x14ac:dyDescent="0.45">
      <c r="A529">
        <v>528</v>
      </c>
      <c r="B529">
        <v>-79.142229999999998</v>
      </c>
      <c r="C529">
        <v>-164.06370999999999</v>
      </c>
      <c r="D529">
        <v>111.26199</v>
      </c>
      <c r="E529">
        <v>114.4122</v>
      </c>
      <c r="F529">
        <v>1128</v>
      </c>
      <c r="G529">
        <v>-79.142601549999995</v>
      </c>
      <c r="H529">
        <v>-164.058641518</v>
      </c>
      <c r="I529">
        <v>291.25701199999997</v>
      </c>
    </row>
    <row r="530" spans="1:9" x14ac:dyDescent="0.45">
      <c r="A530">
        <v>529</v>
      </c>
      <c r="B530">
        <v>43.785049999999998</v>
      </c>
      <c r="C530">
        <v>80.855099999999993</v>
      </c>
      <c r="D530">
        <v>54.930970000000002</v>
      </c>
      <c r="E530">
        <v>125.02719999999999</v>
      </c>
      <c r="F530">
        <v>1129</v>
      </c>
      <c r="G530">
        <v>43.785696535</v>
      </c>
      <c r="H530">
        <v>80.856371267</v>
      </c>
      <c r="I530">
        <v>234.93185</v>
      </c>
    </row>
    <row r="531" spans="1:9" x14ac:dyDescent="0.45">
      <c r="A531">
        <v>530</v>
      </c>
      <c r="B531">
        <v>22.29635</v>
      </c>
      <c r="C531">
        <v>128.5907</v>
      </c>
      <c r="D531">
        <v>284.13648999999998</v>
      </c>
      <c r="E531">
        <v>69.067899999999995</v>
      </c>
      <c r="F531">
        <v>1130</v>
      </c>
      <c r="G531">
        <v>22.296502332999999</v>
      </c>
      <c r="H531">
        <v>128.59005003600001</v>
      </c>
      <c r="I531">
        <v>104.13624299999999</v>
      </c>
    </row>
    <row r="532" spans="1:9" x14ac:dyDescent="0.45">
      <c r="A532">
        <v>531</v>
      </c>
      <c r="B532">
        <v>-32.809049999999999</v>
      </c>
      <c r="C532">
        <v>-154.67445000000001</v>
      </c>
      <c r="D532">
        <v>77.064390000000003</v>
      </c>
      <c r="E532">
        <v>7.2950999999999997</v>
      </c>
      <c r="F532">
        <v>1131</v>
      </c>
      <c r="G532">
        <v>-32.809035274999999</v>
      </c>
      <c r="H532">
        <v>-154.674374083</v>
      </c>
      <c r="I532">
        <v>257.06434899999999</v>
      </c>
    </row>
    <row r="533" spans="1:9" x14ac:dyDescent="0.45">
      <c r="A533">
        <v>532</v>
      </c>
      <c r="B533">
        <v>-21.576830000000001</v>
      </c>
      <c r="C533">
        <v>-140.85884999999999</v>
      </c>
      <c r="D533">
        <v>344.36299000000002</v>
      </c>
      <c r="E533">
        <v>42.905700000000003</v>
      </c>
      <c r="F533">
        <v>1132</v>
      </c>
      <c r="G533">
        <v>-21.576456842999999</v>
      </c>
      <c r="H533">
        <v>-140.85896166699999</v>
      </c>
      <c r="I533">
        <v>164.36303100000001</v>
      </c>
    </row>
    <row r="534" spans="1:9" x14ac:dyDescent="0.45">
      <c r="A534">
        <v>533</v>
      </c>
      <c r="B534">
        <v>72.056370000000001</v>
      </c>
      <c r="C534">
        <v>-152.77322000000001</v>
      </c>
      <c r="D534">
        <v>349.06916000000001</v>
      </c>
      <c r="E534">
        <v>294.95620000000002</v>
      </c>
      <c r="F534">
        <v>1133</v>
      </c>
      <c r="G534">
        <v>72.058965322000006</v>
      </c>
      <c r="H534">
        <v>-152.774846131</v>
      </c>
      <c r="I534">
        <v>169.06761299999999</v>
      </c>
    </row>
    <row r="535" spans="1:9" x14ac:dyDescent="0.45">
      <c r="A535">
        <v>534</v>
      </c>
      <c r="B535">
        <v>-82.838620000000006</v>
      </c>
      <c r="C535">
        <v>-106.94711</v>
      </c>
      <c r="D535">
        <v>183.34251</v>
      </c>
      <c r="E535">
        <v>219.79079999999999</v>
      </c>
      <c r="F535">
        <v>1134</v>
      </c>
      <c r="G535">
        <v>-82.840584754999995</v>
      </c>
      <c r="H535">
        <v>-106.94803062299999</v>
      </c>
      <c r="I535">
        <v>3.343423</v>
      </c>
    </row>
    <row r="536" spans="1:9" x14ac:dyDescent="0.45">
      <c r="A536">
        <v>535</v>
      </c>
      <c r="B536">
        <v>-80.31738</v>
      </c>
      <c r="C536">
        <v>-159.21198999999999</v>
      </c>
      <c r="D536">
        <v>231.74418</v>
      </c>
      <c r="E536">
        <v>75.439899999999994</v>
      </c>
      <c r="F536">
        <v>1135</v>
      </c>
      <c r="G536">
        <v>-80.317798304999997</v>
      </c>
      <c r="H536">
        <v>-159.215143845</v>
      </c>
      <c r="I536">
        <v>51.747289000000002</v>
      </c>
    </row>
    <row r="537" spans="1:9" x14ac:dyDescent="0.45">
      <c r="A537">
        <v>536</v>
      </c>
      <c r="B537">
        <v>-59.436450000000001</v>
      </c>
      <c r="C537">
        <v>137.40592000000001</v>
      </c>
      <c r="D537">
        <v>356.06178</v>
      </c>
      <c r="E537">
        <v>153.09970000000001</v>
      </c>
      <c r="F537">
        <v>1136</v>
      </c>
      <c r="G537">
        <v>-59.435078953999998</v>
      </c>
      <c r="H537">
        <v>137.405734709</v>
      </c>
      <c r="I537">
        <v>176.06193999999999</v>
      </c>
    </row>
    <row r="538" spans="1:9" x14ac:dyDescent="0.45">
      <c r="A538">
        <v>537</v>
      </c>
      <c r="B538">
        <v>-69.068560000000005</v>
      </c>
      <c r="C538">
        <v>155.59643</v>
      </c>
      <c r="D538">
        <v>294.31029999999998</v>
      </c>
      <c r="E538">
        <v>275.0976</v>
      </c>
      <c r="F538">
        <v>1137</v>
      </c>
      <c r="G538">
        <v>-69.06754463</v>
      </c>
      <c r="H538">
        <v>155.5901447</v>
      </c>
      <c r="I538">
        <v>114.316171</v>
      </c>
    </row>
    <row r="539" spans="1:9" x14ac:dyDescent="0.45">
      <c r="A539">
        <v>538</v>
      </c>
      <c r="B539">
        <v>-53.89425</v>
      </c>
      <c r="C539">
        <v>-149.10196999999999</v>
      </c>
      <c r="D539">
        <v>302.54115999999999</v>
      </c>
      <c r="E539">
        <v>117.9924</v>
      </c>
      <c r="F539">
        <v>1138</v>
      </c>
      <c r="G539">
        <v>-53.893679757000001</v>
      </c>
      <c r="H539">
        <v>-149.10348299099999</v>
      </c>
      <c r="I539">
        <v>122.542382</v>
      </c>
    </row>
    <row r="540" spans="1:9" x14ac:dyDescent="0.45">
      <c r="A540">
        <v>539</v>
      </c>
      <c r="B540">
        <v>-51.121549999999999</v>
      </c>
      <c r="C540">
        <v>4.9102800000000002</v>
      </c>
      <c r="D540">
        <v>241.80784</v>
      </c>
      <c r="E540">
        <v>230.8272</v>
      </c>
      <c r="F540">
        <v>1139</v>
      </c>
      <c r="G540">
        <v>-51.122530181000002</v>
      </c>
      <c r="H540">
        <v>4.9073741850000001</v>
      </c>
      <c r="I540">
        <v>61.810102000000001</v>
      </c>
    </row>
    <row r="541" spans="1:9" x14ac:dyDescent="0.45">
      <c r="A541">
        <v>540</v>
      </c>
      <c r="B541">
        <v>57.24682</v>
      </c>
      <c r="C541">
        <v>-124.59036</v>
      </c>
      <c r="D541">
        <v>197.60433</v>
      </c>
      <c r="E541">
        <v>50.645099999999999</v>
      </c>
      <c r="F541">
        <v>1140</v>
      </c>
      <c r="G541">
        <v>57.246386528000002</v>
      </c>
      <c r="H541">
        <v>-124.590613722</v>
      </c>
      <c r="I541">
        <v>17.604116999999999</v>
      </c>
    </row>
    <row r="542" spans="1:9" x14ac:dyDescent="0.45">
      <c r="A542">
        <v>541</v>
      </c>
      <c r="B542">
        <v>12.58253</v>
      </c>
      <c r="C542">
        <v>134.70033000000001</v>
      </c>
      <c r="D542">
        <v>192.15662</v>
      </c>
      <c r="E542">
        <v>199.2944</v>
      </c>
      <c r="F542">
        <v>1141</v>
      </c>
      <c r="G542">
        <v>12.580768898000001</v>
      </c>
      <c r="H542">
        <v>134.69994377899999</v>
      </c>
      <c r="I542">
        <v>12.156535999999999</v>
      </c>
    </row>
    <row r="543" spans="1:9" x14ac:dyDescent="0.45">
      <c r="A543">
        <v>542</v>
      </c>
      <c r="B543">
        <v>34.16874</v>
      </c>
      <c r="C543">
        <v>-138.63915</v>
      </c>
      <c r="D543">
        <v>156.27993000000001</v>
      </c>
      <c r="E543">
        <v>159.47839999999999</v>
      </c>
      <c r="F543">
        <v>1142</v>
      </c>
      <c r="G543">
        <v>34.167423745000001</v>
      </c>
      <c r="H543">
        <v>-138.63845422</v>
      </c>
      <c r="I543">
        <v>336.28032100000001</v>
      </c>
    </row>
    <row r="544" spans="1:9" x14ac:dyDescent="0.45">
      <c r="A544">
        <v>543</v>
      </c>
      <c r="B544">
        <v>-10.688639999999999</v>
      </c>
      <c r="C544">
        <v>36.416780000000003</v>
      </c>
      <c r="D544">
        <v>301.57067999999998</v>
      </c>
      <c r="E544">
        <v>65.087299999999999</v>
      </c>
      <c r="F544">
        <v>1143</v>
      </c>
      <c r="G544">
        <v>-10.688331929</v>
      </c>
      <c r="H544">
        <v>36.416273111000002</v>
      </c>
      <c r="I544">
        <v>121.570774</v>
      </c>
    </row>
    <row r="545" spans="1:9" x14ac:dyDescent="0.45">
      <c r="A545">
        <v>544</v>
      </c>
      <c r="B545">
        <v>81.386269999999996</v>
      </c>
      <c r="C545">
        <v>-36.874519999999997</v>
      </c>
      <c r="D545">
        <v>310.75274000000002</v>
      </c>
      <c r="E545">
        <v>179.26079999999999</v>
      </c>
      <c r="F545">
        <v>1144</v>
      </c>
      <c r="G545">
        <v>81.387317843000005</v>
      </c>
      <c r="H545">
        <v>-36.882639165000001</v>
      </c>
      <c r="I545">
        <v>130.74471199999999</v>
      </c>
    </row>
    <row r="546" spans="1:9" x14ac:dyDescent="0.45">
      <c r="A546">
        <v>545</v>
      </c>
      <c r="B546">
        <v>20.176829999999999</v>
      </c>
      <c r="C546">
        <v>111.70093</v>
      </c>
      <c r="D546">
        <v>104.68876</v>
      </c>
      <c r="E546">
        <v>18.3111</v>
      </c>
      <c r="F546">
        <v>1145</v>
      </c>
      <c r="G546">
        <v>20.176788059</v>
      </c>
      <c r="H546">
        <v>111.701099451</v>
      </c>
      <c r="I546">
        <v>284.68881800000003</v>
      </c>
    </row>
    <row r="547" spans="1:9" x14ac:dyDescent="0.45">
      <c r="A547">
        <v>546</v>
      </c>
      <c r="B547">
        <v>73.634730000000005</v>
      </c>
      <c r="C547">
        <v>160.04536999999999</v>
      </c>
      <c r="D547">
        <v>269.04316999999998</v>
      </c>
      <c r="E547">
        <v>2.7016</v>
      </c>
      <c r="F547">
        <v>1146</v>
      </c>
      <c r="G547">
        <v>73.634729596</v>
      </c>
      <c r="H547">
        <v>160.04528414500001</v>
      </c>
      <c r="I547">
        <v>89.043087999999997</v>
      </c>
    </row>
    <row r="548" spans="1:9" x14ac:dyDescent="0.45">
      <c r="A548">
        <v>547</v>
      </c>
      <c r="B548">
        <v>-15.179130000000001</v>
      </c>
      <c r="C548">
        <v>-136.54058000000001</v>
      </c>
      <c r="D548">
        <v>333.54842000000002</v>
      </c>
      <c r="E548">
        <v>289.99310000000003</v>
      </c>
      <c r="F548">
        <v>1147</v>
      </c>
      <c r="G548">
        <v>-15.176783562000001</v>
      </c>
      <c r="H548">
        <v>-136.54178205599999</v>
      </c>
      <c r="I548">
        <v>153.54873499999999</v>
      </c>
    </row>
    <row r="549" spans="1:9" x14ac:dyDescent="0.45">
      <c r="A549">
        <v>548</v>
      </c>
      <c r="B549">
        <v>-56.078150000000001</v>
      </c>
      <c r="C549">
        <v>-110.17564</v>
      </c>
      <c r="D549">
        <v>220.47939</v>
      </c>
      <c r="E549">
        <v>191.5222</v>
      </c>
      <c r="F549">
        <v>1148</v>
      </c>
      <c r="G549">
        <v>-56.079458363999997</v>
      </c>
      <c r="H549">
        <v>-110.177636819</v>
      </c>
      <c r="I549">
        <v>40.481046999999997</v>
      </c>
    </row>
    <row r="550" spans="1:9" x14ac:dyDescent="0.45">
      <c r="A550">
        <v>549</v>
      </c>
      <c r="B550">
        <v>51.039769999999997</v>
      </c>
      <c r="C550">
        <v>-16.25891</v>
      </c>
      <c r="D550">
        <v>80.054810000000003</v>
      </c>
      <c r="E550">
        <v>288.79849999999999</v>
      </c>
      <c r="F550">
        <v>1149</v>
      </c>
      <c r="G550">
        <v>51.040218267999997</v>
      </c>
      <c r="H550">
        <v>-16.254854238</v>
      </c>
      <c r="I550">
        <v>260.05796400000003</v>
      </c>
    </row>
    <row r="551" spans="1:9" x14ac:dyDescent="0.45">
      <c r="A551">
        <v>550</v>
      </c>
      <c r="B551">
        <v>86.756280000000004</v>
      </c>
      <c r="C551">
        <v>-170.15781999999999</v>
      </c>
      <c r="D551">
        <v>110.48251999999999</v>
      </c>
      <c r="E551">
        <v>181.3706</v>
      </c>
      <c r="F551">
        <v>1150</v>
      </c>
      <c r="G551">
        <v>86.755711417000001</v>
      </c>
      <c r="H551">
        <v>-170.130940931</v>
      </c>
      <c r="I551">
        <v>290.50935600000003</v>
      </c>
    </row>
    <row r="552" spans="1:9" x14ac:dyDescent="0.45">
      <c r="A552">
        <v>551</v>
      </c>
      <c r="B552">
        <v>-3.9378600000000001</v>
      </c>
      <c r="C552">
        <v>104.93034</v>
      </c>
      <c r="D552">
        <v>187.28787</v>
      </c>
      <c r="E552">
        <v>238.00460000000001</v>
      </c>
      <c r="F552">
        <v>1151</v>
      </c>
      <c r="G552">
        <v>-3.9399949510000001</v>
      </c>
      <c r="H552">
        <v>104.930068143</v>
      </c>
      <c r="I552">
        <v>7.2878889999999998</v>
      </c>
    </row>
    <row r="553" spans="1:9" x14ac:dyDescent="0.45">
      <c r="A553">
        <v>552</v>
      </c>
      <c r="B553">
        <v>-57.820839999999997</v>
      </c>
      <c r="C553">
        <v>-51.469000000000001</v>
      </c>
      <c r="D553">
        <v>183.06056000000001</v>
      </c>
      <c r="E553">
        <v>230.9863</v>
      </c>
      <c r="F553">
        <v>1152</v>
      </c>
      <c r="G553">
        <v>-57.822911001999998</v>
      </c>
      <c r="H553">
        <v>-51.469207535000002</v>
      </c>
      <c r="I553">
        <v>3.0607359999999999</v>
      </c>
    </row>
    <row r="554" spans="1:9" x14ac:dyDescent="0.45">
      <c r="A554">
        <v>553</v>
      </c>
      <c r="B554">
        <v>41.255890000000001</v>
      </c>
      <c r="C554">
        <v>-118.74885</v>
      </c>
      <c r="D554">
        <v>312.52050000000003</v>
      </c>
      <c r="E554">
        <v>190.0778</v>
      </c>
      <c r="F554">
        <v>1153</v>
      </c>
      <c r="G554">
        <v>41.257046715000001</v>
      </c>
      <c r="H554">
        <v>-118.75052161799999</v>
      </c>
      <c r="I554">
        <v>132.519398</v>
      </c>
    </row>
    <row r="555" spans="1:9" x14ac:dyDescent="0.45">
      <c r="A555">
        <v>554</v>
      </c>
      <c r="B555">
        <v>88.690420000000003</v>
      </c>
      <c r="C555">
        <v>57.01623</v>
      </c>
      <c r="D555">
        <v>153.66014000000001</v>
      </c>
      <c r="E555">
        <v>99.565399999999997</v>
      </c>
      <c r="F555">
        <v>1154</v>
      </c>
      <c r="G555">
        <v>88.689621071999994</v>
      </c>
      <c r="H555">
        <v>57.033525269999998</v>
      </c>
      <c r="I555">
        <v>333.67743100000001</v>
      </c>
    </row>
    <row r="556" spans="1:9" x14ac:dyDescent="0.45">
      <c r="A556">
        <v>555</v>
      </c>
      <c r="B556">
        <v>-87.363870000000006</v>
      </c>
      <c r="C556">
        <v>75.309780000000003</v>
      </c>
      <c r="D556">
        <v>263.39355999999998</v>
      </c>
      <c r="E556">
        <v>29.6218</v>
      </c>
      <c r="F556">
        <v>1155</v>
      </c>
      <c r="G556">
        <v>-87.363900498999996</v>
      </c>
      <c r="H556">
        <v>75.304051967999996</v>
      </c>
      <c r="I556">
        <v>83.399281999999999</v>
      </c>
    </row>
    <row r="557" spans="1:9" x14ac:dyDescent="0.45">
      <c r="A557">
        <v>556</v>
      </c>
      <c r="B557">
        <v>-5.7315699999999996</v>
      </c>
      <c r="C557">
        <v>-136.95232999999999</v>
      </c>
      <c r="D557">
        <v>43.299230000000001</v>
      </c>
      <c r="E557">
        <v>162.2439</v>
      </c>
      <c r="F557">
        <v>1156</v>
      </c>
      <c r="G557">
        <v>-5.7305022430000001</v>
      </c>
      <c r="H557">
        <v>-136.95132547399999</v>
      </c>
      <c r="I557">
        <v>223.29912999999999</v>
      </c>
    </row>
    <row r="558" spans="1:9" x14ac:dyDescent="0.45">
      <c r="A558">
        <v>557</v>
      </c>
      <c r="B558">
        <v>34.532760000000003</v>
      </c>
      <c r="C558">
        <v>127.68576</v>
      </c>
      <c r="D558">
        <v>307.16313000000002</v>
      </c>
      <c r="E558">
        <v>56.786299999999997</v>
      </c>
      <c r="F558">
        <v>1157</v>
      </c>
      <c r="G558">
        <v>34.533069232000003</v>
      </c>
      <c r="H558">
        <v>127.685267056</v>
      </c>
      <c r="I558">
        <v>127.162851</v>
      </c>
    </row>
    <row r="559" spans="1:9" x14ac:dyDescent="0.45">
      <c r="A559">
        <v>558</v>
      </c>
      <c r="B559">
        <v>-31.722169999999998</v>
      </c>
      <c r="C559">
        <v>-81.074830000000006</v>
      </c>
      <c r="D559">
        <v>6.0523999999999996</v>
      </c>
      <c r="E559">
        <v>144.6337</v>
      </c>
      <c r="F559">
        <v>1158</v>
      </c>
      <c r="G559">
        <v>-31.720872877000001</v>
      </c>
      <c r="H559">
        <v>-81.074669099000005</v>
      </c>
      <c r="I559">
        <v>186.05231499999999</v>
      </c>
    </row>
    <row r="560" spans="1:9" x14ac:dyDescent="0.45">
      <c r="A560">
        <v>559</v>
      </c>
      <c r="B560">
        <v>27.26512</v>
      </c>
      <c r="C560">
        <v>-140.48827</v>
      </c>
      <c r="D560">
        <v>59.526020000000003</v>
      </c>
      <c r="E560">
        <v>173.5181</v>
      </c>
      <c r="F560">
        <v>1159</v>
      </c>
      <c r="G560">
        <v>27.265914153000001</v>
      </c>
      <c r="H560">
        <v>-140.48675972199999</v>
      </c>
      <c r="I560">
        <v>239.526712</v>
      </c>
    </row>
    <row r="561" spans="1:9" x14ac:dyDescent="0.45">
      <c r="A561">
        <v>560</v>
      </c>
      <c r="B561">
        <v>-25.903079999999999</v>
      </c>
      <c r="C561">
        <v>-172.59781000000001</v>
      </c>
      <c r="D561">
        <v>265.84955000000002</v>
      </c>
      <c r="E561">
        <v>53.187399999999997</v>
      </c>
      <c r="F561">
        <v>1160</v>
      </c>
      <c r="G561">
        <v>-25.903114746</v>
      </c>
      <c r="H561">
        <v>-172.59833942200001</v>
      </c>
      <c r="I561">
        <v>85.849780999999993</v>
      </c>
    </row>
    <row r="562" spans="1:9" x14ac:dyDescent="0.45">
      <c r="A562">
        <v>561</v>
      </c>
      <c r="B562">
        <v>33.746499999999997</v>
      </c>
      <c r="C562">
        <v>-124.47116</v>
      </c>
      <c r="D562">
        <v>46.665370000000003</v>
      </c>
      <c r="E562">
        <v>147.19309999999999</v>
      </c>
      <c r="F562">
        <v>1161</v>
      </c>
      <c r="G562">
        <v>33.747410690999999</v>
      </c>
      <c r="H562">
        <v>-124.47000453699999</v>
      </c>
      <c r="I562">
        <v>226.66601199999999</v>
      </c>
    </row>
    <row r="563" spans="1:9" x14ac:dyDescent="0.45">
      <c r="A563">
        <v>562</v>
      </c>
      <c r="B563">
        <v>-0.81971000000000005</v>
      </c>
      <c r="C563">
        <v>-111.59759</v>
      </c>
      <c r="D563">
        <v>307.62626</v>
      </c>
      <c r="E563">
        <v>286.26080000000002</v>
      </c>
      <c r="F563">
        <v>1162</v>
      </c>
      <c r="G563">
        <v>-0.81812948500000005</v>
      </c>
      <c r="H563">
        <v>-111.599626879</v>
      </c>
      <c r="I563">
        <v>127.626289</v>
      </c>
    </row>
    <row r="564" spans="1:9" x14ac:dyDescent="0.45">
      <c r="A564">
        <v>563</v>
      </c>
      <c r="B564">
        <v>-83.180459999999997</v>
      </c>
      <c r="C564">
        <v>-157.54884999999999</v>
      </c>
      <c r="D564">
        <v>226.68654000000001</v>
      </c>
      <c r="E564">
        <v>15.910600000000001</v>
      </c>
      <c r="F564">
        <v>1163</v>
      </c>
      <c r="G564">
        <v>-83.180557730999993</v>
      </c>
      <c r="H564">
        <v>-157.549722925</v>
      </c>
      <c r="I564">
        <v>46.687407</v>
      </c>
    </row>
    <row r="565" spans="1:9" x14ac:dyDescent="0.45">
      <c r="A565">
        <v>564</v>
      </c>
      <c r="B565">
        <v>79.332220000000007</v>
      </c>
      <c r="C565">
        <v>58.705269999999999</v>
      </c>
      <c r="D565">
        <v>224.47203999999999</v>
      </c>
      <c r="E565">
        <v>1.7715000000000001</v>
      </c>
      <c r="F565">
        <v>1164</v>
      </c>
      <c r="G565">
        <v>79.332208678000001</v>
      </c>
      <c r="H565">
        <v>58.705209969999999</v>
      </c>
      <c r="I565">
        <v>44.471981</v>
      </c>
    </row>
    <row r="566" spans="1:9" x14ac:dyDescent="0.45">
      <c r="A566">
        <v>565</v>
      </c>
      <c r="B566">
        <v>28.642399999999999</v>
      </c>
      <c r="C566">
        <v>-153.45140000000001</v>
      </c>
      <c r="D566">
        <v>311.82407000000001</v>
      </c>
      <c r="E566">
        <v>17.602499999999999</v>
      </c>
      <c r="F566">
        <v>1165</v>
      </c>
      <c r="G566">
        <v>28.642505911000001</v>
      </c>
      <c r="H566">
        <v>-153.451534162</v>
      </c>
      <c r="I566">
        <v>131.824006</v>
      </c>
    </row>
    <row r="567" spans="1:9" x14ac:dyDescent="0.45">
      <c r="A567">
        <v>566</v>
      </c>
      <c r="B567">
        <v>-52.37426</v>
      </c>
      <c r="C567">
        <v>31.57901</v>
      </c>
      <c r="D567">
        <v>159.75973999999999</v>
      </c>
      <c r="E567">
        <v>41.176900000000003</v>
      </c>
      <c r="F567">
        <v>1166</v>
      </c>
      <c r="G567">
        <v>-52.374607197000003</v>
      </c>
      <c r="H567">
        <v>31.579219173999999</v>
      </c>
      <c r="I567">
        <v>339.75957399999999</v>
      </c>
    </row>
    <row r="568" spans="1:9" x14ac:dyDescent="0.45">
      <c r="A568">
        <v>567</v>
      </c>
      <c r="B568">
        <v>-44.8003</v>
      </c>
      <c r="C568">
        <v>43.95102</v>
      </c>
      <c r="D568">
        <v>112.05547</v>
      </c>
      <c r="E568">
        <v>213.721</v>
      </c>
      <c r="F568">
        <v>1167</v>
      </c>
      <c r="G568">
        <v>-44.801022140999997</v>
      </c>
      <c r="H568">
        <v>43.953523576000002</v>
      </c>
      <c r="I568">
        <v>292.05370599999998</v>
      </c>
    </row>
    <row r="569" spans="1:9" x14ac:dyDescent="0.45">
      <c r="A569">
        <v>568</v>
      </c>
      <c r="B569">
        <v>-77.591309999999993</v>
      </c>
      <c r="C569">
        <v>156.82078000000001</v>
      </c>
      <c r="D569">
        <v>139.50046</v>
      </c>
      <c r="E569">
        <v>299.5917</v>
      </c>
      <c r="F569">
        <v>1168</v>
      </c>
      <c r="G569">
        <v>-77.593350447999995</v>
      </c>
      <c r="H569">
        <v>156.828889148</v>
      </c>
      <c r="I569">
        <v>319.49254000000002</v>
      </c>
    </row>
    <row r="570" spans="1:9" x14ac:dyDescent="0.45">
      <c r="A570">
        <v>569</v>
      </c>
      <c r="B570">
        <v>-63.280999999999999</v>
      </c>
      <c r="C570">
        <v>77.74485</v>
      </c>
      <c r="D570">
        <v>133.05328</v>
      </c>
      <c r="E570">
        <v>26.440300000000001</v>
      </c>
      <c r="F570">
        <v>1169</v>
      </c>
      <c r="G570">
        <v>-63.281161933999996</v>
      </c>
      <c r="H570">
        <v>77.745234984999996</v>
      </c>
      <c r="I570">
        <v>313.05293599999999</v>
      </c>
    </row>
    <row r="571" spans="1:9" x14ac:dyDescent="0.45">
      <c r="A571">
        <v>570</v>
      </c>
      <c r="B571">
        <v>-76.6036</v>
      </c>
      <c r="C571">
        <v>16.639379999999999</v>
      </c>
      <c r="D571">
        <v>312.82227</v>
      </c>
      <c r="E571">
        <v>113.30110000000001</v>
      </c>
      <c r="F571">
        <v>1170</v>
      </c>
      <c r="G571">
        <v>-76.602910098999999</v>
      </c>
      <c r="H571">
        <v>16.636168265999999</v>
      </c>
      <c r="I571">
        <v>132.82539399999999</v>
      </c>
    </row>
    <row r="572" spans="1:9" x14ac:dyDescent="0.45">
      <c r="A572">
        <v>571</v>
      </c>
      <c r="B572">
        <v>57.43224</v>
      </c>
      <c r="C572">
        <v>78.881559999999993</v>
      </c>
      <c r="D572">
        <v>193.30803</v>
      </c>
      <c r="E572">
        <v>216.56450000000001</v>
      </c>
      <c r="F572">
        <v>1171</v>
      </c>
      <c r="G572">
        <v>57.430347623999999</v>
      </c>
      <c r="H572">
        <v>78.880730118000002</v>
      </c>
      <c r="I572">
        <v>13.307331</v>
      </c>
    </row>
    <row r="573" spans="1:9" x14ac:dyDescent="0.45">
      <c r="A573">
        <v>572</v>
      </c>
      <c r="B573">
        <v>-70.088729999999998</v>
      </c>
      <c r="C573">
        <v>130.12809999999999</v>
      </c>
      <c r="D573">
        <v>226.68773999999999</v>
      </c>
      <c r="E573">
        <v>139.32480000000001</v>
      </c>
      <c r="F573">
        <v>1172</v>
      </c>
      <c r="G573">
        <v>-70.089586654000001</v>
      </c>
      <c r="H573">
        <v>130.125433786</v>
      </c>
      <c r="I573">
        <v>46.690246999999999</v>
      </c>
    </row>
    <row r="574" spans="1:9" x14ac:dyDescent="0.45">
      <c r="A574">
        <v>573</v>
      </c>
      <c r="B574">
        <v>72.797669999999997</v>
      </c>
      <c r="C574">
        <v>61.032829999999997</v>
      </c>
      <c r="D574">
        <v>26.693940000000001</v>
      </c>
      <c r="E574">
        <v>131.84719999999999</v>
      </c>
      <c r="F574">
        <v>1173</v>
      </c>
      <c r="G574">
        <v>72.798725544999996</v>
      </c>
      <c r="H574">
        <v>61.034623652000001</v>
      </c>
      <c r="I574">
        <v>206.69565299999999</v>
      </c>
    </row>
    <row r="575" spans="1:9" x14ac:dyDescent="0.45">
      <c r="A575">
        <v>574</v>
      </c>
      <c r="B575">
        <v>-12.12105</v>
      </c>
      <c r="C575">
        <v>65.601759999999999</v>
      </c>
      <c r="D575">
        <v>172.55895000000001</v>
      </c>
      <c r="E575">
        <v>211.75059999999999</v>
      </c>
      <c r="F575">
        <v>1174</v>
      </c>
      <c r="G575">
        <v>-12.122948040000001</v>
      </c>
      <c r="H575">
        <v>65.602011927000007</v>
      </c>
      <c r="I575">
        <v>352.558897</v>
      </c>
    </row>
    <row r="576" spans="1:9" x14ac:dyDescent="0.45">
      <c r="A576">
        <v>575</v>
      </c>
      <c r="B576">
        <v>56.408329999999999</v>
      </c>
      <c r="C576">
        <v>-137.34782000000001</v>
      </c>
      <c r="D576">
        <v>245.13218000000001</v>
      </c>
      <c r="E576">
        <v>1.5274000000000001</v>
      </c>
      <c r="F576">
        <v>1175</v>
      </c>
      <c r="G576">
        <v>56.408324231999998</v>
      </c>
      <c r="H576">
        <v>-137.34784244799999</v>
      </c>
      <c r="I576">
        <v>65.132160999999996</v>
      </c>
    </row>
    <row r="577" spans="1:9" x14ac:dyDescent="0.45">
      <c r="A577">
        <v>576</v>
      </c>
      <c r="B577">
        <v>4.0333899999999998</v>
      </c>
      <c r="C577">
        <v>53.337260000000001</v>
      </c>
      <c r="D577">
        <v>115.78897000000001</v>
      </c>
      <c r="E577">
        <v>145.38300000000001</v>
      </c>
      <c r="F577">
        <v>1176</v>
      </c>
      <c r="G577">
        <v>4.0328180140000001</v>
      </c>
      <c r="H577">
        <v>53.338438822999997</v>
      </c>
      <c r="I577">
        <v>295.78905300000002</v>
      </c>
    </row>
    <row r="578" spans="1:9" x14ac:dyDescent="0.45">
      <c r="A578">
        <v>577</v>
      </c>
      <c r="B578">
        <v>-24.675519999999999</v>
      </c>
      <c r="C578">
        <v>-116.47371</v>
      </c>
      <c r="D578">
        <v>17.108699999999999</v>
      </c>
      <c r="E578">
        <v>298.60430000000002</v>
      </c>
      <c r="F578">
        <v>1177</v>
      </c>
      <c r="G578">
        <v>-24.672943528000001</v>
      </c>
      <c r="H578">
        <v>-116.47284209999999</v>
      </c>
      <c r="I578">
        <v>197.108338</v>
      </c>
    </row>
    <row r="579" spans="1:9" x14ac:dyDescent="0.45">
      <c r="A579">
        <v>578</v>
      </c>
      <c r="B579">
        <v>24.813469999999999</v>
      </c>
      <c r="C579">
        <v>95.51782</v>
      </c>
      <c r="D579">
        <v>34.912210000000002</v>
      </c>
      <c r="E579">
        <v>134.36859999999999</v>
      </c>
      <c r="F579">
        <v>1178</v>
      </c>
      <c r="G579">
        <v>24.814464727000001</v>
      </c>
      <c r="H579">
        <v>95.518580643000007</v>
      </c>
      <c r="I579">
        <v>214.91252900000001</v>
      </c>
    </row>
    <row r="580" spans="1:9" x14ac:dyDescent="0.45">
      <c r="A580">
        <v>579</v>
      </c>
      <c r="B580">
        <v>-67.415689999999998</v>
      </c>
      <c r="C580">
        <v>65.61645</v>
      </c>
      <c r="D580">
        <v>198.33238</v>
      </c>
      <c r="E580">
        <v>113.09690000000001</v>
      </c>
      <c r="F580">
        <v>1179</v>
      </c>
      <c r="G580">
        <v>-67.416652601999999</v>
      </c>
      <c r="H580">
        <v>65.615620272000001</v>
      </c>
      <c r="I580">
        <v>18.333145999999999</v>
      </c>
    </row>
    <row r="581" spans="1:9" x14ac:dyDescent="0.45">
      <c r="A581">
        <v>580</v>
      </c>
      <c r="B581">
        <v>1.18946</v>
      </c>
      <c r="C581">
        <v>62.518470000000001</v>
      </c>
      <c r="D581">
        <v>336.43885999999998</v>
      </c>
      <c r="E581">
        <v>258.26159999999999</v>
      </c>
      <c r="F581">
        <v>1180</v>
      </c>
      <c r="G581">
        <v>1.1916009169999999</v>
      </c>
      <c r="H581">
        <v>62.517542431999999</v>
      </c>
      <c r="I581">
        <v>156.438841</v>
      </c>
    </row>
    <row r="582" spans="1:9" x14ac:dyDescent="0.45">
      <c r="A582">
        <v>581</v>
      </c>
      <c r="B582">
        <v>86.295429999999996</v>
      </c>
      <c r="C582">
        <v>128.02153000000001</v>
      </c>
      <c r="D582">
        <v>249.55179999999999</v>
      </c>
      <c r="E582">
        <v>245.2526</v>
      </c>
      <c r="F582">
        <v>1181</v>
      </c>
      <c r="G582">
        <v>86.294662286999994</v>
      </c>
      <c r="H582">
        <v>127.989693757</v>
      </c>
      <c r="I582">
        <v>69.520030000000006</v>
      </c>
    </row>
    <row r="583" spans="1:9" x14ac:dyDescent="0.45">
      <c r="A583">
        <v>582</v>
      </c>
      <c r="B583">
        <v>15.1288</v>
      </c>
      <c r="C583">
        <v>108.01099000000001</v>
      </c>
      <c r="D583">
        <v>122.24324</v>
      </c>
      <c r="E583">
        <v>232.00069999999999</v>
      </c>
      <c r="F583">
        <v>1182</v>
      </c>
      <c r="G583">
        <v>15.127681367999999</v>
      </c>
      <c r="H583">
        <v>108.012815571</v>
      </c>
      <c r="I583">
        <v>302.24371600000001</v>
      </c>
    </row>
    <row r="584" spans="1:9" x14ac:dyDescent="0.45">
      <c r="A584">
        <v>583</v>
      </c>
      <c r="B584">
        <v>71.317300000000003</v>
      </c>
      <c r="C584">
        <v>-79.998649999999998</v>
      </c>
      <c r="D584">
        <v>208.13885999999999</v>
      </c>
      <c r="E584">
        <v>154.26689999999999</v>
      </c>
      <c r="F584">
        <v>1183</v>
      </c>
      <c r="G584">
        <v>71.316080811000006</v>
      </c>
      <c r="H584">
        <v>-80.000684020999998</v>
      </c>
      <c r="I584">
        <v>28.136932999999999</v>
      </c>
    </row>
    <row r="585" spans="1:9" x14ac:dyDescent="0.45">
      <c r="A585">
        <v>584</v>
      </c>
      <c r="B585">
        <v>15.766260000000001</v>
      </c>
      <c r="C585">
        <v>-104.24096</v>
      </c>
      <c r="D585">
        <v>121.76687</v>
      </c>
      <c r="E585">
        <v>133.05260000000001</v>
      </c>
      <c r="F585">
        <v>1184</v>
      </c>
      <c r="G585">
        <v>15.765626979</v>
      </c>
      <c r="H585">
        <v>-104.239904356</v>
      </c>
      <c r="I585">
        <v>301.767157</v>
      </c>
    </row>
    <row r="586" spans="1:9" x14ac:dyDescent="0.45">
      <c r="A586">
        <v>585</v>
      </c>
      <c r="B586">
        <v>-57.65</v>
      </c>
      <c r="C586">
        <v>47.026119999999999</v>
      </c>
      <c r="D586">
        <v>307.18281000000002</v>
      </c>
      <c r="E586">
        <v>161.2106</v>
      </c>
      <c r="F586">
        <v>1185</v>
      </c>
      <c r="G586">
        <v>-57.649125167999998</v>
      </c>
      <c r="H586">
        <v>47.023968971000002</v>
      </c>
      <c r="I586">
        <v>127.18462700000001</v>
      </c>
    </row>
    <row r="587" spans="1:9" x14ac:dyDescent="0.45">
      <c r="A587">
        <v>586</v>
      </c>
      <c r="B587">
        <v>12.35566</v>
      </c>
      <c r="C587">
        <v>65.927099999999996</v>
      </c>
      <c r="D587">
        <v>68.582499999999996</v>
      </c>
      <c r="E587">
        <v>106.81950000000001</v>
      </c>
      <c r="F587">
        <v>1186</v>
      </c>
      <c r="G587">
        <v>12.356012598</v>
      </c>
      <c r="H587">
        <v>65.928014353999998</v>
      </c>
      <c r="I587">
        <v>248.582696</v>
      </c>
    </row>
    <row r="588" spans="1:9" x14ac:dyDescent="0.45">
      <c r="A588">
        <v>587</v>
      </c>
      <c r="B588">
        <v>25.570540000000001</v>
      </c>
      <c r="C588">
        <v>48.943420000000003</v>
      </c>
      <c r="D588">
        <v>287.78473000000002</v>
      </c>
      <c r="E588">
        <v>46.385199999999998</v>
      </c>
      <c r="F588">
        <v>1187</v>
      </c>
      <c r="G588">
        <v>25.570667889999999</v>
      </c>
      <c r="H588">
        <v>48.942980419999998</v>
      </c>
      <c r="I588">
        <v>107.78454000000001</v>
      </c>
    </row>
    <row r="589" spans="1:9" x14ac:dyDescent="0.45">
      <c r="A589">
        <v>588</v>
      </c>
      <c r="B589">
        <v>76.305090000000007</v>
      </c>
      <c r="C589">
        <v>161.61292</v>
      </c>
      <c r="D589">
        <v>309.79298999999997</v>
      </c>
      <c r="E589">
        <v>169.67699999999999</v>
      </c>
      <c r="F589">
        <v>1188</v>
      </c>
      <c r="G589">
        <v>76.306062764999993</v>
      </c>
      <c r="H589">
        <v>161.60798851300001</v>
      </c>
      <c r="I589">
        <v>129.78819899999999</v>
      </c>
    </row>
    <row r="590" spans="1:9" x14ac:dyDescent="0.45">
      <c r="A590">
        <v>589</v>
      </c>
      <c r="B590">
        <v>83.929739999999995</v>
      </c>
      <c r="C590">
        <v>37.098689999999998</v>
      </c>
      <c r="D590">
        <v>200.59738999999999</v>
      </c>
      <c r="E590">
        <v>82.587900000000005</v>
      </c>
      <c r="F590">
        <v>1189</v>
      </c>
      <c r="G590">
        <v>83.929047769999997</v>
      </c>
      <c r="H590">
        <v>37.096230331999998</v>
      </c>
      <c r="I590">
        <v>20.594944000000002</v>
      </c>
    </row>
    <row r="591" spans="1:9" x14ac:dyDescent="0.45">
      <c r="A591">
        <v>590</v>
      </c>
      <c r="B591">
        <v>25.358000000000001</v>
      </c>
      <c r="C591">
        <v>-63.579210000000003</v>
      </c>
      <c r="D591">
        <v>27.82329</v>
      </c>
      <c r="E591">
        <v>90.400300000000001</v>
      </c>
      <c r="F591">
        <v>1190</v>
      </c>
      <c r="G591">
        <v>25.358721705000001</v>
      </c>
      <c r="H591">
        <v>-63.578790806000001</v>
      </c>
      <c r="I591">
        <v>207.82346999999999</v>
      </c>
    </row>
    <row r="592" spans="1:9" x14ac:dyDescent="0.45">
      <c r="A592">
        <v>591</v>
      </c>
      <c r="B592">
        <v>-50.062719999999999</v>
      </c>
      <c r="C592">
        <v>-16.0336</v>
      </c>
      <c r="D592">
        <v>258.18344000000002</v>
      </c>
      <c r="E592">
        <v>239.33629999999999</v>
      </c>
      <c r="F592">
        <v>1191</v>
      </c>
      <c r="G592">
        <v>-50.063160580999998</v>
      </c>
      <c r="H592">
        <v>-16.036871767000001</v>
      </c>
      <c r="I592">
        <v>78.185948999999994</v>
      </c>
    </row>
    <row r="593" spans="1:9" x14ac:dyDescent="0.45">
      <c r="A593">
        <v>592</v>
      </c>
      <c r="B593">
        <v>-36.636679999999998</v>
      </c>
      <c r="C593">
        <v>-143.06874999999999</v>
      </c>
      <c r="D593">
        <v>30.596160000000001</v>
      </c>
      <c r="E593">
        <v>6.0903</v>
      </c>
      <c r="F593">
        <v>1192</v>
      </c>
      <c r="G593">
        <v>-36.636632759000001</v>
      </c>
      <c r="H593">
        <v>-143.06871533899999</v>
      </c>
      <c r="I593">
        <v>210.59613899999999</v>
      </c>
    </row>
    <row r="594" spans="1:9" x14ac:dyDescent="0.45">
      <c r="A594">
        <v>593</v>
      </c>
      <c r="B594">
        <v>-21.80837</v>
      </c>
      <c r="C594">
        <v>-154.77431999999999</v>
      </c>
      <c r="D594">
        <v>168.23294999999999</v>
      </c>
      <c r="E594">
        <v>133.09180000000001</v>
      </c>
      <c r="F594">
        <v>1193</v>
      </c>
      <c r="G594">
        <v>-21.809546714</v>
      </c>
      <c r="H594">
        <v>-154.774057505</v>
      </c>
      <c r="I594">
        <v>348.23285199999998</v>
      </c>
    </row>
    <row r="595" spans="1:9" x14ac:dyDescent="0.45">
      <c r="A595">
        <v>594</v>
      </c>
      <c r="B595">
        <v>-49.109319999999997</v>
      </c>
      <c r="C595">
        <v>95.639200000000002</v>
      </c>
      <c r="D595">
        <v>355.23928000000001</v>
      </c>
      <c r="E595">
        <v>62.752699999999997</v>
      </c>
      <c r="F595">
        <v>1194</v>
      </c>
      <c r="G595">
        <v>-49.108757683999997</v>
      </c>
      <c r="H595">
        <v>95.639128667999998</v>
      </c>
      <c r="I595">
        <v>175.23933400000001</v>
      </c>
    </row>
    <row r="596" spans="1:9" x14ac:dyDescent="0.45">
      <c r="A596">
        <v>595</v>
      </c>
      <c r="B596">
        <v>-29.813839999999999</v>
      </c>
      <c r="C596">
        <v>-177.22112000000001</v>
      </c>
      <c r="D596">
        <v>181.60153</v>
      </c>
      <c r="E596">
        <v>164.04509999999999</v>
      </c>
      <c r="F596">
        <v>1195</v>
      </c>
      <c r="G596">
        <v>-29.815319315</v>
      </c>
      <c r="H596">
        <v>-177.22116743000001</v>
      </c>
      <c r="I596">
        <v>1.6015539999999999</v>
      </c>
    </row>
    <row r="597" spans="1:9" x14ac:dyDescent="0.45">
      <c r="A597">
        <v>596</v>
      </c>
      <c r="B597">
        <v>-0.25624999999999998</v>
      </c>
      <c r="C597">
        <v>86.503640000000004</v>
      </c>
      <c r="D597">
        <v>56.481619999999999</v>
      </c>
      <c r="E597">
        <v>165.18979999999999</v>
      </c>
      <c r="F597">
        <v>1196</v>
      </c>
      <c r="G597">
        <v>-0.25542504700000002</v>
      </c>
      <c r="H597">
        <v>86.504877174000001</v>
      </c>
      <c r="I597">
        <v>236.48161400000001</v>
      </c>
    </row>
    <row r="598" spans="1:9" x14ac:dyDescent="0.45">
      <c r="A598">
        <v>597</v>
      </c>
      <c r="B598">
        <v>5.8987499999999997</v>
      </c>
      <c r="C598">
        <v>-31.936610000000002</v>
      </c>
      <c r="D598">
        <v>66.285300000000007</v>
      </c>
      <c r="E598">
        <v>256.2978</v>
      </c>
      <c r="F598">
        <v>1197</v>
      </c>
      <c r="G598">
        <v>5.8996821080000004</v>
      </c>
      <c r="H598">
        <v>-31.934490901</v>
      </c>
      <c r="I598">
        <v>246.285518</v>
      </c>
    </row>
    <row r="599" spans="1:9" x14ac:dyDescent="0.45">
      <c r="A599">
        <v>598</v>
      </c>
      <c r="B599">
        <v>69.368719999999996</v>
      </c>
      <c r="C599">
        <v>-100.64169</v>
      </c>
      <c r="D599">
        <v>212.68315000000001</v>
      </c>
      <c r="E599">
        <v>28.553999999999998</v>
      </c>
      <c r="F599">
        <v>1198</v>
      </c>
      <c r="G599">
        <v>69.368504560999995</v>
      </c>
      <c r="H599">
        <v>-100.642081945</v>
      </c>
      <c r="I599">
        <v>32.682783000000001</v>
      </c>
    </row>
    <row r="600" spans="1:9" x14ac:dyDescent="0.45">
      <c r="A600">
        <v>599</v>
      </c>
      <c r="B600">
        <v>37.389220000000002</v>
      </c>
      <c r="C600">
        <v>31.747720000000001</v>
      </c>
      <c r="D600">
        <v>259.94269000000003</v>
      </c>
      <c r="E600">
        <v>8.3794000000000004</v>
      </c>
      <c r="F600">
        <v>1199</v>
      </c>
      <c r="G600">
        <v>37.389206815000001</v>
      </c>
      <c r="H600">
        <v>31.747626831000002</v>
      </c>
      <c r="I600">
        <v>79.942633000000001</v>
      </c>
    </row>
    <row r="601" spans="1:9" x14ac:dyDescent="0.45">
      <c r="A601">
        <v>600</v>
      </c>
      <c r="B601">
        <v>69.3005</v>
      </c>
      <c r="C601">
        <v>47.158839999999998</v>
      </c>
      <c r="D601">
        <v>263.31389000000001</v>
      </c>
      <c r="E601">
        <v>123.89790000000001</v>
      </c>
      <c r="F601">
        <v>1200</v>
      </c>
      <c r="G601">
        <v>69.300370657000002</v>
      </c>
      <c r="H601">
        <v>47.155721813</v>
      </c>
      <c r="I601">
        <v>83.310973000000004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15B969-4AA7-4796-A7D6-E2B6B3B8E2BD}">
  <sheetPr codeName="Sheet6"/>
  <dimension ref="A1:F601"/>
  <sheetViews>
    <sheetView workbookViewId="0"/>
  </sheetViews>
  <sheetFormatPr defaultRowHeight="14.25" x14ac:dyDescent="0.45"/>
  <cols>
    <col min="1" max="1" width="8.265625" bestFit="1" customWidth="1"/>
    <col min="2" max="2" width="9.33203125" bestFit="1" customWidth="1"/>
    <col min="3" max="3" width="10.33203125" bestFit="1" customWidth="1"/>
    <col min="4" max="4" width="8.73046875" bestFit="1" customWidth="1"/>
    <col min="5" max="5" width="9.33203125" bestFit="1" customWidth="1"/>
    <col min="6" max="6" width="10.33203125" bestFit="1" customWidth="1"/>
  </cols>
  <sheetData>
    <row r="1" spans="1:6" x14ac:dyDescent="0.45">
      <c r="A1" t="s">
        <v>21</v>
      </c>
      <c r="B1" t="s">
        <v>22</v>
      </c>
      <c r="C1" t="s">
        <v>23</v>
      </c>
      <c r="D1" t="s">
        <v>27</v>
      </c>
      <c r="E1" t="s">
        <v>28</v>
      </c>
      <c r="F1" t="s">
        <v>29</v>
      </c>
    </row>
    <row r="2" spans="1:6" x14ac:dyDescent="0.45">
      <c r="A2">
        <v>1</v>
      </c>
      <c r="B2">
        <v>-73.190340000000006</v>
      </c>
      <c r="C2">
        <v>-90.317070000000001</v>
      </c>
      <c r="D2">
        <v>601</v>
      </c>
      <c r="E2">
        <v>-7.6972199999999997</v>
      </c>
      <c r="F2">
        <v>-97.150509999999997</v>
      </c>
    </row>
    <row r="3" spans="1:6" x14ac:dyDescent="0.45">
      <c r="A3">
        <v>2</v>
      </c>
      <c r="B3">
        <v>-27.462730000000001</v>
      </c>
      <c r="C3">
        <v>64.612369999999999</v>
      </c>
      <c r="D3">
        <v>602</v>
      </c>
      <c r="E3">
        <v>-23.959250000000001</v>
      </c>
      <c r="F3">
        <v>155.74135999999999</v>
      </c>
    </row>
    <row r="4" spans="1:6" x14ac:dyDescent="0.45">
      <c r="A4">
        <v>3</v>
      </c>
      <c r="B4">
        <v>-83.241240000000005</v>
      </c>
      <c r="C4">
        <v>-117.00995</v>
      </c>
      <c r="D4">
        <v>603</v>
      </c>
      <c r="E4">
        <v>64.205719999999999</v>
      </c>
      <c r="F4">
        <v>121.59592000000001</v>
      </c>
    </row>
    <row r="5" spans="1:6" x14ac:dyDescent="0.45">
      <c r="A5">
        <v>4</v>
      </c>
      <c r="B5">
        <v>-33.339660000000002</v>
      </c>
      <c r="C5">
        <v>-52.979750000000003</v>
      </c>
      <c r="D5">
        <v>604</v>
      </c>
      <c r="E5">
        <v>-18.051110000000001</v>
      </c>
      <c r="F5">
        <v>-51.955039999999997</v>
      </c>
    </row>
    <row r="6" spans="1:6" x14ac:dyDescent="0.45">
      <c r="A6">
        <v>5</v>
      </c>
      <c r="B6">
        <v>4.8342999999999998</v>
      </c>
      <c r="C6">
        <v>51.63044</v>
      </c>
      <c r="D6">
        <v>605</v>
      </c>
      <c r="E6">
        <v>31.730799999999999</v>
      </c>
      <c r="F6">
        <v>-136.5581</v>
      </c>
    </row>
    <row r="7" spans="1:6" x14ac:dyDescent="0.45">
      <c r="A7">
        <v>6</v>
      </c>
      <c r="B7">
        <v>-58.147010000000002</v>
      </c>
      <c r="C7">
        <v>-142.20697000000001</v>
      </c>
      <c r="D7">
        <v>606</v>
      </c>
      <c r="E7">
        <v>-44.846879999999999</v>
      </c>
      <c r="F7">
        <v>-115.80561</v>
      </c>
    </row>
    <row r="8" spans="1:6" x14ac:dyDescent="0.45">
      <c r="A8">
        <v>7</v>
      </c>
      <c r="B8">
        <v>-14.643140000000001</v>
      </c>
      <c r="C8">
        <v>-168.42304999999999</v>
      </c>
      <c r="D8">
        <v>607</v>
      </c>
      <c r="E8">
        <v>20.68601</v>
      </c>
      <c r="F8">
        <v>125.92728</v>
      </c>
    </row>
    <row r="9" spans="1:6" x14ac:dyDescent="0.45">
      <c r="A9">
        <v>8</v>
      </c>
      <c r="B9">
        <v>57.651539999999997</v>
      </c>
      <c r="C9">
        <v>157.96238</v>
      </c>
      <c r="D9">
        <v>608</v>
      </c>
      <c r="E9">
        <v>-69.683610000000002</v>
      </c>
      <c r="F9">
        <v>-12.811310000000001</v>
      </c>
    </row>
    <row r="10" spans="1:6" x14ac:dyDescent="0.45">
      <c r="A10">
        <v>9</v>
      </c>
      <c r="B10">
        <v>-1.8526899999999999</v>
      </c>
      <c r="C10">
        <v>113.12232</v>
      </c>
      <c r="D10">
        <v>609</v>
      </c>
      <c r="E10">
        <v>14.288539999999999</v>
      </c>
      <c r="F10">
        <v>-58.398949999999999</v>
      </c>
    </row>
    <row r="11" spans="1:6" x14ac:dyDescent="0.45">
      <c r="A11">
        <v>10</v>
      </c>
      <c r="B11">
        <v>-34.554499999999997</v>
      </c>
      <c r="C11">
        <v>-89.889120000000005</v>
      </c>
      <c r="D11">
        <v>610</v>
      </c>
      <c r="E11">
        <v>8.9408600000000007</v>
      </c>
      <c r="F11">
        <v>26.80087</v>
      </c>
    </row>
    <row r="12" spans="1:6" x14ac:dyDescent="0.45">
      <c r="A12">
        <v>11</v>
      </c>
      <c r="B12">
        <v>-40.491390000000003</v>
      </c>
      <c r="C12">
        <v>-52.189729999999997</v>
      </c>
      <c r="D12">
        <v>611</v>
      </c>
      <c r="E12">
        <v>-32.456119999999999</v>
      </c>
      <c r="F12">
        <v>-172.04351</v>
      </c>
    </row>
    <row r="13" spans="1:6" x14ac:dyDescent="0.45">
      <c r="A13">
        <v>12</v>
      </c>
      <c r="B13">
        <v>-5.8353099999999998</v>
      </c>
      <c r="C13">
        <v>-40.940559999999998</v>
      </c>
      <c r="D13">
        <v>612</v>
      </c>
      <c r="E13">
        <v>58.066690000000001</v>
      </c>
      <c r="F13">
        <v>128.92748</v>
      </c>
    </row>
    <row r="14" spans="1:6" x14ac:dyDescent="0.45">
      <c r="A14">
        <v>13</v>
      </c>
      <c r="B14">
        <v>22.30837</v>
      </c>
      <c r="C14">
        <v>-15.412610000000001</v>
      </c>
      <c r="D14">
        <v>613</v>
      </c>
      <c r="E14">
        <v>-77.917240000000007</v>
      </c>
      <c r="F14">
        <v>-21.18674</v>
      </c>
    </row>
    <row r="15" spans="1:6" x14ac:dyDescent="0.45">
      <c r="A15">
        <v>14</v>
      </c>
      <c r="B15">
        <v>69.170749999999998</v>
      </c>
      <c r="C15">
        <v>-132.38274000000001</v>
      </c>
      <c r="D15">
        <v>614</v>
      </c>
      <c r="E15">
        <v>-7.7923400000000003</v>
      </c>
      <c r="F15">
        <v>-148.41024999999999</v>
      </c>
    </row>
    <row r="16" spans="1:6" x14ac:dyDescent="0.45">
      <c r="A16">
        <v>15</v>
      </c>
      <c r="B16">
        <v>-63.510779999999997</v>
      </c>
      <c r="C16">
        <v>97.623270000000005</v>
      </c>
      <c r="D16">
        <v>615</v>
      </c>
      <c r="E16">
        <v>71.74239</v>
      </c>
      <c r="F16">
        <v>116.67794000000001</v>
      </c>
    </row>
    <row r="17" spans="1:6" x14ac:dyDescent="0.45">
      <c r="A17">
        <v>16</v>
      </c>
      <c r="B17">
        <v>-19.57667</v>
      </c>
      <c r="C17">
        <v>78.649979999999999</v>
      </c>
      <c r="D17">
        <v>616</v>
      </c>
      <c r="E17">
        <v>69.278580000000005</v>
      </c>
      <c r="F17">
        <v>136.25335999999999</v>
      </c>
    </row>
    <row r="18" spans="1:6" x14ac:dyDescent="0.45">
      <c r="A18">
        <v>17</v>
      </c>
      <c r="B18">
        <v>39.893880000000003</v>
      </c>
      <c r="C18">
        <v>-26.36665</v>
      </c>
      <c r="D18">
        <v>617</v>
      </c>
      <c r="E18">
        <v>43.53266</v>
      </c>
      <c r="F18">
        <v>-1.8880399999999999</v>
      </c>
    </row>
    <row r="19" spans="1:6" x14ac:dyDescent="0.45">
      <c r="A19">
        <v>18</v>
      </c>
      <c r="B19">
        <v>-81.014600000000002</v>
      </c>
      <c r="C19">
        <v>61.020249999999997</v>
      </c>
      <c r="D19">
        <v>618</v>
      </c>
      <c r="E19">
        <v>39.040280000000003</v>
      </c>
      <c r="F19">
        <v>68.610119999999995</v>
      </c>
    </row>
    <row r="20" spans="1:6" x14ac:dyDescent="0.45">
      <c r="A20">
        <v>19</v>
      </c>
      <c r="B20">
        <v>-48.464100000000002</v>
      </c>
      <c r="C20">
        <v>142.61760000000001</v>
      </c>
      <c r="D20">
        <v>619</v>
      </c>
      <c r="E20">
        <v>20.164390000000001</v>
      </c>
      <c r="F20">
        <v>-137.13471999999999</v>
      </c>
    </row>
    <row r="21" spans="1:6" x14ac:dyDescent="0.45">
      <c r="A21">
        <v>20</v>
      </c>
      <c r="B21">
        <v>-11.96942</v>
      </c>
      <c r="C21">
        <v>19.343589999999999</v>
      </c>
      <c r="D21">
        <v>620</v>
      </c>
      <c r="E21">
        <v>-63.417520000000003</v>
      </c>
      <c r="F21">
        <v>71.231399999999994</v>
      </c>
    </row>
    <row r="22" spans="1:6" x14ac:dyDescent="0.45">
      <c r="A22">
        <v>21</v>
      </c>
      <c r="B22">
        <v>-69.891480000000001</v>
      </c>
      <c r="C22">
        <v>-112.86902000000001</v>
      </c>
      <c r="D22">
        <v>621</v>
      </c>
      <c r="E22">
        <v>14.28862</v>
      </c>
      <c r="F22">
        <v>105.75986</v>
      </c>
    </row>
    <row r="23" spans="1:6" x14ac:dyDescent="0.45">
      <c r="A23">
        <v>22</v>
      </c>
      <c r="B23">
        <v>-89.175899999999999</v>
      </c>
      <c r="C23">
        <v>154.12210999999999</v>
      </c>
      <c r="D23">
        <v>622</v>
      </c>
      <c r="E23">
        <v>56.214649999999999</v>
      </c>
      <c r="F23">
        <v>-75.161519999999996</v>
      </c>
    </row>
    <row r="24" spans="1:6" x14ac:dyDescent="0.45">
      <c r="A24">
        <v>23</v>
      </c>
      <c r="B24">
        <v>70.158690000000007</v>
      </c>
      <c r="C24">
        <v>46.310409999999997</v>
      </c>
      <c r="D24">
        <v>623</v>
      </c>
      <c r="E24">
        <v>-3.0710999999999999</v>
      </c>
      <c r="F24">
        <v>-70.828180000000003</v>
      </c>
    </row>
    <row r="25" spans="1:6" x14ac:dyDescent="0.45">
      <c r="A25">
        <v>24</v>
      </c>
      <c r="B25">
        <v>16.067440000000001</v>
      </c>
      <c r="C25">
        <v>-33.326090000000001</v>
      </c>
      <c r="D25">
        <v>624</v>
      </c>
      <c r="E25">
        <v>-64.480180000000004</v>
      </c>
      <c r="F25">
        <v>108.66274</v>
      </c>
    </row>
    <row r="26" spans="1:6" x14ac:dyDescent="0.45">
      <c r="A26">
        <v>25</v>
      </c>
      <c r="B26">
        <v>-65.584879999999998</v>
      </c>
      <c r="C26">
        <v>-9.0929599999999997</v>
      </c>
      <c r="D26">
        <v>625</v>
      </c>
      <c r="E26">
        <v>-23.258849999999999</v>
      </c>
      <c r="F26">
        <v>-108.1495</v>
      </c>
    </row>
    <row r="27" spans="1:6" x14ac:dyDescent="0.45">
      <c r="A27">
        <v>26</v>
      </c>
      <c r="B27">
        <v>51.177770000000002</v>
      </c>
      <c r="C27">
        <v>117.54172</v>
      </c>
      <c r="D27">
        <v>626</v>
      </c>
      <c r="E27">
        <v>-9.3270400000000002</v>
      </c>
      <c r="F27">
        <v>-118.73787</v>
      </c>
    </row>
    <row r="28" spans="1:6" x14ac:dyDescent="0.45">
      <c r="A28">
        <v>27</v>
      </c>
      <c r="B28">
        <v>73.504499999999993</v>
      </c>
      <c r="C28">
        <v>-166.58958000000001</v>
      </c>
      <c r="D28">
        <v>627</v>
      </c>
      <c r="E28">
        <v>5.8188500000000003</v>
      </c>
      <c r="F28">
        <v>163.43951999999999</v>
      </c>
    </row>
    <row r="29" spans="1:6" x14ac:dyDescent="0.45">
      <c r="A29">
        <v>28</v>
      </c>
      <c r="B29">
        <v>-65.198800000000006</v>
      </c>
      <c r="C29">
        <v>-174.18019000000001</v>
      </c>
      <c r="D29">
        <v>628</v>
      </c>
      <c r="E29">
        <v>-28.909610000000001</v>
      </c>
      <c r="F29">
        <v>29.757259999999999</v>
      </c>
    </row>
    <row r="30" spans="1:6" x14ac:dyDescent="0.45">
      <c r="A30">
        <v>29</v>
      </c>
      <c r="B30">
        <v>-56.731380000000001</v>
      </c>
      <c r="C30">
        <v>-169.91386</v>
      </c>
      <c r="D30">
        <v>629</v>
      </c>
      <c r="E30">
        <v>-69.354529999999997</v>
      </c>
      <c r="F30">
        <v>13.248900000000001</v>
      </c>
    </row>
    <row r="31" spans="1:6" x14ac:dyDescent="0.45">
      <c r="A31">
        <v>30</v>
      </c>
      <c r="B31">
        <v>-6.88687</v>
      </c>
      <c r="C31">
        <v>-8.0862300000000005</v>
      </c>
      <c r="D31">
        <v>630</v>
      </c>
      <c r="E31">
        <v>-41.409059999999997</v>
      </c>
      <c r="F31">
        <v>-68.357510000000005</v>
      </c>
    </row>
    <row r="32" spans="1:6" x14ac:dyDescent="0.45">
      <c r="A32">
        <v>31</v>
      </c>
      <c r="B32">
        <v>18.230799999999999</v>
      </c>
      <c r="C32">
        <v>77.88579</v>
      </c>
      <c r="D32">
        <v>631</v>
      </c>
      <c r="E32">
        <v>34.195740000000001</v>
      </c>
      <c r="F32">
        <v>92.443370000000002</v>
      </c>
    </row>
    <row r="33" spans="1:6" x14ac:dyDescent="0.45">
      <c r="A33">
        <v>32</v>
      </c>
      <c r="B33">
        <v>-43.999510000000001</v>
      </c>
      <c r="C33">
        <v>-106.45717</v>
      </c>
      <c r="D33">
        <v>632</v>
      </c>
      <c r="E33">
        <v>-24.05743</v>
      </c>
      <c r="F33">
        <v>-127.96366999999999</v>
      </c>
    </row>
    <row r="34" spans="1:6" x14ac:dyDescent="0.45">
      <c r="A34">
        <v>33</v>
      </c>
      <c r="B34">
        <v>67.071370000000002</v>
      </c>
      <c r="C34">
        <v>64.740520000000004</v>
      </c>
      <c r="D34">
        <v>633</v>
      </c>
      <c r="E34">
        <v>-13.068619999999999</v>
      </c>
      <c r="F34">
        <v>97.427769999999995</v>
      </c>
    </row>
    <row r="35" spans="1:6" x14ac:dyDescent="0.45">
      <c r="A35">
        <v>34</v>
      </c>
      <c r="B35">
        <v>-63.16404</v>
      </c>
      <c r="C35">
        <v>171.13804999999999</v>
      </c>
      <c r="D35">
        <v>634</v>
      </c>
      <c r="E35">
        <v>66.351709999999997</v>
      </c>
      <c r="F35">
        <v>-36.604999999999997</v>
      </c>
    </row>
    <row r="36" spans="1:6" x14ac:dyDescent="0.45">
      <c r="A36">
        <v>35</v>
      </c>
      <c r="B36">
        <v>68.749970000000005</v>
      </c>
      <c r="C36">
        <v>-16.916160000000001</v>
      </c>
      <c r="D36">
        <v>635</v>
      </c>
      <c r="E36">
        <v>-81.489639999999994</v>
      </c>
      <c r="F36">
        <v>-54.97925</v>
      </c>
    </row>
    <row r="37" spans="1:6" x14ac:dyDescent="0.45">
      <c r="A37">
        <v>36</v>
      </c>
      <c r="B37">
        <v>68.798839999999998</v>
      </c>
      <c r="C37">
        <v>-132.99173999999999</v>
      </c>
      <c r="D37">
        <v>636</v>
      </c>
      <c r="E37">
        <v>45.924790000000002</v>
      </c>
      <c r="F37">
        <v>49.90748</v>
      </c>
    </row>
    <row r="38" spans="1:6" x14ac:dyDescent="0.45">
      <c r="A38">
        <v>37</v>
      </c>
      <c r="B38">
        <v>46.28192</v>
      </c>
      <c r="C38">
        <v>-68.099469999999997</v>
      </c>
      <c r="D38">
        <v>637</v>
      </c>
      <c r="E38">
        <v>3.9421900000000001</v>
      </c>
      <c r="F38">
        <v>169.94654</v>
      </c>
    </row>
    <row r="39" spans="1:6" x14ac:dyDescent="0.45">
      <c r="A39">
        <v>38</v>
      </c>
      <c r="B39">
        <v>29.880749999999999</v>
      </c>
      <c r="C39">
        <v>43.055280000000003</v>
      </c>
      <c r="D39">
        <v>638</v>
      </c>
      <c r="E39">
        <v>56.306449999999998</v>
      </c>
      <c r="F39">
        <v>37.67671</v>
      </c>
    </row>
    <row r="40" spans="1:6" x14ac:dyDescent="0.45">
      <c r="A40">
        <v>39</v>
      </c>
      <c r="B40">
        <v>-16.532419999999998</v>
      </c>
      <c r="C40">
        <v>-63.160330000000002</v>
      </c>
      <c r="D40">
        <v>639</v>
      </c>
      <c r="E40">
        <v>-18.927790000000002</v>
      </c>
      <c r="F40">
        <v>58.511189999999999</v>
      </c>
    </row>
    <row r="41" spans="1:6" x14ac:dyDescent="0.45">
      <c r="A41">
        <v>40</v>
      </c>
      <c r="B41">
        <v>-59.595860000000002</v>
      </c>
      <c r="C41">
        <v>-11.015370000000001</v>
      </c>
      <c r="D41">
        <v>640</v>
      </c>
      <c r="E41">
        <v>-62.377690000000001</v>
      </c>
      <c r="F41">
        <v>36.852679999999999</v>
      </c>
    </row>
    <row r="42" spans="1:6" x14ac:dyDescent="0.45">
      <c r="A42">
        <v>41</v>
      </c>
      <c r="B42">
        <v>-9.3298799999999993</v>
      </c>
      <c r="C42">
        <v>58.546340000000001</v>
      </c>
      <c r="D42">
        <v>641</v>
      </c>
      <c r="E42">
        <v>36.548920000000003</v>
      </c>
      <c r="F42">
        <v>-49.88832</v>
      </c>
    </row>
    <row r="43" spans="1:6" x14ac:dyDescent="0.45">
      <c r="A43">
        <v>42</v>
      </c>
      <c r="B43">
        <v>-84.074929999999995</v>
      </c>
      <c r="C43">
        <v>-20.868459999999999</v>
      </c>
      <c r="D43">
        <v>642</v>
      </c>
      <c r="E43">
        <v>-88.659310000000005</v>
      </c>
      <c r="F43">
        <v>-77.098910000000004</v>
      </c>
    </row>
    <row r="44" spans="1:6" x14ac:dyDescent="0.45">
      <c r="A44">
        <v>43</v>
      </c>
      <c r="B44">
        <v>-70.928510000000003</v>
      </c>
      <c r="C44">
        <v>-35.97439</v>
      </c>
      <c r="D44">
        <v>643</v>
      </c>
      <c r="E44">
        <v>54.71416</v>
      </c>
      <c r="F44">
        <v>-101.14644</v>
      </c>
    </row>
    <row r="45" spans="1:6" x14ac:dyDescent="0.45">
      <c r="A45">
        <v>44</v>
      </c>
      <c r="B45">
        <v>44.042279999999998</v>
      </c>
      <c r="C45">
        <v>149.45542</v>
      </c>
      <c r="D45">
        <v>644</v>
      </c>
      <c r="E45">
        <v>44.364550000000001</v>
      </c>
      <c r="F45">
        <v>-13.95912</v>
      </c>
    </row>
    <row r="46" spans="1:6" x14ac:dyDescent="0.45">
      <c r="A46">
        <v>45</v>
      </c>
      <c r="B46">
        <v>-46.165430000000001</v>
      </c>
      <c r="C46">
        <v>-161.16449</v>
      </c>
      <c r="D46">
        <v>645</v>
      </c>
      <c r="E46">
        <v>-31.393419999999999</v>
      </c>
      <c r="F46">
        <v>-53.703870000000002</v>
      </c>
    </row>
    <row r="47" spans="1:6" x14ac:dyDescent="0.45">
      <c r="A47">
        <v>46</v>
      </c>
      <c r="B47">
        <v>-89.398070000000004</v>
      </c>
      <c r="C47">
        <v>81.868600000000001</v>
      </c>
      <c r="D47">
        <v>646</v>
      </c>
      <c r="E47">
        <v>-13.23263</v>
      </c>
      <c r="F47">
        <v>-96.450230000000005</v>
      </c>
    </row>
    <row r="48" spans="1:6" x14ac:dyDescent="0.45">
      <c r="A48">
        <v>47</v>
      </c>
      <c r="B48">
        <v>78.9649</v>
      </c>
      <c r="C48">
        <v>64.746480000000005</v>
      </c>
      <c r="D48">
        <v>647</v>
      </c>
      <c r="E48">
        <v>86.207070000000002</v>
      </c>
      <c r="F48">
        <v>-24.311129999999999</v>
      </c>
    </row>
    <row r="49" spans="1:6" x14ac:dyDescent="0.45">
      <c r="A49">
        <v>48</v>
      </c>
      <c r="B49">
        <v>-55.494799999999998</v>
      </c>
      <c r="C49">
        <v>78.023079999999993</v>
      </c>
      <c r="D49">
        <v>648</v>
      </c>
      <c r="E49">
        <v>79.251220000000004</v>
      </c>
      <c r="F49">
        <v>-129.02636000000001</v>
      </c>
    </row>
    <row r="50" spans="1:6" x14ac:dyDescent="0.45">
      <c r="A50">
        <v>49</v>
      </c>
      <c r="B50">
        <v>22.121279999999999</v>
      </c>
      <c r="C50">
        <v>-121.46489</v>
      </c>
      <c r="D50">
        <v>649</v>
      </c>
      <c r="E50">
        <v>36.995260000000002</v>
      </c>
      <c r="F50">
        <v>133.47765000000001</v>
      </c>
    </row>
    <row r="51" spans="1:6" x14ac:dyDescent="0.45">
      <c r="A51">
        <v>50</v>
      </c>
      <c r="B51">
        <v>66.243080000000006</v>
      </c>
      <c r="C51">
        <v>-44.368960000000001</v>
      </c>
      <c r="D51">
        <v>650</v>
      </c>
      <c r="E51">
        <v>39.010210000000001</v>
      </c>
      <c r="F51">
        <v>-18.764869999999998</v>
      </c>
    </row>
    <row r="52" spans="1:6" x14ac:dyDescent="0.45">
      <c r="A52">
        <v>51</v>
      </c>
      <c r="B52">
        <v>-28.940200000000001</v>
      </c>
      <c r="C52">
        <v>154.92586</v>
      </c>
      <c r="D52">
        <v>651</v>
      </c>
      <c r="E52">
        <v>-39.298279999999998</v>
      </c>
      <c r="F52">
        <v>38.95881</v>
      </c>
    </row>
    <row r="53" spans="1:6" x14ac:dyDescent="0.45">
      <c r="A53">
        <v>52</v>
      </c>
      <c r="B53">
        <v>32.50235</v>
      </c>
      <c r="C53">
        <v>-149.48728</v>
      </c>
      <c r="D53">
        <v>652</v>
      </c>
      <c r="E53">
        <v>76.772989999999993</v>
      </c>
      <c r="F53">
        <v>-106.60453</v>
      </c>
    </row>
    <row r="54" spans="1:6" x14ac:dyDescent="0.45">
      <c r="A54">
        <v>53</v>
      </c>
      <c r="B54">
        <v>-38.189250000000001</v>
      </c>
      <c r="C54">
        <v>-115.41135</v>
      </c>
      <c r="D54">
        <v>653</v>
      </c>
      <c r="E54">
        <v>-41.625279999999997</v>
      </c>
      <c r="F54">
        <v>170.0462</v>
      </c>
    </row>
    <row r="55" spans="1:6" x14ac:dyDescent="0.45">
      <c r="A55">
        <v>54</v>
      </c>
      <c r="B55">
        <v>20.636610000000001</v>
      </c>
      <c r="C55">
        <v>-166.07919000000001</v>
      </c>
      <c r="D55">
        <v>654</v>
      </c>
      <c r="E55">
        <v>64.659310000000005</v>
      </c>
      <c r="F55">
        <v>140.75031000000001</v>
      </c>
    </row>
    <row r="56" spans="1:6" x14ac:dyDescent="0.45">
      <c r="A56">
        <v>55</v>
      </c>
      <c r="B56">
        <v>-87.275670000000005</v>
      </c>
      <c r="C56">
        <v>-40.886800000000001</v>
      </c>
      <c r="D56">
        <v>655</v>
      </c>
      <c r="E56">
        <v>-61.053400000000003</v>
      </c>
      <c r="F56">
        <v>126.21026000000001</v>
      </c>
    </row>
    <row r="57" spans="1:6" x14ac:dyDescent="0.45">
      <c r="A57">
        <v>56</v>
      </c>
      <c r="B57">
        <v>-65.268349999999998</v>
      </c>
      <c r="C57">
        <v>22.998069999999998</v>
      </c>
      <c r="D57">
        <v>656</v>
      </c>
      <c r="E57">
        <v>-13.56738</v>
      </c>
      <c r="F57">
        <v>116.74199</v>
      </c>
    </row>
    <row r="58" spans="1:6" x14ac:dyDescent="0.45">
      <c r="A58">
        <v>57</v>
      </c>
      <c r="B58">
        <v>12.131449999999999</v>
      </c>
      <c r="C58">
        <v>-7.6449400000000001</v>
      </c>
      <c r="D58">
        <v>657</v>
      </c>
      <c r="E58">
        <v>3.0405899999999999</v>
      </c>
      <c r="F58">
        <v>-160.11855</v>
      </c>
    </row>
    <row r="59" spans="1:6" x14ac:dyDescent="0.45">
      <c r="A59">
        <v>58</v>
      </c>
      <c r="B59">
        <v>47.686250000000001</v>
      </c>
      <c r="C59">
        <v>52.705010000000001</v>
      </c>
      <c r="D59">
        <v>658</v>
      </c>
      <c r="E59">
        <v>44.657290000000003</v>
      </c>
      <c r="F59">
        <v>149.32464999999999</v>
      </c>
    </row>
    <row r="60" spans="1:6" x14ac:dyDescent="0.45">
      <c r="A60">
        <v>59</v>
      </c>
      <c r="B60">
        <v>80.821719999999999</v>
      </c>
      <c r="C60">
        <v>54.919280000000001</v>
      </c>
      <c r="D60">
        <v>659</v>
      </c>
      <c r="E60">
        <v>-47.024940000000001</v>
      </c>
      <c r="F60">
        <v>-139.65667999999999</v>
      </c>
    </row>
    <row r="61" spans="1:6" x14ac:dyDescent="0.45">
      <c r="A61">
        <v>60</v>
      </c>
      <c r="B61">
        <v>55.425759999999997</v>
      </c>
      <c r="C61">
        <v>-86.433049999999994</v>
      </c>
      <c r="D61">
        <v>660</v>
      </c>
      <c r="E61">
        <v>-82.724689999999995</v>
      </c>
      <c r="F61">
        <v>134.173</v>
      </c>
    </row>
    <row r="62" spans="1:6" x14ac:dyDescent="0.45">
      <c r="A62">
        <v>61</v>
      </c>
      <c r="B62">
        <v>18.858260000000001</v>
      </c>
      <c r="C62">
        <v>17.283829999999998</v>
      </c>
      <c r="D62">
        <v>661</v>
      </c>
      <c r="E62">
        <v>56.321370000000002</v>
      </c>
      <c r="F62">
        <v>-163.41587000000001</v>
      </c>
    </row>
    <row r="63" spans="1:6" x14ac:dyDescent="0.45">
      <c r="A63">
        <v>62</v>
      </c>
      <c r="B63">
        <v>17.267710000000001</v>
      </c>
      <c r="C63">
        <v>157.71124</v>
      </c>
      <c r="D63">
        <v>662</v>
      </c>
      <c r="E63">
        <v>-81.171559999999999</v>
      </c>
      <c r="F63">
        <v>59.534210000000002</v>
      </c>
    </row>
    <row r="64" spans="1:6" x14ac:dyDescent="0.45">
      <c r="A64">
        <v>63</v>
      </c>
      <c r="B64">
        <v>-26.748480000000001</v>
      </c>
      <c r="C64">
        <v>-149.95332999999999</v>
      </c>
      <c r="D64">
        <v>663</v>
      </c>
      <c r="E64">
        <v>14.54387</v>
      </c>
      <c r="F64">
        <v>83.499619999999993</v>
      </c>
    </row>
    <row r="65" spans="1:6" x14ac:dyDescent="0.45">
      <c r="A65">
        <v>64</v>
      </c>
      <c r="B65">
        <v>1.4743900000000001</v>
      </c>
      <c r="C65">
        <v>-90.107110000000006</v>
      </c>
      <c r="D65">
        <v>664</v>
      </c>
      <c r="E65">
        <v>37.681040000000003</v>
      </c>
      <c r="F65">
        <v>-63.983580000000003</v>
      </c>
    </row>
    <row r="66" spans="1:6" x14ac:dyDescent="0.45">
      <c r="A66">
        <v>65</v>
      </c>
      <c r="B66">
        <v>19.722549999999998</v>
      </c>
      <c r="C66">
        <v>66.421509999999998</v>
      </c>
      <c r="D66">
        <v>665</v>
      </c>
      <c r="E66">
        <v>80.064130000000006</v>
      </c>
      <c r="F66">
        <v>-12.07429</v>
      </c>
    </row>
    <row r="67" spans="1:6" x14ac:dyDescent="0.45">
      <c r="A67">
        <v>66</v>
      </c>
      <c r="B67">
        <v>-88.287170000000003</v>
      </c>
      <c r="C67">
        <v>104.3566</v>
      </c>
      <c r="D67">
        <v>666</v>
      </c>
      <c r="E67">
        <v>-27.904769999999999</v>
      </c>
      <c r="F67">
        <v>-58.987259999999999</v>
      </c>
    </row>
    <row r="68" spans="1:6" x14ac:dyDescent="0.45">
      <c r="A68">
        <v>67</v>
      </c>
      <c r="B68">
        <v>43.514180000000003</v>
      </c>
      <c r="C68">
        <v>-6.9319800000000003</v>
      </c>
      <c r="D68">
        <v>667</v>
      </c>
      <c r="E68">
        <v>-34.248049999999999</v>
      </c>
      <c r="F68">
        <v>-108.17846</v>
      </c>
    </row>
    <row r="69" spans="1:6" x14ac:dyDescent="0.45">
      <c r="A69">
        <v>68</v>
      </c>
      <c r="B69">
        <v>-42.515039999999999</v>
      </c>
      <c r="C69">
        <v>163.76437000000001</v>
      </c>
      <c r="D69">
        <v>668</v>
      </c>
      <c r="E69">
        <v>14.842280000000001</v>
      </c>
      <c r="F69">
        <v>117.39413999999999</v>
      </c>
    </row>
    <row r="70" spans="1:6" x14ac:dyDescent="0.45">
      <c r="A70">
        <v>69</v>
      </c>
      <c r="B70">
        <v>53.735129999999998</v>
      </c>
      <c r="C70">
        <v>-89.043620000000004</v>
      </c>
      <c r="D70">
        <v>669</v>
      </c>
      <c r="E70">
        <v>67.825360000000003</v>
      </c>
      <c r="F70">
        <v>-152.99635000000001</v>
      </c>
    </row>
    <row r="71" spans="1:6" x14ac:dyDescent="0.45">
      <c r="A71">
        <v>70</v>
      </c>
      <c r="B71">
        <v>33.103380000000001</v>
      </c>
      <c r="C71">
        <v>50.5702</v>
      </c>
      <c r="D71">
        <v>670</v>
      </c>
      <c r="E71">
        <v>26.746690000000001</v>
      </c>
      <c r="F71">
        <v>114.93257</v>
      </c>
    </row>
    <row r="72" spans="1:6" x14ac:dyDescent="0.45">
      <c r="A72">
        <v>71</v>
      </c>
      <c r="B72">
        <v>-43.663649999999997</v>
      </c>
      <c r="C72">
        <v>132.49026000000001</v>
      </c>
      <c r="D72">
        <v>671</v>
      </c>
      <c r="E72">
        <v>46.378810000000001</v>
      </c>
      <c r="F72">
        <v>168.42697999999999</v>
      </c>
    </row>
    <row r="73" spans="1:6" x14ac:dyDescent="0.45">
      <c r="A73">
        <v>72</v>
      </c>
      <c r="B73">
        <v>-83.630170000000007</v>
      </c>
      <c r="C73">
        <v>15.75479</v>
      </c>
      <c r="D73">
        <v>672</v>
      </c>
      <c r="E73">
        <v>-89.423559999999995</v>
      </c>
      <c r="F73">
        <v>-12.167199999999999</v>
      </c>
    </row>
    <row r="74" spans="1:6" x14ac:dyDescent="0.45">
      <c r="A74">
        <v>73</v>
      </c>
      <c r="B74">
        <v>52.384459999999997</v>
      </c>
      <c r="C74">
        <v>175.12577999999999</v>
      </c>
      <c r="D74">
        <v>673</v>
      </c>
      <c r="E74">
        <v>51.062179999999998</v>
      </c>
      <c r="F74">
        <v>133.12858</v>
      </c>
    </row>
    <row r="75" spans="1:6" x14ac:dyDescent="0.45">
      <c r="A75">
        <v>74</v>
      </c>
      <c r="B75">
        <v>80.156049999999993</v>
      </c>
      <c r="C75">
        <v>20.961569999999998</v>
      </c>
      <c r="D75">
        <v>674</v>
      </c>
      <c r="E75">
        <v>18.229130000000001</v>
      </c>
      <c r="F75">
        <v>6.37317</v>
      </c>
    </row>
    <row r="76" spans="1:6" x14ac:dyDescent="0.45">
      <c r="A76">
        <v>75</v>
      </c>
      <c r="B76">
        <v>45.804580000000001</v>
      </c>
      <c r="C76">
        <v>-59.000880000000002</v>
      </c>
      <c r="D76">
        <v>675</v>
      </c>
      <c r="E76">
        <v>85.703500000000005</v>
      </c>
      <c r="F76">
        <v>22.088180000000001</v>
      </c>
    </row>
    <row r="77" spans="1:6" x14ac:dyDescent="0.45">
      <c r="A77">
        <v>76</v>
      </c>
      <c r="B77">
        <v>56.180599999999998</v>
      </c>
      <c r="C77">
        <v>79.643960000000007</v>
      </c>
      <c r="D77">
        <v>676</v>
      </c>
      <c r="E77">
        <v>-61.49727</v>
      </c>
      <c r="F77">
        <v>-72.038340000000005</v>
      </c>
    </row>
    <row r="78" spans="1:6" x14ac:dyDescent="0.45">
      <c r="A78">
        <v>77</v>
      </c>
      <c r="B78">
        <v>47.967190000000002</v>
      </c>
      <c r="C78">
        <v>-62.155740000000002</v>
      </c>
      <c r="D78">
        <v>677</v>
      </c>
      <c r="E78">
        <v>82.888900000000007</v>
      </c>
      <c r="F78">
        <v>69.656450000000007</v>
      </c>
    </row>
    <row r="79" spans="1:6" x14ac:dyDescent="0.45">
      <c r="A79">
        <v>78</v>
      </c>
      <c r="B79">
        <v>-24.099620000000002</v>
      </c>
      <c r="C79">
        <v>141.74152000000001</v>
      </c>
      <c r="D79">
        <v>678</v>
      </c>
      <c r="E79">
        <v>-67.926839999999999</v>
      </c>
      <c r="F79">
        <v>-95.958380000000005</v>
      </c>
    </row>
    <row r="80" spans="1:6" x14ac:dyDescent="0.45">
      <c r="A80">
        <v>79</v>
      </c>
      <c r="B80">
        <v>9.0889999999999999E-2</v>
      </c>
      <c r="C80">
        <v>-41.97739</v>
      </c>
      <c r="D80">
        <v>679</v>
      </c>
      <c r="E80">
        <v>83.372619999999998</v>
      </c>
      <c r="F80">
        <v>61.270099999999999</v>
      </c>
    </row>
    <row r="81" spans="1:6" x14ac:dyDescent="0.45">
      <c r="A81">
        <v>80</v>
      </c>
      <c r="B81">
        <v>-73.711309999999997</v>
      </c>
      <c r="C81">
        <v>22.66018</v>
      </c>
      <c r="D81">
        <v>680</v>
      </c>
      <c r="E81">
        <v>-46.219499999999996</v>
      </c>
      <c r="F81">
        <v>5.2844899999999999</v>
      </c>
    </row>
    <row r="82" spans="1:6" x14ac:dyDescent="0.45">
      <c r="A82">
        <v>81</v>
      </c>
      <c r="B82">
        <v>-22.004090000000001</v>
      </c>
      <c r="C82">
        <v>-44.460140000000003</v>
      </c>
      <c r="D82">
        <v>681</v>
      </c>
      <c r="E82">
        <v>29.549019999999999</v>
      </c>
      <c r="F82">
        <v>118.34869</v>
      </c>
    </row>
    <row r="83" spans="1:6" x14ac:dyDescent="0.45">
      <c r="A83">
        <v>82</v>
      </c>
      <c r="B83">
        <v>51.163550000000001</v>
      </c>
      <c r="C83">
        <v>160.15751</v>
      </c>
      <c r="D83">
        <v>682</v>
      </c>
      <c r="E83">
        <v>-16.799499999999998</v>
      </c>
      <c r="F83">
        <v>-174.80132</v>
      </c>
    </row>
    <row r="84" spans="1:6" x14ac:dyDescent="0.45">
      <c r="A84">
        <v>83</v>
      </c>
      <c r="B84">
        <v>-20.334299999999999</v>
      </c>
      <c r="C84">
        <v>-128.91397000000001</v>
      </c>
      <c r="D84">
        <v>683</v>
      </c>
      <c r="E84">
        <v>-78.716210000000004</v>
      </c>
      <c r="F84">
        <v>33.715420000000002</v>
      </c>
    </row>
    <row r="85" spans="1:6" x14ac:dyDescent="0.45">
      <c r="A85">
        <v>84</v>
      </c>
      <c r="B85">
        <v>58.311500000000002</v>
      </c>
      <c r="C85">
        <v>96.559979999999996</v>
      </c>
      <c r="D85">
        <v>684</v>
      </c>
      <c r="E85">
        <v>68.625510000000006</v>
      </c>
      <c r="F85">
        <v>-2.8053499999999998</v>
      </c>
    </row>
    <row r="86" spans="1:6" x14ac:dyDescent="0.45">
      <c r="A86">
        <v>85</v>
      </c>
      <c r="B86">
        <v>-89.463369999999998</v>
      </c>
      <c r="C86">
        <v>112.70292999999999</v>
      </c>
      <c r="D86">
        <v>685</v>
      </c>
      <c r="E86">
        <v>-81.786159999999995</v>
      </c>
      <c r="F86">
        <v>-166.90851000000001</v>
      </c>
    </row>
    <row r="87" spans="1:6" x14ac:dyDescent="0.45">
      <c r="A87">
        <v>86</v>
      </c>
      <c r="B87">
        <v>76.639799999999994</v>
      </c>
      <c r="C87">
        <v>-84.536469999999994</v>
      </c>
      <c r="D87">
        <v>686</v>
      </c>
      <c r="E87">
        <v>-1.82647</v>
      </c>
      <c r="F87">
        <v>75.829409999999996</v>
      </c>
    </row>
    <row r="88" spans="1:6" x14ac:dyDescent="0.45">
      <c r="A88">
        <v>87</v>
      </c>
      <c r="B88">
        <v>24.83473</v>
      </c>
      <c r="C88">
        <v>-104.82879</v>
      </c>
      <c r="D88">
        <v>687</v>
      </c>
      <c r="E88">
        <v>27.559429999999999</v>
      </c>
      <c r="F88">
        <v>163.46987999999999</v>
      </c>
    </row>
    <row r="89" spans="1:6" x14ac:dyDescent="0.45">
      <c r="A89">
        <v>88</v>
      </c>
      <c r="B89">
        <v>73.392750000000007</v>
      </c>
      <c r="C89">
        <v>101.94213999999999</v>
      </c>
      <c r="D89">
        <v>688</v>
      </c>
      <c r="E89">
        <v>12.9153</v>
      </c>
      <c r="F89">
        <v>154.44694000000001</v>
      </c>
    </row>
    <row r="90" spans="1:6" x14ac:dyDescent="0.45">
      <c r="A90">
        <v>89</v>
      </c>
      <c r="B90">
        <v>70.475589999999997</v>
      </c>
      <c r="C90">
        <v>-168.26902999999999</v>
      </c>
      <c r="D90">
        <v>689</v>
      </c>
      <c r="E90">
        <v>-56.33708</v>
      </c>
      <c r="F90">
        <v>100.75642999999999</v>
      </c>
    </row>
    <row r="91" spans="1:6" x14ac:dyDescent="0.45">
      <c r="A91">
        <v>90</v>
      </c>
      <c r="B91">
        <v>-23.364439999999998</v>
      </c>
      <c r="C91">
        <v>-58.086649999999999</v>
      </c>
      <c r="D91">
        <v>690</v>
      </c>
      <c r="E91">
        <v>-80.319149999999993</v>
      </c>
      <c r="F91">
        <v>-108.47099</v>
      </c>
    </row>
    <row r="92" spans="1:6" x14ac:dyDescent="0.45">
      <c r="A92">
        <v>91</v>
      </c>
      <c r="B92">
        <v>28.44896</v>
      </c>
      <c r="C92">
        <v>-71.63758</v>
      </c>
      <c r="D92">
        <v>691</v>
      </c>
      <c r="E92">
        <v>89.665139999999994</v>
      </c>
      <c r="F92">
        <v>-169.04756</v>
      </c>
    </row>
    <row r="93" spans="1:6" x14ac:dyDescent="0.45">
      <c r="A93">
        <v>92</v>
      </c>
      <c r="B93">
        <v>8.6846800000000002</v>
      </c>
      <c r="C93">
        <v>-168.56728000000001</v>
      </c>
      <c r="D93">
        <v>692</v>
      </c>
      <c r="E93">
        <v>-67.725549999999998</v>
      </c>
      <c r="F93">
        <v>31.960599999999999</v>
      </c>
    </row>
    <row r="94" spans="1:6" x14ac:dyDescent="0.45">
      <c r="A94">
        <v>93</v>
      </c>
      <c r="B94">
        <v>-67.916240000000002</v>
      </c>
      <c r="C94">
        <v>-62.037520000000001</v>
      </c>
      <c r="D94">
        <v>693</v>
      </c>
      <c r="E94">
        <v>-42.902639999999998</v>
      </c>
      <c r="F94">
        <v>-169.37137999999999</v>
      </c>
    </row>
    <row r="95" spans="1:6" x14ac:dyDescent="0.45">
      <c r="A95">
        <v>94</v>
      </c>
      <c r="B95">
        <v>8.7875099999999993</v>
      </c>
      <c r="C95">
        <v>12.072699999999999</v>
      </c>
      <c r="D95">
        <v>694</v>
      </c>
      <c r="E95">
        <v>47.915790000000001</v>
      </c>
      <c r="F95">
        <v>178.19513000000001</v>
      </c>
    </row>
    <row r="96" spans="1:6" x14ac:dyDescent="0.45">
      <c r="A96">
        <v>95</v>
      </c>
      <c r="B96">
        <v>-1.9326099999999999</v>
      </c>
      <c r="C96">
        <v>-49.472799999999999</v>
      </c>
      <c r="D96">
        <v>695</v>
      </c>
      <c r="E96">
        <v>52.702039999999997</v>
      </c>
      <c r="F96">
        <v>-178.83775</v>
      </c>
    </row>
    <row r="97" spans="1:6" x14ac:dyDescent="0.45">
      <c r="A97">
        <v>96</v>
      </c>
      <c r="B97">
        <v>63.471769999999999</v>
      </c>
      <c r="C97">
        <v>15.390420000000001</v>
      </c>
      <c r="D97">
        <v>696</v>
      </c>
      <c r="E97">
        <v>-25.440629999999999</v>
      </c>
      <c r="F97">
        <v>27.824259999999999</v>
      </c>
    </row>
    <row r="98" spans="1:6" x14ac:dyDescent="0.45">
      <c r="A98">
        <v>97</v>
      </c>
      <c r="B98">
        <v>-19.58109</v>
      </c>
      <c r="C98">
        <v>-91.320509999999999</v>
      </c>
      <c r="D98">
        <v>697</v>
      </c>
      <c r="E98">
        <v>-64.3446</v>
      </c>
      <c r="F98">
        <v>-136.74340000000001</v>
      </c>
    </row>
    <row r="99" spans="1:6" x14ac:dyDescent="0.45">
      <c r="A99">
        <v>98</v>
      </c>
      <c r="B99">
        <v>-2.5715300000000001</v>
      </c>
      <c r="C99">
        <v>-1.34456</v>
      </c>
      <c r="D99">
        <v>698</v>
      </c>
      <c r="E99">
        <v>-55.965530000000001</v>
      </c>
      <c r="F99">
        <v>-109.17691000000001</v>
      </c>
    </row>
    <row r="100" spans="1:6" x14ac:dyDescent="0.45">
      <c r="A100">
        <v>99</v>
      </c>
      <c r="B100">
        <v>-67.837190000000007</v>
      </c>
      <c r="C100">
        <v>-47.37088</v>
      </c>
      <c r="D100">
        <v>699</v>
      </c>
      <c r="E100">
        <v>-5.5324999999999998</v>
      </c>
      <c r="F100">
        <v>-50.833849999999998</v>
      </c>
    </row>
    <row r="101" spans="1:6" x14ac:dyDescent="0.45">
      <c r="A101">
        <v>100</v>
      </c>
      <c r="B101">
        <v>-43.765349999999998</v>
      </c>
      <c r="C101">
        <v>120.7183</v>
      </c>
      <c r="D101">
        <v>700</v>
      </c>
      <c r="E101">
        <v>-13.83961</v>
      </c>
      <c r="F101">
        <v>139.33964</v>
      </c>
    </row>
    <row r="102" spans="1:6" x14ac:dyDescent="0.45">
      <c r="A102">
        <v>101</v>
      </c>
      <c r="B102">
        <v>-46.864579999999997</v>
      </c>
      <c r="C102">
        <v>-124.83391</v>
      </c>
      <c r="D102">
        <v>701</v>
      </c>
      <c r="E102">
        <v>-45.47589</v>
      </c>
      <c r="F102">
        <v>-124.42449000000001</v>
      </c>
    </row>
    <row r="103" spans="1:6" x14ac:dyDescent="0.45">
      <c r="A103">
        <v>102</v>
      </c>
      <c r="B103">
        <v>-51.325029999999998</v>
      </c>
      <c r="C103">
        <v>-26.173100000000002</v>
      </c>
      <c r="D103">
        <v>702</v>
      </c>
      <c r="E103">
        <v>-43.870429999999999</v>
      </c>
      <c r="F103">
        <v>-21.44997</v>
      </c>
    </row>
    <row r="104" spans="1:6" x14ac:dyDescent="0.45">
      <c r="A104">
        <v>103</v>
      </c>
      <c r="B104">
        <v>17.041810000000002</v>
      </c>
      <c r="C104">
        <v>-23.13026</v>
      </c>
      <c r="D104">
        <v>703</v>
      </c>
      <c r="E104">
        <v>17.16122</v>
      </c>
      <c r="F104">
        <v>-31.748380000000001</v>
      </c>
    </row>
    <row r="105" spans="1:6" x14ac:dyDescent="0.45">
      <c r="A105">
        <v>104</v>
      </c>
      <c r="B105">
        <v>15.507440000000001</v>
      </c>
      <c r="C105">
        <v>-166.73916</v>
      </c>
      <c r="D105">
        <v>704</v>
      </c>
      <c r="E105">
        <v>9.9468399999999892</v>
      </c>
      <c r="F105">
        <v>-157.50865999999999</v>
      </c>
    </row>
    <row r="106" spans="1:6" x14ac:dyDescent="0.45">
      <c r="A106">
        <v>105</v>
      </c>
      <c r="B106">
        <v>-51.038510000000002</v>
      </c>
      <c r="C106">
        <v>-144.04768000000001</v>
      </c>
      <c r="D106">
        <v>705</v>
      </c>
      <c r="E106">
        <v>-47.693089999999998</v>
      </c>
      <c r="F106">
        <v>-147.16191000000001</v>
      </c>
    </row>
    <row r="107" spans="1:6" x14ac:dyDescent="0.45">
      <c r="A107">
        <v>106</v>
      </c>
      <c r="B107">
        <v>-12.569459999999999</v>
      </c>
      <c r="C107">
        <v>153.40758</v>
      </c>
      <c r="D107">
        <v>706</v>
      </c>
      <c r="E107">
        <v>-21.151199999999999</v>
      </c>
      <c r="F107">
        <v>155.96993000000001</v>
      </c>
    </row>
    <row r="108" spans="1:6" x14ac:dyDescent="0.45">
      <c r="A108">
        <v>107</v>
      </c>
      <c r="B108">
        <v>70.036860000000004</v>
      </c>
      <c r="C108">
        <v>88.461129999999997</v>
      </c>
      <c r="D108">
        <v>707</v>
      </c>
      <c r="E108">
        <v>79.338890000000006</v>
      </c>
      <c r="F108">
        <v>96.5669800000001</v>
      </c>
    </row>
    <row r="109" spans="1:6" x14ac:dyDescent="0.45">
      <c r="A109">
        <v>108</v>
      </c>
      <c r="B109">
        <v>-25.377770000000002</v>
      </c>
      <c r="C109">
        <v>162.96798999999999</v>
      </c>
      <c r="D109">
        <v>708</v>
      </c>
      <c r="E109">
        <v>-18.867429999999999</v>
      </c>
      <c r="F109">
        <v>160.58103</v>
      </c>
    </row>
    <row r="110" spans="1:6" x14ac:dyDescent="0.45">
      <c r="A110">
        <v>109</v>
      </c>
      <c r="B110">
        <v>-24.747730000000001</v>
      </c>
      <c r="C110">
        <v>121.9104</v>
      </c>
      <c r="D110">
        <v>709</v>
      </c>
      <c r="E110">
        <v>-16.02477</v>
      </c>
      <c r="F110">
        <v>125.33676</v>
      </c>
    </row>
    <row r="111" spans="1:6" x14ac:dyDescent="0.45">
      <c r="A111">
        <v>110</v>
      </c>
      <c r="B111">
        <v>29.140930000000001</v>
      </c>
      <c r="C111">
        <v>173.23384999999999</v>
      </c>
      <c r="D111">
        <v>710</v>
      </c>
      <c r="E111">
        <v>37.938650000000003</v>
      </c>
      <c r="F111">
        <v>169.67572000000001</v>
      </c>
    </row>
    <row r="112" spans="1:6" x14ac:dyDescent="0.45">
      <c r="A112">
        <v>111</v>
      </c>
      <c r="B112">
        <v>-22.446539999999999</v>
      </c>
      <c r="C112">
        <v>123.52539</v>
      </c>
      <c r="D112">
        <v>711</v>
      </c>
      <c r="E112">
        <v>-28.32085</v>
      </c>
      <c r="F112">
        <v>123.92205</v>
      </c>
    </row>
    <row r="113" spans="1:6" x14ac:dyDescent="0.45">
      <c r="A113">
        <v>112</v>
      </c>
      <c r="B113">
        <v>-33.692309999999999</v>
      </c>
      <c r="C113">
        <v>35.293909999999997</v>
      </c>
      <c r="D113">
        <v>712</v>
      </c>
      <c r="E113">
        <v>-27.457529999999998</v>
      </c>
      <c r="F113">
        <v>40.547409999999999</v>
      </c>
    </row>
    <row r="114" spans="1:6" x14ac:dyDescent="0.45">
      <c r="A114">
        <v>113</v>
      </c>
      <c r="B114">
        <v>-20.674800000000001</v>
      </c>
      <c r="C114">
        <v>105.92502</v>
      </c>
      <c r="D114">
        <v>713</v>
      </c>
      <c r="E114">
        <v>-17.067240000000002</v>
      </c>
      <c r="F114">
        <v>115.33927</v>
      </c>
    </row>
    <row r="115" spans="1:6" x14ac:dyDescent="0.45">
      <c r="A115">
        <v>114</v>
      </c>
      <c r="B115">
        <v>58.575870000000002</v>
      </c>
      <c r="C115">
        <v>35.059399999999997</v>
      </c>
      <c r="D115">
        <v>714</v>
      </c>
      <c r="E115">
        <v>51.479590000000002</v>
      </c>
      <c r="F115">
        <v>25.970320000000001</v>
      </c>
    </row>
    <row r="116" spans="1:6" x14ac:dyDescent="0.45">
      <c r="A116">
        <v>115</v>
      </c>
      <c r="B116">
        <v>11.13489</v>
      </c>
      <c r="C116">
        <v>69.087900000000005</v>
      </c>
      <c r="D116">
        <v>715</v>
      </c>
      <c r="E116">
        <v>20.037389999999998</v>
      </c>
      <c r="F116">
        <v>78.127560000000003</v>
      </c>
    </row>
    <row r="117" spans="1:6" x14ac:dyDescent="0.45">
      <c r="A117">
        <v>116</v>
      </c>
      <c r="B117">
        <v>12.228479999999999</v>
      </c>
      <c r="C117">
        <v>33.508319999999998</v>
      </c>
      <c r="D117">
        <v>716</v>
      </c>
      <c r="E117">
        <v>4.2466499999999998</v>
      </c>
      <c r="F117">
        <v>33.878509999999999</v>
      </c>
    </row>
    <row r="118" spans="1:6" x14ac:dyDescent="0.45">
      <c r="A118">
        <v>117</v>
      </c>
      <c r="B118">
        <v>-38.409080000000003</v>
      </c>
      <c r="C118">
        <v>56.485050000000001</v>
      </c>
      <c r="D118">
        <v>717</v>
      </c>
      <c r="E118">
        <v>-34.310160000000003</v>
      </c>
      <c r="F118">
        <v>64.220190000000002</v>
      </c>
    </row>
    <row r="119" spans="1:6" x14ac:dyDescent="0.45">
      <c r="A119">
        <v>118</v>
      </c>
      <c r="B119">
        <v>15.40639</v>
      </c>
      <c r="C119">
        <v>164.11287999999999</v>
      </c>
      <c r="D119">
        <v>718</v>
      </c>
      <c r="E119">
        <v>13.30926</v>
      </c>
      <c r="F119">
        <v>162.2586</v>
      </c>
    </row>
    <row r="120" spans="1:6" x14ac:dyDescent="0.45">
      <c r="A120">
        <v>119</v>
      </c>
      <c r="B120">
        <v>9.2408199999999994</v>
      </c>
      <c r="C120">
        <v>131.63160999999999</v>
      </c>
      <c r="D120">
        <v>719</v>
      </c>
      <c r="E120">
        <v>12.18455</v>
      </c>
      <c r="F120">
        <v>138.36069000000001</v>
      </c>
    </row>
    <row r="121" spans="1:6" x14ac:dyDescent="0.45">
      <c r="A121">
        <v>120</v>
      </c>
      <c r="B121">
        <v>41.121139999999997</v>
      </c>
      <c r="C121">
        <v>98.417580000000001</v>
      </c>
      <c r="D121">
        <v>720</v>
      </c>
      <c r="E121">
        <v>36.025530000000003</v>
      </c>
      <c r="F121">
        <v>88.560149999999993</v>
      </c>
    </row>
    <row r="122" spans="1:6" x14ac:dyDescent="0.45">
      <c r="A122">
        <v>121</v>
      </c>
      <c r="B122">
        <v>71.454030000000003</v>
      </c>
      <c r="C122">
        <v>-99.237170000000006</v>
      </c>
      <c r="D122">
        <v>721</v>
      </c>
      <c r="E122">
        <v>61.921500000000002</v>
      </c>
      <c r="F122">
        <v>-107.97436</v>
      </c>
    </row>
    <row r="123" spans="1:6" x14ac:dyDescent="0.45">
      <c r="A123">
        <v>122</v>
      </c>
      <c r="B123">
        <v>89.783550000000005</v>
      </c>
      <c r="C123">
        <v>66.103970000000004</v>
      </c>
      <c r="D123">
        <v>722</v>
      </c>
      <c r="E123">
        <v>82.139790000000005</v>
      </c>
      <c r="F123">
        <v>59.496229999999997</v>
      </c>
    </row>
    <row r="124" spans="1:6" x14ac:dyDescent="0.45">
      <c r="A124">
        <v>123</v>
      </c>
      <c r="B124">
        <v>-53.711570000000002</v>
      </c>
      <c r="C124">
        <v>136.44644</v>
      </c>
      <c r="D124">
        <v>723</v>
      </c>
      <c r="E124">
        <v>-61.274990000000003</v>
      </c>
      <c r="F124">
        <v>132.93423999999999</v>
      </c>
    </row>
    <row r="125" spans="1:6" x14ac:dyDescent="0.45">
      <c r="A125">
        <v>124</v>
      </c>
      <c r="B125">
        <v>65.371009999999998</v>
      </c>
      <c r="C125">
        <v>11.160589999999999</v>
      </c>
      <c r="D125">
        <v>724</v>
      </c>
      <c r="E125">
        <v>64.106880000000004</v>
      </c>
      <c r="F125">
        <v>10.719329999999999</v>
      </c>
    </row>
    <row r="126" spans="1:6" x14ac:dyDescent="0.45">
      <c r="A126">
        <v>125</v>
      </c>
      <c r="B126">
        <v>82.492410000000007</v>
      </c>
      <c r="C126">
        <v>173.25789</v>
      </c>
      <c r="D126">
        <v>725</v>
      </c>
      <c r="E126">
        <v>87.595039999999997</v>
      </c>
      <c r="F126">
        <v>174.79836</v>
      </c>
    </row>
    <row r="127" spans="1:6" x14ac:dyDescent="0.45">
      <c r="A127">
        <v>126</v>
      </c>
      <c r="B127">
        <v>-3.4873099999999999</v>
      </c>
      <c r="C127">
        <v>-153.85941</v>
      </c>
      <c r="D127">
        <v>726</v>
      </c>
      <c r="E127">
        <v>2.7094800000000001</v>
      </c>
      <c r="F127">
        <v>-161.7517</v>
      </c>
    </row>
    <row r="128" spans="1:6" x14ac:dyDescent="0.45">
      <c r="A128">
        <v>127</v>
      </c>
      <c r="B128">
        <v>-5.1490299999999998</v>
      </c>
      <c r="C128">
        <v>-176.71262999999999</v>
      </c>
      <c r="D128">
        <v>727</v>
      </c>
      <c r="E128">
        <v>-8.3758099999999995</v>
      </c>
      <c r="F128">
        <v>-172.6439</v>
      </c>
    </row>
    <row r="129" spans="1:6" x14ac:dyDescent="0.45">
      <c r="A129">
        <v>128</v>
      </c>
      <c r="B129">
        <v>-17.81653</v>
      </c>
      <c r="C129">
        <v>-105.12562</v>
      </c>
      <c r="D129">
        <v>728</v>
      </c>
      <c r="E129">
        <v>-21.096530000000001</v>
      </c>
      <c r="F129">
        <v>-101.88431</v>
      </c>
    </row>
    <row r="130" spans="1:6" x14ac:dyDescent="0.45">
      <c r="A130">
        <v>129</v>
      </c>
      <c r="B130">
        <v>-70.740750000000006</v>
      </c>
      <c r="C130">
        <v>-12.84168</v>
      </c>
      <c r="D130">
        <v>729</v>
      </c>
      <c r="E130">
        <v>-72.590199999999996</v>
      </c>
      <c r="F130">
        <v>-7.2013899999999502</v>
      </c>
    </row>
    <row r="131" spans="1:6" x14ac:dyDescent="0.45">
      <c r="A131">
        <v>130</v>
      </c>
      <c r="B131">
        <v>-83.232919999999993</v>
      </c>
      <c r="C131">
        <v>-152.45443</v>
      </c>
      <c r="D131">
        <v>730</v>
      </c>
      <c r="E131">
        <v>-79.934169999999995</v>
      </c>
      <c r="F131">
        <v>-160.65608</v>
      </c>
    </row>
    <row r="132" spans="1:6" x14ac:dyDescent="0.45">
      <c r="A132">
        <v>131</v>
      </c>
      <c r="B132">
        <v>87.3874</v>
      </c>
      <c r="C132">
        <v>114.24518</v>
      </c>
      <c r="D132">
        <v>731</v>
      </c>
      <c r="E132">
        <v>89.519850000000005</v>
      </c>
      <c r="F132">
        <v>121.92308</v>
      </c>
    </row>
    <row r="133" spans="1:6" x14ac:dyDescent="0.45">
      <c r="A133">
        <v>132</v>
      </c>
      <c r="B133">
        <v>-30.748570000000001</v>
      </c>
      <c r="C133">
        <v>-83.262690000000006</v>
      </c>
      <c r="D133">
        <v>732</v>
      </c>
      <c r="E133">
        <v>-27.838360000000002</v>
      </c>
      <c r="F133">
        <v>-79.415970000000002</v>
      </c>
    </row>
    <row r="134" spans="1:6" x14ac:dyDescent="0.45">
      <c r="A134">
        <v>133</v>
      </c>
      <c r="B134">
        <v>-86.095039999999997</v>
      </c>
      <c r="C134">
        <v>-122.08154</v>
      </c>
      <c r="D134">
        <v>733</v>
      </c>
      <c r="E134">
        <v>-79.958640000000003</v>
      </c>
      <c r="F134">
        <v>-123.32622000000001</v>
      </c>
    </row>
    <row r="135" spans="1:6" x14ac:dyDescent="0.45">
      <c r="A135">
        <v>134</v>
      </c>
      <c r="B135">
        <v>-81.759990000000002</v>
      </c>
      <c r="C135">
        <v>-91.060910000000007</v>
      </c>
      <c r="D135">
        <v>734</v>
      </c>
      <c r="E135">
        <v>-79.229420000000005</v>
      </c>
      <c r="F135">
        <v>-93.854990000000001</v>
      </c>
    </row>
    <row r="136" spans="1:6" x14ac:dyDescent="0.45">
      <c r="A136">
        <v>135</v>
      </c>
      <c r="B136">
        <v>26.217780000000001</v>
      </c>
      <c r="C136">
        <v>39.974699999999999</v>
      </c>
      <c r="D136">
        <v>735</v>
      </c>
      <c r="E136">
        <v>31.688939999999999</v>
      </c>
      <c r="F136">
        <v>34.081009999999999</v>
      </c>
    </row>
    <row r="137" spans="1:6" x14ac:dyDescent="0.45">
      <c r="A137">
        <v>136</v>
      </c>
      <c r="B137">
        <v>-45.80874</v>
      </c>
      <c r="C137">
        <v>121.35634</v>
      </c>
      <c r="D137">
        <v>736</v>
      </c>
      <c r="E137">
        <v>-51.185450000000003</v>
      </c>
      <c r="F137">
        <v>125.66355</v>
      </c>
    </row>
    <row r="138" spans="1:6" x14ac:dyDescent="0.45">
      <c r="A138">
        <v>137</v>
      </c>
      <c r="B138">
        <v>59.462240000000001</v>
      </c>
      <c r="C138">
        <v>-93.417720000000003</v>
      </c>
      <c r="D138">
        <v>737</v>
      </c>
      <c r="E138">
        <v>57.374740000000003</v>
      </c>
      <c r="F138">
        <v>-97.694940000000003</v>
      </c>
    </row>
    <row r="139" spans="1:6" x14ac:dyDescent="0.45">
      <c r="A139">
        <v>138</v>
      </c>
      <c r="B139">
        <v>56.531010000000002</v>
      </c>
      <c r="C139">
        <v>134.18917999999999</v>
      </c>
      <c r="D139">
        <v>738</v>
      </c>
      <c r="E139">
        <v>55.455730000000003</v>
      </c>
      <c r="F139">
        <v>128.55419000000001</v>
      </c>
    </row>
    <row r="140" spans="1:6" x14ac:dyDescent="0.45">
      <c r="A140">
        <v>139</v>
      </c>
      <c r="B140">
        <v>-6.6466700000000003</v>
      </c>
      <c r="C140">
        <v>19.346540000000001</v>
      </c>
      <c r="D140">
        <v>739</v>
      </c>
      <c r="E140">
        <v>0.74245999999999401</v>
      </c>
      <c r="F140">
        <v>16.248339999999999</v>
      </c>
    </row>
    <row r="141" spans="1:6" x14ac:dyDescent="0.45">
      <c r="A141">
        <v>140</v>
      </c>
      <c r="B141">
        <v>41.651290000000003</v>
      </c>
      <c r="C141">
        <v>-150.10507000000001</v>
      </c>
      <c r="D141">
        <v>740</v>
      </c>
      <c r="E141">
        <v>40.65954</v>
      </c>
      <c r="F141">
        <v>-144.91209000000001</v>
      </c>
    </row>
    <row r="142" spans="1:6" x14ac:dyDescent="0.45">
      <c r="A142">
        <v>141</v>
      </c>
      <c r="B142">
        <v>74.634600000000006</v>
      </c>
      <c r="C142">
        <v>-110.99214000000001</v>
      </c>
      <c r="D142">
        <v>741</v>
      </c>
      <c r="E142">
        <v>70.51173</v>
      </c>
      <c r="F142">
        <v>-109.96983</v>
      </c>
    </row>
    <row r="143" spans="1:6" x14ac:dyDescent="0.45">
      <c r="A143">
        <v>142</v>
      </c>
      <c r="B143">
        <v>-10.3453</v>
      </c>
      <c r="C143">
        <v>170.51176000000001</v>
      </c>
      <c r="D143">
        <v>742</v>
      </c>
      <c r="E143">
        <v>-1.0983399999999901</v>
      </c>
      <c r="F143">
        <v>169.86117999999999</v>
      </c>
    </row>
    <row r="144" spans="1:6" x14ac:dyDescent="0.45">
      <c r="A144">
        <v>143</v>
      </c>
      <c r="B144">
        <v>-62.215910000000001</v>
      </c>
      <c r="C144">
        <v>-136.40989999999999</v>
      </c>
      <c r="D144">
        <v>743</v>
      </c>
      <c r="E144">
        <v>-61.638330000000003</v>
      </c>
      <c r="F144">
        <v>-134.16086999999999</v>
      </c>
    </row>
    <row r="145" spans="1:6" x14ac:dyDescent="0.45">
      <c r="A145">
        <v>144</v>
      </c>
      <c r="B145">
        <v>-61.219189999999998</v>
      </c>
      <c r="C145">
        <v>146.68601000000001</v>
      </c>
      <c r="D145">
        <v>744</v>
      </c>
      <c r="E145">
        <v>-67.652640000000005</v>
      </c>
      <c r="F145">
        <v>145.70180999999999</v>
      </c>
    </row>
    <row r="146" spans="1:6" x14ac:dyDescent="0.45">
      <c r="A146">
        <v>145</v>
      </c>
      <c r="B146">
        <v>-5.2584999999999997</v>
      </c>
      <c r="C146">
        <v>22.315850000000001</v>
      </c>
      <c r="D146">
        <v>745</v>
      </c>
      <c r="E146">
        <v>-13.997019999999999</v>
      </c>
      <c r="F146">
        <v>12.334949999999999</v>
      </c>
    </row>
    <row r="147" spans="1:6" x14ac:dyDescent="0.45">
      <c r="A147">
        <v>146</v>
      </c>
      <c r="B147">
        <v>-4.44231</v>
      </c>
      <c r="C147">
        <v>114.01277</v>
      </c>
      <c r="D147">
        <v>746</v>
      </c>
      <c r="E147">
        <v>-13.062060000000001</v>
      </c>
      <c r="F147">
        <v>117.63001</v>
      </c>
    </row>
    <row r="148" spans="1:6" x14ac:dyDescent="0.45">
      <c r="A148">
        <v>147</v>
      </c>
      <c r="B148">
        <v>39.652729999999998</v>
      </c>
      <c r="C148">
        <v>120.16179</v>
      </c>
      <c r="D148">
        <v>747</v>
      </c>
      <c r="E148">
        <v>34.303220000000003</v>
      </c>
      <c r="F148">
        <v>113.30732</v>
      </c>
    </row>
    <row r="149" spans="1:6" x14ac:dyDescent="0.45">
      <c r="A149">
        <v>148</v>
      </c>
      <c r="B149">
        <v>28.54571</v>
      </c>
      <c r="C149">
        <v>-104.90599</v>
      </c>
      <c r="D149">
        <v>748</v>
      </c>
      <c r="E149">
        <v>26.677990000000001</v>
      </c>
      <c r="F149">
        <v>-106.61301</v>
      </c>
    </row>
    <row r="150" spans="1:6" x14ac:dyDescent="0.45">
      <c r="A150">
        <v>149</v>
      </c>
      <c r="B150">
        <v>83.346080000000001</v>
      </c>
      <c r="C150">
        <v>163.97327999999999</v>
      </c>
      <c r="D150">
        <v>749</v>
      </c>
      <c r="E150">
        <v>78.22466</v>
      </c>
      <c r="F150">
        <v>162.52670000000001</v>
      </c>
    </row>
    <row r="151" spans="1:6" x14ac:dyDescent="0.45">
      <c r="A151">
        <v>150</v>
      </c>
      <c r="B151">
        <v>23.916180000000001</v>
      </c>
      <c r="C151">
        <v>60.610059999999997</v>
      </c>
      <c r="D151">
        <v>750</v>
      </c>
      <c r="E151">
        <v>24.405830000000002</v>
      </c>
      <c r="F151">
        <v>50.715510000000002</v>
      </c>
    </row>
    <row r="152" spans="1:6" x14ac:dyDescent="0.45">
      <c r="A152">
        <v>151</v>
      </c>
      <c r="B152">
        <v>78.375900000000001</v>
      </c>
      <c r="C152">
        <v>47.253549999999997</v>
      </c>
      <c r="D152">
        <v>751</v>
      </c>
      <c r="E152">
        <v>74.362870000000001</v>
      </c>
      <c r="F152">
        <v>55.257429999999999</v>
      </c>
    </row>
    <row r="153" spans="1:6" x14ac:dyDescent="0.45">
      <c r="A153">
        <v>152</v>
      </c>
      <c r="B153">
        <v>28.515889999999999</v>
      </c>
      <c r="C153">
        <v>-44.689579999999999</v>
      </c>
      <c r="D153">
        <v>752</v>
      </c>
      <c r="E153">
        <v>35.692520000000002</v>
      </c>
      <c r="F153">
        <v>-35.835720000000002</v>
      </c>
    </row>
    <row r="154" spans="1:6" x14ac:dyDescent="0.45">
      <c r="A154">
        <v>153</v>
      </c>
      <c r="B154">
        <v>11.04585</v>
      </c>
      <c r="C154">
        <v>-141.90440000000001</v>
      </c>
      <c r="D154">
        <v>753</v>
      </c>
      <c r="E154">
        <v>6.7511800000000104</v>
      </c>
      <c r="F154">
        <v>-138.75908000000001</v>
      </c>
    </row>
    <row r="155" spans="1:6" x14ac:dyDescent="0.45">
      <c r="A155">
        <v>154</v>
      </c>
      <c r="B155">
        <v>-60.367339999999999</v>
      </c>
      <c r="C155">
        <v>102.53055999999999</v>
      </c>
      <c r="D155">
        <v>754</v>
      </c>
      <c r="E155">
        <v>-52.4024</v>
      </c>
      <c r="F155">
        <v>103.50996000000001</v>
      </c>
    </row>
    <row r="156" spans="1:6" x14ac:dyDescent="0.45">
      <c r="A156">
        <v>155</v>
      </c>
      <c r="B156">
        <v>-69.816469999999995</v>
      </c>
      <c r="C156">
        <v>-55.597709999999999</v>
      </c>
      <c r="D156">
        <v>755</v>
      </c>
      <c r="E156">
        <v>-71.182519999999997</v>
      </c>
      <c r="F156">
        <v>-49.149940000000001</v>
      </c>
    </row>
    <row r="157" spans="1:6" x14ac:dyDescent="0.45">
      <c r="A157">
        <v>156</v>
      </c>
      <c r="B157">
        <v>73.040459999999996</v>
      </c>
      <c r="C157">
        <v>109.00127999999999</v>
      </c>
      <c r="D157">
        <v>756</v>
      </c>
      <c r="E157">
        <v>70.52713</v>
      </c>
      <c r="F157">
        <v>102.26978</v>
      </c>
    </row>
    <row r="158" spans="1:6" x14ac:dyDescent="0.45">
      <c r="A158">
        <v>157</v>
      </c>
      <c r="B158">
        <v>72.025949999999995</v>
      </c>
      <c r="C158">
        <v>-115.48669</v>
      </c>
      <c r="D158">
        <v>757</v>
      </c>
      <c r="E158">
        <v>79.247150000000005</v>
      </c>
      <c r="F158">
        <v>-124.58986</v>
      </c>
    </row>
    <row r="159" spans="1:6" x14ac:dyDescent="0.45">
      <c r="A159">
        <v>158</v>
      </c>
      <c r="B159">
        <v>-60.634509999999999</v>
      </c>
      <c r="C159">
        <v>-28.29419</v>
      </c>
      <c r="D159">
        <v>758</v>
      </c>
      <c r="E159">
        <v>-53.699950000000001</v>
      </c>
      <c r="F159">
        <v>-29.58136</v>
      </c>
    </row>
    <row r="160" spans="1:6" x14ac:dyDescent="0.45">
      <c r="A160">
        <v>159</v>
      </c>
      <c r="B160">
        <v>-79.121949999999998</v>
      </c>
      <c r="C160">
        <v>-59.925660000000001</v>
      </c>
      <c r="D160">
        <v>759</v>
      </c>
      <c r="E160">
        <v>-74.027010000000004</v>
      </c>
      <c r="F160">
        <v>-54.789369999999998</v>
      </c>
    </row>
    <row r="161" spans="1:6" x14ac:dyDescent="0.45">
      <c r="A161">
        <v>160</v>
      </c>
      <c r="B161">
        <v>-84.829350000000005</v>
      </c>
      <c r="C161">
        <v>-78.923730000000006</v>
      </c>
      <c r="D161">
        <v>760</v>
      </c>
      <c r="E161">
        <v>-76.491799999999998</v>
      </c>
      <c r="F161">
        <v>-72.027289999999994</v>
      </c>
    </row>
    <row r="162" spans="1:6" x14ac:dyDescent="0.45">
      <c r="A162">
        <v>161</v>
      </c>
      <c r="B162">
        <v>-54.324210000000001</v>
      </c>
      <c r="C162">
        <v>-8.8177500000000002</v>
      </c>
      <c r="D162">
        <v>761</v>
      </c>
      <c r="E162">
        <v>-51.528910000000003</v>
      </c>
      <c r="F162">
        <v>-9.6635099999999703</v>
      </c>
    </row>
    <row r="163" spans="1:6" x14ac:dyDescent="0.45">
      <c r="A163">
        <v>162</v>
      </c>
      <c r="B163">
        <v>29.943909999999999</v>
      </c>
      <c r="C163">
        <v>94.465100000000007</v>
      </c>
      <c r="D163">
        <v>762</v>
      </c>
      <c r="E163">
        <v>31.79965</v>
      </c>
      <c r="F163">
        <v>104.16052000000001</v>
      </c>
    </row>
    <row r="164" spans="1:6" x14ac:dyDescent="0.45">
      <c r="A164">
        <v>163</v>
      </c>
      <c r="B164">
        <v>-77.133089999999996</v>
      </c>
      <c r="C164">
        <v>118.06853</v>
      </c>
      <c r="D164">
        <v>763</v>
      </c>
      <c r="E164">
        <v>-84.163880000000006</v>
      </c>
      <c r="F164">
        <v>108.68982</v>
      </c>
    </row>
    <row r="165" spans="1:6" x14ac:dyDescent="0.45">
      <c r="A165">
        <v>164</v>
      </c>
      <c r="B165">
        <v>15.557410000000001</v>
      </c>
      <c r="C165">
        <v>93.436459999999997</v>
      </c>
      <c r="D165">
        <v>764</v>
      </c>
      <c r="E165">
        <v>12.54777</v>
      </c>
      <c r="F165">
        <v>99.414159999999995</v>
      </c>
    </row>
    <row r="166" spans="1:6" x14ac:dyDescent="0.45">
      <c r="A166">
        <v>165</v>
      </c>
      <c r="B166">
        <v>56.870820000000002</v>
      </c>
      <c r="C166">
        <v>93.770690000000002</v>
      </c>
      <c r="D166">
        <v>765</v>
      </c>
      <c r="E166">
        <v>47.84957</v>
      </c>
      <c r="F166">
        <v>92.608779999999996</v>
      </c>
    </row>
    <row r="167" spans="1:6" x14ac:dyDescent="0.45">
      <c r="A167">
        <v>166</v>
      </c>
      <c r="B167">
        <v>-32.130249999999997</v>
      </c>
      <c r="C167">
        <v>25.546700000000001</v>
      </c>
      <c r="D167">
        <v>766</v>
      </c>
      <c r="E167">
        <v>-30.509679999999999</v>
      </c>
      <c r="F167">
        <v>19.60276</v>
      </c>
    </row>
    <row r="168" spans="1:6" x14ac:dyDescent="0.45">
      <c r="A168">
        <v>167</v>
      </c>
      <c r="B168">
        <v>14.0237</v>
      </c>
      <c r="C168">
        <v>105.60254999999999</v>
      </c>
      <c r="D168">
        <v>767</v>
      </c>
      <c r="E168">
        <v>15.25897</v>
      </c>
      <c r="F168">
        <v>96.285849999999996</v>
      </c>
    </row>
    <row r="169" spans="1:6" x14ac:dyDescent="0.45">
      <c r="A169">
        <v>168</v>
      </c>
      <c r="B169">
        <v>16.594080000000002</v>
      </c>
      <c r="C169">
        <v>-168.68613999999999</v>
      </c>
      <c r="D169">
        <v>768</v>
      </c>
      <c r="E169">
        <v>15.421989999999999</v>
      </c>
      <c r="F169">
        <v>-161.33268000000001</v>
      </c>
    </row>
    <row r="170" spans="1:6" x14ac:dyDescent="0.45">
      <c r="A170">
        <v>169</v>
      </c>
      <c r="B170">
        <v>25.162299999999998</v>
      </c>
      <c r="C170">
        <v>32.969709999999999</v>
      </c>
      <c r="D170">
        <v>769</v>
      </c>
      <c r="E170">
        <v>15.16952</v>
      </c>
      <c r="F170">
        <v>42.552950000000003</v>
      </c>
    </row>
    <row r="171" spans="1:6" x14ac:dyDescent="0.45">
      <c r="A171">
        <v>170</v>
      </c>
      <c r="B171">
        <v>-8.4285999999999994</v>
      </c>
      <c r="C171">
        <v>-81.495249999999999</v>
      </c>
      <c r="D171">
        <v>770</v>
      </c>
      <c r="E171">
        <v>-8.9944799999999994</v>
      </c>
      <c r="F171">
        <v>-91.008920000000003</v>
      </c>
    </row>
    <row r="172" spans="1:6" x14ac:dyDescent="0.45">
      <c r="A172">
        <v>171</v>
      </c>
      <c r="B172">
        <v>-24.050809999999998</v>
      </c>
      <c r="C172">
        <v>79.369389999999996</v>
      </c>
      <c r="D172">
        <v>771</v>
      </c>
      <c r="E172">
        <v>-15.2516</v>
      </c>
      <c r="F172">
        <v>87.076659999999904</v>
      </c>
    </row>
    <row r="173" spans="1:6" x14ac:dyDescent="0.45">
      <c r="A173">
        <v>172</v>
      </c>
      <c r="B173">
        <v>-53.169400000000003</v>
      </c>
      <c r="C173">
        <v>69.629019999999997</v>
      </c>
      <c r="D173">
        <v>772</v>
      </c>
      <c r="E173">
        <v>-52.353729999999999</v>
      </c>
      <c r="F173">
        <v>70.885260000000002</v>
      </c>
    </row>
    <row r="174" spans="1:6" x14ac:dyDescent="0.45">
      <c r="A174">
        <v>173</v>
      </c>
      <c r="B174">
        <v>-50.51388</v>
      </c>
      <c r="C174">
        <v>63.461190000000002</v>
      </c>
      <c r="D174">
        <v>773</v>
      </c>
      <c r="E174">
        <v>-45.359879999999997</v>
      </c>
      <c r="F174">
        <v>67.691640000000007</v>
      </c>
    </row>
    <row r="175" spans="1:6" x14ac:dyDescent="0.45">
      <c r="A175">
        <v>174</v>
      </c>
      <c r="B175">
        <v>55.772359999999999</v>
      </c>
      <c r="C175">
        <v>95.447220000000002</v>
      </c>
      <c r="D175">
        <v>774</v>
      </c>
      <c r="E175">
        <v>60.043750000000003</v>
      </c>
      <c r="F175">
        <v>98.932230000000004</v>
      </c>
    </row>
    <row r="176" spans="1:6" x14ac:dyDescent="0.45">
      <c r="A176">
        <v>175</v>
      </c>
      <c r="B176">
        <v>-88.577579999999998</v>
      </c>
      <c r="C176">
        <v>-27.12125</v>
      </c>
      <c r="D176">
        <v>775</v>
      </c>
      <c r="E176">
        <v>-89.046329999999998</v>
      </c>
      <c r="F176">
        <v>-36.98312</v>
      </c>
    </row>
    <row r="177" spans="1:6" x14ac:dyDescent="0.45">
      <c r="A177">
        <v>176</v>
      </c>
      <c r="B177">
        <v>-77.384259999999998</v>
      </c>
      <c r="C177">
        <v>13.02515</v>
      </c>
      <c r="D177">
        <v>776</v>
      </c>
      <c r="E177">
        <v>-77.269189999999995</v>
      </c>
      <c r="F177">
        <v>5.4575899999999802</v>
      </c>
    </row>
    <row r="178" spans="1:6" x14ac:dyDescent="0.45">
      <c r="A178">
        <v>177</v>
      </c>
      <c r="B178">
        <v>25.873139999999999</v>
      </c>
      <c r="C178">
        <v>152.13650000000001</v>
      </c>
      <c r="D178">
        <v>777</v>
      </c>
      <c r="E178">
        <v>16.34149</v>
      </c>
      <c r="F178">
        <v>142.54756</v>
      </c>
    </row>
    <row r="179" spans="1:6" x14ac:dyDescent="0.45">
      <c r="A179">
        <v>178</v>
      </c>
      <c r="B179">
        <v>60.635190000000001</v>
      </c>
      <c r="C179">
        <v>-18.58577</v>
      </c>
      <c r="D179">
        <v>778</v>
      </c>
      <c r="E179">
        <v>56.199249999999999</v>
      </c>
      <c r="F179">
        <v>-21.83446</v>
      </c>
    </row>
    <row r="180" spans="1:6" x14ac:dyDescent="0.45">
      <c r="A180">
        <v>179</v>
      </c>
      <c r="B180">
        <v>69.062250000000006</v>
      </c>
      <c r="C180">
        <v>176.82598999999999</v>
      </c>
      <c r="D180">
        <v>779</v>
      </c>
      <c r="E180">
        <v>63.586129999999997</v>
      </c>
      <c r="F180">
        <v>-174.95089999999999</v>
      </c>
    </row>
    <row r="181" spans="1:6" x14ac:dyDescent="0.45">
      <c r="A181">
        <v>180</v>
      </c>
      <c r="B181">
        <v>-26.066759999999999</v>
      </c>
      <c r="C181">
        <v>-120.9024</v>
      </c>
      <c r="D181">
        <v>780</v>
      </c>
      <c r="E181">
        <v>-17.47777</v>
      </c>
      <c r="F181">
        <v>-113.44262999999999</v>
      </c>
    </row>
    <row r="182" spans="1:6" x14ac:dyDescent="0.45">
      <c r="A182">
        <v>181</v>
      </c>
      <c r="B182">
        <v>-89.244209999999995</v>
      </c>
      <c r="C182">
        <v>76.12988</v>
      </c>
      <c r="D182">
        <v>781</v>
      </c>
      <c r="E182">
        <v>-82.444220000000001</v>
      </c>
      <c r="F182">
        <v>85.384739999999994</v>
      </c>
    </row>
    <row r="183" spans="1:6" x14ac:dyDescent="0.45">
      <c r="A183">
        <v>182</v>
      </c>
      <c r="B183">
        <v>45.356070000000003</v>
      </c>
      <c r="C183">
        <v>-62.408720000000002</v>
      </c>
      <c r="D183">
        <v>782</v>
      </c>
      <c r="E183">
        <v>54.447510000000001</v>
      </c>
      <c r="F183">
        <v>-53.787410000000001</v>
      </c>
    </row>
    <row r="184" spans="1:6" x14ac:dyDescent="0.45">
      <c r="A184">
        <v>183</v>
      </c>
      <c r="B184">
        <v>-9.5659500000000008</v>
      </c>
      <c r="C184">
        <v>20.890779999999999</v>
      </c>
      <c r="D184">
        <v>783</v>
      </c>
      <c r="E184">
        <v>-9.6598999999999897</v>
      </c>
      <c r="F184">
        <v>12.4132499999999</v>
      </c>
    </row>
    <row r="185" spans="1:6" x14ac:dyDescent="0.45">
      <c r="A185">
        <v>184</v>
      </c>
      <c r="B185">
        <v>-68.512829999999994</v>
      </c>
      <c r="C185">
        <v>88.405010000000004</v>
      </c>
      <c r="D185">
        <v>784</v>
      </c>
      <c r="E185">
        <v>-61.031010000000002</v>
      </c>
      <c r="F185">
        <v>83.634289999999993</v>
      </c>
    </row>
    <row r="186" spans="1:6" x14ac:dyDescent="0.45">
      <c r="A186">
        <v>185</v>
      </c>
      <c r="B186">
        <v>67.756069999999994</v>
      </c>
      <c r="C186">
        <v>-7.8779000000000003</v>
      </c>
      <c r="D186">
        <v>785</v>
      </c>
      <c r="E186">
        <v>61.467379999999999</v>
      </c>
      <c r="F186">
        <v>-6.8839799999999496</v>
      </c>
    </row>
    <row r="187" spans="1:6" x14ac:dyDescent="0.45">
      <c r="A187">
        <v>186</v>
      </c>
      <c r="B187">
        <v>-52.442160000000001</v>
      </c>
      <c r="C187">
        <v>20.656749999999999</v>
      </c>
      <c r="D187">
        <v>786</v>
      </c>
      <c r="E187">
        <v>-60.026859999999999</v>
      </c>
      <c r="F187">
        <v>14.25952</v>
      </c>
    </row>
    <row r="188" spans="1:6" x14ac:dyDescent="0.45">
      <c r="A188">
        <v>187</v>
      </c>
      <c r="B188">
        <v>16.623619999999999</v>
      </c>
      <c r="C188">
        <v>176.03188</v>
      </c>
      <c r="D188">
        <v>787</v>
      </c>
      <c r="E188">
        <v>12.38795</v>
      </c>
      <c r="F188">
        <v>-177.78276</v>
      </c>
    </row>
    <row r="189" spans="1:6" x14ac:dyDescent="0.45">
      <c r="A189">
        <v>188</v>
      </c>
      <c r="B189">
        <v>-25.84301</v>
      </c>
      <c r="C189">
        <v>-14.817640000000001</v>
      </c>
      <c r="D189">
        <v>788</v>
      </c>
      <c r="E189">
        <v>-26.60894</v>
      </c>
      <c r="F189">
        <v>-6.6561299999999601</v>
      </c>
    </row>
    <row r="190" spans="1:6" x14ac:dyDescent="0.45">
      <c r="A190">
        <v>189</v>
      </c>
      <c r="B190">
        <v>-30.38682</v>
      </c>
      <c r="C190">
        <v>-76.668790000000001</v>
      </c>
      <c r="D190">
        <v>789</v>
      </c>
      <c r="E190">
        <v>-23.240179999999999</v>
      </c>
      <c r="F190">
        <v>-75.047179999999997</v>
      </c>
    </row>
    <row r="191" spans="1:6" x14ac:dyDescent="0.45">
      <c r="A191">
        <v>190</v>
      </c>
      <c r="B191">
        <v>55.910029999999999</v>
      </c>
      <c r="C191">
        <v>165.71516</v>
      </c>
      <c r="D191">
        <v>790</v>
      </c>
      <c r="E191">
        <v>55.677230000000002</v>
      </c>
      <c r="F191">
        <v>161.47691</v>
      </c>
    </row>
    <row r="192" spans="1:6" x14ac:dyDescent="0.45">
      <c r="A192">
        <v>191</v>
      </c>
      <c r="B192">
        <v>-59.095149999999997</v>
      </c>
      <c r="C192">
        <v>129.89176</v>
      </c>
      <c r="D192">
        <v>791</v>
      </c>
      <c r="E192">
        <v>-50.128189999999996</v>
      </c>
      <c r="F192">
        <v>136.99707000000001</v>
      </c>
    </row>
    <row r="193" spans="1:6" x14ac:dyDescent="0.45">
      <c r="A193">
        <v>192</v>
      </c>
      <c r="B193">
        <v>-77.110870000000006</v>
      </c>
      <c r="C193">
        <v>-3.8794200000000001</v>
      </c>
      <c r="D193">
        <v>792</v>
      </c>
      <c r="E193">
        <v>-81.100620000000006</v>
      </c>
      <c r="F193">
        <v>-2.6490800000000299</v>
      </c>
    </row>
    <row r="194" spans="1:6" x14ac:dyDescent="0.45">
      <c r="A194">
        <v>193</v>
      </c>
      <c r="B194">
        <v>-54.169440000000002</v>
      </c>
      <c r="C194">
        <v>71.150040000000004</v>
      </c>
      <c r="D194">
        <v>793</v>
      </c>
      <c r="E194">
        <v>-54.498989999999999</v>
      </c>
      <c r="F194">
        <v>78.353459999999998</v>
      </c>
    </row>
    <row r="195" spans="1:6" x14ac:dyDescent="0.45">
      <c r="A195">
        <v>194</v>
      </c>
      <c r="B195">
        <v>-63.899839999999998</v>
      </c>
      <c r="C195">
        <v>41.559040000000003</v>
      </c>
      <c r="D195">
        <v>794</v>
      </c>
      <c r="E195">
        <v>-67.119910000000004</v>
      </c>
      <c r="F195">
        <v>33.256219999999999</v>
      </c>
    </row>
    <row r="196" spans="1:6" x14ac:dyDescent="0.45">
      <c r="A196">
        <v>195</v>
      </c>
      <c r="B196">
        <v>73.514179999999996</v>
      </c>
      <c r="C196">
        <v>-130.86909</v>
      </c>
      <c r="D196">
        <v>795</v>
      </c>
      <c r="E196">
        <v>76.489549999999994</v>
      </c>
      <c r="F196">
        <v>-123.54300000000001</v>
      </c>
    </row>
    <row r="197" spans="1:6" x14ac:dyDescent="0.45">
      <c r="A197">
        <v>196</v>
      </c>
      <c r="B197">
        <v>45.187750000000001</v>
      </c>
      <c r="C197">
        <v>-103.866</v>
      </c>
      <c r="D197">
        <v>796</v>
      </c>
      <c r="E197">
        <v>50.50656</v>
      </c>
      <c r="F197">
        <v>-101.60581999999999</v>
      </c>
    </row>
    <row r="198" spans="1:6" x14ac:dyDescent="0.45">
      <c r="A198">
        <v>197</v>
      </c>
      <c r="B198">
        <v>-71.405919999999995</v>
      </c>
      <c r="C198">
        <v>178.10623000000001</v>
      </c>
      <c r="D198">
        <v>797</v>
      </c>
      <c r="E198">
        <v>-64.210269999999994</v>
      </c>
      <c r="F198">
        <v>175.41218000000001</v>
      </c>
    </row>
    <row r="199" spans="1:6" x14ac:dyDescent="0.45">
      <c r="A199">
        <v>198</v>
      </c>
      <c r="B199">
        <v>-30.221109999999999</v>
      </c>
      <c r="C199">
        <v>29.884509999999999</v>
      </c>
      <c r="D199">
        <v>798</v>
      </c>
      <c r="E199">
        <v>-34.161929999999998</v>
      </c>
      <c r="F199">
        <v>33.612780000000001</v>
      </c>
    </row>
    <row r="200" spans="1:6" x14ac:dyDescent="0.45">
      <c r="A200">
        <v>199</v>
      </c>
      <c r="B200">
        <v>41.050429999999999</v>
      </c>
      <c r="C200">
        <v>104.37965</v>
      </c>
      <c r="D200">
        <v>799</v>
      </c>
      <c r="E200">
        <v>38.301870000000001</v>
      </c>
      <c r="F200">
        <v>107.03959999999999</v>
      </c>
    </row>
    <row r="201" spans="1:6" x14ac:dyDescent="0.45">
      <c r="A201">
        <v>200</v>
      </c>
      <c r="B201">
        <v>67.756069999999994</v>
      </c>
      <c r="C201">
        <v>-7.8779000000000003</v>
      </c>
      <c r="D201">
        <v>800</v>
      </c>
      <c r="E201">
        <v>61.467379999999999</v>
      </c>
      <c r="F201">
        <v>-6.8839799999999496</v>
      </c>
    </row>
    <row r="202" spans="1:6" x14ac:dyDescent="0.45">
      <c r="A202">
        <v>201</v>
      </c>
      <c r="B202">
        <v>11.42489</v>
      </c>
      <c r="C202">
        <v>128.47219000000001</v>
      </c>
      <c r="D202">
        <v>801</v>
      </c>
      <c r="E202">
        <v>11.38719</v>
      </c>
      <c r="F202">
        <v>128.92492999999999</v>
      </c>
    </row>
    <row r="203" spans="1:6" x14ac:dyDescent="0.45">
      <c r="A203">
        <v>202</v>
      </c>
      <c r="B203">
        <v>-45.949910000000003</v>
      </c>
      <c r="C203">
        <v>-123.24057999999999</v>
      </c>
      <c r="D203">
        <v>802</v>
      </c>
      <c r="E203">
        <v>-46.72401</v>
      </c>
      <c r="F203">
        <v>-123.55916000000001</v>
      </c>
    </row>
    <row r="204" spans="1:6" x14ac:dyDescent="0.45">
      <c r="A204">
        <v>203</v>
      </c>
      <c r="B204">
        <v>32.244869999999999</v>
      </c>
      <c r="C204">
        <v>174.98697000000001</v>
      </c>
      <c r="D204">
        <v>803</v>
      </c>
      <c r="E204">
        <v>32.430430000000001</v>
      </c>
      <c r="F204">
        <v>175.33143000000001</v>
      </c>
    </row>
    <row r="205" spans="1:6" x14ac:dyDescent="0.45">
      <c r="A205">
        <v>204</v>
      </c>
      <c r="B205">
        <v>-8.2000799999999998</v>
      </c>
      <c r="C205">
        <v>-141.29650000000001</v>
      </c>
      <c r="D205">
        <v>804</v>
      </c>
      <c r="E205">
        <v>-7.3658700000000001</v>
      </c>
      <c r="F205">
        <v>-142.11833999999999</v>
      </c>
    </row>
    <row r="206" spans="1:6" x14ac:dyDescent="0.45">
      <c r="A206">
        <v>205</v>
      </c>
      <c r="B206">
        <v>-89.186030000000002</v>
      </c>
      <c r="C206">
        <v>75.02243</v>
      </c>
      <c r="D206">
        <v>805</v>
      </c>
      <c r="E206">
        <v>-89.675690000000003</v>
      </c>
      <c r="F206">
        <v>74.230509999999995</v>
      </c>
    </row>
    <row r="207" spans="1:6" x14ac:dyDescent="0.45">
      <c r="A207">
        <v>206</v>
      </c>
      <c r="B207">
        <v>35.686369999999997</v>
      </c>
      <c r="C207">
        <v>19.52291</v>
      </c>
      <c r="D207">
        <v>806</v>
      </c>
      <c r="E207">
        <v>35.268470000000001</v>
      </c>
      <c r="F207">
        <v>20.41056</v>
      </c>
    </row>
    <row r="208" spans="1:6" x14ac:dyDescent="0.45">
      <c r="A208">
        <v>207</v>
      </c>
      <c r="B208">
        <v>32.76258</v>
      </c>
      <c r="C208">
        <v>169.84358</v>
      </c>
      <c r="D208">
        <v>807</v>
      </c>
      <c r="E208">
        <v>32.44265</v>
      </c>
      <c r="F208">
        <v>170.60256999999999</v>
      </c>
    </row>
    <row r="209" spans="1:6" x14ac:dyDescent="0.45">
      <c r="A209">
        <v>208</v>
      </c>
      <c r="B209">
        <v>-24.03978</v>
      </c>
      <c r="C209">
        <v>157.28172000000001</v>
      </c>
      <c r="D209">
        <v>808</v>
      </c>
      <c r="E209">
        <v>-24.547260000000001</v>
      </c>
      <c r="F209">
        <v>157.38636</v>
      </c>
    </row>
    <row r="210" spans="1:6" x14ac:dyDescent="0.45">
      <c r="A210">
        <v>209</v>
      </c>
      <c r="B210">
        <v>40.904859999999999</v>
      </c>
      <c r="C210">
        <v>38.922049999999999</v>
      </c>
      <c r="D210">
        <v>809</v>
      </c>
      <c r="E210">
        <v>41.676940000000002</v>
      </c>
      <c r="F210">
        <v>39.731079999999999</v>
      </c>
    </row>
    <row r="211" spans="1:6" x14ac:dyDescent="0.45">
      <c r="A211">
        <v>210</v>
      </c>
      <c r="B211">
        <v>85.995159999999998</v>
      </c>
      <c r="C211">
        <v>51.500729999999997</v>
      </c>
      <c r="D211">
        <v>810</v>
      </c>
      <c r="E211">
        <v>85.496619999999993</v>
      </c>
      <c r="F211">
        <v>51.227809999999998</v>
      </c>
    </row>
    <row r="212" spans="1:6" x14ac:dyDescent="0.45">
      <c r="A212">
        <v>211</v>
      </c>
      <c r="B212">
        <v>-39.606439999999999</v>
      </c>
      <c r="C212">
        <v>-121.12639</v>
      </c>
      <c r="D212">
        <v>811</v>
      </c>
      <c r="E212">
        <v>-39.582459999999998</v>
      </c>
      <c r="F212">
        <v>-120.40260000000001</v>
      </c>
    </row>
    <row r="213" spans="1:6" x14ac:dyDescent="0.45">
      <c r="A213">
        <v>212</v>
      </c>
      <c r="B213">
        <v>41.62415</v>
      </c>
      <c r="C213">
        <v>-92.772999999999996</v>
      </c>
      <c r="D213">
        <v>812</v>
      </c>
      <c r="E213">
        <v>41.090009999999999</v>
      </c>
      <c r="F213">
        <v>-92.116820000000004</v>
      </c>
    </row>
    <row r="214" spans="1:6" x14ac:dyDescent="0.45">
      <c r="A214">
        <v>213</v>
      </c>
      <c r="B214">
        <v>48.275149999999996</v>
      </c>
      <c r="C214">
        <v>97.923240000000007</v>
      </c>
      <c r="D214">
        <v>813</v>
      </c>
      <c r="E214">
        <v>47.432580000000002</v>
      </c>
      <c r="F214">
        <v>98.715130000000002</v>
      </c>
    </row>
    <row r="215" spans="1:6" x14ac:dyDescent="0.45">
      <c r="A215">
        <v>214</v>
      </c>
      <c r="B215">
        <v>84.244709999999998</v>
      </c>
      <c r="C215">
        <v>166.67049</v>
      </c>
      <c r="D215">
        <v>814</v>
      </c>
      <c r="E215">
        <v>84.114059999999995</v>
      </c>
      <c r="F215">
        <v>166.69189</v>
      </c>
    </row>
    <row r="216" spans="1:6" x14ac:dyDescent="0.45">
      <c r="A216">
        <v>215</v>
      </c>
      <c r="B216">
        <v>67.498949999999994</v>
      </c>
      <c r="C216">
        <v>-48.581899999999997</v>
      </c>
      <c r="D216">
        <v>815</v>
      </c>
      <c r="E216">
        <v>66.75609</v>
      </c>
      <c r="F216">
        <v>-48.06288</v>
      </c>
    </row>
    <row r="217" spans="1:6" x14ac:dyDescent="0.45">
      <c r="A217">
        <v>216</v>
      </c>
      <c r="B217">
        <v>82.545299999999997</v>
      </c>
      <c r="C217">
        <v>16.224409999999999</v>
      </c>
      <c r="D217">
        <v>816</v>
      </c>
      <c r="E217">
        <v>82.524640000000005</v>
      </c>
      <c r="F217">
        <v>16.640619999999998</v>
      </c>
    </row>
    <row r="218" spans="1:6" x14ac:dyDescent="0.45">
      <c r="A218">
        <v>217</v>
      </c>
      <c r="B218">
        <v>-13.70762</v>
      </c>
      <c r="C218">
        <v>1.4645900000000001</v>
      </c>
      <c r="D218">
        <v>817</v>
      </c>
      <c r="E218">
        <v>-14.509539999999999</v>
      </c>
      <c r="F218">
        <v>1.2748599999999899</v>
      </c>
    </row>
    <row r="219" spans="1:6" x14ac:dyDescent="0.45">
      <c r="A219">
        <v>218</v>
      </c>
      <c r="B219">
        <v>38.62106</v>
      </c>
      <c r="C219">
        <v>-27.553789999999999</v>
      </c>
      <c r="D219">
        <v>818</v>
      </c>
      <c r="E219">
        <v>38.606610000000003</v>
      </c>
      <c r="F219">
        <v>-27.997340000000001</v>
      </c>
    </row>
    <row r="220" spans="1:6" x14ac:dyDescent="0.45">
      <c r="A220">
        <v>219</v>
      </c>
      <c r="B220">
        <v>78.790859999999995</v>
      </c>
      <c r="C220">
        <v>129.01781</v>
      </c>
      <c r="D220">
        <v>819</v>
      </c>
      <c r="E220">
        <v>77.978809999999996</v>
      </c>
      <c r="F220">
        <v>129.25568000000001</v>
      </c>
    </row>
    <row r="221" spans="1:6" x14ac:dyDescent="0.45">
      <c r="A221">
        <v>220</v>
      </c>
      <c r="B221">
        <v>-4.1792499999999997</v>
      </c>
      <c r="C221">
        <v>-154.75997000000001</v>
      </c>
      <c r="D221">
        <v>820</v>
      </c>
      <c r="E221">
        <v>-3.9343599999999999</v>
      </c>
      <c r="F221">
        <v>-153.95267000000001</v>
      </c>
    </row>
    <row r="222" spans="1:6" x14ac:dyDescent="0.45">
      <c r="A222">
        <v>221</v>
      </c>
      <c r="B222">
        <v>-51.931759999999997</v>
      </c>
      <c r="C222">
        <v>64.643339999999995</v>
      </c>
      <c r="D222">
        <v>821</v>
      </c>
      <c r="E222">
        <v>-52.138080000000002</v>
      </c>
      <c r="F222">
        <v>64.524100000000004</v>
      </c>
    </row>
    <row r="223" spans="1:6" x14ac:dyDescent="0.45">
      <c r="A223">
        <v>222</v>
      </c>
      <c r="B223">
        <v>-58.657209999999999</v>
      </c>
      <c r="C223">
        <v>154.32174000000001</v>
      </c>
      <c r="D223">
        <v>822</v>
      </c>
      <c r="E223">
        <v>-59.519649999999999</v>
      </c>
      <c r="F223">
        <v>154.82140000000001</v>
      </c>
    </row>
    <row r="224" spans="1:6" x14ac:dyDescent="0.45">
      <c r="A224">
        <v>223</v>
      </c>
      <c r="B224">
        <v>17.8642</v>
      </c>
      <c r="C224">
        <v>-179.96003999999999</v>
      </c>
      <c r="D224">
        <v>823</v>
      </c>
      <c r="E224">
        <v>18.489709999999999</v>
      </c>
      <c r="F224">
        <v>-179.89852999999999</v>
      </c>
    </row>
    <row r="225" spans="1:6" x14ac:dyDescent="0.45">
      <c r="A225">
        <v>224</v>
      </c>
      <c r="B225">
        <v>-6.0758099999999997</v>
      </c>
      <c r="C225">
        <v>159.59649999999999</v>
      </c>
      <c r="D225">
        <v>824</v>
      </c>
      <c r="E225">
        <v>-5.4396100000000001</v>
      </c>
      <c r="F225">
        <v>160.45665</v>
      </c>
    </row>
    <row r="226" spans="1:6" x14ac:dyDescent="0.45">
      <c r="A226">
        <v>225</v>
      </c>
      <c r="B226">
        <v>3.3902800000000002</v>
      </c>
      <c r="C226">
        <v>81.671620000000004</v>
      </c>
      <c r="D226">
        <v>825</v>
      </c>
      <c r="E226">
        <v>4.2435</v>
      </c>
      <c r="F226">
        <v>81.713329999999999</v>
      </c>
    </row>
    <row r="227" spans="1:6" x14ac:dyDescent="0.45">
      <c r="A227">
        <v>226</v>
      </c>
      <c r="B227">
        <v>-42.749899999999997</v>
      </c>
      <c r="C227">
        <v>7.3643099999999997</v>
      </c>
      <c r="D227">
        <v>826</v>
      </c>
      <c r="E227">
        <v>-43.262270000000001</v>
      </c>
      <c r="F227">
        <v>8.0227499999999701</v>
      </c>
    </row>
    <row r="228" spans="1:6" x14ac:dyDescent="0.45">
      <c r="A228">
        <v>227</v>
      </c>
      <c r="B228">
        <v>-47.722679999999997</v>
      </c>
      <c r="C228">
        <v>-0.36753000000000002</v>
      </c>
      <c r="D228">
        <v>827</v>
      </c>
      <c r="E228">
        <v>-48.639560000000003</v>
      </c>
      <c r="F228">
        <v>0.60074999999994805</v>
      </c>
    </row>
    <row r="229" spans="1:6" x14ac:dyDescent="0.45">
      <c r="A229">
        <v>228</v>
      </c>
      <c r="B229">
        <v>89.179730000000006</v>
      </c>
      <c r="C229">
        <v>136.39581999999999</v>
      </c>
      <c r="D229">
        <v>828</v>
      </c>
      <c r="E229">
        <v>88.978059999999999</v>
      </c>
      <c r="F229">
        <v>137.01364000000001</v>
      </c>
    </row>
    <row r="230" spans="1:6" x14ac:dyDescent="0.45">
      <c r="A230">
        <v>229</v>
      </c>
      <c r="B230">
        <v>-27.42296</v>
      </c>
      <c r="C230">
        <v>-154.84023999999999</v>
      </c>
      <c r="D230">
        <v>829</v>
      </c>
      <c r="E230">
        <v>-27.38842</v>
      </c>
      <c r="F230">
        <v>-153.98864</v>
      </c>
    </row>
    <row r="231" spans="1:6" x14ac:dyDescent="0.45">
      <c r="A231">
        <v>230</v>
      </c>
      <c r="B231">
        <v>-72.035470000000004</v>
      </c>
      <c r="C231">
        <v>-171.25653</v>
      </c>
      <c r="D231">
        <v>830</v>
      </c>
      <c r="E231">
        <v>-72.718109999999996</v>
      </c>
      <c r="F231">
        <v>-170.98632000000001</v>
      </c>
    </row>
    <row r="232" spans="1:6" x14ac:dyDescent="0.45">
      <c r="A232">
        <v>231</v>
      </c>
      <c r="B232">
        <v>-74.594399999999993</v>
      </c>
      <c r="C232">
        <v>-43.516910000000003</v>
      </c>
      <c r="D232">
        <v>831</v>
      </c>
      <c r="E232">
        <v>-75.581559999999996</v>
      </c>
      <c r="F232">
        <v>-42.921320000000001</v>
      </c>
    </row>
    <row r="233" spans="1:6" x14ac:dyDescent="0.45">
      <c r="A233">
        <v>232</v>
      </c>
      <c r="B233">
        <v>53.191809999999997</v>
      </c>
      <c r="C233">
        <v>-174.81004999999999</v>
      </c>
      <c r="D233">
        <v>832</v>
      </c>
      <c r="E233">
        <v>52.33128</v>
      </c>
      <c r="F233">
        <v>-175.39552</v>
      </c>
    </row>
    <row r="234" spans="1:6" x14ac:dyDescent="0.45">
      <c r="A234">
        <v>233</v>
      </c>
      <c r="B234">
        <v>-76.043800000000005</v>
      </c>
      <c r="C234">
        <v>-61.64893</v>
      </c>
      <c r="D234">
        <v>833</v>
      </c>
      <c r="E234">
        <v>-76.523560000000003</v>
      </c>
      <c r="F234">
        <v>-61.125309999999999</v>
      </c>
    </row>
    <row r="235" spans="1:6" x14ac:dyDescent="0.45">
      <c r="A235">
        <v>234</v>
      </c>
      <c r="B235">
        <v>-27.30219</v>
      </c>
      <c r="C235">
        <v>108.43069</v>
      </c>
      <c r="D235">
        <v>834</v>
      </c>
      <c r="E235">
        <v>-26.87274</v>
      </c>
      <c r="F235">
        <v>108.60153</v>
      </c>
    </row>
    <row r="236" spans="1:6" x14ac:dyDescent="0.45">
      <c r="A236">
        <v>235</v>
      </c>
      <c r="B236">
        <v>-27.56935</v>
      </c>
      <c r="C236">
        <v>160.24204</v>
      </c>
      <c r="D236">
        <v>835</v>
      </c>
      <c r="E236">
        <v>-27.67482</v>
      </c>
      <c r="F236">
        <v>160.91743</v>
      </c>
    </row>
    <row r="237" spans="1:6" x14ac:dyDescent="0.45">
      <c r="A237">
        <v>236</v>
      </c>
      <c r="B237">
        <v>-67.435599999999994</v>
      </c>
      <c r="C237">
        <v>-128.18227999999999</v>
      </c>
      <c r="D237">
        <v>836</v>
      </c>
      <c r="E237">
        <v>-66.869159999999994</v>
      </c>
      <c r="F237">
        <v>-128.90196</v>
      </c>
    </row>
    <row r="238" spans="1:6" x14ac:dyDescent="0.45">
      <c r="A238">
        <v>237</v>
      </c>
      <c r="B238">
        <v>56.44482</v>
      </c>
      <c r="C238">
        <v>-57.208320000000001</v>
      </c>
      <c r="D238">
        <v>837</v>
      </c>
      <c r="E238">
        <v>56.372999999999998</v>
      </c>
      <c r="F238">
        <v>-57.456090000000003</v>
      </c>
    </row>
    <row r="239" spans="1:6" x14ac:dyDescent="0.45">
      <c r="A239">
        <v>238</v>
      </c>
      <c r="B239">
        <v>-72.437510000000003</v>
      </c>
      <c r="C239">
        <v>32.01849</v>
      </c>
      <c r="D239">
        <v>838</v>
      </c>
      <c r="E239">
        <v>-71.582530000000006</v>
      </c>
      <c r="F239">
        <v>32.245840000000001</v>
      </c>
    </row>
    <row r="240" spans="1:6" x14ac:dyDescent="0.45">
      <c r="A240">
        <v>239</v>
      </c>
      <c r="B240">
        <v>-38.648069999999997</v>
      </c>
      <c r="C240">
        <v>174.66364999999999</v>
      </c>
      <c r="D240">
        <v>839</v>
      </c>
      <c r="E240">
        <v>-38.215649999999997</v>
      </c>
      <c r="F240">
        <v>174.68594999999999</v>
      </c>
    </row>
    <row r="241" spans="1:6" x14ac:dyDescent="0.45">
      <c r="A241">
        <v>240</v>
      </c>
      <c r="B241">
        <v>-63.26831</v>
      </c>
      <c r="C241">
        <v>-75.278710000000004</v>
      </c>
      <c r="D241">
        <v>840</v>
      </c>
      <c r="E241">
        <v>-63.911479999999997</v>
      </c>
      <c r="F241">
        <v>-74.852509999999995</v>
      </c>
    </row>
    <row r="242" spans="1:6" x14ac:dyDescent="0.45">
      <c r="A242">
        <v>241</v>
      </c>
      <c r="B242">
        <v>-63.194290000000002</v>
      </c>
      <c r="C242">
        <v>13.873390000000001</v>
      </c>
      <c r="D242">
        <v>841</v>
      </c>
      <c r="E242">
        <v>-62.706589999999998</v>
      </c>
      <c r="F242">
        <v>13.368639999999999</v>
      </c>
    </row>
    <row r="243" spans="1:6" x14ac:dyDescent="0.45">
      <c r="A243">
        <v>242</v>
      </c>
      <c r="B243">
        <v>-70.420919999999995</v>
      </c>
      <c r="C243">
        <v>12.29795</v>
      </c>
      <c r="D243">
        <v>842</v>
      </c>
      <c r="E243">
        <v>-71.379620000000003</v>
      </c>
      <c r="F243">
        <v>13.29031</v>
      </c>
    </row>
    <row r="244" spans="1:6" x14ac:dyDescent="0.45">
      <c r="A244">
        <v>243</v>
      </c>
      <c r="B244">
        <v>87.846559999999997</v>
      </c>
      <c r="C244">
        <v>-0.87456</v>
      </c>
      <c r="D244">
        <v>843</v>
      </c>
      <c r="E244">
        <v>88.451130000000006</v>
      </c>
      <c r="F244">
        <v>-0.82923000000005198</v>
      </c>
    </row>
    <row r="245" spans="1:6" x14ac:dyDescent="0.45">
      <c r="A245">
        <v>244</v>
      </c>
      <c r="B245">
        <v>72.121650000000002</v>
      </c>
      <c r="C245">
        <v>108.23157999999999</v>
      </c>
      <c r="D245">
        <v>844</v>
      </c>
      <c r="E245">
        <v>72.806150000000002</v>
      </c>
      <c r="F245">
        <v>109.06195</v>
      </c>
    </row>
    <row r="246" spans="1:6" x14ac:dyDescent="0.45">
      <c r="A246">
        <v>245</v>
      </c>
      <c r="B246">
        <v>-74.062029999999993</v>
      </c>
      <c r="C246">
        <v>155.36976999999999</v>
      </c>
      <c r="D246">
        <v>845</v>
      </c>
      <c r="E246">
        <v>-73.247749999999996</v>
      </c>
      <c r="F246">
        <v>155.66757000000001</v>
      </c>
    </row>
    <row r="247" spans="1:6" x14ac:dyDescent="0.45">
      <c r="A247">
        <v>246</v>
      </c>
      <c r="B247">
        <v>80.085620000000006</v>
      </c>
      <c r="C247">
        <v>-8.6128400000000003</v>
      </c>
      <c r="D247">
        <v>846</v>
      </c>
      <c r="E247">
        <v>79.441649999999996</v>
      </c>
      <c r="F247">
        <v>-7.8631900000000297</v>
      </c>
    </row>
    <row r="248" spans="1:6" x14ac:dyDescent="0.45">
      <c r="A248">
        <v>247</v>
      </c>
      <c r="B248">
        <v>45.252490000000002</v>
      </c>
      <c r="C248">
        <v>54.046599999999998</v>
      </c>
      <c r="D248">
        <v>847</v>
      </c>
      <c r="E248">
        <v>45.168010000000002</v>
      </c>
      <c r="F248">
        <v>54.170470000000002</v>
      </c>
    </row>
    <row r="249" spans="1:6" x14ac:dyDescent="0.45">
      <c r="A249">
        <v>248</v>
      </c>
      <c r="B249">
        <v>-7.1387400000000003</v>
      </c>
      <c r="C249">
        <v>144.79919000000001</v>
      </c>
      <c r="D249">
        <v>848</v>
      </c>
      <c r="E249">
        <v>-6.8734599999999899</v>
      </c>
      <c r="F249">
        <v>145.31829999999999</v>
      </c>
    </row>
    <row r="250" spans="1:6" x14ac:dyDescent="0.45">
      <c r="A250">
        <v>249</v>
      </c>
      <c r="B250">
        <v>-52.76979</v>
      </c>
      <c r="C250">
        <v>6.0192800000000002</v>
      </c>
      <c r="D250">
        <v>849</v>
      </c>
      <c r="E250">
        <v>-53.016689999999997</v>
      </c>
      <c r="F250">
        <v>5.9756200000000499</v>
      </c>
    </row>
    <row r="251" spans="1:6" x14ac:dyDescent="0.45">
      <c r="A251">
        <v>250</v>
      </c>
      <c r="B251">
        <v>-56.59384</v>
      </c>
      <c r="C251">
        <v>50.761090000000003</v>
      </c>
      <c r="D251">
        <v>850</v>
      </c>
      <c r="E251">
        <v>-57.435360000000003</v>
      </c>
      <c r="F251">
        <v>51.031999999999996</v>
      </c>
    </row>
    <row r="252" spans="1:6" x14ac:dyDescent="0.45">
      <c r="A252">
        <v>251</v>
      </c>
      <c r="B252">
        <v>-77.384240000000005</v>
      </c>
      <c r="C252">
        <v>-13.293229999999999</v>
      </c>
      <c r="D252">
        <v>851</v>
      </c>
      <c r="E252">
        <v>-78.055419999999998</v>
      </c>
      <c r="F252">
        <v>-12.662190000000001</v>
      </c>
    </row>
    <row r="253" spans="1:6" x14ac:dyDescent="0.45">
      <c r="A253">
        <v>252</v>
      </c>
      <c r="B253">
        <v>-29.301469999999998</v>
      </c>
      <c r="C253">
        <v>117.18138999999999</v>
      </c>
      <c r="D253">
        <v>852</v>
      </c>
      <c r="E253">
        <v>-30.118590000000001</v>
      </c>
      <c r="F253">
        <v>117.47896</v>
      </c>
    </row>
    <row r="254" spans="1:6" x14ac:dyDescent="0.45">
      <c r="A254">
        <v>253</v>
      </c>
      <c r="B254">
        <v>-22.286799999999999</v>
      </c>
      <c r="C254">
        <v>-77.289569999999998</v>
      </c>
      <c r="D254">
        <v>853</v>
      </c>
      <c r="E254">
        <v>-22.419309999999999</v>
      </c>
      <c r="F254">
        <v>-77.635589999999993</v>
      </c>
    </row>
    <row r="255" spans="1:6" x14ac:dyDescent="0.45">
      <c r="A255">
        <v>254</v>
      </c>
      <c r="B255">
        <v>46.496409999999997</v>
      </c>
      <c r="C255">
        <v>15.790179999999999</v>
      </c>
      <c r="D255">
        <v>854</v>
      </c>
      <c r="E255">
        <v>45.524059999999999</v>
      </c>
      <c r="F255">
        <v>14.81892</v>
      </c>
    </row>
    <row r="256" spans="1:6" x14ac:dyDescent="0.45">
      <c r="A256">
        <v>255</v>
      </c>
      <c r="B256">
        <v>-80.216399999999993</v>
      </c>
      <c r="C256">
        <v>-3.3115199999999998</v>
      </c>
      <c r="D256">
        <v>855</v>
      </c>
      <c r="E256">
        <v>-81.070650000000001</v>
      </c>
      <c r="F256">
        <v>-3.4513500000000499</v>
      </c>
    </row>
    <row r="257" spans="1:6" x14ac:dyDescent="0.45">
      <c r="A257">
        <v>256</v>
      </c>
      <c r="B257">
        <v>-64.958669999999998</v>
      </c>
      <c r="C257">
        <v>-33.063459999999999</v>
      </c>
      <c r="D257">
        <v>856</v>
      </c>
      <c r="E257">
        <v>-65.569689999999994</v>
      </c>
      <c r="F257">
        <v>-33.600850000000001</v>
      </c>
    </row>
    <row r="258" spans="1:6" x14ac:dyDescent="0.45">
      <c r="A258">
        <v>257</v>
      </c>
      <c r="B258">
        <v>-12.998950000000001</v>
      </c>
      <c r="C258">
        <v>106.23472</v>
      </c>
      <c r="D258">
        <v>857</v>
      </c>
      <c r="E258">
        <v>-12.39873</v>
      </c>
      <c r="F258">
        <v>106.73761</v>
      </c>
    </row>
    <row r="259" spans="1:6" x14ac:dyDescent="0.45">
      <c r="A259">
        <v>258</v>
      </c>
      <c r="B259">
        <v>59.61103</v>
      </c>
      <c r="C259">
        <v>109.36633999999999</v>
      </c>
      <c r="D259">
        <v>858</v>
      </c>
      <c r="E259">
        <v>59.637129999999999</v>
      </c>
      <c r="F259">
        <v>108.77014</v>
      </c>
    </row>
    <row r="260" spans="1:6" x14ac:dyDescent="0.45">
      <c r="A260">
        <v>259</v>
      </c>
      <c r="B260">
        <v>7.12052</v>
      </c>
      <c r="C260">
        <v>136.94113999999999</v>
      </c>
      <c r="D260">
        <v>859</v>
      </c>
      <c r="E260">
        <v>6.7193399999999999</v>
      </c>
      <c r="F260">
        <v>137.04864000000001</v>
      </c>
    </row>
    <row r="261" spans="1:6" x14ac:dyDescent="0.45">
      <c r="A261">
        <v>260</v>
      </c>
      <c r="B261">
        <v>8.7299900000000008</v>
      </c>
      <c r="C261">
        <v>102.49267</v>
      </c>
      <c r="D261">
        <v>860</v>
      </c>
      <c r="E261">
        <v>8.6732800000000108</v>
      </c>
      <c r="F261">
        <v>101.86292</v>
      </c>
    </row>
    <row r="262" spans="1:6" x14ac:dyDescent="0.45">
      <c r="A262">
        <v>261</v>
      </c>
      <c r="B262">
        <v>36.751980000000003</v>
      </c>
      <c r="C262">
        <v>89.648049999999998</v>
      </c>
      <c r="D262">
        <v>861</v>
      </c>
      <c r="E262">
        <v>36.056130000000003</v>
      </c>
      <c r="F262">
        <v>90.097530000000006</v>
      </c>
    </row>
    <row r="263" spans="1:6" x14ac:dyDescent="0.45">
      <c r="A263">
        <v>262</v>
      </c>
      <c r="B263">
        <v>-59.953449999999997</v>
      </c>
      <c r="C263">
        <v>-107.02262</v>
      </c>
      <c r="D263">
        <v>862</v>
      </c>
      <c r="E263">
        <v>-60.740749999999998</v>
      </c>
      <c r="F263">
        <v>-106.57621</v>
      </c>
    </row>
    <row r="264" spans="1:6" x14ac:dyDescent="0.45">
      <c r="A264">
        <v>263</v>
      </c>
      <c r="B264">
        <v>-78.181749999999994</v>
      </c>
      <c r="C264">
        <v>-21.132079999999998</v>
      </c>
      <c r="D264">
        <v>863</v>
      </c>
      <c r="E264">
        <v>-77.550960000000003</v>
      </c>
      <c r="F264">
        <v>-21.94014</v>
      </c>
    </row>
    <row r="265" spans="1:6" x14ac:dyDescent="0.45">
      <c r="A265">
        <v>264</v>
      </c>
      <c r="B265">
        <v>19.14892</v>
      </c>
      <c r="C265">
        <v>91.384129999999999</v>
      </c>
      <c r="D265">
        <v>864</v>
      </c>
      <c r="E265">
        <v>19.559259999999998</v>
      </c>
      <c r="F265">
        <v>91.946860000000001</v>
      </c>
    </row>
    <row r="266" spans="1:6" x14ac:dyDescent="0.45">
      <c r="A266">
        <v>265</v>
      </c>
      <c r="B266">
        <v>-18.29898</v>
      </c>
      <c r="C266">
        <v>-57.074159999999999</v>
      </c>
      <c r="D266">
        <v>865</v>
      </c>
      <c r="E266">
        <v>-17.80846</v>
      </c>
      <c r="F266">
        <v>-56.730490000000003</v>
      </c>
    </row>
    <row r="267" spans="1:6" x14ac:dyDescent="0.45">
      <c r="A267">
        <v>266</v>
      </c>
      <c r="B267">
        <v>13.66348</v>
      </c>
      <c r="C267">
        <v>-176.74775</v>
      </c>
      <c r="D267">
        <v>866</v>
      </c>
      <c r="E267">
        <v>13.21739</v>
      </c>
      <c r="F267">
        <v>-176.68232</v>
      </c>
    </row>
    <row r="268" spans="1:6" x14ac:dyDescent="0.45">
      <c r="A268">
        <v>267</v>
      </c>
      <c r="B268">
        <v>45.942509999999999</v>
      </c>
      <c r="C268">
        <v>143.80869999999999</v>
      </c>
      <c r="D268">
        <v>867</v>
      </c>
      <c r="E268">
        <v>45.974609999999998</v>
      </c>
      <c r="F268">
        <v>144.30295000000001</v>
      </c>
    </row>
    <row r="269" spans="1:6" x14ac:dyDescent="0.45">
      <c r="A269">
        <v>268</v>
      </c>
      <c r="B269">
        <v>-6.3385800000000003</v>
      </c>
      <c r="C269">
        <v>79.078190000000006</v>
      </c>
      <c r="D269">
        <v>868</v>
      </c>
      <c r="E269">
        <v>-5.4796999999999896</v>
      </c>
      <c r="F269">
        <v>79.579410000000095</v>
      </c>
    </row>
    <row r="270" spans="1:6" x14ac:dyDescent="0.45">
      <c r="A270">
        <v>269</v>
      </c>
      <c r="B270">
        <v>-75.261250000000004</v>
      </c>
      <c r="C270">
        <v>-147.21267</v>
      </c>
      <c r="D270">
        <v>869</v>
      </c>
      <c r="E270">
        <v>-75.35857</v>
      </c>
      <c r="F270">
        <v>-146.96997999999999</v>
      </c>
    </row>
    <row r="271" spans="1:6" x14ac:dyDescent="0.45">
      <c r="A271">
        <v>270</v>
      </c>
      <c r="B271">
        <v>-72.044129999999996</v>
      </c>
      <c r="C271">
        <v>154.42305999999999</v>
      </c>
      <c r="D271">
        <v>870</v>
      </c>
      <c r="E271">
        <v>-71.136750000000006</v>
      </c>
      <c r="F271">
        <v>153.76536999999999</v>
      </c>
    </row>
    <row r="272" spans="1:6" x14ac:dyDescent="0.45">
      <c r="A272">
        <v>271</v>
      </c>
      <c r="B272">
        <v>60.481920000000002</v>
      </c>
      <c r="C272">
        <v>23.917190000000002</v>
      </c>
      <c r="D272">
        <v>871</v>
      </c>
      <c r="E272">
        <v>60.518250000000002</v>
      </c>
      <c r="F272">
        <v>24.397919999999999</v>
      </c>
    </row>
    <row r="273" spans="1:6" x14ac:dyDescent="0.45">
      <c r="A273">
        <v>272</v>
      </c>
      <c r="B273">
        <v>88.945859999999996</v>
      </c>
      <c r="C273">
        <v>-13.893789999999999</v>
      </c>
      <c r="D273">
        <v>872</v>
      </c>
      <c r="E273">
        <v>88.441069999999996</v>
      </c>
      <c r="F273">
        <v>-14.747450000000001</v>
      </c>
    </row>
    <row r="274" spans="1:6" x14ac:dyDescent="0.45">
      <c r="A274">
        <v>273</v>
      </c>
      <c r="B274">
        <v>-31.321149999999999</v>
      </c>
      <c r="C274">
        <v>-29.877099999999999</v>
      </c>
      <c r="D274">
        <v>873</v>
      </c>
      <c r="E274">
        <v>-31.052669999999999</v>
      </c>
      <c r="F274">
        <v>-30.46238</v>
      </c>
    </row>
    <row r="275" spans="1:6" x14ac:dyDescent="0.45">
      <c r="A275">
        <v>274</v>
      </c>
      <c r="B275">
        <v>53.416429999999998</v>
      </c>
      <c r="C275">
        <v>20.169750000000001</v>
      </c>
      <c r="D275">
        <v>874</v>
      </c>
      <c r="E275">
        <v>54.178559999999997</v>
      </c>
      <c r="F275">
        <v>19.55808</v>
      </c>
    </row>
    <row r="276" spans="1:6" x14ac:dyDescent="0.45">
      <c r="A276">
        <v>275</v>
      </c>
      <c r="B276">
        <v>-66.292150000000007</v>
      </c>
      <c r="C276">
        <v>-51.547910000000002</v>
      </c>
      <c r="D276">
        <v>875</v>
      </c>
      <c r="E276">
        <v>-65.618889999999993</v>
      </c>
      <c r="F276">
        <v>-52.342460000000003</v>
      </c>
    </row>
    <row r="277" spans="1:6" x14ac:dyDescent="0.45">
      <c r="A277">
        <v>276</v>
      </c>
      <c r="B277">
        <v>-54.089619999999996</v>
      </c>
      <c r="C277">
        <v>-56.965269999999997</v>
      </c>
      <c r="D277">
        <v>876</v>
      </c>
      <c r="E277">
        <v>-54.311219999999999</v>
      </c>
      <c r="F277">
        <v>-57.385060000000003</v>
      </c>
    </row>
    <row r="278" spans="1:6" x14ac:dyDescent="0.45">
      <c r="A278">
        <v>277</v>
      </c>
      <c r="B278">
        <v>49.60765</v>
      </c>
      <c r="C278">
        <v>78.039140000000003</v>
      </c>
      <c r="D278">
        <v>877</v>
      </c>
      <c r="E278">
        <v>48.967799999999997</v>
      </c>
      <c r="F278">
        <v>78.897099999999995</v>
      </c>
    </row>
    <row r="279" spans="1:6" x14ac:dyDescent="0.45">
      <c r="A279">
        <v>278</v>
      </c>
      <c r="B279">
        <v>21.583069999999999</v>
      </c>
      <c r="C279">
        <v>-176.51130000000001</v>
      </c>
      <c r="D279">
        <v>878</v>
      </c>
      <c r="E279">
        <v>22.121200000000002</v>
      </c>
      <c r="F279">
        <v>-177.33247</v>
      </c>
    </row>
    <row r="280" spans="1:6" x14ac:dyDescent="0.45">
      <c r="A280">
        <v>279</v>
      </c>
      <c r="B280">
        <v>16.77291</v>
      </c>
      <c r="C280">
        <v>-64.740250000000003</v>
      </c>
      <c r="D280">
        <v>879</v>
      </c>
      <c r="E280">
        <v>16.8718</v>
      </c>
      <c r="F280">
        <v>-65.412660000000002</v>
      </c>
    </row>
    <row r="281" spans="1:6" x14ac:dyDescent="0.45">
      <c r="A281">
        <v>280</v>
      </c>
      <c r="B281">
        <v>32.084580000000003</v>
      </c>
      <c r="C281">
        <v>-137.40487999999999</v>
      </c>
      <c r="D281">
        <v>880</v>
      </c>
      <c r="E281">
        <v>31.64038</v>
      </c>
      <c r="F281">
        <v>-138.39496</v>
      </c>
    </row>
    <row r="282" spans="1:6" x14ac:dyDescent="0.45">
      <c r="A282">
        <v>281</v>
      </c>
      <c r="B282">
        <v>40.911969999999997</v>
      </c>
      <c r="C282">
        <v>-13.68938</v>
      </c>
      <c r="D282">
        <v>881</v>
      </c>
      <c r="E282">
        <v>41.191110000000002</v>
      </c>
      <c r="F282">
        <v>-14.314120000000001</v>
      </c>
    </row>
    <row r="283" spans="1:6" x14ac:dyDescent="0.45">
      <c r="A283">
        <v>282</v>
      </c>
      <c r="B283">
        <v>-40.943199999999997</v>
      </c>
      <c r="C283">
        <v>142.91667000000001</v>
      </c>
      <c r="D283">
        <v>882</v>
      </c>
      <c r="E283">
        <v>-39.996729999999999</v>
      </c>
      <c r="F283">
        <v>143.56459000000001</v>
      </c>
    </row>
    <row r="284" spans="1:6" x14ac:dyDescent="0.45">
      <c r="A284">
        <v>283</v>
      </c>
      <c r="B284">
        <v>-37.205269999999999</v>
      </c>
      <c r="C284">
        <v>-20.326080000000001</v>
      </c>
      <c r="D284">
        <v>883</v>
      </c>
      <c r="E284">
        <v>-37.992040000000003</v>
      </c>
      <c r="F284">
        <v>-20.00976</v>
      </c>
    </row>
    <row r="285" spans="1:6" x14ac:dyDescent="0.45">
      <c r="A285">
        <v>284</v>
      </c>
      <c r="B285">
        <v>-75.58314</v>
      </c>
      <c r="C285">
        <v>71.970050000000001</v>
      </c>
      <c r="D285">
        <v>884</v>
      </c>
      <c r="E285">
        <v>-75.053169999999994</v>
      </c>
      <c r="F285">
        <v>72.437200000000004</v>
      </c>
    </row>
    <row r="286" spans="1:6" x14ac:dyDescent="0.45">
      <c r="A286">
        <v>285</v>
      </c>
      <c r="B286">
        <v>83.8001</v>
      </c>
      <c r="C286">
        <v>127.32998000000001</v>
      </c>
      <c r="D286">
        <v>885</v>
      </c>
      <c r="E286">
        <v>84.577529999999996</v>
      </c>
      <c r="F286">
        <v>126.33351999999999</v>
      </c>
    </row>
    <row r="287" spans="1:6" x14ac:dyDescent="0.45">
      <c r="A287">
        <v>286</v>
      </c>
      <c r="B287">
        <v>16.90672</v>
      </c>
      <c r="C287">
        <v>132.65636000000001</v>
      </c>
      <c r="D287">
        <v>886</v>
      </c>
      <c r="E287">
        <v>16.93261</v>
      </c>
      <c r="F287">
        <v>133.13082</v>
      </c>
    </row>
    <row r="288" spans="1:6" x14ac:dyDescent="0.45">
      <c r="A288">
        <v>287</v>
      </c>
      <c r="B288">
        <v>-29.880649999999999</v>
      </c>
      <c r="C288">
        <v>-111.69532</v>
      </c>
      <c r="D288">
        <v>887</v>
      </c>
      <c r="E288">
        <v>-29.70758</v>
      </c>
      <c r="F288">
        <v>-112.35563</v>
      </c>
    </row>
    <row r="289" spans="1:6" x14ac:dyDescent="0.45">
      <c r="A289">
        <v>288</v>
      </c>
      <c r="B289">
        <v>-34.246119999999998</v>
      </c>
      <c r="C289">
        <v>-73.81541</v>
      </c>
      <c r="D289">
        <v>888</v>
      </c>
      <c r="E289">
        <v>-33.790619999999997</v>
      </c>
      <c r="F289">
        <v>-72.902140000000003</v>
      </c>
    </row>
    <row r="290" spans="1:6" x14ac:dyDescent="0.45">
      <c r="A290">
        <v>289</v>
      </c>
      <c r="B290">
        <v>81.709270000000004</v>
      </c>
      <c r="C290">
        <v>-147.77295000000001</v>
      </c>
      <c r="D290">
        <v>889</v>
      </c>
      <c r="E290">
        <v>82.634469999999993</v>
      </c>
      <c r="F290">
        <v>-146.80287999999999</v>
      </c>
    </row>
    <row r="291" spans="1:6" x14ac:dyDescent="0.45">
      <c r="A291">
        <v>290</v>
      </c>
      <c r="B291">
        <v>3.99797</v>
      </c>
      <c r="C291">
        <v>39.808050000000001</v>
      </c>
      <c r="D291">
        <v>890</v>
      </c>
      <c r="E291">
        <v>4.4888700000000101</v>
      </c>
      <c r="F291">
        <v>40.513489999999997</v>
      </c>
    </row>
    <row r="292" spans="1:6" x14ac:dyDescent="0.45">
      <c r="A292">
        <v>291</v>
      </c>
      <c r="B292">
        <v>48.434139999999999</v>
      </c>
      <c r="C292">
        <v>59.024380000000001</v>
      </c>
      <c r="D292">
        <v>891</v>
      </c>
      <c r="E292">
        <v>48.230629999999998</v>
      </c>
      <c r="F292">
        <v>58.24362</v>
      </c>
    </row>
    <row r="293" spans="1:6" x14ac:dyDescent="0.45">
      <c r="A293">
        <v>292</v>
      </c>
      <c r="B293">
        <v>-78.590999999999994</v>
      </c>
      <c r="C293">
        <v>-82.940529999999995</v>
      </c>
      <c r="D293">
        <v>892</v>
      </c>
      <c r="E293">
        <v>-78.429820000000007</v>
      </c>
      <c r="F293">
        <v>-83.816050000000004</v>
      </c>
    </row>
    <row r="294" spans="1:6" x14ac:dyDescent="0.45">
      <c r="A294">
        <v>293</v>
      </c>
      <c r="B294">
        <v>-0.28333999999999998</v>
      </c>
      <c r="C294">
        <v>-146.87727000000001</v>
      </c>
      <c r="D294">
        <v>893</v>
      </c>
      <c r="E294">
        <v>-0.382720000000006</v>
      </c>
      <c r="F294">
        <v>-146.07856000000001</v>
      </c>
    </row>
    <row r="295" spans="1:6" x14ac:dyDescent="0.45">
      <c r="A295">
        <v>294</v>
      </c>
      <c r="B295">
        <v>4.1198899999999998</v>
      </c>
      <c r="C295">
        <v>-64.602000000000004</v>
      </c>
      <c r="D295">
        <v>894</v>
      </c>
      <c r="E295">
        <v>4.4798099999999996</v>
      </c>
      <c r="F295">
        <v>-63.866210000000002</v>
      </c>
    </row>
    <row r="296" spans="1:6" x14ac:dyDescent="0.45">
      <c r="A296">
        <v>295</v>
      </c>
      <c r="B296">
        <v>-57.535170000000001</v>
      </c>
      <c r="C296">
        <v>131.10513</v>
      </c>
      <c r="D296">
        <v>895</v>
      </c>
      <c r="E296">
        <v>-58.172080000000001</v>
      </c>
      <c r="F296">
        <v>131.53251</v>
      </c>
    </row>
    <row r="297" spans="1:6" x14ac:dyDescent="0.45">
      <c r="A297">
        <v>296</v>
      </c>
      <c r="B297">
        <v>-5.3463599999999998</v>
      </c>
      <c r="C297">
        <v>-97.144379999999998</v>
      </c>
      <c r="D297">
        <v>896</v>
      </c>
      <c r="E297">
        <v>-5.00051000000001</v>
      </c>
      <c r="F297">
        <v>-97.825320000000005</v>
      </c>
    </row>
    <row r="298" spans="1:6" x14ac:dyDescent="0.45">
      <c r="A298">
        <v>297</v>
      </c>
      <c r="B298">
        <v>81.573599999999999</v>
      </c>
      <c r="C298">
        <v>-156.09604999999999</v>
      </c>
      <c r="D298">
        <v>897</v>
      </c>
      <c r="E298">
        <v>82.350070000000002</v>
      </c>
      <c r="F298">
        <v>-156.91614000000001</v>
      </c>
    </row>
    <row r="299" spans="1:6" x14ac:dyDescent="0.45">
      <c r="A299">
        <v>298</v>
      </c>
      <c r="B299">
        <v>78.949470000000005</v>
      </c>
      <c r="C299">
        <v>-84.302080000000004</v>
      </c>
      <c r="D299">
        <v>898</v>
      </c>
      <c r="E299">
        <v>78.244540000000001</v>
      </c>
      <c r="F299">
        <v>-85.292209999999997</v>
      </c>
    </row>
    <row r="300" spans="1:6" x14ac:dyDescent="0.45">
      <c r="A300">
        <v>299</v>
      </c>
      <c r="B300">
        <v>67.04083</v>
      </c>
      <c r="C300">
        <v>142.8177</v>
      </c>
      <c r="D300">
        <v>899</v>
      </c>
      <c r="E300">
        <v>67.039259999999999</v>
      </c>
      <c r="F300">
        <v>143.40382</v>
      </c>
    </row>
    <row r="301" spans="1:6" x14ac:dyDescent="0.45">
      <c r="A301">
        <v>300</v>
      </c>
      <c r="B301">
        <v>61.084530000000001</v>
      </c>
      <c r="C301">
        <v>22.738029999999998</v>
      </c>
      <c r="D301">
        <v>900</v>
      </c>
      <c r="E301">
        <v>60.56268</v>
      </c>
      <c r="F301">
        <v>22.917560000000002</v>
      </c>
    </row>
    <row r="302" spans="1:6" x14ac:dyDescent="0.45">
      <c r="A302">
        <v>301</v>
      </c>
      <c r="B302">
        <v>-8.7715399999999999</v>
      </c>
      <c r="C302">
        <v>-87.263670000000005</v>
      </c>
      <c r="D302">
        <v>901</v>
      </c>
      <c r="E302">
        <v>-8.9253300000000007</v>
      </c>
      <c r="F302">
        <v>-87.265600000000006</v>
      </c>
    </row>
    <row r="303" spans="1:6" x14ac:dyDescent="0.45">
      <c r="A303">
        <v>302</v>
      </c>
      <c r="B303">
        <v>-60.347119999999997</v>
      </c>
      <c r="C303">
        <v>162.42533</v>
      </c>
      <c r="D303">
        <v>902</v>
      </c>
      <c r="E303">
        <v>-60.502249999999997</v>
      </c>
      <c r="F303">
        <v>162.44852</v>
      </c>
    </row>
    <row r="304" spans="1:6" x14ac:dyDescent="0.45">
      <c r="A304">
        <v>303</v>
      </c>
      <c r="B304">
        <v>-43.271380000000001</v>
      </c>
      <c r="C304">
        <v>125.9294</v>
      </c>
      <c r="D304">
        <v>903</v>
      </c>
      <c r="E304">
        <v>-43.39537</v>
      </c>
      <c r="F304">
        <v>125.98155</v>
      </c>
    </row>
    <row r="305" spans="1:6" x14ac:dyDescent="0.45">
      <c r="A305">
        <v>304</v>
      </c>
      <c r="B305">
        <v>-37.080170000000003</v>
      </c>
      <c r="C305">
        <v>127.09634</v>
      </c>
      <c r="D305">
        <v>904</v>
      </c>
      <c r="E305">
        <v>-37.145740000000004</v>
      </c>
      <c r="F305">
        <v>127.25547</v>
      </c>
    </row>
    <row r="306" spans="1:6" x14ac:dyDescent="0.45">
      <c r="A306">
        <v>305</v>
      </c>
      <c r="B306">
        <v>56.070900000000002</v>
      </c>
      <c r="C306">
        <v>58.975679999999997</v>
      </c>
      <c r="D306">
        <v>905</v>
      </c>
      <c r="E306">
        <v>56.221699999999998</v>
      </c>
      <c r="F306">
        <v>58.948929999999997</v>
      </c>
    </row>
    <row r="307" spans="1:6" x14ac:dyDescent="0.45">
      <c r="A307">
        <v>306</v>
      </c>
      <c r="B307">
        <v>59.503010000000003</v>
      </c>
      <c r="C307">
        <v>7.8700000000000003E-3</v>
      </c>
      <c r="D307">
        <v>906</v>
      </c>
      <c r="E307">
        <v>59.535269999999997</v>
      </c>
      <c r="F307">
        <v>0.12007000000005499</v>
      </c>
    </row>
    <row r="308" spans="1:6" x14ac:dyDescent="0.45">
      <c r="A308">
        <v>307</v>
      </c>
      <c r="B308">
        <v>-74.952259999999995</v>
      </c>
      <c r="C308">
        <v>-26.58023</v>
      </c>
      <c r="D308">
        <v>907</v>
      </c>
      <c r="E308">
        <v>-74.843159999999997</v>
      </c>
      <c r="F308">
        <v>-26.707640000000001</v>
      </c>
    </row>
    <row r="309" spans="1:6" x14ac:dyDescent="0.45">
      <c r="A309">
        <v>308</v>
      </c>
      <c r="B309">
        <v>65.835390000000004</v>
      </c>
      <c r="C309">
        <v>170.96190999999999</v>
      </c>
      <c r="D309">
        <v>908</v>
      </c>
      <c r="E309">
        <v>65.727909999999994</v>
      </c>
      <c r="F309">
        <v>170.84088</v>
      </c>
    </row>
    <row r="310" spans="1:6" x14ac:dyDescent="0.45">
      <c r="A310">
        <v>309</v>
      </c>
      <c r="B310">
        <v>-26.727869999999999</v>
      </c>
      <c r="C310">
        <v>38.045090000000002</v>
      </c>
      <c r="D310">
        <v>909</v>
      </c>
      <c r="E310">
        <v>-26.840309999999999</v>
      </c>
      <c r="F310">
        <v>38.172600000000003</v>
      </c>
    </row>
    <row r="311" spans="1:6" x14ac:dyDescent="0.45">
      <c r="A311">
        <v>310</v>
      </c>
      <c r="B311">
        <v>-26.631070000000001</v>
      </c>
      <c r="C311">
        <v>-2.1562600000000001</v>
      </c>
      <c r="D311">
        <v>910</v>
      </c>
      <c r="E311">
        <v>-26.629349999999999</v>
      </c>
      <c r="F311">
        <v>-2.0534500000000002</v>
      </c>
    </row>
    <row r="312" spans="1:6" x14ac:dyDescent="0.45">
      <c r="A312">
        <v>311</v>
      </c>
      <c r="B312">
        <v>-53.101390000000002</v>
      </c>
      <c r="C312">
        <v>174.91311999999999</v>
      </c>
      <c r="D312">
        <v>911</v>
      </c>
      <c r="E312">
        <v>-53.094059999999999</v>
      </c>
      <c r="F312">
        <v>174.76838000000001</v>
      </c>
    </row>
    <row r="313" spans="1:6" x14ac:dyDescent="0.45">
      <c r="A313">
        <v>312</v>
      </c>
      <c r="B313">
        <v>-17.590499999999999</v>
      </c>
      <c r="C313">
        <v>-167.22135</v>
      </c>
      <c r="D313">
        <v>912</v>
      </c>
      <c r="E313">
        <v>-17.477409999999999</v>
      </c>
      <c r="F313">
        <v>-167.34619000000001</v>
      </c>
    </row>
    <row r="314" spans="1:6" x14ac:dyDescent="0.45">
      <c r="A314">
        <v>313</v>
      </c>
      <c r="B314">
        <v>85.293099999999995</v>
      </c>
      <c r="C314">
        <v>81.5137</v>
      </c>
      <c r="D314">
        <v>913</v>
      </c>
      <c r="E314">
        <v>85.383160000000004</v>
      </c>
      <c r="F314">
        <v>81.513400000000004</v>
      </c>
    </row>
    <row r="315" spans="1:6" x14ac:dyDescent="0.45">
      <c r="A315">
        <v>314</v>
      </c>
      <c r="B315">
        <v>-62.232089999999999</v>
      </c>
      <c r="C315">
        <v>-138.51569000000001</v>
      </c>
      <c r="D315">
        <v>914</v>
      </c>
      <c r="E315">
        <v>-62.14969</v>
      </c>
      <c r="F315">
        <v>-138.52848</v>
      </c>
    </row>
    <row r="316" spans="1:6" x14ac:dyDescent="0.45">
      <c r="A316">
        <v>315</v>
      </c>
      <c r="B316">
        <v>-5.1765699999999999</v>
      </c>
      <c r="C316">
        <v>12.51703</v>
      </c>
      <c r="D316">
        <v>915</v>
      </c>
      <c r="E316">
        <v>-5.1373499999999996</v>
      </c>
      <c r="F316">
        <v>12.44454</v>
      </c>
    </row>
    <row r="317" spans="1:6" x14ac:dyDescent="0.45">
      <c r="A317">
        <v>316</v>
      </c>
      <c r="B317">
        <v>-45.983930000000001</v>
      </c>
      <c r="C317">
        <v>-139.57661999999999</v>
      </c>
      <c r="D317">
        <v>916</v>
      </c>
      <c r="E317">
        <v>-45.892330000000001</v>
      </c>
      <c r="F317">
        <v>-139.54764</v>
      </c>
    </row>
    <row r="318" spans="1:6" x14ac:dyDescent="0.45">
      <c r="A318">
        <v>317</v>
      </c>
      <c r="B318">
        <v>50.101320000000001</v>
      </c>
      <c r="C318">
        <v>-22.025069999999999</v>
      </c>
      <c r="D318">
        <v>917</v>
      </c>
      <c r="E318">
        <v>50.119689999999999</v>
      </c>
      <c r="F318">
        <v>-22.005089999999999</v>
      </c>
    </row>
    <row r="319" spans="1:6" x14ac:dyDescent="0.45">
      <c r="A319">
        <v>318</v>
      </c>
      <c r="B319">
        <v>2.5049100000000002</v>
      </c>
      <c r="C319">
        <v>44.176459999999999</v>
      </c>
      <c r="D319">
        <v>918</v>
      </c>
      <c r="E319">
        <v>2.52488</v>
      </c>
      <c r="F319">
        <v>44.280160000000002</v>
      </c>
    </row>
    <row r="320" spans="1:6" x14ac:dyDescent="0.45">
      <c r="A320">
        <v>319</v>
      </c>
      <c r="B320">
        <v>14.74234</v>
      </c>
      <c r="C320">
        <v>-31.122050000000002</v>
      </c>
      <c r="D320">
        <v>919</v>
      </c>
      <c r="E320">
        <v>14.670439999999999</v>
      </c>
      <c r="F320">
        <v>-31.158519999999999</v>
      </c>
    </row>
    <row r="321" spans="1:6" x14ac:dyDescent="0.45">
      <c r="A321">
        <v>320</v>
      </c>
      <c r="B321">
        <v>-7.7595900000000002</v>
      </c>
      <c r="C321">
        <v>-54.59355</v>
      </c>
      <c r="D321">
        <v>920</v>
      </c>
      <c r="E321">
        <v>-7.6051099999999998</v>
      </c>
      <c r="F321">
        <v>-54.727649999999997</v>
      </c>
    </row>
    <row r="322" spans="1:6" x14ac:dyDescent="0.45">
      <c r="A322">
        <v>321</v>
      </c>
      <c r="B322">
        <v>10.917109999999999</v>
      </c>
      <c r="C322">
        <v>142.5992</v>
      </c>
      <c r="D322">
        <v>921</v>
      </c>
      <c r="E322">
        <v>11.012449999999999</v>
      </c>
      <c r="F322">
        <v>142.58949999999999</v>
      </c>
    </row>
    <row r="323" spans="1:6" x14ac:dyDescent="0.45">
      <c r="A323">
        <v>322</v>
      </c>
      <c r="B323">
        <v>-15.27093</v>
      </c>
      <c r="C323">
        <v>105.7351</v>
      </c>
      <c r="D323">
        <v>922</v>
      </c>
      <c r="E323">
        <v>-15.180289999999999</v>
      </c>
      <c r="F323">
        <v>105.78307</v>
      </c>
    </row>
    <row r="324" spans="1:6" x14ac:dyDescent="0.45">
      <c r="A324">
        <v>323</v>
      </c>
      <c r="B324">
        <v>-42.531390000000002</v>
      </c>
      <c r="C324">
        <v>48.64846</v>
      </c>
      <c r="D324">
        <v>923</v>
      </c>
      <c r="E324">
        <v>-42.4711</v>
      </c>
      <c r="F324">
        <v>48.587870000000002</v>
      </c>
    </row>
    <row r="325" spans="1:6" x14ac:dyDescent="0.45">
      <c r="A325">
        <v>324</v>
      </c>
      <c r="B325">
        <v>30.516100000000002</v>
      </c>
      <c r="C325">
        <v>-72.533649999999994</v>
      </c>
      <c r="D325">
        <v>924</v>
      </c>
      <c r="E325">
        <v>30.599319999999999</v>
      </c>
      <c r="F325">
        <v>-72.693790000000007</v>
      </c>
    </row>
    <row r="326" spans="1:6" x14ac:dyDescent="0.45">
      <c r="A326">
        <v>325</v>
      </c>
      <c r="B326">
        <v>-73.167670000000001</v>
      </c>
      <c r="C326">
        <v>-112.94094</v>
      </c>
      <c r="D326">
        <v>925</v>
      </c>
      <c r="E326">
        <v>-73.046449999999993</v>
      </c>
      <c r="F326">
        <v>-112.78610999999999</v>
      </c>
    </row>
    <row r="327" spans="1:6" x14ac:dyDescent="0.45">
      <c r="A327">
        <v>326</v>
      </c>
      <c r="B327">
        <v>63.214709999999997</v>
      </c>
      <c r="C327">
        <v>-39.479889999999997</v>
      </c>
      <c r="D327">
        <v>926</v>
      </c>
      <c r="E327">
        <v>63.305770000000003</v>
      </c>
      <c r="F327">
        <v>-39.582320000000003</v>
      </c>
    </row>
    <row r="328" spans="1:6" x14ac:dyDescent="0.45">
      <c r="A328">
        <v>327</v>
      </c>
      <c r="B328">
        <v>-68.163960000000003</v>
      </c>
      <c r="C328">
        <v>175.15158</v>
      </c>
      <c r="D328">
        <v>927</v>
      </c>
      <c r="E328">
        <v>-68.213539999999995</v>
      </c>
      <c r="F328">
        <v>175.01906</v>
      </c>
    </row>
    <row r="329" spans="1:6" x14ac:dyDescent="0.45">
      <c r="A329">
        <v>328</v>
      </c>
      <c r="B329">
        <v>-54.996740000000003</v>
      </c>
      <c r="C329">
        <v>107.54679</v>
      </c>
      <c r="D329">
        <v>928</v>
      </c>
      <c r="E329">
        <v>-54.965969999999999</v>
      </c>
      <c r="F329">
        <v>107.42086</v>
      </c>
    </row>
    <row r="330" spans="1:6" x14ac:dyDescent="0.45">
      <c r="A330">
        <v>329</v>
      </c>
      <c r="B330">
        <v>-19.89198</v>
      </c>
      <c r="C330">
        <v>-144.85908000000001</v>
      </c>
      <c r="D330">
        <v>929</v>
      </c>
      <c r="E330">
        <v>-19.901769999999999</v>
      </c>
      <c r="F330">
        <v>-144.81505999999999</v>
      </c>
    </row>
    <row r="331" spans="1:6" x14ac:dyDescent="0.45">
      <c r="A331">
        <v>330</v>
      </c>
      <c r="B331">
        <v>31.087910000000001</v>
      </c>
      <c r="C331">
        <v>-15.5951</v>
      </c>
      <c r="D331">
        <v>930</v>
      </c>
      <c r="E331">
        <v>30.993649999999999</v>
      </c>
      <c r="F331">
        <v>-15.449009999999999</v>
      </c>
    </row>
    <row r="332" spans="1:6" x14ac:dyDescent="0.45">
      <c r="A332">
        <v>331</v>
      </c>
      <c r="B332">
        <v>-31.442509999999999</v>
      </c>
      <c r="C332">
        <v>-55.374400000000001</v>
      </c>
      <c r="D332">
        <v>931</v>
      </c>
      <c r="E332">
        <v>-31.559370000000001</v>
      </c>
      <c r="F332">
        <v>-55.347299999999997</v>
      </c>
    </row>
    <row r="333" spans="1:6" x14ac:dyDescent="0.45">
      <c r="A333">
        <v>332</v>
      </c>
      <c r="B333">
        <v>-26.409579999999998</v>
      </c>
      <c r="C333">
        <v>-96.144710000000003</v>
      </c>
      <c r="D333">
        <v>932</v>
      </c>
      <c r="E333">
        <v>-26.42427</v>
      </c>
      <c r="F333">
        <v>-96.079440000000005</v>
      </c>
    </row>
    <row r="334" spans="1:6" x14ac:dyDescent="0.45">
      <c r="A334">
        <v>333</v>
      </c>
      <c r="B334">
        <v>14.618600000000001</v>
      </c>
      <c r="C334">
        <v>-5.1414200000000001</v>
      </c>
      <c r="D334">
        <v>933</v>
      </c>
      <c r="E334">
        <v>14.485889999999999</v>
      </c>
      <c r="F334">
        <v>-5.0845399999999499</v>
      </c>
    </row>
    <row r="335" spans="1:6" x14ac:dyDescent="0.45">
      <c r="A335">
        <v>334</v>
      </c>
      <c r="B335">
        <v>-4.2992600000000003</v>
      </c>
      <c r="C335">
        <v>55.2729</v>
      </c>
      <c r="D335">
        <v>934</v>
      </c>
      <c r="E335">
        <v>-4.4540800000000003</v>
      </c>
      <c r="F335">
        <v>55.144430000000099</v>
      </c>
    </row>
    <row r="336" spans="1:6" x14ac:dyDescent="0.45">
      <c r="A336">
        <v>335</v>
      </c>
      <c r="B336">
        <v>44.346139999999998</v>
      </c>
      <c r="C336">
        <v>-46.57685</v>
      </c>
      <c r="D336">
        <v>935</v>
      </c>
      <c r="E336">
        <v>44.4604</v>
      </c>
      <c r="F336">
        <v>-46.444470000000003</v>
      </c>
    </row>
    <row r="337" spans="1:6" x14ac:dyDescent="0.45">
      <c r="A337">
        <v>336</v>
      </c>
      <c r="B337">
        <v>-86.823620000000005</v>
      </c>
      <c r="C337">
        <v>29.130659999999999</v>
      </c>
      <c r="D337">
        <v>936</v>
      </c>
      <c r="E337">
        <v>-86.722210000000004</v>
      </c>
      <c r="F337">
        <v>29.014199999999999</v>
      </c>
    </row>
    <row r="338" spans="1:6" x14ac:dyDescent="0.45">
      <c r="A338">
        <v>337</v>
      </c>
      <c r="B338">
        <v>-27.21688</v>
      </c>
      <c r="C338">
        <v>50.631219999999999</v>
      </c>
      <c r="D338">
        <v>937</v>
      </c>
      <c r="E338">
        <v>-27.231110000000001</v>
      </c>
      <c r="F338">
        <v>50.474269999999997</v>
      </c>
    </row>
    <row r="339" spans="1:6" x14ac:dyDescent="0.45">
      <c r="A339">
        <v>338</v>
      </c>
      <c r="B339">
        <v>59.546109999999999</v>
      </c>
      <c r="C339">
        <v>25.140609999999999</v>
      </c>
      <c r="D339">
        <v>938</v>
      </c>
      <c r="E339">
        <v>59.546320000000001</v>
      </c>
      <c r="F339">
        <v>25.285360000000001</v>
      </c>
    </row>
    <row r="340" spans="1:6" x14ac:dyDescent="0.45">
      <c r="A340">
        <v>339</v>
      </c>
      <c r="B340">
        <v>-46.819240000000001</v>
      </c>
      <c r="C340">
        <v>-155.74744000000001</v>
      </c>
      <c r="D340">
        <v>939</v>
      </c>
      <c r="E340">
        <v>-46.829590000000003</v>
      </c>
      <c r="F340">
        <v>-155.74350000000001</v>
      </c>
    </row>
    <row r="341" spans="1:6" x14ac:dyDescent="0.45">
      <c r="A341">
        <v>340</v>
      </c>
      <c r="B341">
        <v>-83.66319</v>
      </c>
      <c r="C341">
        <v>81.776799999999994</v>
      </c>
      <c r="D341">
        <v>940</v>
      </c>
      <c r="E341">
        <v>-83.496949999999998</v>
      </c>
      <c r="F341">
        <v>81.775760000000005</v>
      </c>
    </row>
    <row r="342" spans="1:6" x14ac:dyDescent="0.45">
      <c r="A342">
        <v>341</v>
      </c>
      <c r="B342">
        <v>-43.860700000000001</v>
      </c>
      <c r="C342">
        <v>54.184629999999999</v>
      </c>
      <c r="D342">
        <v>941</v>
      </c>
      <c r="E342">
        <v>-43.84901</v>
      </c>
      <c r="F342">
        <v>54.116</v>
      </c>
    </row>
    <row r="343" spans="1:6" x14ac:dyDescent="0.45">
      <c r="A343">
        <v>342</v>
      </c>
      <c r="B343">
        <v>-82.597629999999995</v>
      </c>
      <c r="C343">
        <v>93.609790000000004</v>
      </c>
      <c r="D343">
        <v>942</v>
      </c>
      <c r="E343">
        <v>-82.669039999999995</v>
      </c>
      <c r="F343">
        <v>93.457880000000003</v>
      </c>
    </row>
    <row r="344" spans="1:6" x14ac:dyDescent="0.45">
      <c r="A344">
        <v>343</v>
      </c>
      <c r="B344">
        <v>-12.49606</v>
      </c>
      <c r="C344">
        <v>44.544510000000002</v>
      </c>
      <c r="D344">
        <v>943</v>
      </c>
      <c r="E344">
        <v>-12.50287</v>
      </c>
      <c r="F344">
        <v>44.384099999999997</v>
      </c>
    </row>
    <row r="345" spans="1:6" x14ac:dyDescent="0.45">
      <c r="A345">
        <v>344</v>
      </c>
      <c r="B345">
        <v>31.840859999999999</v>
      </c>
      <c r="C345">
        <v>164.17705000000001</v>
      </c>
      <c r="D345">
        <v>944</v>
      </c>
      <c r="E345">
        <v>31.840319999999998</v>
      </c>
      <c r="F345">
        <v>164.14494999999999</v>
      </c>
    </row>
    <row r="346" spans="1:6" x14ac:dyDescent="0.45">
      <c r="A346">
        <v>345</v>
      </c>
      <c r="B346">
        <v>61.795400000000001</v>
      </c>
      <c r="C346">
        <v>4.9847700000000001</v>
      </c>
      <c r="D346">
        <v>945</v>
      </c>
      <c r="E346">
        <v>61.752369999999999</v>
      </c>
      <c r="F346">
        <v>5.13008000000002</v>
      </c>
    </row>
    <row r="347" spans="1:6" x14ac:dyDescent="0.45">
      <c r="A347">
        <v>346</v>
      </c>
      <c r="B347">
        <v>56.26972</v>
      </c>
      <c r="C347">
        <v>55.966749999999998</v>
      </c>
      <c r="D347">
        <v>946</v>
      </c>
      <c r="E347">
        <v>56.154739999999997</v>
      </c>
      <c r="F347">
        <v>55.994390000000003</v>
      </c>
    </row>
    <row r="348" spans="1:6" x14ac:dyDescent="0.45">
      <c r="A348">
        <v>347</v>
      </c>
      <c r="B348">
        <v>-18.397220000000001</v>
      </c>
      <c r="C348">
        <v>117.01608</v>
      </c>
      <c r="D348">
        <v>947</v>
      </c>
      <c r="E348">
        <v>-18.45158</v>
      </c>
      <c r="F348">
        <v>116.99928</v>
      </c>
    </row>
    <row r="349" spans="1:6" x14ac:dyDescent="0.45">
      <c r="A349">
        <v>348</v>
      </c>
      <c r="B349">
        <v>-28.80226</v>
      </c>
      <c r="C349">
        <v>-35.583840000000002</v>
      </c>
      <c r="D349">
        <v>948</v>
      </c>
      <c r="E349">
        <v>-28.805099999999999</v>
      </c>
      <c r="F349">
        <v>-35.578510000000001</v>
      </c>
    </row>
    <row r="350" spans="1:6" x14ac:dyDescent="0.45">
      <c r="A350">
        <v>349</v>
      </c>
      <c r="B350">
        <v>-78.84854</v>
      </c>
      <c r="C350">
        <v>-55.089280000000002</v>
      </c>
      <c r="D350">
        <v>949</v>
      </c>
      <c r="E350">
        <v>-78.890469999999993</v>
      </c>
      <c r="F350">
        <v>-55.064720000000001</v>
      </c>
    </row>
    <row r="351" spans="1:6" x14ac:dyDescent="0.45">
      <c r="A351">
        <v>350</v>
      </c>
      <c r="B351">
        <v>31.314209999999999</v>
      </c>
      <c r="C351">
        <v>-170.32921999999999</v>
      </c>
      <c r="D351">
        <v>950</v>
      </c>
      <c r="E351">
        <v>31.34074</v>
      </c>
      <c r="F351">
        <v>-170.39631</v>
      </c>
    </row>
    <row r="352" spans="1:6" x14ac:dyDescent="0.45">
      <c r="A352">
        <v>351</v>
      </c>
      <c r="B352">
        <v>-46.90448</v>
      </c>
      <c r="C352">
        <v>137.71643</v>
      </c>
      <c r="D352">
        <v>951</v>
      </c>
      <c r="E352">
        <v>-46.988259999999997</v>
      </c>
      <c r="F352">
        <v>137.58946</v>
      </c>
    </row>
    <row r="353" spans="1:6" x14ac:dyDescent="0.45">
      <c r="A353">
        <v>352</v>
      </c>
      <c r="B353">
        <v>-80.749179999999996</v>
      </c>
      <c r="C353">
        <v>-71.770089999999996</v>
      </c>
      <c r="D353">
        <v>952</v>
      </c>
      <c r="E353">
        <v>-80.769069999999999</v>
      </c>
      <c r="F353">
        <v>-71.865759999999995</v>
      </c>
    </row>
    <row r="354" spans="1:6" x14ac:dyDescent="0.45">
      <c r="A354">
        <v>353</v>
      </c>
      <c r="B354">
        <v>71.830119999999994</v>
      </c>
      <c r="C354">
        <v>-21.113969999999998</v>
      </c>
      <c r="D354">
        <v>953</v>
      </c>
      <c r="E354">
        <v>71.950940000000003</v>
      </c>
      <c r="F354">
        <v>-21.180430000000001</v>
      </c>
    </row>
    <row r="355" spans="1:6" x14ac:dyDescent="0.45">
      <c r="A355">
        <v>354</v>
      </c>
      <c r="B355">
        <v>81.128439999999998</v>
      </c>
      <c r="C355">
        <v>77.347290000000001</v>
      </c>
      <c r="D355">
        <v>954</v>
      </c>
      <c r="E355">
        <v>81.209860000000006</v>
      </c>
      <c r="F355">
        <v>77.204279999999997</v>
      </c>
    </row>
    <row r="356" spans="1:6" x14ac:dyDescent="0.45">
      <c r="A356">
        <v>355</v>
      </c>
      <c r="B356">
        <v>72.539820000000006</v>
      </c>
      <c r="C356">
        <v>155.15729999999999</v>
      </c>
      <c r="D356">
        <v>955</v>
      </c>
      <c r="E356">
        <v>72.426959999999994</v>
      </c>
      <c r="F356">
        <v>155.11358999999999</v>
      </c>
    </row>
    <row r="357" spans="1:6" x14ac:dyDescent="0.45">
      <c r="A357">
        <v>356</v>
      </c>
      <c r="B357">
        <v>-60.31823</v>
      </c>
      <c r="C357">
        <v>-95.98245</v>
      </c>
      <c r="D357">
        <v>956</v>
      </c>
      <c r="E357">
        <v>-60.450560000000003</v>
      </c>
      <c r="F357">
        <v>-95.865369999999999</v>
      </c>
    </row>
    <row r="358" spans="1:6" x14ac:dyDescent="0.45">
      <c r="A358">
        <v>357</v>
      </c>
      <c r="B358">
        <v>7.4153700000000002</v>
      </c>
      <c r="C358">
        <v>74.279839999999993</v>
      </c>
      <c r="D358">
        <v>957</v>
      </c>
      <c r="E358">
        <v>7.2734100000000002</v>
      </c>
      <c r="F358">
        <v>74.379490000000004</v>
      </c>
    </row>
    <row r="359" spans="1:6" x14ac:dyDescent="0.45">
      <c r="A359">
        <v>358</v>
      </c>
      <c r="B359">
        <v>77.668859999999995</v>
      </c>
      <c r="C359">
        <v>9.5417400000000008</v>
      </c>
      <c r="D359">
        <v>958</v>
      </c>
      <c r="E359">
        <v>77.504649999999998</v>
      </c>
      <c r="F359">
        <v>9.4145200000000404</v>
      </c>
    </row>
    <row r="360" spans="1:6" x14ac:dyDescent="0.45">
      <c r="A360">
        <v>359</v>
      </c>
      <c r="B360">
        <v>-13.71679</v>
      </c>
      <c r="C360">
        <v>-43.847149999999999</v>
      </c>
      <c r="D360">
        <v>959</v>
      </c>
      <c r="E360">
        <v>-13.61233</v>
      </c>
      <c r="F360">
        <v>-43.76285</v>
      </c>
    </row>
    <row r="361" spans="1:6" x14ac:dyDescent="0.45">
      <c r="A361">
        <v>360</v>
      </c>
      <c r="B361">
        <v>25.532720000000001</v>
      </c>
      <c r="C361">
        <v>105.77508</v>
      </c>
      <c r="D361">
        <v>960</v>
      </c>
      <c r="E361">
        <v>25.499030000000001</v>
      </c>
      <c r="F361">
        <v>105.81137</v>
      </c>
    </row>
    <row r="362" spans="1:6" x14ac:dyDescent="0.45">
      <c r="A362">
        <v>361</v>
      </c>
      <c r="B362">
        <v>11.3225</v>
      </c>
      <c r="C362">
        <v>105.72385</v>
      </c>
      <c r="D362">
        <v>961</v>
      </c>
      <c r="E362">
        <v>11.242940000000001</v>
      </c>
      <c r="F362">
        <v>105.80704</v>
      </c>
    </row>
    <row r="363" spans="1:6" x14ac:dyDescent="0.45">
      <c r="A363">
        <v>362</v>
      </c>
      <c r="B363">
        <v>-24.931319999999999</v>
      </c>
      <c r="C363">
        <v>160.61526000000001</v>
      </c>
      <c r="D363">
        <v>962</v>
      </c>
      <c r="E363">
        <v>-24.927230000000002</v>
      </c>
      <c r="F363">
        <v>160.69457</v>
      </c>
    </row>
    <row r="364" spans="1:6" x14ac:dyDescent="0.45">
      <c r="A364">
        <v>363</v>
      </c>
      <c r="B364">
        <v>26.17822</v>
      </c>
      <c r="C364">
        <v>15.9649</v>
      </c>
      <c r="D364">
        <v>963</v>
      </c>
      <c r="E364">
        <v>26.03586</v>
      </c>
      <c r="F364">
        <v>15.926159999999999</v>
      </c>
    </row>
    <row r="365" spans="1:6" x14ac:dyDescent="0.45">
      <c r="A365">
        <v>364</v>
      </c>
      <c r="B365">
        <v>23.179860000000001</v>
      </c>
      <c r="C365">
        <v>-59.313989999999997</v>
      </c>
      <c r="D365">
        <v>964</v>
      </c>
      <c r="E365">
        <v>23.27271</v>
      </c>
      <c r="F365">
        <v>-59.216720000000002</v>
      </c>
    </row>
    <row r="366" spans="1:6" x14ac:dyDescent="0.45">
      <c r="A366">
        <v>365</v>
      </c>
      <c r="B366">
        <v>-48.208269999999999</v>
      </c>
      <c r="C366">
        <v>-98.751050000000006</v>
      </c>
      <c r="D366">
        <v>965</v>
      </c>
      <c r="E366">
        <v>-48.292389999999997</v>
      </c>
      <c r="F366">
        <v>-98.662739999999999</v>
      </c>
    </row>
    <row r="367" spans="1:6" x14ac:dyDescent="0.45">
      <c r="A367">
        <v>366</v>
      </c>
      <c r="B367">
        <v>49.375880000000002</v>
      </c>
      <c r="C367">
        <v>174.13990000000001</v>
      </c>
      <c r="D367">
        <v>966</v>
      </c>
      <c r="E367">
        <v>49.530279999999998</v>
      </c>
      <c r="F367">
        <v>174.25591</v>
      </c>
    </row>
    <row r="368" spans="1:6" x14ac:dyDescent="0.45">
      <c r="A368">
        <v>367</v>
      </c>
      <c r="B368">
        <v>-16.225269999999998</v>
      </c>
      <c r="C368">
        <v>68.373649999999998</v>
      </c>
      <c r="D368">
        <v>967</v>
      </c>
      <c r="E368">
        <v>-16.23677</v>
      </c>
      <c r="F368">
        <v>68.531899999999993</v>
      </c>
    </row>
    <row r="369" spans="1:6" x14ac:dyDescent="0.45">
      <c r="A369">
        <v>368</v>
      </c>
      <c r="B369">
        <v>-30.425429999999999</v>
      </c>
      <c r="C369">
        <v>84.17201</v>
      </c>
      <c r="D369">
        <v>968</v>
      </c>
      <c r="E369">
        <v>-30.57798</v>
      </c>
      <c r="F369">
        <v>84.154649999999904</v>
      </c>
    </row>
    <row r="370" spans="1:6" x14ac:dyDescent="0.45">
      <c r="A370">
        <v>369</v>
      </c>
      <c r="B370">
        <v>-44.331209999999999</v>
      </c>
      <c r="C370">
        <v>69.867279999999994</v>
      </c>
      <c r="D370">
        <v>969</v>
      </c>
      <c r="E370">
        <v>-44.33775</v>
      </c>
      <c r="F370">
        <v>69.855050000000006</v>
      </c>
    </row>
    <row r="371" spans="1:6" x14ac:dyDescent="0.45">
      <c r="A371">
        <v>370</v>
      </c>
      <c r="B371">
        <v>-89.659520000000001</v>
      </c>
      <c r="C371">
        <v>-35.564059999999998</v>
      </c>
      <c r="D371">
        <v>970</v>
      </c>
      <c r="E371">
        <v>-89.577759999999998</v>
      </c>
      <c r="F371">
        <v>-35.507849999999998</v>
      </c>
    </row>
    <row r="372" spans="1:6" x14ac:dyDescent="0.45">
      <c r="A372">
        <v>371</v>
      </c>
      <c r="B372">
        <v>89.640309999999999</v>
      </c>
      <c r="C372">
        <v>2.7608100000000002</v>
      </c>
      <c r="D372">
        <v>971</v>
      </c>
      <c r="E372">
        <v>89.731530000000006</v>
      </c>
      <c r="F372">
        <v>2.6547500000000399</v>
      </c>
    </row>
    <row r="373" spans="1:6" x14ac:dyDescent="0.45">
      <c r="A373">
        <v>372</v>
      </c>
      <c r="B373">
        <v>26.988849999999999</v>
      </c>
      <c r="C373">
        <v>-13.80307</v>
      </c>
      <c r="D373">
        <v>972</v>
      </c>
      <c r="E373">
        <v>27.083939999999998</v>
      </c>
      <c r="F373">
        <v>-13.968450000000001</v>
      </c>
    </row>
    <row r="374" spans="1:6" x14ac:dyDescent="0.45">
      <c r="A374">
        <v>373</v>
      </c>
      <c r="B374">
        <v>43.0321</v>
      </c>
      <c r="C374">
        <v>10.43601</v>
      </c>
      <c r="D374">
        <v>973</v>
      </c>
      <c r="E374">
        <v>43.064399999999999</v>
      </c>
      <c r="F374">
        <v>10.326569999999901</v>
      </c>
    </row>
    <row r="375" spans="1:6" x14ac:dyDescent="0.45">
      <c r="A375">
        <v>374</v>
      </c>
      <c r="B375">
        <v>-84.256739999999994</v>
      </c>
      <c r="C375">
        <v>122.37854</v>
      </c>
      <c r="D375">
        <v>974</v>
      </c>
      <c r="E375">
        <v>-84.211079999999995</v>
      </c>
      <c r="F375">
        <v>122.40808</v>
      </c>
    </row>
    <row r="376" spans="1:6" x14ac:dyDescent="0.45">
      <c r="A376">
        <v>375</v>
      </c>
      <c r="B376">
        <v>88.777150000000006</v>
      </c>
      <c r="C376">
        <v>-142.06998999999999</v>
      </c>
      <c r="D376">
        <v>975</v>
      </c>
      <c r="E376">
        <v>88.825180000000003</v>
      </c>
      <c r="F376">
        <v>-141.93622999999999</v>
      </c>
    </row>
    <row r="377" spans="1:6" x14ac:dyDescent="0.45">
      <c r="A377">
        <v>376</v>
      </c>
      <c r="B377">
        <v>-49.55829</v>
      </c>
      <c r="C377">
        <v>-85.551069999999996</v>
      </c>
      <c r="D377">
        <v>976</v>
      </c>
      <c r="E377">
        <v>-49.394210000000001</v>
      </c>
      <c r="F377">
        <v>-85.664760000000001</v>
      </c>
    </row>
    <row r="378" spans="1:6" x14ac:dyDescent="0.45">
      <c r="A378">
        <v>377</v>
      </c>
      <c r="B378">
        <v>16.99661</v>
      </c>
      <c r="C378">
        <v>142.86963</v>
      </c>
      <c r="D378">
        <v>977</v>
      </c>
      <c r="E378">
        <v>17.1006</v>
      </c>
      <c r="F378">
        <v>142.78934000000001</v>
      </c>
    </row>
    <row r="379" spans="1:6" x14ac:dyDescent="0.45">
      <c r="A379">
        <v>378</v>
      </c>
      <c r="B379">
        <v>87.933639999999997</v>
      </c>
      <c r="C379">
        <v>-110.04489</v>
      </c>
      <c r="D379">
        <v>978</v>
      </c>
      <c r="E379">
        <v>87.971580000000003</v>
      </c>
      <c r="F379">
        <v>-109.9132</v>
      </c>
    </row>
    <row r="380" spans="1:6" x14ac:dyDescent="0.45">
      <c r="A380">
        <v>379</v>
      </c>
      <c r="B380">
        <v>-63.323700000000002</v>
      </c>
      <c r="C380">
        <v>35.038049999999998</v>
      </c>
      <c r="D380">
        <v>979</v>
      </c>
      <c r="E380">
        <v>-63.164490000000001</v>
      </c>
      <c r="F380">
        <v>35.19753</v>
      </c>
    </row>
    <row r="381" spans="1:6" x14ac:dyDescent="0.45">
      <c r="A381">
        <v>380</v>
      </c>
      <c r="B381">
        <v>-73.350340000000003</v>
      </c>
      <c r="C381">
        <v>33.979140000000001</v>
      </c>
      <c r="D381">
        <v>980</v>
      </c>
      <c r="E381">
        <v>-73.424610000000001</v>
      </c>
      <c r="F381">
        <v>33.956690000000002</v>
      </c>
    </row>
    <row r="382" spans="1:6" x14ac:dyDescent="0.45">
      <c r="A382">
        <v>381</v>
      </c>
      <c r="B382">
        <v>-40.048839999999998</v>
      </c>
      <c r="C382">
        <v>-125.82129</v>
      </c>
      <c r="D382">
        <v>981</v>
      </c>
      <c r="E382">
        <v>-40.196159999999999</v>
      </c>
      <c r="F382">
        <v>-125.82666</v>
      </c>
    </row>
    <row r="383" spans="1:6" x14ac:dyDescent="0.45">
      <c r="A383">
        <v>382</v>
      </c>
      <c r="B383">
        <v>27.92492</v>
      </c>
      <c r="C383">
        <v>-54.82826</v>
      </c>
      <c r="D383">
        <v>982</v>
      </c>
      <c r="E383">
        <v>27.76737</v>
      </c>
      <c r="F383">
        <v>-54.768700000000003</v>
      </c>
    </row>
    <row r="384" spans="1:6" x14ac:dyDescent="0.45">
      <c r="A384">
        <v>383</v>
      </c>
      <c r="B384">
        <v>48.04907</v>
      </c>
      <c r="C384">
        <v>81.865170000000006</v>
      </c>
      <c r="D384">
        <v>983</v>
      </c>
      <c r="E384">
        <v>48.16534</v>
      </c>
      <c r="F384">
        <v>81.815770000000001</v>
      </c>
    </row>
    <row r="385" spans="1:6" x14ac:dyDescent="0.45">
      <c r="A385">
        <v>384</v>
      </c>
      <c r="B385">
        <v>89.605909999999994</v>
      </c>
      <c r="C385">
        <v>-10.43768</v>
      </c>
      <c r="D385">
        <v>984</v>
      </c>
      <c r="E385">
        <v>89.674090000000007</v>
      </c>
      <c r="F385">
        <v>-10.542590000000001</v>
      </c>
    </row>
    <row r="386" spans="1:6" x14ac:dyDescent="0.45">
      <c r="A386">
        <v>385</v>
      </c>
      <c r="B386">
        <v>68.535939999999997</v>
      </c>
      <c r="C386">
        <v>175.52838</v>
      </c>
      <c r="D386">
        <v>985</v>
      </c>
      <c r="E386">
        <v>68.527690000000007</v>
      </c>
      <c r="F386">
        <v>175.40531999999999</v>
      </c>
    </row>
    <row r="387" spans="1:6" x14ac:dyDescent="0.45">
      <c r="A387">
        <v>386</v>
      </c>
      <c r="B387">
        <v>34.945880000000002</v>
      </c>
      <c r="C387">
        <v>-84.280659999999997</v>
      </c>
      <c r="D387">
        <v>986</v>
      </c>
      <c r="E387">
        <v>35.013550000000002</v>
      </c>
      <c r="F387">
        <v>-84.443359999999998</v>
      </c>
    </row>
    <row r="388" spans="1:6" x14ac:dyDescent="0.45">
      <c r="A388">
        <v>387</v>
      </c>
      <c r="B388">
        <v>-10.40157</v>
      </c>
      <c r="C388">
        <v>60.462679999999999</v>
      </c>
      <c r="D388">
        <v>987</v>
      </c>
      <c r="E388">
        <v>-10.39433</v>
      </c>
      <c r="F388">
        <v>60.520389999999999</v>
      </c>
    </row>
    <row r="389" spans="1:6" x14ac:dyDescent="0.45">
      <c r="A389">
        <v>388</v>
      </c>
      <c r="B389">
        <v>-11.86347</v>
      </c>
      <c r="C389">
        <v>-58.650460000000002</v>
      </c>
      <c r="D389">
        <v>988</v>
      </c>
      <c r="E389">
        <v>-11.822430000000001</v>
      </c>
      <c r="F389">
        <v>-58.487209999999997</v>
      </c>
    </row>
    <row r="390" spans="1:6" x14ac:dyDescent="0.45">
      <c r="A390">
        <v>389</v>
      </c>
      <c r="B390">
        <v>7.6256599999999999</v>
      </c>
      <c r="C390">
        <v>-113.48932000000001</v>
      </c>
      <c r="D390">
        <v>989</v>
      </c>
      <c r="E390">
        <v>7.6935399999999996</v>
      </c>
      <c r="F390">
        <v>-113.61476999999999</v>
      </c>
    </row>
    <row r="391" spans="1:6" x14ac:dyDescent="0.45">
      <c r="A391">
        <v>390</v>
      </c>
      <c r="B391">
        <v>-10.32147</v>
      </c>
      <c r="C391">
        <v>31.61589</v>
      </c>
      <c r="D391">
        <v>990</v>
      </c>
      <c r="E391">
        <v>-10.39404</v>
      </c>
      <c r="F391">
        <v>31.6038600000001</v>
      </c>
    </row>
    <row r="392" spans="1:6" x14ac:dyDescent="0.45">
      <c r="A392">
        <v>391</v>
      </c>
      <c r="B392">
        <v>80.641319999999993</v>
      </c>
      <c r="C392">
        <v>-6.3725699999999996</v>
      </c>
      <c r="D392">
        <v>991</v>
      </c>
      <c r="E392">
        <v>80.595309999999998</v>
      </c>
      <c r="F392">
        <v>-6.4451400000000403</v>
      </c>
    </row>
    <row r="393" spans="1:6" x14ac:dyDescent="0.45">
      <c r="A393">
        <v>392</v>
      </c>
      <c r="B393">
        <v>-19.90672</v>
      </c>
      <c r="C393">
        <v>120.17301</v>
      </c>
      <c r="D393">
        <v>992</v>
      </c>
      <c r="E393">
        <v>-19.882909999999999</v>
      </c>
      <c r="F393">
        <v>120.19853000000001</v>
      </c>
    </row>
    <row r="394" spans="1:6" x14ac:dyDescent="0.45">
      <c r="A394">
        <v>393</v>
      </c>
      <c r="B394">
        <v>74.393379999999993</v>
      </c>
      <c r="C394">
        <v>28.14359</v>
      </c>
      <c r="D394">
        <v>993</v>
      </c>
      <c r="E394">
        <v>74.549109999999999</v>
      </c>
      <c r="F394">
        <v>28.147810000000099</v>
      </c>
    </row>
    <row r="395" spans="1:6" x14ac:dyDescent="0.45">
      <c r="A395">
        <v>394</v>
      </c>
      <c r="B395">
        <v>-57.052860000000003</v>
      </c>
      <c r="C395">
        <v>86.024870000000007</v>
      </c>
      <c r="D395">
        <v>994</v>
      </c>
      <c r="E395">
        <v>-57.11871</v>
      </c>
      <c r="F395">
        <v>86.007220000000004</v>
      </c>
    </row>
    <row r="396" spans="1:6" x14ac:dyDescent="0.45">
      <c r="A396">
        <v>395</v>
      </c>
      <c r="B396">
        <v>13.37185</v>
      </c>
      <c r="C396">
        <v>20.81917</v>
      </c>
      <c r="D396">
        <v>995</v>
      </c>
      <c r="E396">
        <v>13.512829999999999</v>
      </c>
      <c r="F396">
        <v>20.748799999999999</v>
      </c>
    </row>
    <row r="397" spans="1:6" x14ac:dyDescent="0.45">
      <c r="A397">
        <v>396</v>
      </c>
      <c r="B397">
        <v>-35.134920000000001</v>
      </c>
      <c r="C397">
        <v>28.194500000000001</v>
      </c>
      <c r="D397">
        <v>996</v>
      </c>
      <c r="E397">
        <v>-34.986539999999998</v>
      </c>
      <c r="F397">
        <v>28.040780000000002</v>
      </c>
    </row>
    <row r="398" spans="1:6" x14ac:dyDescent="0.45">
      <c r="A398">
        <v>397</v>
      </c>
      <c r="B398">
        <v>81.20993</v>
      </c>
      <c r="C398">
        <v>11.69046</v>
      </c>
      <c r="D398">
        <v>997</v>
      </c>
      <c r="E398">
        <v>81.060100000000006</v>
      </c>
      <c r="F398">
        <v>11.607729999999901</v>
      </c>
    </row>
    <row r="399" spans="1:6" x14ac:dyDescent="0.45">
      <c r="A399">
        <v>398</v>
      </c>
      <c r="B399">
        <v>-54.009599999999999</v>
      </c>
      <c r="C399">
        <v>-69.937709999999996</v>
      </c>
      <c r="D399">
        <v>998</v>
      </c>
      <c r="E399">
        <v>-54.102760000000004</v>
      </c>
      <c r="F399">
        <v>-69.805099999999996</v>
      </c>
    </row>
    <row r="400" spans="1:6" x14ac:dyDescent="0.45">
      <c r="A400">
        <v>399</v>
      </c>
      <c r="B400">
        <v>29.51418</v>
      </c>
      <c r="C400">
        <v>-122.42158999999999</v>
      </c>
      <c r="D400">
        <v>999</v>
      </c>
      <c r="E400">
        <v>29.616009999999999</v>
      </c>
      <c r="F400">
        <v>-122.31140000000001</v>
      </c>
    </row>
    <row r="401" spans="1:6" x14ac:dyDescent="0.45">
      <c r="A401">
        <v>400</v>
      </c>
      <c r="B401">
        <v>-31.293890000000001</v>
      </c>
      <c r="C401">
        <v>-34.172840000000001</v>
      </c>
      <c r="D401">
        <v>1000</v>
      </c>
      <c r="E401">
        <v>-31.367519999999999</v>
      </c>
      <c r="F401">
        <v>-34.061619999999998</v>
      </c>
    </row>
    <row r="402" spans="1:6" x14ac:dyDescent="0.45">
      <c r="A402">
        <v>401</v>
      </c>
      <c r="B402">
        <v>-31.357489999999999</v>
      </c>
      <c r="C402">
        <v>15.415240000000001</v>
      </c>
      <c r="D402">
        <v>1001</v>
      </c>
      <c r="E402">
        <v>-31.363990000000001</v>
      </c>
      <c r="F402">
        <v>15.418200000000001</v>
      </c>
    </row>
    <row r="403" spans="1:6" x14ac:dyDescent="0.45">
      <c r="A403">
        <v>402</v>
      </c>
      <c r="B403">
        <v>35.88373</v>
      </c>
      <c r="C403">
        <v>-3.7313999999999998</v>
      </c>
      <c r="D403">
        <v>1002</v>
      </c>
      <c r="E403">
        <v>35.87426</v>
      </c>
      <c r="F403">
        <v>-3.7232500000000099</v>
      </c>
    </row>
    <row r="404" spans="1:6" x14ac:dyDescent="0.45">
      <c r="A404">
        <v>403</v>
      </c>
      <c r="B404">
        <v>-57.968539999999997</v>
      </c>
      <c r="C404">
        <v>-116.19098</v>
      </c>
      <c r="D404">
        <v>1003</v>
      </c>
      <c r="E404">
        <v>-57.964480000000002</v>
      </c>
      <c r="F404">
        <v>-116.20393</v>
      </c>
    </row>
    <row r="405" spans="1:6" x14ac:dyDescent="0.45">
      <c r="A405">
        <v>404</v>
      </c>
      <c r="B405">
        <v>-0.67023999999999995</v>
      </c>
      <c r="C405">
        <v>57.202910000000003</v>
      </c>
      <c r="D405">
        <v>1004</v>
      </c>
      <c r="E405">
        <v>-0.67528000000000099</v>
      </c>
      <c r="F405">
        <v>57.217170000000003</v>
      </c>
    </row>
    <row r="406" spans="1:6" x14ac:dyDescent="0.45">
      <c r="A406">
        <v>405</v>
      </c>
      <c r="B406">
        <v>72.937640000000002</v>
      </c>
      <c r="C406">
        <v>-118.24793</v>
      </c>
      <c r="D406">
        <v>1005</v>
      </c>
      <c r="E406">
        <v>72.931610000000006</v>
      </c>
      <c r="F406">
        <v>-118.24165000000001</v>
      </c>
    </row>
    <row r="407" spans="1:6" x14ac:dyDescent="0.45">
      <c r="A407">
        <v>406</v>
      </c>
      <c r="B407">
        <v>-37.222470000000001</v>
      </c>
      <c r="C407">
        <v>152.83313000000001</v>
      </c>
      <c r="D407">
        <v>1006</v>
      </c>
      <c r="E407">
        <v>-37.231000000000002</v>
      </c>
      <c r="F407">
        <v>152.83815000000001</v>
      </c>
    </row>
    <row r="408" spans="1:6" x14ac:dyDescent="0.45">
      <c r="A408">
        <v>407</v>
      </c>
      <c r="B408">
        <v>-55.760240000000003</v>
      </c>
      <c r="C408">
        <v>-153.09700000000001</v>
      </c>
      <c r="D408">
        <v>1007</v>
      </c>
      <c r="E408">
        <v>-55.767009999999999</v>
      </c>
      <c r="F408">
        <v>-153.08922999999999</v>
      </c>
    </row>
    <row r="409" spans="1:6" x14ac:dyDescent="0.45">
      <c r="A409">
        <v>408</v>
      </c>
      <c r="B409">
        <v>28.16131</v>
      </c>
      <c r="C409">
        <v>-129.42841000000001</v>
      </c>
      <c r="D409">
        <v>1008</v>
      </c>
      <c r="E409">
        <v>28.159269999999999</v>
      </c>
      <c r="F409">
        <v>-129.43432000000001</v>
      </c>
    </row>
    <row r="410" spans="1:6" x14ac:dyDescent="0.45">
      <c r="A410">
        <v>409</v>
      </c>
      <c r="B410">
        <v>-86.595160000000007</v>
      </c>
      <c r="C410">
        <v>100.38227999999999</v>
      </c>
      <c r="D410">
        <v>1009</v>
      </c>
      <c r="E410">
        <v>-86.607830000000007</v>
      </c>
      <c r="F410">
        <v>100.39197</v>
      </c>
    </row>
    <row r="411" spans="1:6" x14ac:dyDescent="0.45">
      <c r="A411">
        <v>410</v>
      </c>
      <c r="B411">
        <v>1.2164999999999999</v>
      </c>
      <c r="C411">
        <v>-159.40684999999999</v>
      </c>
      <c r="D411">
        <v>1010</v>
      </c>
      <c r="E411">
        <v>1.2302599999999999</v>
      </c>
      <c r="F411">
        <v>-159.39254</v>
      </c>
    </row>
    <row r="412" spans="1:6" x14ac:dyDescent="0.45">
      <c r="A412">
        <v>411</v>
      </c>
      <c r="B412">
        <v>-80.48818</v>
      </c>
      <c r="C412">
        <v>-30.765319999999999</v>
      </c>
      <c r="D412">
        <v>1011</v>
      </c>
      <c r="E412">
        <v>-80.485659999999996</v>
      </c>
      <c r="F412">
        <v>-30.767679999999999</v>
      </c>
    </row>
    <row r="413" spans="1:6" x14ac:dyDescent="0.45">
      <c r="A413">
        <v>412</v>
      </c>
      <c r="B413">
        <v>19.130179999999999</v>
      </c>
      <c r="C413">
        <v>28.10445</v>
      </c>
      <c r="D413">
        <v>1012</v>
      </c>
      <c r="E413">
        <v>19.12434</v>
      </c>
      <c r="F413">
        <v>28.0916999999999</v>
      </c>
    </row>
    <row r="414" spans="1:6" x14ac:dyDescent="0.45">
      <c r="A414">
        <v>413</v>
      </c>
      <c r="B414">
        <v>-60.211750000000002</v>
      </c>
      <c r="C414">
        <v>-149.5446</v>
      </c>
      <c r="D414">
        <v>1013</v>
      </c>
      <c r="E414">
        <v>-60.22401</v>
      </c>
      <c r="F414">
        <v>-149.54175000000001</v>
      </c>
    </row>
    <row r="415" spans="1:6" x14ac:dyDescent="0.45">
      <c r="A415">
        <v>414</v>
      </c>
      <c r="B415">
        <v>-59.913670000000003</v>
      </c>
      <c r="C415">
        <v>6.8497899999999996</v>
      </c>
      <c r="D415">
        <v>1014</v>
      </c>
      <c r="E415">
        <v>-59.921709999999997</v>
      </c>
      <c r="F415">
        <v>6.8356499999999896</v>
      </c>
    </row>
    <row r="416" spans="1:6" x14ac:dyDescent="0.45">
      <c r="A416">
        <v>415</v>
      </c>
      <c r="B416">
        <v>-77.136579999999995</v>
      </c>
      <c r="C416">
        <v>54.015700000000002</v>
      </c>
      <c r="D416">
        <v>1015</v>
      </c>
      <c r="E416">
        <v>-77.140180000000001</v>
      </c>
      <c r="F416">
        <v>54.011600000000001</v>
      </c>
    </row>
    <row r="417" spans="1:6" x14ac:dyDescent="0.45">
      <c r="A417">
        <v>416</v>
      </c>
      <c r="B417">
        <v>-29.75432</v>
      </c>
      <c r="C417">
        <v>121.91710999999999</v>
      </c>
      <c r="D417">
        <v>1016</v>
      </c>
      <c r="E417">
        <v>-29.739920000000001</v>
      </c>
      <c r="F417">
        <v>121.92086</v>
      </c>
    </row>
    <row r="418" spans="1:6" x14ac:dyDescent="0.45">
      <c r="A418">
        <v>417</v>
      </c>
      <c r="B418">
        <v>89.371139999999997</v>
      </c>
      <c r="C418">
        <v>-99.241519999999994</v>
      </c>
      <c r="D418">
        <v>1017</v>
      </c>
      <c r="E418">
        <v>89.373689999999996</v>
      </c>
      <c r="F418">
        <v>-99.257840000000002</v>
      </c>
    </row>
    <row r="419" spans="1:6" x14ac:dyDescent="0.45">
      <c r="A419">
        <v>418</v>
      </c>
      <c r="B419">
        <v>19.44462</v>
      </c>
      <c r="C419">
        <v>70.114400000000003</v>
      </c>
      <c r="D419">
        <v>1018</v>
      </c>
      <c r="E419">
        <v>19.431850000000001</v>
      </c>
      <c r="F419">
        <v>70.130390000000006</v>
      </c>
    </row>
    <row r="420" spans="1:6" x14ac:dyDescent="0.45">
      <c r="A420">
        <v>419</v>
      </c>
      <c r="B420">
        <v>12.11539</v>
      </c>
      <c r="C420">
        <v>-142.04301000000001</v>
      </c>
      <c r="D420">
        <v>1019</v>
      </c>
      <c r="E420">
        <v>12.10069</v>
      </c>
      <c r="F420">
        <v>-142.05652000000001</v>
      </c>
    </row>
    <row r="421" spans="1:6" x14ac:dyDescent="0.45">
      <c r="A421">
        <v>420</v>
      </c>
      <c r="B421">
        <v>18.57124</v>
      </c>
      <c r="C421">
        <v>127.5219</v>
      </c>
      <c r="D421">
        <v>1020</v>
      </c>
      <c r="E421">
        <v>18.559010000000001</v>
      </c>
      <c r="F421">
        <v>127.53417</v>
      </c>
    </row>
    <row r="422" spans="1:6" x14ac:dyDescent="0.45">
      <c r="A422">
        <v>421</v>
      </c>
      <c r="B422">
        <v>-4.56813</v>
      </c>
      <c r="C422">
        <v>117.96935000000001</v>
      </c>
      <c r="D422">
        <v>1021</v>
      </c>
      <c r="E422">
        <v>-4.5796999999999999</v>
      </c>
      <c r="F422">
        <v>117.96642</v>
      </c>
    </row>
    <row r="423" spans="1:6" x14ac:dyDescent="0.45">
      <c r="A423">
        <v>422</v>
      </c>
      <c r="B423">
        <v>2.3120699999999998</v>
      </c>
      <c r="C423">
        <v>93.526420000000002</v>
      </c>
      <c r="D423">
        <v>1022</v>
      </c>
      <c r="E423">
        <v>2.29691</v>
      </c>
      <c r="F423">
        <v>93.53295</v>
      </c>
    </row>
    <row r="424" spans="1:6" x14ac:dyDescent="0.45">
      <c r="A424">
        <v>423</v>
      </c>
      <c r="B424">
        <v>14.01699</v>
      </c>
      <c r="C424">
        <v>-115.60964</v>
      </c>
      <c r="D424">
        <v>1023</v>
      </c>
      <c r="E424">
        <v>14.01942</v>
      </c>
      <c r="F424">
        <v>-115.59381999999999</v>
      </c>
    </row>
    <row r="425" spans="1:6" x14ac:dyDescent="0.45">
      <c r="A425">
        <v>424</v>
      </c>
      <c r="B425">
        <v>-4.3835199999999999</v>
      </c>
      <c r="C425">
        <v>-30.060279999999999</v>
      </c>
      <c r="D425">
        <v>1024</v>
      </c>
      <c r="E425">
        <v>-4.3853699999999902</v>
      </c>
      <c r="F425">
        <v>-30.047789999999999</v>
      </c>
    </row>
    <row r="426" spans="1:6" x14ac:dyDescent="0.45">
      <c r="A426">
        <v>425</v>
      </c>
      <c r="B426">
        <v>75.179220000000001</v>
      </c>
      <c r="C426">
        <v>148.47328999999999</v>
      </c>
      <c r="D426">
        <v>1025</v>
      </c>
      <c r="E426">
        <v>75.16525</v>
      </c>
      <c r="F426">
        <v>148.47783000000001</v>
      </c>
    </row>
    <row r="427" spans="1:6" x14ac:dyDescent="0.45">
      <c r="A427">
        <v>426</v>
      </c>
      <c r="B427">
        <v>58.645299999999999</v>
      </c>
      <c r="C427">
        <v>-57.553820000000002</v>
      </c>
      <c r="D427">
        <v>1026</v>
      </c>
      <c r="E427">
        <v>58.636800000000001</v>
      </c>
      <c r="F427">
        <v>-57.546149999999997</v>
      </c>
    </row>
    <row r="428" spans="1:6" x14ac:dyDescent="0.45">
      <c r="A428">
        <v>427</v>
      </c>
      <c r="B428">
        <v>25.317689999999999</v>
      </c>
      <c r="C428">
        <v>-83.560019999999994</v>
      </c>
      <c r="D428">
        <v>1027</v>
      </c>
      <c r="E428">
        <v>25.330220000000001</v>
      </c>
      <c r="F428">
        <v>-83.569770000000005</v>
      </c>
    </row>
    <row r="429" spans="1:6" x14ac:dyDescent="0.45">
      <c r="A429">
        <v>428</v>
      </c>
      <c r="B429">
        <v>23.195959999999999</v>
      </c>
      <c r="C429">
        <v>103.46209</v>
      </c>
      <c r="D429">
        <v>1028</v>
      </c>
      <c r="E429">
        <v>23.201090000000001</v>
      </c>
      <c r="F429">
        <v>103.47753</v>
      </c>
    </row>
    <row r="430" spans="1:6" x14ac:dyDescent="0.45">
      <c r="A430">
        <v>429</v>
      </c>
      <c r="B430">
        <v>6.0963099999999999</v>
      </c>
      <c r="C430">
        <v>-145.72367</v>
      </c>
      <c r="D430">
        <v>1029</v>
      </c>
      <c r="E430">
        <v>6.1054000000000004</v>
      </c>
      <c r="F430">
        <v>-145.70702</v>
      </c>
    </row>
    <row r="431" spans="1:6" x14ac:dyDescent="0.45">
      <c r="A431">
        <v>430</v>
      </c>
      <c r="B431">
        <v>39.415179999999999</v>
      </c>
      <c r="C431">
        <v>-69.277289999999994</v>
      </c>
      <c r="D431">
        <v>1030</v>
      </c>
      <c r="E431">
        <v>39.424509999999998</v>
      </c>
      <c r="F431">
        <v>-69.269720000000007</v>
      </c>
    </row>
    <row r="432" spans="1:6" x14ac:dyDescent="0.45">
      <c r="A432">
        <v>431</v>
      </c>
      <c r="B432">
        <v>-64.940110000000004</v>
      </c>
      <c r="C432">
        <v>-35.817340000000002</v>
      </c>
      <c r="D432">
        <v>1031</v>
      </c>
      <c r="E432">
        <v>-64.925200000000004</v>
      </c>
      <c r="F432">
        <v>-35.818510000000003</v>
      </c>
    </row>
    <row r="433" spans="1:6" x14ac:dyDescent="0.45">
      <c r="A433">
        <v>432</v>
      </c>
      <c r="B433">
        <v>6.6522899999999998</v>
      </c>
      <c r="C433">
        <v>-54.307290000000002</v>
      </c>
      <c r="D433">
        <v>1032</v>
      </c>
      <c r="E433">
        <v>6.6649799999999999</v>
      </c>
      <c r="F433">
        <v>-54.301430000000003</v>
      </c>
    </row>
    <row r="434" spans="1:6" x14ac:dyDescent="0.45">
      <c r="A434">
        <v>433</v>
      </c>
      <c r="B434">
        <v>74.239410000000007</v>
      </c>
      <c r="C434">
        <v>179.54470000000001</v>
      </c>
      <c r="D434">
        <v>1033</v>
      </c>
      <c r="E434">
        <v>74.23348</v>
      </c>
      <c r="F434">
        <v>179.53985</v>
      </c>
    </row>
    <row r="435" spans="1:6" x14ac:dyDescent="0.45">
      <c r="A435">
        <v>434</v>
      </c>
      <c r="B435">
        <v>78.508849999999995</v>
      </c>
      <c r="C435">
        <v>105.3862</v>
      </c>
      <c r="D435">
        <v>1034</v>
      </c>
      <c r="E435">
        <v>78.503609999999995</v>
      </c>
      <c r="F435">
        <v>105.37600999999999</v>
      </c>
    </row>
    <row r="436" spans="1:6" x14ac:dyDescent="0.45">
      <c r="A436">
        <v>435</v>
      </c>
      <c r="B436">
        <v>21.391670000000001</v>
      </c>
      <c r="C436">
        <v>142.4187</v>
      </c>
      <c r="D436">
        <v>1035</v>
      </c>
      <c r="E436">
        <v>21.399940000000001</v>
      </c>
      <c r="F436">
        <v>142.40584000000001</v>
      </c>
    </row>
    <row r="437" spans="1:6" x14ac:dyDescent="0.45">
      <c r="A437">
        <v>436</v>
      </c>
      <c r="B437">
        <v>56.452249999999999</v>
      </c>
      <c r="C437">
        <v>31.864709999999999</v>
      </c>
      <c r="D437">
        <v>1036</v>
      </c>
      <c r="E437">
        <v>56.461089999999999</v>
      </c>
      <c r="F437">
        <v>31.865680000000001</v>
      </c>
    </row>
    <row r="438" spans="1:6" x14ac:dyDescent="0.45">
      <c r="A438">
        <v>437</v>
      </c>
      <c r="B438">
        <v>-56.815989999999999</v>
      </c>
      <c r="C438">
        <v>102.50293000000001</v>
      </c>
      <c r="D438">
        <v>1037</v>
      </c>
      <c r="E438">
        <v>-56.801220000000001</v>
      </c>
      <c r="F438">
        <v>102.51172</v>
      </c>
    </row>
    <row r="439" spans="1:6" x14ac:dyDescent="0.45">
      <c r="A439">
        <v>438</v>
      </c>
      <c r="B439">
        <v>3.5921099999999999</v>
      </c>
      <c r="C439">
        <v>-66.121020000000001</v>
      </c>
      <c r="D439">
        <v>1038</v>
      </c>
      <c r="E439">
        <v>3.5897700000000001</v>
      </c>
      <c r="F439">
        <v>-66.107330000000005</v>
      </c>
    </row>
    <row r="440" spans="1:6" x14ac:dyDescent="0.45">
      <c r="A440">
        <v>439</v>
      </c>
      <c r="B440">
        <v>3.76294</v>
      </c>
      <c r="C440">
        <v>-163.57273000000001</v>
      </c>
      <c r="D440">
        <v>1039</v>
      </c>
      <c r="E440">
        <v>3.7467999999999901</v>
      </c>
      <c r="F440">
        <v>-163.58038999999999</v>
      </c>
    </row>
    <row r="441" spans="1:6" x14ac:dyDescent="0.45">
      <c r="A441">
        <v>440</v>
      </c>
      <c r="B441">
        <v>79.306939999999997</v>
      </c>
      <c r="C441">
        <v>33.284829999999999</v>
      </c>
      <c r="D441">
        <v>1040</v>
      </c>
      <c r="E441">
        <v>79.30641</v>
      </c>
      <c r="F441">
        <v>33.269520000000099</v>
      </c>
    </row>
    <row r="442" spans="1:6" x14ac:dyDescent="0.45">
      <c r="A442">
        <v>441</v>
      </c>
      <c r="B442">
        <v>52.785359999999997</v>
      </c>
      <c r="C442">
        <v>24.786860000000001</v>
      </c>
      <c r="D442">
        <v>1041</v>
      </c>
      <c r="E442">
        <v>52.79571</v>
      </c>
      <c r="F442">
        <v>24.794979999999999</v>
      </c>
    </row>
    <row r="443" spans="1:6" x14ac:dyDescent="0.45">
      <c r="A443">
        <v>442</v>
      </c>
      <c r="B443">
        <v>-14.77899</v>
      </c>
      <c r="C443">
        <v>168.72504000000001</v>
      </c>
      <c r="D443">
        <v>1042</v>
      </c>
      <c r="E443">
        <v>-14.77366</v>
      </c>
      <c r="F443">
        <v>168.72167999999999</v>
      </c>
    </row>
    <row r="444" spans="1:6" x14ac:dyDescent="0.45">
      <c r="A444">
        <v>443</v>
      </c>
      <c r="B444">
        <v>-76.711770000000001</v>
      </c>
      <c r="C444">
        <v>152.99822</v>
      </c>
      <c r="D444">
        <v>1043</v>
      </c>
      <c r="E444">
        <v>-76.696039999999996</v>
      </c>
      <c r="F444">
        <v>152.98639</v>
      </c>
    </row>
    <row r="445" spans="1:6" x14ac:dyDescent="0.45">
      <c r="A445">
        <v>444</v>
      </c>
      <c r="B445">
        <v>-87.185119999999998</v>
      </c>
      <c r="C445">
        <v>-4.5728299999999997</v>
      </c>
      <c r="D445">
        <v>1044</v>
      </c>
      <c r="E445">
        <v>-87.177499999999995</v>
      </c>
      <c r="F445">
        <v>-4.5648200000000498</v>
      </c>
    </row>
    <row r="446" spans="1:6" x14ac:dyDescent="0.45">
      <c r="A446">
        <v>445</v>
      </c>
      <c r="B446">
        <v>-74.809799999999996</v>
      </c>
      <c r="C446">
        <v>-119.45243000000001</v>
      </c>
      <c r="D446">
        <v>1045</v>
      </c>
      <c r="E446">
        <v>-74.807069999999996</v>
      </c>
      <c r="F446">
        <v>-119.4568</v>
      </c>
    </row>
    <row r="447" spans="1:6" x14ac:dyDescent="0.45">
      <c r="A447">
        <v>446</v>
      </c>
      <c r="B447">
        <v>-39.632620000000003</v>
      </c>
      <c r="C447">
        <v>163.01391000000001</v>
      </c>
      <c r="D447">
        <v>1046</v>
      </c>
      <c r="E447">
        <v>-39.625340000000001</v>
      </c>
      <c r="F447">
        <v>163.00027</v>
      </c>
    </row>
    <row r="448" spans="1:6" x14ac:dyDescent="0.45">
      <c r="A448">
        <v>447</v>
      </c>
      <c r="B448">
        <v>40.855229999999999</v>
      </c>
      <c r="C448">
        <v>149.37409</v>
      </c>
      <c r="D448">
        <v>1047</v>
      </c>
      <c r="E448">
        <v>40.846080000000001</v>
      </c>
      <c r="F448">
        <v>149.37535</v>
      </c>
    </row>
    <row r="449" spans="1:6" x14ac:dyDescent="0.45">
      <c r="A449">
        <v>448</v>
      </c>
      <c r="B449">
        <v>17.782340000000001</v>
      </c>
      <c r="C449">
        <v>-165.09997000000001</v>
      </c>
      <c r="D449">
        <v>1048</v>
      </c>
      <c r="E449">
        <v>17.77101</v>
      </c>
      <c r="F449">
        <v>-165.10229000000001</v>
      </c>
    </row>
    <row r="450" spans="1:6" x14ac:dyDescent="0.45">
      <c r="A450">
        <v>449</v>
      </c>
      <c r="B450">
        <v>-71.849580000000003</v>
      </c>
      <c r="C450">
        <v>164.75148999999999</v>
      </c>
      <c r="D450">
        <v>1049</v>
      </c>
      <c r="E450">
        <v>-71.835279999999997</v>
      </c>
      <c r="F450">
        <v>164.7542</v>
      </c>
    </row>
    <row r="451" spans="1:6" x14ac:dyDescent="0.45">
      <c r="A451">
        <v>450</v>
      </c>
      <c r="B451">
        <v>2.82131</v>
      </c>
      <c r="C451">
        <v>29.210039999999999</v>
      </c>
      <c r="D451">
        <v>1050</v>
      </c>
      <c r="E451">
        <v>2.8199299999999998</v>
      </c>
      <c r="F451">
        <v>29.196370000000002</v>
      </c>
    </row>
    <row r="452" spans="1:6" x14ac:dyDescent="0.45">
      <c r="A452">
        <v>451</v>
      </c>
      <c r="B452">
        <v>55.192619999999998</v>
      </c>
      <c r="C452">
        <v>139.84251</v>
      </c>
      <c r="D452">
        <v>1051</v>
      </c>
      <c r="E452">
        <v>55.192869999999999</v>
      </c>
      <c r="F452">
        <v>139.84404000000001</v>
      </c>
    </row>
    <row r="453" spans="1:6" x14ac:dyDescent="0.45">
      <c r="A453">
        <v>452</v>
      </c>
      <c r="B453">
        <v>-24.45692</v>
      </c>
      <c r="C453">
        <v>-6.3863899999999996</v>
      </c>
      <c r="D453">
        <v>1052</v>
      </c>
      <c r="E453">
        <v>-24.45722</v>
      </c>
      <c r="F453">
        <v>-6.39733999999999</v>
      </c>
    </row>
    <row r="454" spans="1:6" x14ac:dyDescent="0.45">
      <c r="A454">
        <v>453</v>
      </c>
      <c r="B454">
        <v>15.65471</v>
      </c>
      <c r="C454">
        <v>-160.46109000000001</v>
      </c>
      <c r="D454">
        <v>1053</v>
      </c>
      <c r="E454">
        <v>15.668010000000001</v>
      </c>
      <c r="F454">
        <v>-160.46944999999999</v>
      </c>
    </row>
    <row r="455" spans="1:6" x14ac:dyDescent="0.45">
      <c r="A455">
        <v>454</v>
      </c>
      <c r="B455">
        <v>62.698320000000002</v>
      </c>
      <c r="C455">
        <v>-127.27108</v>
      </c>
      <c r="D455">
        <v>1054</v>
      </c>
      <c r="E455">
        <v>62.69576</v>
      </c>
      <c r="F455">
        <v>-127.27967</v>
      </c>
    </row>
    <row r="456" spans="1:6" x14ac:dyDescent="0.45">
      <c r="A456">
        <v>455</v>
      </c>
      <c r="B456">
        <v>5.4274500000000003</v>
      </c>
      <c r="C456">
        <v>-103.73072999999999</v>
      </c>
      <c r="D456">
        <v>1055</v>
      </c>
      <c r="E456">
        <v>5.4354500000000003</v>
      </c>
      <c r="F456">
        <v>-103.73578999999999</v>
      </c>
    </row>
    <row r="457" spans="1:6" x14ac:dyDescent="0.45">
      <c r="A457">
        <v>456</v>
      </c>
      <c r="B457">
        <v>-18.43451</v>
      </c>
      <c r="C457">
        <v>126.04848</v>
      </c>
      <c r="D457">
        <v>1056</v>
      </c>
      <c r="E457">
        <v>-18.418959999999998</v>
      </c>
      <c r="F457">
        <v>126.06346000000001</v>
      </c>
    </row>
    <row r="458" spans="1:6" x14ac:dyDescent="0.45">
      <c r="A458">
        <v>457</v>
      </c>
      <c r="B458">
        <v>77.062939999999998</v>
      </c>
      <c r="C458">
        <v>-82.266030000000001</v>
      </c>
      <c r="D458">
        <v>1057</v>
      </c>
      <c r="E458">
        <v>77.065079999999995</v>
      </c>
      <c r="F458">
        <v>-82.258409999999998</v>
      </c>
    </row>
    <row r="459" spans="1:6" x14ac:dyDescent="0.45">
      <c r="A459">
        <v>458</v>
      </c>
      <c r="B459">
        <v>-14.81948</v>
      </c>
      <c r="C459">
        <v>-162.23168999999999</v>
      </c>
      <c r="D459">
        <v>1058</v>
      </c>
      <c r="E459">
        <v>-14.82006</v>
      </c>
      <c r="F459">
        <v>-162.22567000000001</v>
      </c>
    </row>
    <row r="460" spans="1:6" x14ac:dyDescent="0.45">
      <c r="A460">
        <v>459</v>
      </c>
      <c r="B460">
        <v>49.494030000000002</v>
      </c>
      <c r="C460">
        <v>-40.086910000000003</v>
      </c>
      <c r="D460">
        <v>1059</v>
      </c>
      <c r="E460">
        <v>49.502299999999998</v>
      </c>
      <c r="F460">
        <v>-40.075180000000003</v>
      </c>
    </row>
    <row r="461" spans="1:6" x14ac:dyDescent="0.45">
      <c r="A461">
        <v>460</v>
      </c>
      <c r="B461">
        <v>25.447900000000001</v>
      </c>
      <c r="C461">
        <v>-168.38059000000001</v>
      </c>
      <c r="D461">
        <v>1060</v>
      </c>
      <c r="E461">
        <v>25.450330000000001</v>
      </c>
      <c r="F461">
        <v>-168.37137999999999</v>
      </c>
    </row>
    <row r="462" spans="1:6" x14ac:dyDescent="0.45">
      <c r="A462">
        <v>461</v>
      </c>
      <c r="B462">
        <v>1.2677400000000001</v>
      </c>
      <c r="C462">
        <v>-32.323030000000003</v>
      </c>
      <c r="D462">
        <v>1061</v>
      </c>
      <c r="E462">
        <v>1.25127999999999</v>
      </c>
      <c r="F462">
        <v>-32.32385</v>
      </c>
    </row>
    <row r="463" spans="1:6" x14ac:dyDescent="0.45">
      <c r="A463">
        <v>462</v>
      </c>
      <c r="B463">
        <v>18.417760000000001</v>
      </c>
      <c r="C463">
        <v>-152.83123000000001</v>
      </c>
      <c r="D463">
        <v>1062</v>
      </c>
      <c r="E463">
        <v>18.4071</v>
      </c>
      <c r="F463">
        <v>-152.83159000000001</v>
      </c>
    </row>
    <row r="464" spans="1:6" x14ac:dyDescent="0.45">
      <c r="A464">
        <v>463</v>
      </c>
      <c r="B464">
        <v>3.4719099999999998</v>
      </c>
      <c r="C464">
        <v>-43.696249999999999</v>
      </c>
      <c r="D464">
        <v>1063</v>
      </c>
      <c r="E464">
        <v>3.48285</v>
      </c>
      <c r="F464">
        <v>-43.703949999999999</v>
      </c>
    </row>
    <row r="465" spans="1:6" x14ac:dyDescent="0.45">
      <c r="A465">
        <v>464</v>
      </c>
      <c r="B465">
        <v>24.707519999999999</v>
      </c>
      <c r="C465">
        <v>-38.407380000000003</v>
      </c>
      <c r="D465">
        <v>1064</v>
      </c>
      <c r="E465">
        <v>24.69511</v>
      </c>
      <c r="F465">
        <v>-38.417729999999999</v>
      </c>
    </row>
    <row r="466" spans="1:6" x14ac:dyDescent="0.45">
      <c r="A466">
        <v>465</v>
      </c>
      <c r="B466">
        <v>-66.522019999999998</v>
      </c>
      <c r="C466">
        <v>-15.89439</v>
      </c>
      <c r="D466">
        <v>1065</v>
      </c>
      <c r="E466">
        <v>-66.536630000000002</v>
      </c>
      <c r="F466">
        <v>-15.880409999999999</v>
      </c>
    </row>
    <row r="467" spans="1:6" x14ac:dyDescent="0.45">
      <c r="A467">
        <v>466</v>
      </c>
      <c r="B467">
        <v>72.773300000000006</v>
      </c>
      <c r="C467">
        <v>27.295100000000001</v>
      </c>
      <c r="D467">
        <v>1066</v>
      </c>
      <c r="E467">
        <v>72.786540000000002</v>
      </c>
      <c r="F467">
        <v>27.278549999999999</v>
      </c>
    </row>
    <row r="468" spans="1:6" x14ac:dyDescent="0.45">
      <c r="A468">
        <v>467</v>
      </c>
      <c r="B468">
        <v>73.23706</v>
      </c>
      <c r="C468">
        <v>-64.701459999999997</v>
      </c>
      <c r="D468">
        <v>1067</v>
      </c>
      <c r="E468">
        <v>73.229299999999995</v>
      </c>
      <c r="F468">
        <v>-64.704139999999995</v>
      </c>
    </row>
    <row r="469" spans="1:6" x14ac:dyDescent="0.45">
      <c r="A469">
        <v>468</v>
      </c>
      <c r="B469">
        <v>25.774840000000001</v>
      </c>
      <c r="C469">
        <v>-162.11797000000001</v>
      </c>
      <c r="D469">
        <v>1068</v>
      </c>
      <c r="E469">
        <v>25.788270000000001</v>
      </c>
      <c r="F469">
        <v>-162.12857</v>
      </c>
    </row>
    <row r="470" spans="1:6" x14ac:dyDescent="0.45">
      <c r="A470">
        <v>469</v>
      </c>
      <c r="B470">
        <v>-16.951160000000002</v>
      </c>
      <c r="C470">
        <v>80.837779999999995</v>
      </c>
      <c r="D470">
        <v>1069</v>
      </c>
      <c r="E470">
        <v>-16.949269999999999</v>
      </c>
      <c r="F470">
        <v>80.842320000000001</v>
      </c>
    </row>
    <row r="471" spans="1:6" x14ac:dyDescent="0.45">
      <c r="A471">
        <v>470</v>
      </c>
      <c r="B471">
        <v>3.0989</v>
      </c>
      <c r="C471">
        <v>47.998019999999997</v>
      </c>
      <c r="D471">
        <v>1070</v>
      </c>
      <c r="E471">
        <v>3.1054100000000102</v>
      </c>
      <c r="F471">
        <v>48.005000000000003</v>
      </c>
    </row>
    <row r="472" spans="1:6" x14ac:dyDescent="0.45">
      <c r="A472">
        <v>471</v>
      </c>
      <c r="B472">
        <v>-74.779300000000006</v>
      </c>
      <c r="C472">
        <v>86.325599999999994</v>
      </c>
      <c r="D472">
        <v>1071</v>
      </c>
      <c r="E472">
        <v>-74.790959999999998</v>
      </c>
      <c r="F472">
        <v>86.309099999999901</v>
      </c>
    </row>
    <row r="473" spans="1:6" x14ac:dyDescent="0.45">
      <c r="A473">
        <v>472</v>
      </c>
      <c r="B473">
        <v>83.092399999999998</v>
      </c>
      <c r="C473">
        <v>1.341E-2</v>
      </c>
      <c r="D473">
        <v>1072</v>
      </c>
      <c r="E473">
        <v>83.097160000000002</v>
      </c>
      <c r="F473">
        <v>1.3300000000526801E-3</v>
      </c>
    </row>
    <row r="474" spans="1:6" x14ac:dyDescent="0.45">
      <c r="A474">
        <v>473</v>
      </c>
      <c r="B474">
        <v>-18.602350000000001</v>
      </c>
      <c r="C474">
        <v>-89.789479999999998</v>
      </c>
      <c r="D474">
        <v>1073</v>
      </c>
      <c r="E474">
        <v>-18.603459999999998</v>
      </c>
      <c r="F474">
        <v>-89.805620000000005</v>
      </c>
    </row>
    <row r="475" spans="1:6" x14ac:dyDescent="0.45">
      <c r="A475">
        <v>474</v>
      </c>
      <c r="B475">
        <v>46.249429999999997</v>
      </c>
      <c r="C475">
        <v>42.868259999999999</v>
      </c>
      <c r="D475">
        <v>1074</v>
      </c>
      <c r="E475">
        <v>46.245919999999998</v>
      </c>
      <c r="F475">
        <v>42.869599999999998</v>
      </c>
    </row>
    <row r="476" spans="1:6" x14ac:dyDescent="0.45">
      <c r="A476">
        <v>475</v>
      </c>
      <c r="B476">
        <v>-49.310519999999997</v>
      </c>
      <c r="C476">
        <v>59.918729999999996</v>
      </c>
      <c r="D476">
        <v>1075</v>
      </c>
      <c r="E476">
        <v>-49.30592</v>
      </c>
      <c r="F476">
        <v>59.926160000000003</v>
      </c>
    </row>
    <row r="477" spans="1:6" x14ac:dyDescent="0.45">
      <c r="A477">
        <v>476</v>
      </c>
      <c r="B477">
        <v>-36.255200000000002</v>
      </c>
      <c r="C477">
        <v>-113.85174000000001</v>
      </c>
      <c r="D477">
        <v>1076</v>
      </c>
      <c r="E477">
        <v>-36.267449999999997</v>
      </c>
      <c r="F477">
        <v>-113.86118</v>
      </c>
    </row>
    <row r="478" spans="1:6" x14ac:dyDescent="0.45">
      <c r="A478">
        <v>477</v>
      </c>
      <c r="B478">
        <v>-88.887569999999997</v>
      </c>
      <c r="C478">
        <v>-109.3514</v>
      </c>
      <c r="D478">
        <v>1077</v>
      </c>
      <c r="E478">
        <v>-88.892169999999993</v>
      </c>
      <c r="F478">
        <v>-109.36293000000001</v>
      </c>
    </row>
    <row r="479" spans="1:6" x14ac:dyDescent="0.45">
      <c r="A479">
        <v>478</v>
      </c>
      <c r="B479">
        <v>-14.742050000000001</v>
      </c>
      <c r="C479">
        <v>-79.951920000000001</v>
      </c>
      <c r="D479">
        <v>1078</v>
      </c>
      <c r="E479">
        <v>-14.74389</v>
      </c>
      <c r="F479">
        <v>-79.951059999999998</v>
      </c>
    </row>
    <row r="480" spans="1:6" x14ac:dyDescent="0.45">
      <c r="A480">
        <v>479</v>
      </c>
      <c r="B480">
        <v>-48.245060000000002</v>
      </c>
      <c r="C480">
        <v>-65.124889999999994</v>
      </c>
      <c r="D480">
        <v>1079</v>
      </c>
      <c r="E480">
        <v>-48.250770000000003</v>
      </c>
      <c r="F480">
        <v>-65.111949999999993</v>
      </c>
    </row>
    <row r="481" spans="1:6" x14ac:dyDescent="0.45">
      <c r="A481">
        <v>480</v>
      </c>
      <c r="B481">
        <v>50.44847</v>
      </c>
      <c r="C481">
        <v>179.70865000000001</v>
      </c>
      <c r="D481">
        <v>1080</v>
      </c>
      <c r="E481">
        <v>50.435049999999997</v>
      </c>
      <c r="F481">
        <v>179.70292000000001</v>
      </c>
    </row>
    <row r="482" spans="1:6" x14ac:dyDescent="0.45">
      <c r="A482">
        <v>481</v>
      </c>
      <c r="B482">
        <v>84.651309999999995</v>
      </c>
      <c r="C482">
        <v>137.88408000000001</v>
      </c>
      <c r="D482">
        <v>1081</v>
      </c>
      <c r="E482">
        <v>84.663629999999998</v>
      </c>
      <c r="F482">
        <v>137.88800000000001</v>
      </c>
    </row>
    <row r="483" spans="1:6" x14ac:dyDescent="0.45">
      <c r="A483">
        <v>482</v>
      </c>
      <c r="B483">
        <v>40.485939999999999</v>
      </c>
      <c r="C483">
        <v>91.830160000000006</v>
      </c>
      <c r="D483">
        <v>1082</v>
      </c>
      <c r="E483">
        <v>40.482050000000001</v>
      </c>
      <c r="F483">
        <v>91.817999999999998</v>
      </c>
    </row>
    <row r="484" spans="1:6" x14ac:dyDescent="0.45">
      <c r="A484">
        <v>483</v>
      </c>
      <c r="B484">
        <v>-12.19533</v>
      </c>
      <c r="C484">
        <v>-172.8569</v>
      </c>
      <c r="D484">
        <v>1083</v>
      </c>
      <c r="E484">
        <v>-12.195349999999999</v>
      </c>
      <c r="F484">
        <v>-172.85661999999999</v>
      </c>
    </row>
    <row r="485" spans="1:6" x14ac:dyDescent="0.45">
      <c r="A485">
        <v>484</v>
      </c>
      <c r="B485">
        <v>-39.377989999999997</v>
      </c>
      <c r="C485">
        <v>148.34419</v>
      </c>
      <c r="D485">
        <v>1084</v>
      </c>
      <c r="E485">
        <v>-39.377670000000002</v>
      </c>
      <c r="F485">
        <v>148.35400000000001</v>
      </c>
    </row>
    <row r="486" spans="1:6" x14ac:dyDescent="0.45">
      <c r="A486">
        <v>485</v>
      </c>
      <c r="B486">
        <v>-5.1102600000000002</v>
      </c>
      <c r="C486">
        <v>-45.360810000000001</v>
      </c>
      <c r="D486">
        <v>1085</v>
      </c>
      <c r="E486">
        <v>-5.1181000000000001</v>
      </c>
      <c r="F486">
        <v>-45.346850000000003</v>
      </c>
    </row>
    <row r="487" spans="1:6" x14ac:dyDescent="0.45">
      <c r="A487">
        <v>486</v>
      </c>
      <c r="B487">
        <v>22.790019999999998</v>
      </c>
      <c r="C487">
        <v>-124.90221</v>
      </c>
      <c r="D487">
        <v>1086</v>
      </c>
      <c r="E487">
        <v>22.799029999999998</v>
      </c>
      <c r="F487">
        <v>-124.90714</v>
      </c>
    </row>
    <row r="488" spans="1:6" x14ac:dyDescent="0.45">
      <c r="A488">
        <v>487</v>
      </c>
      <c r="B488">
        <v>83.619240000000005</v>
      </c>
      <c r="C488">
        <v>133.93875</v>
      </c>
      <c r="D488">
        <v>1087</v>
      </c>
      <c r="E488">
        <v>83.610709999999997</v>
      </c>
      <c r="F488">
        <v>133.94125</v>
      </c>
    </row>
    <row r="489" spans="1:6" x14ac:dyDescent="0.45">
      <c r="A489">
        <v>488</v>
      </c>
      <c r="B489">
        <v>77.58775</v>
      </c>
      <c r="C489">
        <v>100.61530999999999</v>
      </c>
      <c r="D489">
        <v>1088</v>
      </c>
      <c r="E489">
        <v>77.602279999999993</v>
      </c>
      <c r="F489">
        <v>100.62383</v>
      </c>
    </row>
    <row r="490" spans="1:6" x14ac:dyDescent="0.45">
      <c r="A490">
        <v>489</v>
      </c>
      <c r="B490">
        <v>31.588640000000002</v>
      </c>
      <c r="C490">
        <v>147.37581</v>
      </c>
      <c r="D490">
        <v>1089</v>
      </c>
      <c r="E490">
        <v>31.588619999999999</v>
      </c>
      <c r="F490">
        <v>147.36421000000001</v>
      </c>
    </row>
    <row r="491" spans="1:6" x14ac:dyDescent="0.45">
      <c r="A491">
        <v>490</v>
      </c>
      <c r="B491">
        <v>-19.62322</v>
      </c>
      <c r="C491">
        <v>-178.74319</v>
      </c>
      <c r="D491">
        <v>1090</v>
      </c>
      <c r="E491">
        <v>-19.611070000000002</v>
      </c>
      <c r="F491">
        <v>-178.73658</v>
      </c>
    </row>
    <row r="492" spans="1:6" x14ac:dyDescent="0.45">
      <c r="A492">
        <v>491</v>
      </c>
      <c r="B492">
        <v>70.463920000000002</v>
      </c>
      <c r="C492">
        <v>-123.86275000000001</v>
      </c>
      <c r="D492">
        <v>1091</v>
      </c>
      <c r="E492">
        <v>70.465059999999994</v>
      </c>
      <c r="F492">
        <v>-123.85974</v>
      </c>
    </row>
    <row r="493" spans="1:6" x14ac:dyDescent="0.45">
      <c r="A493">
        <v>492</v>
      </c>
      <c r="B493">
        <v>12.90451</v>
      </c>
      <c r="C493">
        <v>66.452550000000002</v>
      </c>
      <c r="D493">
        <v>1092</v>
      </c>
      <c r="E493">
        <v>12.896240000000001</v>
      </c>
      <c r="F493">
        <v>66.468689999999995</v>
      </c>
    </row>
    <row r="494" spans="1:6" x14ac:dyDescent="0.45">
      <c r="A494">
        <v>493</v>
      </c>
      <c r="B494">
        <v>-28.81316</v>
      </c>
      <c r="C494">
        <v>9.3418799999999997</v>
      </c>
      <c r="D494">
        <v>1093</v>
      </c>
      <c r="E494">
        <v>-28.814530000000001</v>
      </c>
      <c r="F494">
        <v>9.3367699999999996</v>
      </c>
    </row>
    <row r="495" spans="1:6" x14ac:dyDescent="0.45">
      <c r="A495">
        <v>494</v>
      </c>
      <c r="B495">
        <v>12.26254</v>
      </c>
      <c r="C495">
        <v>-95.605490000000003</v>
      </c>
      <c r="D495">
        <v>1094</v>
      </c>
      <c r="E495">
        <v>12.264290000000001</v>
      </c>
      <c r="F495">
        <v>-95.618639999999999</v>
      </c>
    </row>
    <row r="496" spans="1:6" x14ac:dyDescent="0.45">
      <c r="A496">
        <v>495</v>
      </c>
      <c r="B496">
        <v>-38.911169999999998</v>
      </c>
      <c r="C496">
        <v>-157.9667</v>
      </c>
      <c r="D496">
        <v>1095</v>
      </c>
      <c r="E496">
        <v>-38.926670000000001</v>
      </c>
      <c r="F496">
        <v>-157.95722000000001</v>
      </c>
    </row>
    <row r="497" spans="1:6" x14ac:dyDescent="0.45">
      <c r="A497">
        <v>496</v>
      </c>
      <c r="B497">
        <v>57.40457</v>
      </c>
      <c r="C497">
        <v>-143.43868000000001</v>
      </c>
      <c r="D497">
        <v>1096</v>
      </c>
      <c r="E497">
        <v>57.402410000000003</v>
      </c>
      <c r="F497">
        <v>-143.44842</v>
      </c>
    </row>
    <row r="498" spans="1:6" x14ac:dyDescent="0.45">
      <c r="A498">
        <v>497</v>
      </c>
      <c r="B498">
        <v>-13.688639999999999</v>
      </c>
      <c r="C498">
        <v>152.92078000000001</v>
      </c>
      <c r="D498">
        <v>1097</v>
      </c>
      <c r="E498">
        <v>-13.679270000000001</v>
      </c>
      <c r="F498">
        <v>152.91319999999999</v>
      </c>
    </row>
    <row r="499" spans="1:6" x14ac:dyDescent="0.45">
      <c r="A499">
        <v>498</v>
      </c>
      <c r="B499">
        <v>-18.93075</v>
      </c>
      <c r="C499">
        <v>-9.1449800000000003</v>
      </c>
      <c r="D499">
        <v>1098</v>
      </c>
      <c r="E499">
        <v>-18.925609999999999</v>
      </c>
      <c r="F499">
        <v>-9.1592199999999995</v>
      </c>
    </row>
    <row r="500" spans="1:6" x14ac:dyDescent="0.45">
      <c r="A500">
        <v>499</v>
      </c>
      <c r="B500">
        <v>-85.101470000000006</v>
      </c>
      <c r="C500">
        <v>-37.652180000000001</v>
      </c>
      <c r="D500">
        <v>1099</v>
      </c>
      <c r="E500">
        <v>-85.09648</v>
      </c>
      <c r="F500">
        <v>-37.640430000000002</v>
      </c>
    </row>
    <row r="501" spans="1:6" x14ac:dyDescent="0.45">
      <c r="A501">
        <v>500</v>
      </c>
      <c r="B501">
        <v>43.873179999999998</v>
      </c>
      <c r="C501">
        <v>-15.186170000000001</v>
      </c>
      <c r="D501">
        <v>1100</v>
      </c>
      <c r="E501">
        <v>43.863869999999999</v>
      </c>
      <c r="F501">
        <v>-15.191190000000001</v>
      </c>
    </row>
    <row r="502" spans="1:6" x14ac:dyDescent="0.45">
      <c r="A502">
        <v>501</v>
      </c>
      <c r="B502">
        <v>-7.1382099999999999</v>
      </c>
      <c r="C502">
        <v>43.052140000000001</v>
      </c>
      <c r="D502">
        <v>1101</v>
      </c>
      <c r="E502">
        <v>-7.1384299999999996</v>
      </c>
      <c r="F502">
        <v>43.053280000000001</v>
      </c>
    </row>
    <row r="503" spans="1:6" x14ac:dyDescent="0.45">
      <c r="A503">
        <v>502</v>
      </c>
      <c r="B503">
        <v>-51.1008</v>
      </c>
      <c r="C503">
        <v>26.07132</v>
      </c>
      <c r="D503">
        <v>1102</v>
      </c>
      <c r="E503">
        <v>-51.101260000000003</v>
      </c>
      <c r="F503">
        <v>26.071660000000001</v>
      </c>
    </row>
    <row r="504" spans="1:6" x14ac:dyDescent="0.45">
      <c r="A504">
        <v>503</v>
      </c>
      <c r="B504">
        <v>0.48569000000000001</v>
      </c>
      <c r="C504">
        <v>-57.818860000000001</v>
      </c>
      <c r="D504">
        <v>1103</v>
      </c>
      <c r="E504">
        <v>0.48427999999999799</v>
      </c>
      <c r="F504">
        <v>-57.817619999999998</v>
      </c>
    </row>
    <row r="505" spans="1:6" x14ac:dyDescent="0.45">
      <c r="A505">
        <v>504</v>
      </c>
      <c r="B505">
        <v>58.761620000000001</v>
      </c>
      <c r="C505">
        <v>-33.295389999999998</v>
      </c>
      <c r="D505">
        <v>1104</v>
      </c>
      <c r="E505">
        <v>58.760640000000002</v>
      </c>
      <c r="F505">
        <v>-33.296840000000003</v>
      </c>
    </row>
    <row r="506" spans="1:6" x14ac:dyDescent="0.45">
      <c r="A506">
        <v>505</v>
      </c>
      <c r="B506">
        <v>86.058539999999994</v>
      </c>
      <c r="C506">
        <v>58.567529999999998</v>
      </c>
      <c r="D506">
        <v>1105</v>
      </c>
      <c r="E506">
        <v>86.05762</v>
      </c>
      <c r="F506">
        <v>58.56758</v>
      </c>
    </row>
    <row r="507" spans="1:6" x14ac:dyDescent="0.45">
      <c r="A507">
        <v>506</v>
      </c>
      <c r="B507">
        <v>-39.154330000000002</v>
      </c>
      <c r="C507">
        <v>163.07717</v>
      </c>
      <c r="D507">
        <v>1106</v>
      </c>
      <c r="E507">
        <v>-39.155110000000001</v>
      </c>
      <c r="F507">
        <v>163.07597000000001</v>
      </c>
    </row>
    <row r="508" spans="1:6" x14ac:dyDescent="0.45">
      <c r="A508">
        <v>507</v>
      </c>
      <c r="B508">
        <v>-30.301030000000001</v>
      </c>
      <c r="C508">
        <v>39.062289999999997</v>
      </c>
      <c r="D508">
        <v>1107</v>
      </c>
      <c r="E508">
        <v>-30.302230000000002</v>
      </c>
      <c r="F508">
        <v>39.06268</v>
      </c>
    </row>
    <row r="509" spans="1:6" x14ac:dyDescent="0.45">
      <c r="A509">
        <v>508</v>
      </c>
      <c r="B509">
        <v>67.419740000000004</v>
      </c>
      <c r="C509">
        <v>-16.896070000000002</v>
      </c>
      <c r="D509">
        <v>1108</v>
      </c>
      <c r="E509">
        <v>67.421289999999999</v>
      </c>
      <c r="F509">
        <v>-16.896350000000002</v>
      </c>
    </row>
    <row r="510" spans="1:6" x14ac:dyDescent="0.45">
      <c r="A510">
        <v>509</v>
      </c>
      <c r="B510">
        <v>52.261780000000002</v>
      </c>
      <c r="C510">
        <v>-128.93558999999999</v>
      </c>
      <c r="D510">
        <v>1109</v>
      </c>
      <c r="E510">
        <v>52.260379999999998</v>
      </c>
      <c r="F510">
        <v>-128.93509</v>
      </c>
    </row>
    <row r="511" spans="1:6" x14ac:dyDescent="0.45">
      <c r="A511">
        <v>510</v>
      </c>
      <c r="B511">
        <v>-54.0852</v>
      </c>
      <c r="C511">
        <v>-103.17334</v>
      </c>
      <c r="D511">
        <v>1110</v>
      </c>
      <c r="E511">
        <v>-54.084859999999999</v>
      </c>
      <c r="F511">
        <v>-103.17322</v>
      </c>
    </row>
    <row r="512" spans="1:6" x14ac:dyDescent="0.45">
      <c r="A512">
        <v>511</v>
      </c>
      <c r="B512">
        <v>11.798870000000001</v>
      </c>
      <c r="C512">
        <v>-123.3344</v>
      </c>
      <c r="D512">
        <v>1111</v>
      </c>
      <c r="E512">
        <v>11.7989</v>
      </c>
      <c r="F512">
        <v>-123.33365000000001</v>
      </c>
    </row>
    <row r="513" spans="1:6" x14ac:dyDescent="0.45">
      <c r="A513">
        <v>512</v>
      </c>
      <c r="B513">
        <v>-65.879980000000003</v>
      </c>
      <c r="C513">
        <v>12.37153</v>
      </c>
      <c r="D513">
        <v>1112</v>
      </c>
      <c r="E513">
        <v>-65.879959999999997</v>
      </c>
      <c r="F513">
        <v>12.37303</v>
      </c>
    </row>
    <row r="514" spans="1:6" x14ac:dyDescent="0.45">
      <c r="A514">
        <v>513</v>
      </c>
      <c r="B514">
        <v>25.50694</v>
      </c>
      <c r="C514">
        <v>-48.418329999999997</v>
      </c>
      <c r="D514">
        <v>1113</v>
      </c>
      <c r="E514">
        <v>25.506409999999999</v>
      </c>
      <c r="F514">
        <v>-48.417520000000003</v>
      </c>
    </row>
    <row r="515" spans="1:6" x14ac:dyDescent="0.45">
      <c r="A515">
        <v>514</v>
      </c>
      <c r="B515">
        <v>-84.321169999999995</v>
      </c>
      <c r="C515">
        <v>-58.288170000000001</v>
      </c>
      <c r="D515">
        <v>1114</v>
      </c>
      <c r="E515">
        <v>-84.319969999999998</v>
      </c>
      <c r="F515">
        <v>-58.286900000000003</v>
      </c>
    </row>
    <row r="516" spans="1:6" x14ac:dyDescent="0.45">
      <c r="A516">
        <v>515</v>
      </c>
      <c r="B516">
        <v>-56.620559999999998</v>
      </c>
      <c r="C516">
        <v>-26.25235</v>
      </c>
      <c r="D516">
        <v>1115</v>
      </c>
      <c r="E516">
        <v>-56.618929999999999</v>
      </c>
      <c r="F516">
        <v>-26.251819999999999</v>
      </c>
    </row>
    <row r="517" spans="1:6" x14ac:dyDescent="0.45">
      <c r="A517">
        <v>516</v>
      </c>
      <c r="B517">
        <v>-46.946669999999997</v>
      </c>
      <c r="C517">
        <v>-103.06093</v>
      </c>
      <c r="D517">
        <v>1116</v>
      </c>
      <c r="E517">
        <v>-46.947200000000002</v>
      </c>
      <c r="F517">
        <v>-103.05946</v>
      </c>
    </row>
    <row r="518" spans="1:6" x14ac:dyDescent="0.45">
      <c r="A518">
        <v>517</v>
      </c>
      <c r="B518">
        <v>53.45382</v>
      </c>
      <c r="C518">
        <v>19.879010000000001</v>
      </c>
      <c r="D518">
        <v>1117</v>
      </c>
      <c r="E518">
        <v>53.454859999999996</v>
      </c>
      <c r="F518">
        <v>19.879519999999999</v>
      </c>
    </row>
    <row r="519" spans="1:6" x14ac:dyDescent="0.45">
      <c r="A519">
        <v>518</v>
      </c>
      <c r="B519">
        <v>33.99091</v>
      </c>
      <c r="C519">
        <v>75.149780000000007</v>
      </c>
      <c r="D519">
        <v>1118</v>
      </c>
      <c r="E519">
        <v>33.989879999999999</v>
      </c>
      <c r="F519">
        <v>75.151349999999994</v>
      </c>
    </row>
    <row r="520" spans="1:6" x14ac:dyDescent="0.45">
      <c r="A520">
        <v>519</v>
      </c>
      <c r="B520">
        <v>-53.32526</v>
      </c>
      <c r="C520">
        <v>39.735790000000001</v>
      </c>
      <c r="D520">
        <v>1119</v>
      </c>
      <c r="E520">
        <v>-53.324240000000003</v>
      </c>
      <c r="F520">
        <v>39.734470000000002</v>
      </c>
    </row>
    <row r="521" spans="1:6" x14ac:dyDescent="0.45">
      <c r="A521">
        <v>520</v>
      </c>
      <c r="B521">
        <v>22.478960000000001</v>
      </c>
      <c r="C521">
        <v>-175.04249999999999</v>
      </c>
      <c r="D521">
        <v>1120</v>
      </c>
      <c r="E521">
        <v>22.477550000000001</v>
      </c>
      <c r="F521">
        <v>-175.04356000000001</v>
      </c>
    </row>
    <row r="522" spans="1:6" x14ac:dyDescent="0.45">
      <c r="A522">
        <v>521</v>
      </c>
      <c r="B522">
        <v>-39.14855</v>
      </c>
      <c r="C522">
        <v>113.84887000000001</v>
      </c>
      <c r="D522">
        <v>1121</v>
      </c>
      <c r="E522">
        <v>-39.149769999999997</v>
      </c>
      <c r="F522">
        <v>113.84848</v>
      </c>
    </row>
    <row r="523" spans="1:6" x14ac:dyDescent="0.45">
      <c r="A523">
        <v>522</v>
      </c>
      <c r="B523">
        <v>-15.23931</v>
      </c>
      <c r="C523">
        <v>-124.52155</v>
      </c>
      <c r="D523">
        <v>1122</v>
      </c>
      <c r="E523">
        <v>-15.23865</v>
      </c>
      <c r="F523">
        <v>-124.52158</v>
      </c>
    </row>
    <row r="524" spans="1:6" x14ac:dyDescent="0.45">
      <c r="A524">
        <v>523</v>
      </c>
      <c r="B524">
        <v>9.8937600000000003</v>
      </c>
      <c r="C524">
        <v>-160.16874000000001</v>
      </c>
      <c r="D524">
        <v>1123</v>
      </c>
      <c r="E524">
        <v>9.8933800000000094</v>
      </c>
      <c r="F524">
        <v>-160.16835</v>
      </c>
    </row>
    <row r="525" spans="1:6" x14ac:dyDescent="0.45">
      <c r="A525">
        <v>524</v>
      </c>
      <c r="B525">
        <v>0.93320999999999998</v>
      </c>
      <c r="C525">
        <v>69.211579999999998</v>
      </c>
      <c r="D525">
        <v>1124</v>
      </c>
      <c r="E525">
        <v>0.93219999999999503</v>
      </c>
      <c r="F525">
        <v>69.210130000000007</v>
      </c>
    </row>
    <row r="526" spans="1:6" x14ac:dyDescent="0.45">
      <c r="A526">
        <v>525</v>
      </c>
      <c r="B526">
        <v>9.0167800000000007</v>
      </c>
      <c r="C526">
        <v>-46.973880000000001</v>
      </c>
      <c r="D526">
        <v>1125</v>
      </c>
      <c r="E526">
        <v>9.0157900000000009</v>
      </c>
      <c r="F526">
        <v>-46.974139999999998</v>
      </c>
    </row>
    <row r="527" spans="1:6" x14ac:dyDescent="0.45">
      <c r="A527">
        <v>526</v>
      </c>
      <c r="B527">
        <v>-87.850409999999997</v>
      </c>
      <c r="C527">
        <v>-66.755480000000006</v>
      </c>
      <c r="D527">
        <v>1126</v>
      </c>
      <c r="E527">
        <v>-87.850179999999995</v>
      </c>
      <c r="F527">
        <v>-66.755359999999996</v>
      </c>
    </row>
    <row r="528" spans="1:6" x14ac:dyDescent="0.45">
      <c r="A528">
        <v>527</v>
      </c>
      <c r="B528">
        <v>55.552210000000002</v>
      </c>
      <c r="C528">
        <v>-27.560110000000002</v>
      </c>
      <c r="D528">
        <v>1127</v>
      </c>
      <c r="E528">
        <v>55.552399999999999</v>
      </c>
      <c r="F528">
        <v>-27.5605399999999</v>
      </c>
    </row>
    <row r="529" spans="1:6" x14ac:dyDescent="0.45">
      <c r="A529">
        <v>528</v>
      </c>
      <c r="B529">
        <v>21.896550000000001</v>
      </c>
      <c r="C529">
        <v>-163.30045000000001</v>
      </c>
      <c r="D529">
        <v>1128</v>
      </c>
      <c r="E529">
        <v>21.895309999999998</v>
      </c>
      <c r="F529">
        <v>-163.30119999999999</v>
      </c>
    </row>
    <row r="530" spans="1:6" x14ac:dyDescent="0.45">
      <c r="A530">
        <v>529</v>
      </c>
      <c r="B530">
        <v>-50.84901</v>
      </c>
      <c r="C530">
        <v>-26.023029999999999</v>
      </c>
      <c r="D530">
        <v>1129</v>
      </c>
      <c r="E530">
        <v>-50.848399999999998</v>
      </c>
      <c r="F530">
        <v>-26.0242</v>
      </c>
    </row>
    <row r="531" spans="1:6" x14ac:dyDescent="0.45">
      <c r="A531">
        <v>530</v>
      </c>
      <c r="B531">
        <v>-47.440240000000003</v>
      </c>
      <c r="C531">
        <v>-23.345009999999998</v>
      </c>
      <c r="D531">
        <v>1130</v>
      </c>
      <c r="E531">
        <v>-47.441859999999998</v>
      </c>
      <c r="F531">
        <v>-23.346060000000001</v>
      </c>
    </row>
    <row r="532" spans="1:6" x14ac:dyDescent="0.45">
      <c r="A532">
        <v>531</v>
      </c>
      <c r="B532">
        <v>50.982750000000003</v>
      </c>
      <c r="C532">
        <v>67.050880000000006</v>
      </c>
      <c r="D532">
        <v>1131</v>
      </c>
      <c r="E532">
        <v>50.984229999999997</v>
      </c>
      <c r="F532">
        <v>67.051320000000004</v>
      </c>
    </row>
    <row r="533" spans="1:6" x14ac:dyDescent="0.45">
      <c r="A533">
        <v>532</v>
      </c>
      <c r="B533">
        <v>-60.264620000000001</v>
      </c>
      <c r="C533">
        <v>161.77540999999999</v>
      </c>
      <c r="D533">
        <v>1132</v>
      </c>
      <c r="E533">
        <v>-60.26482</v>
      </c>
      <c r="F533">
        <v>161.77661000000001</v>
      </c>
    </row>
    <row r="534" spans="1:6" x14ac:dyDescent="0.45">
      <c r="A534">
        <v>533</v>
      </c>
      <c r="B534">
        <v>-64.859790000000004</v>
      </c>
      <c r="C534">
        <v>110.19369</v>
      </c>
      <c r="D534">
        <v>1133</v>
      </c>
      <c r="E534">
        <v>-64.859120000000004</v>
      </c>
      <c r="F534">
        <v>110.19413</v>
      </c>
    </row>
    <row r="535" spans="1:6" x14ac:dyDescent="0.45">
      <c r="A535">
        <v>534</v>
      </c>
      <c r="B535">
        <v>-87.725380000000001</v>
      </c>
      <c r="C535">
        <v>114.25215</v>
      </c>
      <c r="D535">
        <v>1134</v>
      </c>
      <c r="E535">
        <v>-87.726039999999998</v>
      </c>
      <c r="F535">
        <v>114.25194999999999</v>
      </c>
    </row>
    <row r="536" spans="1:6" x14ac:dyDescent="0.45">
      <c r="A536">
        <v>535</v>
      </c>
      <c r="B536">
        <v>-21.458410000000001</v>
      </c>
      <c r="C536">
        <v>94.608500000000006</v>
      </c>
      <c r="D536">
        <v>1135</v>
      </c>
      <c r="E536">
        <v>-21.456959999999999</v>
      </c>
      <c r="F536">
        <v>94.608899999999906</v>
      </c>
    </row>
    <row r="537" spans="1:6" x14ac:dyDescent="0.45">
      <c r="A537">
        <v>536</v>
      </c>
      <c r="B537">
        <v>4.68987</v>
      </c>
      <c r="C537">
        <v>-143.43491</v>
      </c>
      <c r="D537">
        <v>1136</v>
      </c>
      <c r="E537">
        <v>4.6914899999999999</v>
      </c>
      <c r="F537">
        <v>-143.43652</v>
      </c>
    </row>
    <row r="538" spans="1:6" x14ac:dyDescent="0.45">
      <c r="A538">
        <v>537</v>
      </c>
      <c r="B538">
        <v>-63.891199999999998</v>
      </c>
      <c r="C538">
        <v>61.013750000000002</v>
      </c>
      <c r="D538">
        <v>1137</v>
      </c>
      <c r="E538">
        <v>-63.890459999999997</v>
      </c>
      <c r="F538">
        <v>61.013849999999998</v>
      </c>
    </row>
    <row r="539" spans="1:6" x14ac:dyDescent="0.45">
      <c r="A539">
        <v>538</v>
      </c>
      <c r="B539">
        <v>44.804020000000001</v>
      </c>
      <c r="C539">
        <v>171.51248000000001</v>
      </c>
      <c r="D539">
        <v>1138</v>
      </c>
      <c r="E539">
        <v>44.804139999999997</v>
      </c>
      <c r="F539">
        <v>171.51219</v>
      </c>
    </row>
    <row r="540" spans="1:6" x14ac:dyDescent="0.45">
      <c r="A540">
        <v>539</v>
      </c>
      <c r="B540">
        <v>4.6884899999999998</v>
      </c>
      <c r="C540">
        <v>87.839410000000001</v>
      </c>
      <c r="D540">
        <v>1139</v>
      </c>
      <c r="E540">
        <v>4.6893900000000004</v>
      </c>
      <c r="F540">
        <v>87.837980000000002</v>
      </c>
    </row>
    <row r="541" spans="1:6" x14ac:dyDescent="0.45">
      <c r="A541">
        <v>540</v>
      </c>
      <c r="B541">
        <v>0.22126000000000001</v>
      </c>
      <c r="C541">
        <v>138.36373</v>
      </c>
      <c r="D541">
        <v>1140</v>
      </c>
      <c r="E541">
        <v>0.219909999999999</v>
      </c>
      <c r="F541">
        <v>138.36501000000001</v>
      </c>
    </row>
    <row r="542" spans="1:6" x14ac:dyDescent="0.45">
      <c r="A542">
        <v>541</v>
      </c>
      <c r="B542">
        <v>-9.2682300000000009</v>
      </c>
      <c r="C542">
        <v>175.48542</v>
      </c>
      <c r="D542">
        <v>1141</v>
      </c>
      <c r="E542">
        <v>-9.2696700000000103</v>
      </c>
      <c r="F542">
        <v>175.48419000000001</v>
      </c>
    </row>
    <row r="543" spans="1:6" x14ac:dyDescent="0.45">
      <c r="A543">
        <v>542</v>
      </c>
      <c r="B543">
        <v>34.507199999999997</v>
      </c>
      <c r="C543">
        <v>-87.873410000000007</v>
      </c>
      <c r="D543">
        <v>1142</v>
      </c>
      <c r="E543">
        <v>34.506250000000001</v>
      </c>
      <c r="F543">
        <v>-87.874719999999996</v>
      </c>
    </row>
    <row r="544" spans="1:6" x14ac:dyDescent="0.45">
      <c r="A544">
        <v>543</v>
      </c>
      <c r="B544">
        <v>-35.9223</v>
      </c>
      <c r="C544">
        <v>-25.483509999999999</v>
      </c>
      <c r="D544">
        <v>1143</v>
      </c>
      <c r="E544">
        <v>-35.923110000000001</v>
      </c>
      <c r="F544">
        <v>-25.48197</v>
      </c>
    </row>
    <row r="545" spans="1:6" x14ac:dyDescent="0.45">
      <c r="A545">
        <v>544</v>
      </c>
      <c r="B545">
        <v>-48.673439999999999</v>
      </c>
      <c r="C545">
        <v>131.04128</v>
      </c>
      <c r="D545">
        <v>1144</v>
      </c>
      <c r="E545">
        <v>-48.67351</v>
      </c>
      <c r="F545">
        <v>131.04103000000001</v>
      </c>
    </row>
    <row r="546" spans="1:6" x14ac:dyDescent="0.45">
      <c r="A546">
        <v>545</v>
      </c>
      <c r="B546">
        <v>77.376769999999993</v>
      </c>
      <c r="C546">
        <v>128.91503</v>
      </c>
      <c r="D546">
        <v>1145</v>
      </c>
      <c r="E546">
        <v>77.37576</v>
      </c>
      <c r="F546">
        <v>128.91604000000001</v>
      </c>
    </row>
    <row r="547" spans="1:6" x14ac:dyDescent="0.45">
      <c r="A547">
        <v>546</v>
      </c>
      <c r="B547">
        <v>-87.696259999999995</v>
      </c>
      <c r="C547">
        <v>52.378459999999997</v>
      </c>
      <c r="D547">
        <v>1146</v>
      </c>
      <c r="E547">
        <v>-87.695849999999993</v>
      </c>
      <c r="F547">
        <v>52.379510000000003</v>
      </c>
    </row>
    <row r="548" spans="1:6" x14ac:dyDescent="0.45">
      <c r="A548">
        <v>547</v>
      </c>
      <c r="B548">
        <v>-86.859710000000007</v>
      </c>
      <c r="C548">
        <v>-77.554940000000002</v>
      </c>
      <c r="D548">
        <v>1147</v>
      </c>
      <c r="E548">
        <v>-86.858170000000001</v>
      </c>
      <c r="F548">
        <v>-77.554090000000002</v>
      </c>
    </row>
    <row r="549" spans="1:6" x14ac:dyDescent="0.45">
      <c r="A549">
        <v>548</v>
      </c>
      <c r="B549">
        <v>22.32029</v>
      </c>
      <c r="C549">
        <v>82.590350000000001</v>
      </c>
      <c r="D549">
        <v>1148</v>
      </c>
      <c r="E549">
        <v>22.319189999999999</v>
      </c>
      <c r="F549">
        <v>82.589699999999993</v>
      </c>
    </row>
    <row r="550" spans="1:6" x14ac:dyDescent="0.45">
      <c r="A550">
        <v>549</v>
      </c>
      <c r="B550">
        <v>-37.656509999999997</v>
      </c>
      <c r="C550">
        <v>69.171620000000004</v>
      </c>
      <c r="D550">
        <v>1149</v>
      </c>
      <c r="E550">
        <v>-37.655340000000002</v>
      </c>
      <c r="F550">
        <v>69.170169999999999</v>
      </c>
    </row>
    <row r="551" spans="1:6" x14ac:dyDescent="0.45">
      <c r="A551">
        <v>550</v>
      </c>
      <c r="B551">
        <v>-64.748620000000003</v>
      </c>
      <c r="C551">
        <v>-51.613059999999997</v>
      </c>
      <c r="D551">
        <v>1150</v>
      </c>
      <c r="E551">
        <v>-64.748620000000003</v>
      </c>
      <c r="F551">
        <v>-51.611829999999998</v>
      </c>
    </row>
    <row r="552" spans="1:6" x14ac:dyDescent="0.45">
      <c r="A552">
        <v>551</v>
      </c>
      <c r="B552">
        <v>-45.503100000000003</v>
      </c>
      <c r="C552">
        <v>130.99893</v>
      </c>
      <c r="D552">
        <v>1151</v>
      </c>
      <c r="E552">
        <v>-45.50177</v>
      </c>
      <c r="F552">
        <v>130.99808999999999</v>
      </c>
    </row>
    <row r="553" spans="1:6" x14ac:dyDescent="0.45">
      <c r="A553">
        <v>552</v>
      </c>
      <c r="B553">
        <v>39.820909999999998</v>
      </c>
      <c r="C553">
        <v>117.20762000000001</v>
      </c>
      <c r="D553">
        <v>1152</v>
      </c>
      <c r="E553">
        <v>39.822099999999999</v>
      </c>
      <c r="F553">
        <v>117.20762999999999</v>
      </c>
    </row>
    <row r="554" spans="1:6" x14ac:dyDescent="0.45">
      <c r="A554">
        <v>553</v>
      </c>
      <c r="B554">
        <v>-59.94482</v>
      </c>
      <c r="C554">
        <v>-99.664619999999999</v>
      </c>
      <c r="D554">
        <v>1153</v>
      </c>
      <c r="E554">
        <v>-59.9452</v>
      </c>
      <c r="F554">
        <v>-99.666079999999994</v>
      </c>
    </row>
    <row r="555" spans="1:6" x14ac:dyDescent="0.45">
      <c r="A555">
        <v>554</v>
      </c>
      <c r="B555">
        <v>-38.392989999999998</v>
      </c>
      <c r="C555">
        <v>-137.47413</v>
      </c>
      <c r="D555">
        <v>1154</v>
      </c>
      <c r="E555">
        <v>-38.393360000000001</v>
      </c>
      <c r="F555">
        <v>-137.47548</v>
      </c>
    </row>
    <row r="556" spans="1:6" x14ac:dyDescent="0.45">
      <c r="A556">
        <v>555</v>
      </c>
      <c r="B556">
        <v>23.46829</v>
      </c>
      <c r="C556">
        <v>39.082700000000003</v>
      </c>
      <c r="D556">
        <v>1155</v>
      </c>
      <c r="E556">
        <v>23.468820000000001</v>
      </c>
      <c r="F556">
        <v>39.083289999999998</v>
      </c>
    </row>
    <row r="557" spans="1:6" x14ac:dyDescent="0.45">
      <c r="A557">
        <v>556</v>
      </c>
      <c r="B557">
        <v>-49.907690000000002</v>
      </c>
      <c r="C557">
        <v>30.808589999999999</v>
      </c>
      <c r="D557">
        <v>1156</v>
      </c>
      <c r="E557">
        <v>-49.908090000000001</v>
      </c>
      <c r="F557">
        <v>30.809439999999999</v>
      </c>
    </row>
    <row r="558" spans="1:6" x14ac:dyDescent="0.45">
      <c r="A558">
        <v>557</v>
      </c>
      <c r="B558">
        <v>-42.444540000000003</v>
      </c>
      <c r="C558">
        <v>137.55591000000001</v>
      </c>
      <c r="D558">
        <v>1157</v>
      </c>
      <c r="E558">
        <v>-42.44388</v>
      </c>
      <c r="F558">
        <v>137.55475000000001</v>
      </c>
    </row>
    <row r="559" spans="1:6" x14ac:dyDescent="0.45">
      <c r="A559">
        <v>558</v>
      </c>
      <c r="B559">
        <v>24.297070000000001</v>
      </c>
      <c r="C559">
        <v>57.05979</v>
      </c>
      <c r="D559">
        <v>1158</v>
      </c>
      <c r="E559">
        <v>24.295570000000001</v>
      </c>
      <c r="F559">
        <v>57.059570000000001</v>
      </c>
    </row>
    <row r="560" spans="1:6" x14ac:dyDescent="0.45">
      <c r="A560">
        <v>559</v>
      </c>
      <c r="B560">
        <v>-8.4226600000000005</v>
      </c>
      <c r="C560">
        <v>-62.467570000000002</v>
      </c>
      <c r="D560">
        <v>1159</v>
      </c>
      <c r="E560">
        <v>-8.4237699999999993</v>
      </c>
      <c r="F560">
        <v>-62.468589999999999</v>
      </c>
    </row>
    <row r="561" spans="1:6" x14ac:dyDescent="0.45">
      <c r="A561">
        <v>560</v>
      </c>
      <c r="B561">
        <v>70.662419999999997</v>
      </c>
      <c r="C561">
        <v>-113.46177</v>
      </c>
      <c r="D561">
        <v>1160</v>
      </c>
      <c r="E561">
        <v>70.661010000000005</v>
      </c>
      <c r="F561">
        <v>-113.46317000000001</v>
      </c>
    </row>
    <row r="562" spans="1:6" x14ac:dyDescent="0.45">
      <c r="A562">
        <v>561</v>
      </c>
      <c r="B562">
        <v>62.566000000000003</v>
      </c>
      <c r="C562">
        <v>176.00112999999999</v>
      </c>
      <c r="D562">
        <v>1161</v>
      </c>
      <c r="E562">
        <v>62.56653</v>
      </c>
      <c r="F562">
        <v>176.00263000000001</v>
      </c>
    </row>
    <row r="563" spans="1:6" x14ac:dyDescent="0.45">
      <c r="A563">
        <v>562</v>
      </c>
      <c r="B563">
        <v>75.147909999999996</v>
      </c>
      <c r="C563">
        <v>43.715119999999999</v>
      </c>
      <c r="D563">
        <v>1162</v>
      </c>
      <c r="E563">
        <v>75.14846</v>
      </c>
      <c r="F563">
        <v>43.716540000000002</v>
      </c>
    </row>
    <row r="564" spans="1:6" x14ac:dyDescent="0.45">
      <c r="A564">
        <v>563</v>
      </c>
      <c r="B564">
        <v>81.150199999999998</v>
      </c>
      <c r="C564">
        <v>127.18482</v>
      </c>
      <c r="D564">
        <v>1163</v>
      </c>
      <c r="E564">
        <v>81.148679999999999</v>
      </c>
      <c r="F564">
        <v>127.18510000000001</v>
      </c>
    </row>
    <row r="565" spans="1:6" x14ac:dyDescent="0.45">
      <c r="A565">
        <v>564</v>
      </c>
      <c r="B565">
        <v>67.420209999999997</v>
      </c>
      <c r="C565">
        <v>13.883150000000001</v>
      </c>
      <c r="D565">
        <v>1164</v>
      </c>
      <c r="E565">
        <v>67.418679999999995</v>
      </c>
      <c r="F565">
        <v>13.8820899999999</v>
      </c>
    </row>
    <row r="566" spans="1:6" x14ac:dyDescent="0.45">
      <c r="A566">
        <v>565</v>
      </c>
      <c r="B566">
        <v>-73.155289999999994</v>
      </c>
      <c r="C566">
        <v>161.82722000000001</v>
      </c>
      <c r="D566">
        <v>1165</v>
      </c>
      <c r="E566">
        <v>-73.155420000000007</v>
      </c>
      <c r="F566">
        <v>161.82714999999999</v>
      </c>
    </row>
    <row r="567" spans="1:6" x14ac:dyDescent="0.45">
      <c r="A567">
        <v>566</v>
      </c>
      <c r="B567">
        <v>41.140039999999999</v>
      </c>
      <c r="C567">
        <v>62.632280000000002</v>
      </c>
      <c r="D567">
        <v>1166</v>
      </c>
      <c r="E567">
        <v>41.140459999999997</v>
      </c>
      <c r="F567">
        <v>62.631129999999999</v>
      </c>
    </row>
    <row r="568" spans="1:6" x14ac:dyDescent="0.45">
      <c r="A568">
        <v>567</v>
      </c>
      <c r="B568">
        <v>-85.355339999999998</v>
      </c>
      <c r="C568">
        <v>-53.217219999999998</v>
      </c>
      <c r="D568">
        <v>1167</v>
      </c>
      <c r="E568">
        <v>-85.35472</v>
      </c>
      <c r="F568">
        <v>-53.217640000000003</v>
      </c>
    </row>
    <row r="569" spans="1:6" x14ac:dyDescent="0.45">
      <c r="A569">
        <v>568</v>
      </c>
      <c r="B569">
        <v>68.745040000000003</v>
      </c>
      <c r="C569">
        <v>20.405180000000001</v>
      </c>
      <c r="D569">
        <v>1168</v>
      </c>
      <c r="E569">
        <v>68.743589999999998</v>
      </c>
      <c r="F569">
        <v>20.403860000000002</v>
      </c>
    </row>
    <row r="570" spans="1:6" x14ac:dyDescent="0.45">
      <c r="A570">
        <v>569</v>
      </c>
      <c r="B570">
        <v>-8.3592399999999998</v>
      </c>
      <c r="C570">
        <v>-153.76204000000001</v>
      </c>
      <c r="D570">
        <v>1169</v>
      </c>
      <c r="E570">
        <v>-8.3578100000000006</v>
      </c>
      <c r="F570">
        <v>-153.76132999999999</v>
      </c>
    </row>
    <row r="571" spans="1:6" x14ac:dyDescent="0.45">
      <c r="A571">
        <v>570</v>
      </c>
      <c r="B571">
        <v>68.881159999999994</v>
      </c>
      <c r="C571">
        <v>-76.59187</v>
      </c>
      <c r="D571">
        <v>1170</v>
      </c>
      <c r="E571">
        <v>68.879530000000003</v>
      </c>
      <c r="F571">
        <v>-76.590649999999997</v>
      </c>
    </row>
    <row r="572" spans="1:6" x14ac:dyDescent="0.45">
      <c r="A572">
        <v>571</v>
      </c>
      <c r="B572">
        <v>-5.2629799999999998</v>
      </c>
      <c r="C572">
        <v>116.89711</v>
      </c>
      <c r="D572">
        <v>1171</v>
      </c>
      <c r="E572">
        <v>-5.2626400000000002</v>
      </c>
      <c r="F572">
        <v>116.89848000000001</v>
      </c>
    </row>
    <row r="573" spans="1:6" x14ac:dyDescent="0.45">
      <c r="A573">
        <v>572</v>
      </c>
      <c r="B573">
        <v>81.034490000000005</v>
      </c>
      <c r="C573">
        <v>-37.409939999999999</v>
      </c>
      <c r="D573">
        <v>1172</v>
      </c>
      <c r="E573">
        <v>81.034229999999994</v>
      </c>
      <c r="F573">
        <v>-37.410400000000003</v>
      </c>
    </row>
    <row r="574" spans="1:6" x14ac:dyDescent="0.45">
      <c r="A574">
        <v>573</v>
      </c>
      <c r="B574">
        <v>-76.24494</v>
      </c>
      <c r="C574">
        <v>-152.00111999999999</v>
      </c>
      <c r="D574">
        <v>1173</v>
      </c>
      <c r="E574">
        <v>-76.244789999999995</v>
      </c>
      <c r="F574">
        <v>-152.00139999999999</v>
      </c>
    </row>
    <row r="575" spans="1:6" x14ac:dyDescent="0.45">
      <c r="A575">
        <v>574</v>
      </c>
      <c r="B575">
        <v>63.575389999999999</v>
      </c>
      <c r="C575">
        <v>49.150149999999996</v>
      </c>
      <c r="D575">
        <v>1174</v>
      </c>
      <c r="E575">
        <v>63.576270000000001</v>
      </c>
      <c r="F575">
        <v>49.150799999999997</v>
      </c>
    </row>
    <row r="576" spans="1:6" x14ac:dyDescent="0.45">
      <c r="A576">
        <v>575</v>
      </c>
      <c r="B576">
        <v>-24.216640000000002</v>
      </c>
      <c r="C576">
        <v>92.246579999999994</v>
      </c>
      <c r="D576">
        <v>1175</v>
      </c>
      <c r="E576">
        <v>-24.21556</v>
      </c>
      <c r="F576">
        <v>92.246359999999996</v>
      </c>
    </row>
    <row r="577" spans="1:6" x14ac:dyDescent="0.45">
      <c r="A577">
        <v>576</v>
      </c>
      <c r="B577">
        <v>20.30921</v>
      </c>
      <c r="C577">
        <v>-50.184229999999999</v>
      </c>
      <c r="D577">
        <v>1176</v>
      </c>
      <c r="E577">
        <v>20.30809</v>
      </c>
      <c r="F577">
        <v>-50.185029999999998</v>
      </c>
    </row>
    <row r="578" spans="1:6" x14ac:dyDescent="0.45">
      <c r="A578">
        <v>577</v>
      </c>
      <c r="B578">
        <v>-25.984220000000001</v>
      </c>
      <c r="C578">
        <v>77.408730000000006</v>
      </c>
      <c r="D578">
        <v>1177</v>
      </c>
      <c r="E578">
        <v>-25.98358</v>
      </c>
      <c r="F578">
        <v>77.409930000000003</v>
      </c>
    </row>
    <row r="579" spans="1:6" x14ac:dyDescent="0.45">
      <c r="A579">
        <v>578</v>
      </c>
      <c r="B579">
        <v>79.588160000000002</v>
      </c>
      <c r="C579">
        <v>15.086510000000001</v>
      </c>
      <c r="D579">
        <v>1178</v>
      </c>
      <c r="E579">
        <v>79.587620000000001</v>
      </c>
      <c r="F579">
        <v>15.08705</v>
      </c>
    </row>
    <row r="580" spans="1:6" x14ac:dyDescent="0.45">
      <c r="A580">
        <v>579</v>
      </c>
      <c r="B580">
        <v>12.869120000000001</v>
      </c>
      <c r="C580">
        <v>145.58537000000001</v>
      </c>
      <c r="D580">
        <v>1179</v>
      </c>
      <c r="E580">
        <v>12.867520000000001</v>
      </c>
      <c r="F580">
        <v>145.58620999999999</v>
      </c>
    </row>
    <row r="581" spans="1:6" x14ac:dyDescent="0.45">
      <c r="A581">
        <v>580</v>
      </c>
      <c r="B581">
        <v>-79.342209999999994</v>
      </c>
      <c r="C581">
        <v>-175.42848000000001</v>
      </c>
      <c r="D581">
        <v>1180</v>
      </c>
      <c r="E581">
        <v>-79.341830000000002</v>
      </c>
      <c r="F581">
        <v>-175.42913999999999</v>
      </c>
    </row>
    <row r="582" spans="1:6" x14ac:dyDescent="0.45">
      <c r="A582">
        <v>581</v>
      </c>
      <c r="B582">
        <v>16.538219999999999</v>
      </c>
      <c r="C582">
        <v>-93.480230000000006</v>
      </c>
      <c r="D582">
        <v>1181</v>
      </c>
      <c r="E582">
        <v>16.537310000000002</v>
      </c>
      <c r="F582">
        <v>-93.479979999999998</v>
      </c>
    </row>
    <row r="583" spans="1:6" x14ac:dyDescent="0.45">
      <c r="A583">
        <v>582</v>
      </c>
      <c r="B583">
        <v>52.948039999999999</v>
      </c>
      <c r="C583">
        <v>-168.578</v>
      </c>
      <c r="D583">
        <v>1182</v>
      </c>
      <c r="E583">
        <v>52.949570000000001</v>
      </c>
      <c r="F583">
        <v>-168.57828000000001</v>
      </c>
    </row>
    <row r="584" spans="1:6" x14ac:dyDescent="0.45">
      <c r="A584">
        <v>583</v>
      </c>
      <c r="B584">
        <v>-60.399009999999997</v>
      </c>
      <c r="C584">
        <v>33.393569999999997</v>
      </c>
      <c r="D584">
        <v>1183</v>
      </c>
      <c r="E584">
        <v>-60.398110000000003</v>
      </c>
      <c r="F584">
        <v>33.394120000000001</v>
      </c>
    </row>
    <row r="585" spans="1:6" x14ac:dyDescent="0.45">
      <c r="A585">
        <v>584</v>
      </c>
      <c r="B585">
        <v>68.595179999999999</v>
      </c>
      <c r="C585">
        <v>-15.328950000000001</v>
      </c>
      <c r="D585">
        <v>1184</v>
      </c>
      <c r="E585">
        <v>68.596100000000007</v>
      </c>
      <c r="F585">
        <v>-15.32948</v>
      </c>
    </row>
    <row r="586" spans="1:6" x14ac:dyDescent="0.45">
      <c r="A586">
        <v>585</v>
      </c>
      <c r="B586">
        <v>16.717369999999999</v>
      </c>
      <c r="C586">
        <v>-64.45478</v>
      </c>
      <c r="D586">
        <v>1185</v>
      </c>
      <c r="E586">
        <v>16.716539999999998</v>
      </c>
      <c r="F586">
        <v>-64.454139999999995</v>
      </c>
    </row>
    <row r="587" spans="1:6" x14ac:dyDescent="0.45">
      <c r="A587">
        <v>586</v>
      </c>
      <c r="B587">
        <v>-46.911709999999999</v>
      </c>
      <c r="C587">
        <v>46.777799999999999</v>
      </c>
      <c r="D587">
        <v>1186</v>
      </c>
      <c r="E587">
        <v>-46.912570000000002</v>
      </c>
      <c r="F587">
        <v>46.776249999999997</v>
      </c>
    </row>
    <row r="588" spans="1:6" x14ac:dyDescent="0.45">
      <c r="A588">
        <v>587</v>
      </c>
      <c r="B588">
        <v>16.603719999999999</v>
      </c>
      <c r="C588">
        <v>75.550070000000005</v>
      </c>
      <c r="D588">
        <v>1187</v>
      </c>
      <c r="E588">
        <v>16.602630000000001</v>
      </c>
      <c r="F588">
        <v>75.551439999999999</v>
      </c>
    </row>
    <row r="589" spans="1:6" x14ac:dyDescent="0.45">
      <c r="A589">
        <v>588</v>
      </c>
      <c r="B589">
        <v>58.533949999999997</v>
      </c>
      <c r="C589">
        <v>89.970410000000001</v>
      </c>
      <c r="D589">
        <v>1188</v>
      </c>
      <c r="E589">
        <v>58.533389999999997</v>
      </c>
      <c r="F589">
        <v>89.97072</v>
      </c>
    </row>
    <row r="590" spans="1:6" x14ac:dyDescent="0.45">
      <c r="A590">
        <v>589</v>
      </c>
      <c r="B590">
        <v>57.740430000000003</v>
      </c>
      <c r="C590">
        <v>-159.04400000000001</v>
      </c>
      <c r="D590">
        <v>1189</v>
      </c>
      <c r="E590">
        <v>57.740819999999999</v>
      </c>
      <c r="F590">
        <v>-159.04281</v>
      </c>
    </row>
    <row r="591" spans="1:6" x14ac:dyDescent="0.45">
      <c r="A591">
        <v>590</v>
      </c>
      <c r="B591">
        <v>-87.302459999999996</v>
      </c>
      <c r="C591">
        <v>-86.171480000000003</v>
      </c>
      <c r="D591">
        <v>1190</v>
      </c>
      <c r="E591">
        <v>-87.303079999999994</v>
      </c>
      <c r="F591">
        <v>-86.17201</v>
      </c>
    </row>
    <row r="592" spans="1:6" x14ac:dyDescent="0.45">
      <c r="A592">
        <v>591</v>
      </c>
      <c r="B592">
        <v>58.555579999999999</v>
      </c>
      <c r="C592">
        <v>152.70925</v>
      </c>
      <c r="D592">
        <v>1191</v>
      </c>
      <c r="E592">
        <v>58.555230000000002</v>
      </c>
      <c r="F592">
        <v>152.70991000000001</v>
      </c>
    </row>
    <row r="593" spans="1:6" x14ac:dyDescent="0.45">
      <c r="A593">
        <v>592</v>
      </c>
      <c r="B593">
        <v>80.975669999999994</v>
      </c>
      <c r="C593">
        <v>125.0956</v>
      </c>
      <c r="D593">
        <v>1192</v>
      </c>
      <c r="E593">
        <v>80.974729999999994</v>
      </c>
      <c r="F593">
        <v>125.09496</v>
      </c>
    </row>
    <row r="594" spans="1:6" x14ac:dyDescent="0.45">
      <c r="A594">
        <v>593</v>
      </c>
      <c r="B594">
        <v>-79.555689999999998</v>
      </c>
      <c r="C594">
        <v>64.291449999999998</v>
      </c>
      <c r="D594">
        <v>1193</v>
      </c>
      <c r="E594">
        <v>-79.554770000000005</v>
      </c>
      <c r="F594">
        <v>64.291349999999994</v>
      </c>
    </row>
    <row r="595" spans="1:6" x14ac:dyDescent="0.45">
      <c r="A595">
        <v>594</v>
      </c>
      <c r="B595">
        <v>4.5747099999999996</v>
      </c>
      <c r="C595">
        <v>-163.26329999999999</v>
      </c>
      <c r="D595">
        <v>1194</v>
      </c>
      <c r="E595">
        <v>4.57317999999999</v>
      </c>
      <c r="F595">
        <v>-163.26361</v>
      </c>
    </row>
    <row r="596" spans="1:6" x14ac:dyDescent="0.45">
      <c r="A596">
        <v>595</v>
      </c>
      <c r="B596">
        <v>-32.586469999999998</v>
      </c>
      <c r="C596">
        <v>55.960810000000002</v>
      </c>
      <c r="D596">
        <v>1195</v>
      </c>
      <c r="E596">
        <v>-32.586919999999999</v>
      </c>
      <c r="F596">
        <v>55.959560000000003</v>
      </c>
    </row>
    <row r="597" spans="1:6" x14ac:dyDescent="0.45">
      <c r="A597">
        <v>596</v>
      </c>
      <c r="B597">
        <v>-44.676169999999999</v>
      </c>
      <c r="C597">
        <v>-52.698720000000002</v>
      </c>
      <c r="D597">
        <v>1196</v>
      </c>
      <c r="E597">
        <v>-44.675960000000003</v>
      </c>
      <c r="F597">
        <v>-52.698650000000001</v>
      </c>
    </row>
    <row r="598" spans="1:6" x14ac:dyDescent="0.45">
      <c r="A598">
        <v>597</v>
      </c>
      <c r="B598">
        <v>-7.11313</v>
      </c>
      <c r="C598">
        <v>-105.12806999999999</v>
      </c>
      <c r="D598">
        <v>1197</v>
      </c>
      <c r="E598">
        <v>-7.11151</v>
      </c>
      <c r="F598">
        <v>-105.12678</v>
      </c>
    </row>
    <row r="599" spans="1:6" x14ac:dyDescent="0.45">
      <c r="A599">
        <v>598</v>
      </c>
      <c r="B599">
        <v>-65.864410000000007</v>
      </c>
      <c r="C599">
        <v>-133.07304999999999</v>
      </c>
      <c r="D599">
        <v>1198</v>
      </c>
      <c r="E599">
        <v>-65.865300000000005</v>
      </c>
      <c r="F599">
        <v>-133.07158999999999</v>
      </c>
    </row>
    <row r="600" spans="1:6" x14ac:dyDescent="0.45">
      <c r="A600">
        <v>599</v>
      </c>
      <c r="B600">
        <v>-55.944409999999998</v>
      </c>
      <c r="C600">
        <v>-81.245199999999997</v>
      </c>
      <c r="D600">
        <v>1199</v>
      </c>
      <c r="E600">
        <v>-55.944229999999997</v>
      </c>
      <c r="F600">
        <v>-81.245419999999996</v>
      </c>
    </row>
    <row r="601" spans="1:6" x14ac:dyDescent="0.45">
      <c r="A601">
        <v>600</v>
      </c>
      <c r="B601">
        <v>-49.165570000000002</v>
      </c>
      <c r="C601">
        <v>-23.230329999999999</v>
      </c>
      <c r="D601">
        <v>1200</v>
      </c>
      <c r="E601">
        <v>-49.164830000000002</v>
      </c>
      <c r="F601">
        <v>-23.230720000000002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8F3061-F533-4F1F-B168-8EE327C0FD9C}">
  <sheetPr codeName="Sheet7"/>
  <dimension ref="A1:I601"/>
  <sheetViews>
    <sheetView workbookViewId="0">
      <selection activeCell="O17" sqref="O17"/>
    </sheetView>
  </sheetViews>
  <sheetFormatPr defaultRowHeight="14.25" x14ac:dyDescent="0.45"/>
  <cols>
    <col min="1" max="1" width="8.265625" bestFit="1" customWidth="1"/>
    <col min="2" max="2" width="9.33203125" bestFit="1" customWidth="1"/>
    <col min="3" max="3" width="10.33203125" bestFit="1" customWidth="1"/>
    <col min="4" max="4" width="8.265625" bestFit="1" customWidth="1"/>
    <col min="5" max="5" width="9.33203125" bestFit="1" customWidth="1"/>
    <col min="6" max="6" width="10.33203125" bestFit="1" customWidth="1"/>
    <col min="7" max="7" width="11.73046875" bestFit="1" customWidth="1"/>
    <col min="8" max="9" width="13.265625" bestFit="1" customWidth="1"/>
  </cols>
  <sheetData>
    <row r="1" spans="1:9" x14ac:dyDescent="0.45">
      <c r="A1" t="s">
        <v>12</v>
      </c>
      <c r="B1" t="s">
        <v>13</v>
      </c>
      <c r="C1" t="s">
        <v>14</v>
      </c>
      <c r="D1" t="s">
        <v>15</v>
      </c>
      <c r="E1" t="s">
        <v>16</v>
      </c>
      <c r="F1" t="s">
        <v>17</v>
      </c>
      <c r="G1" t="s">
        <v>18</v>
      </c>
      <c r="H1" t="s">
        <v>19</v>
      </c>
      <c r="I1" t="s">
        <v>20</v>
      </c>
    </row>
    <row r="2" spans="1:9" x14ac:dyDescent="0.45">
      <c r="A2">
        <v>1</v>
      </c>
      <c r="B2">
        <v>-73.190340000000006</v>
      </c>
      <c r="C2">
        <v>-90.317070000000001</v>
      </c>
      <c r="D2">
        <v>601</v>
      </c>
      <c r="E2">
        <v>-7.6972199999999997</v>
      </c>
      <c r="F2">
        <v>-97.150509999999997</v>
      </c>
      <c r="G2">
        <v>7288125.6960000005</v>
      </c>
      <c r="H2">
        <v>352.55090100000001</v>
      </c>
      <c r="I2">
        <v>177.825232</v>
      </c>
    </row>
    <row r="3" spans="1:9" x14ac:dyDescent="0.45">
      <c r="A3">
        <v>2</v>
      </c>
      <c r="B3">
        <v>-27.462730000000001</v>
      </c>
      <c r="C3">
        <v>64.612369999999999</v>
      </c>
      <c r="D3">
        <v>602</v>
      </c>
      <c r="E3">
        <v>-23.959250000000001</v>
      </c>
      <c r="F3">
        <v>155.74135999999999</v>
      </c>
      <c r="G3">
        <v>8926024.1219999995</v>
      </c>
      <c r="H3">
        <v>112.00920499999999</v>
      </c>
      <c r="I3">
        <v>244.205242</v>
      </c>
    </row>
    <row r="4" spans="1:9" x14ac:dyDescent="0.45">
      <c r="A4">
        <v>3</v>
      </c>
      <c r="B4">
        <v>-83.241240000000005</v>
      </c>
      <c r="C4">
        <v>-117.00995</v>
      </c>
      <c r="D4">
        <v>603</v>
      </c>
      <c r="E4">
        <v>64.205719999999999</v>
      </c>
      <c r="F4">
        <v>121.59592000000001</v>
      </c>
      <c r="G4">
        <v>17441757.002999999</v>
      </c>
      <c r="H4">
        <v>252.15373600000001</v>
      </c>
      <c r="I4">
        <v>165.07228000000001</v>
      </c>
    </row>
    <row r="5" spans="1:9" x14ac:dyDescent="0.45">
      <c r="A5">
        <v>4</v>
      </c>
      <c r="B5">
        <v>-33.339660000000002</v>
      </c>
      <c r="C5">
        <v>-52.979750000000003</v>
      </c>
      <c r="D5">
        <v>604</v>
      </c>
      <c r="E5">
        <v>-18.051110000000001</v>
      </c>
      <c r="F5">
        <v>-51.955039999999997</v>
      </c>
      <c r="G5">
        <v>1696868.6810000001</v>
      </c>
      <c r="H5">
        <v>3.7093980000000002</v>
      </c>
      <c r="I5">
        <v>183.26109</v>
      </c>
    </row>
    <row r="6" spans="1:9" x14ac:dyDescent="0.45">
      <c r="A6">
        <v>5</v>
      </c>
      <c r="B6">
        <v>4.8342999999999998</v>
      </c>
      <c r="C6">
        <v>51.63044</v>
      </c>
      <c r="D6">
        <v>605</v>
      </c>
      <c r="E6">
        <v>31.730799999999999</v>
      </c>
      <c r="F6">
        <v>-136.5581</v>
      </c>
      <c r="G6">
        <v>15866490.843</v>
      </c>
      <c r="H6">
        <v>11.416517000000001</v>
      </c>
      <c r="I6">
        <v>346.60349300000001</v>
      </c>
    </row>
    <row r="7" spans="1:9" x14ac:dyDescent="0.45">
      <c r="A7">
        <v>6</v>
      </c>
      <c r="B7">
        <v>-58.147010000000002</v>
      </c>
      <c r="C7">
        <v>-142.20697000000001</v>
      </c>
      <c r="D7">
        <v>606</v>
      </c>
      <c r="E7">
        <v>-44.846879999999999</v>
      </c>
      <c r="F7">
        <v>-115.80561</v>
      </c>
      <c r="G7">
        <v>2329780.6719999998</v>
      </c>
      <c r="H7">
        <v>62.125920000000001</v>
      </c>
      <c r="I7">
        <v>221.18456699999999</v>
      </c>
    </row>
    <row r="8" spans="1:9" x14ac:dyDescent="0.45">
      <c r="A8">
        <v>7</v>
      </c>
      <c r="B8">
        <v>-14.643140000000001</v>
      </c>
      <c r="C8">
        <v>-168.42304999999999</v>
      </c>
      <c r="D8">
        <v>607</v>
      </c>
      <c r="E8">
        <v>20.68601</v>
      </c>
      <c r="F8">
        <v>125.92728</v>
      </c>
      <c r="G8">
        <v>8171429.8380000005</v>
      </c>
      <c r="H8">
        <v>297.112281</v>
      </c>
      <c r="I8">
        <v>113.02073799999999</v>
      </c>
    </row>
    <row r="9" spans="1:9" x14ac:dyDescent="0.45">
      <c r="A9">
        <v>8</v>
      </c>
      <c r="B9">
        <v>57.651539999999997</v>
      </c>
      <c r="C9">
        <v>157.96238</v>
      </c>
      <c r="D9">
        <v>608</v>
      </c>
      <c r="E9">
        <v>-69.683610000000002</v>
      </c>
      <c r="F9">
        <v>-12.811310000000001</v>
      </c>
      <c r="G9">
        <v>18591406.405000001</v>
      </c>
      <c r="H9">
        <v>194.599198</v>
      </c>
      <c r="I9">
        <v>157.15620200000001</v>
      </c>
    </row>
    <row r="10" spans="1:9" x14ac:dyDescent="0.45">
      <c r="A10">
        <v>9</v>
      </c>
      <c r="B10">
        <v>-1.8526899999999999</v>
      </c>
      <c r="C10">
        <v>113.12232</v>
      </c>
      <c r="D10">
        <v>609</v>
      </c>
      <c r="E10">
        <v>14.288539999999999</v>
      </c>
      <c r="F10">
        <v>-58.398949999999999</v>
      </c>
      <c r="G10">
        <v>18352200.136</v>
      </c>
      <c r="H10">
        <v>327.32052900000002</v>
      </c>
      <c r="I10">
        <v>33.832856</v>
      </c>
    </row>
    <row r="11" spans="1:9" x14ac:dyDescent="0.45">
      <c r="A11">
        <v>10</v>
      </c>
      <c r="B11">
        <v>-34.554499999999997</v>
      </c>
      <c r="C11">
        <v>-89.889120000000005</v>
      </c>
      <c r="D11">
        <v>610</v>
      </c>
      <c r="E11">
        <v>8.9408600000000007</v>
      </c>
      <c r="F11">
        <v>26.80087</v>
      </c>
      <c r="G11">
        <v>13013464.103</v>
      </c>
      <c r="H11">
        <v>98.158765000000002</v>
      </c>
      <c r="I11">
        <v>235.700402</v>
      </c>
    </row>
    <row r="12" spans="1:9" x14ac:dyDescent="0.45">
      <c r="A12">
        <v>11</v>
      </c>
      <c r="B12">
        <v>-40.491390000000003</v>
      </c>
      <c r="C12">
        <v>-52.189729999999997</v>
      </c>
      <c r="D12">
        <v>611</v>
      </c>
      <c r="E12">
        <v>-32.456119999999999</v>
      </c>
      <c r="F12">
        <v>-172.04351</v>
      </c>
      <c r="G12">
        <v>9843902.6370000001</v>
      </c>
      <c r="H12">
        <v>227.01657900000001</v>
      </c>
      <c r="I12">
        <v>138.72842199999999</v>
      </c>
    </row>
    <row r="13" spans="1:9" x14ac:dyDescent="0.45">
      <c r="A13">
        <v>12</v>
      </c>
      <c r="B13">
        <v>-5.8353099999999998</v>
      </c>
      <c r="C13">
        <v>-40.940559999999998</v>
      </c>
      <c r="D13">
        <v>612</v>
      </c>
      <c r="E13">
        <v>58.066690000000001</v>
      </c>
      <c r="F13">
        <v>128.92748</v>
      </c>
      <c r="G13">
        <v>14144633.18</v>
      </c>
      <c r="H13">
        <v>6.6962549999999998</v>
      </c>
      <c r="I13">
        <v>347.36195800000002</v>
      </c>
    </row>
    <row r="14" spans="1:9" x14ac:dyDescent="0.45">
      <c r="A14">
        <v>13</v>
      </c>
      <c r="B14">
        <v>22.30837</v>
      </c>
      <c r="C14">
        <v>-15.412610000000001</v>
      </c>
      <c r="D14">
        <v>613</v>
      </c>
      <c r="E14">
        <v>-77.917240000000007</v>
      </c>
      <c r="F14">
        <v>-21.18674</v>
      </c>
      <c r="G14">
        <v>11126939.108999999</v>
      </c>
      <c r="H14">
        <v>181.23136</v>
      </c>
      <c r="I14">
        <v>5.4351659999999997</v>
      </c>
    </row>
    <row r="15" spans="1:9" x14ac:dyDescent="0.45">
      <c r="A15">
        <v>14</v>
      </c>
      <c r="B15">
        <v>69.170749999999998</v>
      </c>
      <c r="C15">
        <v>-132.38274000000001</v>
      </c>
      <c r="D15">
        <v>614</v>
      </c>
      <c r="E15">
        <v>-7.7923400000000003</v>
      </c>
      <c r="F15">
        <v>-148.41024999999999</v>
      </c>
      <c r="G15">
        <v>8628113.1870000008</v>
      </c>
      <c r="H15">
        <v>196.28734399999999</v>
      </c>
      <c r="I15">
        <v>5.7935379999999999</v>
      </c>
    </row>
    <row r="16" spans="1:9" x14ac:dyDescent="0.45">
      <c r="A16">
        <v>15</v>
      </c>
      <c r="B16">
        <v>-63.510779999999997</v>
      </c>
      <c r="C16">
        <v>97.623270000000005</v>
      </c>
      <c r="D16">
        <v>615</v>
      </c>
      <c r="E16">
        <v>71.74239</v>
      </c>
      <c r="F16">
        <v>116.67794000000001</v>
      </c>
      <c r="G16">
        <v>15078802.085999999</v>
      </c>
      <c r="H16">
        <v>8.4671749999999992</v>
      </c>
      <c r="I16">
        <v>192.09643500000001</v>
      </c>
    </row>
    <row r="17" spans="1:9" x14ac:dyDescent="0.45">
      <c r="A17">
        <v>16</v>
      </c>
      <c r="B17">
        <v>-19.57667</v>
      </c>
      <c r="C17">
        <v>78.649979999999999</v>
      </c>
      <c r="D17">
        <v>616</v>
      </c>
      <c r="E17">
        <v>69.278580000000005</v>
      </c>
      <c r="F17">
        <v>136.25335999999999</v>
      </c>
      <c r="G17">
        <v>10848297.535</v>
      </c>
      <c r="H17">
        <v>17.617183000000001</v>
      </c>
      <c r="I17">
        <v>233.501859</v>
      </c>
    </row>
    <row r="18" spans="1:9" x14ac:dyDescent="0.45">
      <c r="A18">
        <v>17</v>
      </c>
      <c r="B18">
        <v>39.893880000000003</v>
      </c>
      <c r="C18">
        <v>-26.36665</v>
      </c>
      <c r="D18">
        <v>617</v>
      </c>
      <c r="E18">
        <v>43.53266</v>
      </c>
      <c r="F18">
        <v>-1.8880399999999999</v>
      </c>
      <c r="G18">
        <v>2068921.0109999999</v>
      </c>
      <c r="H18">
        <v>70.729945999999998</v>
      </c>
      <c r="I18">
        <v>267.165705</v>
      </c>
    </row>
    <row r="19" spans="1:9" x14ac:dyDescent="0.45">
      <c r="A19">
        <v>18</v>
      </c>
      <c r="B19">
        <v>-81.014600000000002</v>
      </c>
      <c r="C19">
        <v>61.020249999999997</v>
      </c>
      <c r="D19">
        <v>618</v>
      </c>
      <c r="E19">
        <v>39.040280000000003</v>
      </c>
      <c r="F19">
        <v>68.610119999999995</v>
      </c>
      <c r="G19">
        <v>13329277.574999999</v>
      </c>
      <c r="H19">
        <v>6.8190590000000002</v>
      </c>
      <c r="I19">
        <v>181.370766</v>
      </c>
    </row>
    <row r="20" spans="1:9" x14ac:dyDescent="0.45">
      <c r="A20">
        <v>19</v>
      </c>
      <c r="B20">
        <v>-48.464100000000002</v>
      </c>
      <c r="C20">
        <v>142.61760000000001</v>
      </c>
      <c r="D20">
        <v>619</v>
      </c>
      <c r="E20">
        <v>20.164390000000001</v>
      </c>
      <c r="F20">
        <v>-137.13471999999999</v>
      </c>
      <c r="G20">
        <v>10971195.911</v>
      </c>
      <c r="H20">
        <v>69.582145999999995</v>
      </c>
      <c r="I20">
        <v>221.52805799999999</v>
      </c>
    </row>
    <row r="21" spans="1:9" x14ac:dyDescent="0.45">
      <c r="A21">
        <v>20</v>
      </c>
      <c r="B21">
        <v>-11.96942</v>
      </c>
      <c r="C21">
        <v>19.343589999999999</v>
      </c>
      <c r="D21">
        <v>620</v>
      </c>
      <c r="E21">
        <v>-63.417520000000003</v>
      </c>
      <c r="F21">
        <v>71.231399999999994</v>
      </c>
      <c r="G21">
        <v>6990777.0190000003</v>
      </c>
      <c r="H21">
        <v>156.613359</v>
      </c>
      <c r="I21">
        <v>300.05504000000002</v>
      </c>
    </row>
    <row r="22" spans="1:9" x14ac:dyDescent="0.45">
      <c r="A22">
        <v>21</v>
      </c>
      <c r="B22">
        <v>-69.891480000000001</v>
      </c>
      <c r="C22">
        <v>-112.86902000000001</v>
      </c>
      <c r="D22">
        <v>621</v>
      </c>
      <c r="E22">
        <v>14.28862</v>
      </c>
      <c r="F22">
        <v>105.75986</v>
      </c>
      <c r="G22">
        <v>13278834.888</v>
      </c>
      <c r="H22">
        <v>223.92706100000001</v>
      </c>
      <c r="I22">
        <v>165.711693</v>
      </c>
    </row>
    <row r="23" spans="1:9" x14ac:dyDescent="0.45">
      <c r="A23">
        <v>22</v>
      </c>
      <c r="B23">
        <v>-89.175899999999999</v>
      </c>
      <c r="C23">
        <v>154.12210999999999</v>
      </c>
      <c r="D23">
        <v>622</v>
      </c>
      <c r="E23">
        <v>56.214649999999999</v>
      </c>
      <c r="F23">
        <v>-75.161519999999996</v>
      </c>
      <c r="G23">
        <v>16293897.99</v>
      </c>
      <c r="H23">
        <v>129.77213499999999</v>
      </c>
      <c r="I23">
        <v>181.14025799999999</v>
      </c>
    </row>
    <row r="24" spans="1:9" x14ac:dyDescent="0.45">
      <c r="A24">
        <v>23</v>
      </c>
      <c r="B24">
        <v>70.158690000000007</v>
      </c>
      <c r="C24">
        <v>46.310409999999997</v>
      </c>
      <c r="D24">
        <v>623</v>
      </c>
      <c r="E24">
        <v>-3.0710999999999999</v>
      </c>
      <c r="F24">
        <v>-70.828180000000003</v>
      </c>
      <c r="G24">
        <v>11321064.525</v>
      </c>
      <c r="H24">
        <v>294.87584600000002</v>
      </c>
      <c r="I24">
        <v>18.016019</v>
      </c>
    </row>
    <row r="25" spans="1:9" x14ac:dyDescent="0.45">
      <c r="A25">
        <v>24</v>
      </c>
      <c r="B25">
        <v>16.067440000000001</v>
      </c>
      <c r="C25">
        <v>-33.326090000000001</v>
      </c>
      <c r="D25">
        <v>624</v>
      </c>
      <c r="E25">
        <v>-64.480180000000004</v>
      </c>
      <c r="F25">
        <v>108.66274</v>
      </c>
      <c r="G25">
        <v>13912911.091</v>
      </c>
      <c r="H25">
        <v>161.055419</v>
      </c>
      <c r="I25">
        <v>226.24776600000001</v>
      </c>
    </row>
    <row r="26" spans="1:9" x14ac:dyDescent="0.45">
      <c r="A26">
        <v>25</v>
      </c>
      <c r="B26">
        <v>-65.584879999999998</v>
      </c>
      <c r="C26">
        <v>-9.0929599999999997</v>
      </c>
      <c r="D26">
        <v>625</v>
      </c>
      <c r="E26">
        <v>-23.258849999999999</v>
      </c>
      <c r="F26">
        <v>-108.1495</v>
      </c>
      <c r="G26">
        <v>8079548.193</v>
      </c>
      <c r="H26">
        <v>251.919623</v>
      </c>
      <c r="I26">
        <v>154.61737400000001</v>
      </c>
    </row>
    <row r="27" spans="1:9" x14ac:dyDescent="0.45">
      <c r="A27">
        <v>26</v>
      </c>
      <c r="B27">
        <v>51.177770000000002</v>
      </c>
      <c r="C27">
        <v>117.54172</v>
      </c>
      <c r="D27">
        <v>626</v>
      </c>
      <c r="E27">
        <v>-9.3270400000000002</v>
      </c>
      <c r="F27">
        <v>-118.73787</v>
      </c>
      <c r="G27">
        <v>13124386.158</v>
      </c>
      <c r="H27">
        <v>68.204057000000006</v>
      </c>
      <c r="I27">
        <v>323.76923799999997</v>
      </c>
    </row>
    <row r="28" spans="1:9" x14ac:dyDescent="0.45">
      <c r="A28">
        <v>27</v>
      </c>
      <c r="B28">
        <v>73.504499999999993</v>
      </c>
      <c r="C28">
        <v>-166.58958000000001</v>
      </c>
      <c r="D28">
        <v>627</v>
      </c>
      <c r="E28">
        <v>5.8188500000000003</v>
      </c>
      <c r="F28">
        <v>163.43951999999999</v>
      </c>
      <c r="G28">
        <v>7776083.7750000004</v>
      </c>
      <c r="H28">
        <v>211.972455</v>
      </c>
      <c r="I28">
        <v>8.7190940000000001</v>
      </c>
    </row>
    <row r="29" spans="1:9" x14ac:dyDescent="0.45">
      <c r="A29">
        <v>28</v>
      </c>
      <c r="B29">
        <v>-65.198800000000006</v>
      </c>
      <c r="C29">
        <v>-174.18019000000001</v>
      </c>
      <c r="D29">
        <v>628</v>
      </c>
      <c r="E29">
        <v>-28.909610000000001</v>
      </c>
      <c r="F29">
        <v>29.757259999999999</v>
      </c>
      <c r="G29">
        <v>9368637.2489999998</v>
      </c>
      <c r="H29">
        <v>200.895895</v>
      </c>
      <c r="I29">
        <v>170.13944499999999</v>
      </c>
    </row>
    <row r="30" spans="1:9" x14ac:dyDescent="0.45">
      <c r="A30">
        <v>29</v>
      </c>
      <c r="B30">
        <v>-56.731380000000001</v>
      </c>
      <c r="C30">
        <v>-169.91386</v>
      </c>
      <c r="D30">
        <v>629</v>
      </c>
      <c r="E30">
        <v>-69.354529999999997</v>
      </c>
      <c r="F30">
        <v>13.248900000000001</v>
      </c>
      <c r="G30">
        <v>6014625.4720000001</v>
      </c>
      <c r="H30">
        <v>181.380045</v>
      </c>
      <c r="I30">
        <v>177.85385199999999</v>
      </c>
    </row>
    <row r="31" spans="1:9" x14ac:dyDescent="0.45">
      <c r="A31">
        <v>30</v>
      </c>
      <c r="B31">
        <v>-6.88687</v>
      </c>
      <c r="C31">
        <v>-8.0862300000000005</v>
      </c>
      <c r="D31">
        <v>630</v>
      </c>
      <c r="E31">
        <v>-41.409059999999997</v>
      </c>
      <c r="F31">
        <v>-68.357510000000005</v>
      </c>
      <c r="G31">
        <v>7044804.2750000004</v>
      </c>
      <c r="H31">
        <v>226.90728899999999</v>
      </c>
      <c r="I31">
        <v>74.853744000000006</v>
      </c>
    </row>
    <row r="32" spans="1:9" x14ac:dyDescent="0.45">
      <c r="A32">
        <v>31</v>
      </c>
      <c r="B32">
        <v>18.230799999999999</v>
      </c>
      <c r="C32">
        <v>77.88579</v>
      </c>
      <c r="D32">
        <v>631</v>
      </c>
      <c r="E32">
        <v>34.195740000000001</v>
      </c>
      <c r="F32">
        <v>92.443370000000002</v>
      </c>
      <c r="G32">
        <v>2284594.0219999999</v>
      </c>
      <c r="H32">
        <v>36.417644000000003</v>
      </c>
      <c r="I32">
        <v>222.939324</v>
      </c>
    </row>
    <row r="33" spans="1:9" x14ac:dyDescent="0.45">
      <c r="A33">
        <v>32</v>
      </c>
      <c r="B33">
        <v>-43.999510000000001</v>
      </c>
      <c r="C33">
        <v>-106.45717</v>
      </c>
      <c r="D33">
        <v>632</v>
      </c>
      <c r="E33">
        <v>-24.05743</v>
      </c>
      <c r="F33">
        <v>-127.96366999999999</v>
      </c>
      <c r="G33">
        <v>2954440.679</v>
      </c>
      <c r="H33">
        <v>311.44158599999997</v>
      </c>
      <c r="I33">
        <v>143.76015699999999</v>
      </c>
    </row>
    <row r="34" spans="1:9" x14ac:dyDescent="0.45">
      <c r="A34">
        <v>33</v>
      </c>
      <c r="B34">
        <v>67.071370000000002</v>
      </c>
      <c r="C34">
        <v>64.740520000000004</v>
      </c>
      <c r="D34">
        <v>633</v>
      </c>
      <c r="E34">
        <v>-13.068619999999999</v>
      </c>
      <c r="F34">
        <v>97.427769999999995</v>
      </c>
      <c r="G34">
        <v>9276811.591</v>
      </c>
      <c r="H34">
        <v>147.97005100000001</v>
      </c>
      <c r="I34">
        <v>347.72036900000001</v>
      </c>
    </row>
    <row r="35" spans="1:9" x14ac:dyDescent="0.45">
      <c r="A35">
        <v>34</v>
      </c>
      <c r="B35">
        <v>-63.16404</v>
      </c>
      <c r="C35">
        <v>171.13804999999999</v>
      </c>
      <c r="D35">
        <v>634</v>
      </c>
      <c r="E35">
        <v>66.351709999999997</v>
      </c>
      <c r="F35">
        <v>-36.604999999999997</v>
      </c>
      <c r="G35">
        <v>18654328.232000001</v>
      </c>
      <c r="H35">
        <v>62.607588</v>
      </c>
      <c r="I35">
        <v>272.42182100000002</v>
      </c>
    </row>
    <row r="36" spans="1:9" x14ac:dyDescent="0.45">
      <c r="A36">
        <v>35</v>
      </c>
      <c r="B36">
        <v>68.749970000000005</v>
      </c>
      <c r="C36">
        <v>-16.916160000000001</v>
      </c>
      <c r="D36">
        <v>635</v>
      </c>
      <c r="E36">
        <v>-81.489639999999994</v>
      </c>
      <c r="F36">
        <v>-54.97925</v>
      </c>
      <c r="G36">
        <v>16831309.186000001</v>
      </c>
      <c r="H36">
        <v>191.06831700000001</v>
      </c>
      <c r="I36">
        <v>28.034549999999999</v>
      </c>
    </row>
    <row r="37" spans="1:9" x14ac:dyDescent="0.45">
      <c r="A37">
        <v>36</v>
      </c>
      <c r="B37">
        <v>68.798839999999998</v>
      </c>
      <c r="C37">
        <v>-132.99173999999999</v>
      </c>
      <c r="D37">
        <v>636</v>
      </c>
      <c r="E37">
        <v>45.924790000000002</v>
      </c>
      <c r="F37">
        <v>49.90748</v>
      </c>
      <c r="G37">
        <v>7278952.7180000003</v>
      </c>
      <c r="H37">
        <v>357.78118999999998</v>
      </c>
      <c r="I37">
        <v>1.1547190000000001</v>
      </c>
    </row>
    <row r="38" spans="1:9" x14ac:dyDescent="0.45">
      <c r="A38">
        <v>37</v>
      </c>
      <c r="B38">
        <v>46.28192</v>
      </c>
      <c r="C38">
        <v>-68.099469999999997</v>
      </c>
      <c r="D38">
        <v>637</v>
      </c>
      <c r="E38">
        <v>3.9421900000000001</v>
      </c>
      <c r="F38">
        <v>169.94654</v>
      </c>
      <c r="G38">
        <v>12060516.677999999</v>
      </c>
      <c r="H38">
        <v>297.03098799999998</v>
      </c>
      <c r="I38">
        <v>38.180888000000003</v>
      </c>
    </row>
    <row r="39" spans="1:9" x14ac:dyDescent="0.45">
      <c r="A39">
        <v>38</v>
      </c>
      <c r="B39">
        <v>29.880749999999999</v>
      </c>
      <c r="C39">
        <v>43.055280000000003</v>
      </c>
      <c r="D39">
        <v>638</v>
      </c>
      <c r="E39">
        <v>56.306449999999998</v>
      </c>
      <c r="F39">
        <v>37.67671</v>
      </c>
      <c r="G39">
        <v>2966149.7009999999</v>
      </c>
      <c r="H39">
        <v>353.32589100000001</v>
      </c>
      <c r="I39">
        <v>169.54974100000001</v>
      </c>
    </row>
    <row r="40" spans="1:9" x14ac:dyDescent="0.45">
      <c r="A40">
        <v>39</v>
      </c>
      <c r="B40">
        <v>-16.532419999999998</v>
      </c>
      <c r="C40">
        <v>-63.160330000000002</v>
      </c>
      <c r="D40">
        <v>639</v>
      </c>
      <c r="E40">
        <v>-18.927790000000002</v>
      </c>
      <c r="F40">
        <v>58.511189999999999</v>
      </c>
      <c r="G40">
        <v>12533853.741</v>
      </c>
      <c r="H40">
        <v>119.40456399999999</v>
      </c>
      <c r="I40">
        <v>241.98536899999999</v>
      </c>
    </row>
    <row r="41" spans="1:9" x14ac:dyDescent="0.45">
      <c r="A41">
        <v>40</v>
      </c>
      <c r="B41">
        <v>-59.595860000000002</v>
      </c>
      <c r="C41">
        <v>-11.015370000000001</v>
      </c>
      <c r="D41">
        <v>640</v>
      </c>
      <c r="E41">
        <v>-62.377690000000001</v>
      </c>
      <c r="F41">
        <v>36.852679999999999</v>
      </c>
      <c r="G41">
        <v>2549123.5150000001</v>
      </c>
      <c r="H41">
        <v>117.643006</v>
      </c>
      <c r="I41">
        <v>255.20334600000001</v>
      </c>
    </row>
    <row r="42" spans="1:9" x14ac:dyDescent="0.45">
      <c r="A42">
        <v>41</v>
      </c>
      <c r="B42">
        <v>-9.3298799999999993</v>
      </c>
      <c r="C42">
        <v>58.546340000000001</v>
      </c>
      <c r="D42">
        <v>641</v>
      </c>
      <c r="E42">
        <v>36.548920000000003</v>
      </c>
      <c r="F42">
        <v>-49.88832</v>
      </c>
      <c r="G42">
        <v>12271081.063999999</v>
      </c>
      <c r="H42">
        <v>305.56751200000002</v>
      </c>
      <c r="I42">
        <v>86.427136000000004</v>
      </c>
    </row>
    <row r="43" spans="1:9" x14ac:dyDescent="0.45">
      <c r="A43">
        <v>42</v>
      </c>
      <c r="B43">
        <v>-84.074929999999995</v>
      </c>
      <c r="C43">
        <v>-20.868459999999999</v>
      </c>
      <c r="D43">
        <v>642</v>
      </c>
      <c r="E43">
        <v>-88.659310000000005</v>
      </c>
      <c r="F43">
        <v>-77.098910000000004</v>
      </c>
      <c r="G43">
        <v>591727.50899999996</v>
      </c>
      <c r="H43">
        <v>192.160471</v>
      </c>
      <c r="I43">
        <v>68.333260999999993</v>
      </c>
    </row>
    <row r="44" spans="1:9" x14ac:dyDescent="0.45">
      <c r="A44">
        <v>43</v>
      </c>
      <c r="B44">
        <v>-70.928510000000003</v>
      </c>
      <c r="C44">
        <v>-35.97439</v>
      </c>
      <c r="D44">
        <v>643</v>
      </c>
      <c r="E44">
        <v>54.71416</v>
      </c>
      <c r="F44">
        <v>-101.14644</v>
      </c>
      <c r="G44">
        <v>14851083.606000001</v>
      </c>
      <c r="H44">
        <v>313.32251100000002</v>
      </c>
      <c r="I44">
        <v>155.680643</v>
      </c>
    </row>
    <row r="45" spans="1:9" x14ac:dyDescent="0.45">
      <c r="A45">
        <v>44</v>
      </c>
      <c r="B45">
        <v>44.042279999999998</v>
      </c>
      <c r="C45">
        <v>149.45542</v>
      </c>
      <c r="D45">
        <v>644</v>
      </c>
      <c r="E45">
        <v>44.364550000000001</v>
      </c>
      <c r="F45">
        <v>-13.95912</v>
      </c>
      <c r="G45">
        <v>10074604.479</v>
      </c>
      <c r="H45">
        <v>348.23619200000002</v>
      </c>
      <c r="I45">
        <v>11.829041</v>
      </c>
    </row>
    <row r="46" spans="1:9" x14ac:dyDescent="0.45">
      <c r="A46">
        <v>45</v>
      </c>
      <c r="B46">
        <v>-46.165430000000001</v>
      </c>
      <c r="C46">
        <v>-161.16449</v>
      </c>
      <c r="D46">
        <v>645</v>
      </c>
      <c r="E46">
        <v>-31.393419999999999</v>
      </c>
      <c r="F46">
        <v>-53.703870000000002</v>
      </c>
      <c r="G46">
        <v>8754736.1899999995</v>
      </c>
      <c r="H46">
        <v>123.875129</v>
      </c>
      <c r="I46">
        <v>222.39139499999999</v>
      </c>
    </row>
    <row r="47" spans="1:9" x14ac:dyDescent="0.45">
      <c r="A47">
        <v>46</v>
      </c>
      <c r="B47">
        <v>-89.398070000000004</v>
      </c>
      <c r="C47">
        <v>81.868600000000001</v>
      </c>
      <c r="D47">
        <v>646</v>
      </c>
      <c r="E47">
        <v>-13.23263</v>
      </c>
      <c r="F47">
        <v>-96.450230000000005</v>
      </c>
      <c r="G47">
        <v>8605721.7860000003</v>
      </c>
      <c r="H47">
        <v>181.677041</v>
      </c>
      <c r="I47">
        <v>179.98184599999999</v>
      </c>
    </row>
    <row r="48" spans="1:9" x14ac:dyDescent="0.45">
      <c r="A48">
        <v>47</v>
      </c>
      <c r="B48">
        <v>78.9649</v>
      </c>
      <c r="C48">
        <v>64.746480000000005</v>
      </c>
      <c r="D48">
        <v>647</v>
      </c>
      <c r="E48">
        <v>86.207070000000002</v>
      </c>
      <c r="F48">
        <v>-24.311129999999999</v>
      </c>
      <c r="G48">
        <v>1295718.6769999999</v>
      </c>
      <c r="H48">
        <v>340.79708900000003</v>
      </c>
      <c r="I48">
        <v>72.105917000000005</v>
      </c>
    </row>
    <row r="49" spans="1:9" x14ac:dyDescent="0.45">
      <c r="A49">
        <v>48</v>
      </c>
      <c r="B49">
        <v>-55.494799999999998</v>
      </c>
      <c r="C49">
        <v>78.023079999999993</v>
      </c>
      <c r="D49">
        <v>648</v>
      </c>
      <c r="E49">
        <v>79.251220000000004</v>
      </c>
      <c r="F49">
        <v>-129.02636000000001</v>
      </c>
      <c r="G49">
        <v>17177097.931000002</v>
      </c>
      <c r="H49">
        <v>11.417382999999999</v>
      </c>
      <c r="I49">
        <v>323.08101199999999</v>
      </c>
    </row>
    <row r="50" spans="1:9" x14ac:dyDescent="0.45">
      <c r="A50">
        <v>49</v>
      </c>
      <c r="B50">
        <v>22.121279999999999</v>
      </c>
      <c r="C50">
        <v>-121.46489</v>
      </c>
      <c r="D50">
        <v>649</v>
      </c>
      <c r="E50">
        <v>36.995260000000002</v>
      </c>
      <c r="F50">
        <v>133.47765000000001</v>
      </c>
      <c r="G50">
        <v>9805356.2540000007</v>
      </c>
      <c r="H50">
        <v>309.48588999999998</v>
      </c>
      <c r="I50">
        <v>63.447102999999998</v>
      </c>
    </row>
    <row r="51" spans="1:9" x14ac:dyDescent="0.45">
      <c r="A51">
        <v>50</v>
      </c>
      <c r="B51">
        <v>66.243080000000006</v>
      </c>
      <c r="C51">
        <v>-44.368960000000001</v>
      </c>
      <c r="D51">
        <v>650</v>
      </c>
      <c r="E51">
        <v>39.010210000000001</v>
      </c>
      <c r="F51">
        <v>-18.764869999999998</v>
      </c>
      <c r="G51">
        <v>3435870.1129999999</v>
      </c>
      <c r="H51">
        <v>139.05407199999999</v>
      </c>
      <c r="I51">
        <v>340.10653100000002</v>
      </c>
    </row>
    <row r="52" spans="1:9" x14ac:dyDescent="0.45">
      <c r="A52">
        <v>51</v>
      </c>
      <c r="B52">
        <v>-28.940200000000001</v>
      </c>
      <c r="C52">
        <v>154.92586</v>
      </c>
      <c r="D52">
        <v>651</v>
      </c>
      <c r="E52">
        <v>-39.298279999999998</v>
      </c>
      <c r="F52">
        <v>38.95881</v>
      </c>
      <c r="G52">
        <v>9964216.6490000002</v>
      </c>
      <c r="H52">
        <v>224.074761</v>
      </c>
      <c r="I52">
        <v>128.17000100000001</v>
      </c>
    </row>
    <row r="53" spans="1:9" x14ac:dyDescent="0.45">
      <c r="A53">
        <v>52</v>
      </c>
      <c r="B53">
        <v>32.50235</v>
      </c>
      <c r="C53">
        <v>-149.48728</v>
      </c>
      <c r="D53">
        <v>652</v>
      </c>
      <c r="E53">
        <v>76.772989999999993</v>
      </c>
      <c r="F53">
        <v>-106.60453</v>
      </c>
      <c r="G53">
        <v>5384030.2019999996</v>
      </c>
      <c r="H53">
        <v>12.059528999999999</v>
      </c>
      <c r="I53">
        <v>230.20890399999999</v>
      </c>
    </row>
    <row r="54" spans="1:9" x14ac:dyDescent="0.45">
      <c r="A54">
        <v>53</v>
      </c>
      <c r="B54">
        <v>-38.189250000000001</v>
      </c>
      <c r="C54">
        <v>-115.41135</v>
      </c>
      <c r="D54">
        <v>653</v>
      </c>
      <c r="E54">
        <v>-41.625279999999997</v>
      </c>
      <c r="F54">
        <v>170.0462</v>
      </c>
      <c r="G54">
        <v>6179877.6030000001</v>
      </c>
      <c r="H54">
        <v>241.03207800000001</v>
      </c>
      <c r="I54">
        <v>113.113039</v>
      </c>
    </row>
    <row r="55" spans="1:9" x14ac:dyDescent="0.45">
      <c r="A55">
        <v>54</v>
      </c>
      <c r="B55">
        <v>20.636610000000001</v>
      </c>
      <c r="C55">
        <v>-166.07919000000001</v>
      </c>
      <c r="D55">
        <v>654</v>
      </c>
      <c r="E55">
        <v>64.659310000000005</v>
      </c>
      <c r="F55">
        <v>140.75031000000001</v>
      </c>
      <c r="G55">
        <v>6233671.1720000003</v>
      </c>
      <c r="H55">
        <v>335.52466800000002</v>
      </c>
      <c r="I55">
        <v>115.340756</v>
      </c>
    </row>
    <row r="56" spans="1:9" x14ac:dyDescent="0.45">
      <c r="A56">
        <v>55</v>
      </c>
      <c r="B56">
        <v>-87.275670000000005</v>
      </c>
      <c r="C56">
        <v>-40.886800000000001</v>
      </c>
      <c r="D56">
        <v>655</v>
      </c>
      <c r="E56">
        <v>-61.053400000000003</v>
      </c>
      <c r="F56">
        <v>126.21026000000001</v>
      </c>
      <c r="G56">
        <v>3527724.8939999999</v>
      </c>
      <c r="H56">
        <v>168.10032200000001</v>
      </c>
      <c r="I56">
        <v>181.16121000000001</v>
      </c>
    </row>
    <row r="57" spans="1:9" x14ac:dyDescent="0.45">
      <c r="A57">
        <v>56</v>
      </c>
      <c r="B57">
        <v>-65.268349999999998</v>
      </c>
      <c r="C57">
        <v>22.998069999999998</v>
      </c>
      <c r="D57">
        <v>656</v>
      </c>
      <c r="E57">
        <v>-13.56738</v>
      </c>
      <c r="F57">
        <v>116.74199</v>
      </c>
      <c r="G57">
        <v>8818419.3640000001</v>
      </c>
      <c r="H57">
        <v>99.217751000000007</v>
      </c>
      <c r="I57">
        <v>205.208946</v>
      </c>
    </row>
    <row r="58" spans="1:9" x14ac:dyDescent="0.45">
      <c r="A58">
        <v>57</v>
      </c>
      <c r="B58">
        <v>12.131449999999999</v>
      </c>
      <c r="C58">
        <v>-7.6449400000000001</v>
      </c>
      <c r="D58">
        <v>657</v>
      </c>
      <c r="E58">
        <v>3.0405899999999999</v>
      </c>
      <c r="F58">
        <v>-160.11855</v>
      </c>
      <c r="G58">
        <v>16552270.062000001</v>
      </c>
      <c r="H58">
        <v>297.61589700000002</v>
      </c>
      <c r="I58">
        <v>60.184223000000003</v>
      </c>
    </row>
    <row r="59" spans="1:9" x14ac:dyDescent="0.45">
      <c r="A59">
        <v>58</v>
      </c>
      <c r="B59">
        <v>47.686250000000001</v>
      </c>
      <c r="C59">
        <v>52.705010000000001</v>
      </c>
      <c r="D59">
        <v>658</v>
      </c>
      <c r="E59">
        <v>44.657290000000003</v>
      </c>
      <c r="F59">
        <v>149.32464999999999</v>
      </c>
      <c r="G59">
        <v>6949214.2649999997</v>
      </c>
      <c r="H59">
        <v>52.912934999999997</v>
      </c>
      <c r="I59">
        <v>310.96687900000001</v>
      </c>
    </row>
    <row r="60" spans="1:9" x14ac:dyDescent="0.45">
      <c r="A60">
        <v>59</v>
      </c>
      <c r="B60">
        <v>80.821719999999999</v>
      </c>
      <c r="C60">
        <v>54.919280000000001</v>
      </c>
      <c r="D60">
        <v>659</v>
      </c>
      <c r="E60">
        <v>-47.024940000000001</v>
      </c>
      <c r="F60">
        <v>-139.65667999999999</v>
      </c>
      <c r="G60">
        <v>16197045.795</v>
      </c>
      <c r="H60">
        <v>17.764365999999999</v>
      </c>
      <c r="I60">
        <v>355.90002900000002</v>
      </c>
    </row>
    <row r="61" spans="1:9" x14ac:dyDescent="0.45">
      <c r="A61">
        <v>60</v>
      </c>
      <c r="B61">
        <v>55.425759999999997</v>
      </c>
      <c r="C61">
        <v>-86.433049999999994</v>
      </c>
      <c r="D61">
        <v>660</v>
      </c>
      <c r="E61">
        <v>-82.724689999999995</v>
      </c>
      <c r="F61">
        <v>134.173</v>
      </c>
      <c r="G61">
        <v>16726146.300000001</v>
      </c>
      <c r="H61">
        <v>189.67157900000001</v>
      </c>
      <c r="I61">
        <v>131.23160999999999</v>
      </c>
    </row>
    <row r="62" spans="1:9" x14ac:dyDescent="0.45">
      <c r="A62">
        <v>61</v>
      </c>
      <c r="B62">
        <v>18.858260000000001</v>
      </c>
      <c r="C62">
        <v>17.283829999999998</v>
      </c>
      <c r="D62">
        <v>661</v>
      </c>
      <c r="E62">
        <v>56.321370000000002</v>
      </c>
      <c r="F62">
        <v>-163.41587000000001</v>
      </c>
      <c r="G62">
        <v>11673348.671</v>
      </c>
      <c r="H62">
        <v>0.40121699999999999</v>
      </c>
      <c r="I62">
        <v>359.31665500000003</v>
      </c>
    </row>
    <row r="63" spans="1:9" x14ac:dyDescent="0.45">
      <c r="A63">
        <v>62</v>
      </c>
      <c r="B63">
        <v>17.267710000000001</v>
      </c>
      <c r="C63">
        <v>157.71124</v>
      </c>
      <c r="D63">
        <v>662</v>
      </c>
      <c r="E63">
        <v>-81.171559999999999</v>
      </c>
      <c r="F63">
        <v>59.534210000000002</v>
      </c>
      <c r="G63">
        <v>12028828.323999999</v>
      </c>
      <c r="H63">
        <v>189.234859</v>
      </c>
      <c r="I63">
        <v>95.413045999999994</v>
      </c>
    </row>
    <row r="64" spans="1:9" x14ac:dyDescent="0.45">
      <c r="A64">
        <v>63</v>
      </c>
      <c r="B64">
        <v>-26.748480000000001</v>
      </c>
      <c r="C64">
        <v>-149.95332999999999</v>
      </c>
      <c r="D64">
        <v>663</v>
      </c>
      <c r="E64">
        <v>14.54387</v>
      </c>
      <c r="F64">
        <v>83.499619999999993</v>
      </c>
      <c r="G64">
        <v>14339963.471999999</v>
      </c>
      <c r="H64">
        <v>267.23038400000002</v>
      </c>
      <c r="I64">
        <v>112.79356799999999</v>
      </c>
    </row>
    <row r="65" spans="1:9" x14ac:dyDescent="0.45">
      <c r="A65">
        <v>64</v>
      </c>
      <c r="B65">
        <v>1.4743900000000001</v>
      </c>
      <c r="C65">
        <v>-90.107110000000006</v>
      </c>
      <c r="D65">
        <v>664</v>
      </c>
      <c r="E65">
        <v>37.681040000000003</v>
      </c>
      <c r="F65">
        <v>-63.983580000000003</v>
      </c>
      <c r="G65">
        <v>4818719.41</v>
      </c>
      <c r="H65">
        <v>30.599143999999999</v>
      </c>
      <c r="I65">
        <v>219.953294</v>
      </c>
    </row>
    <row r="66" spans="1:9" x14ac:dyDescent="0.45">
      <c r="A66">
        <v>65</v>
      </c>
      <c r="B66">
        <v>19.722549999999998</v>
      </c>
      <c r="C66">
        <v>66.421509999999998</v>
      </c>
      <c r="D66">
        <v>665</v>
      </c>
      <c r="E66">
        <v>80.064130000000006</v>
      </c>
      <c r="F66">
        <v>-12.07429</v>
      </c>
      <c r="G66">
        <v>7633895.7520000003</v>
      </c>
      <c r="H66">
        <v>349.50590699999998</v>
      </c>
      <c r="I66">
        <v>97.780702000000005</v>
      </c>
    </row>
    <row r="67" spans="1:9" x14ac:dyDescent="0.45">
      <c r="A67">
        <v>66</v>
      </c>
      <c r="B67">
        <v>-88.287170000000003</v>
      </c>
      <c r="C67">
        <v>104.3566</v>
      </c>
      <c r="D67">
        <v>666</v>
      </c>
      <c r="E67">
        <v>-27.904769999999999</v>
      </c>
      <c r="F67">
        <v>-58.987259999999999</v>
      </c>
      <c r="G67">
        <v>7097483.6339999996</v>
      </c>
      <c r="H67">
        <v>196.405157</v>
      </c>
      <c r="I67">
        <v>179.45123799999999</v>
      </c>
    </row>
    <row r="68" spans="1:9" x14ac:dyDescent="0.45">
      <c r="A68">
        <v>67</v>
      </c>
      <c r="B68">
        <v>43.514180000000003</v>
      </c>
      <c r="C68">
        <v>-6.9319800000000003</v>
      </c>
      <c r="D68">
        <v>667</v>
      </c>
      <c r="E68">
        <v>-34.248049999999999</v>
      </c>
      <c r="F68">
        <v>-108.17846</v>
      </c>
      <c r="G68">
        <v>13364872.9</v>
      </c>
      <c r="H68">
        <v>250.054666</v>
      </c>
      <c r="I68">
        <v>55.602347000000002</v>
      </c>
    </row>
    <row r="69" spans="1:9" x14ac:dyDescent="0.45">
      <c r="A69">
        <v>68</v>
      </c>
      <c r="B69">
        <v>-42.515039999999999</v>
      </c>
      <c r="C69">
        <v>163.76437000000001</v>
      </c>
      <c r="D69">
        <v>668</v>
      </c>
      <c r="E69">
        <v>14.842280000000001</v>
      </c>
      <c r="F69">
        <v>117.39413999999999</v>
      </c>
      <c r="G69">
        <v>7924499.6140000001</v>
      </c>
      <c r="H69">
        <v>312.26741600000003</v>
      </c>
      <c r="I69">
        <v>145.59546399999999</v>
      </c>
    </row>
    <row r="70" spans="1:9" x14ac:dyDescent="0.45">
      <c r="A70">
        <v>69</v>
      </c>
      <c r="B70">
        <v>53.735129999999998</v>
      </c>
      <c r="C70">
        <v>-89.043620000000004</v>
      </c>
      <c r="D70">
        <v>669</v>
      </c>
      <c r="E70">
        <v>67.825360000000003</v>
      </c>
      <c r="F70">
        <v>-152.99635000000001</v>
      </c>
      <c r="G70">
        <v>3610421.0929999999</v>
      </c>
      <c r="H70">
        <v>320.65978699999999</v>
      </c>
      <c r="I70">
        <v>83.124060999999998</v>
      </c>
    </row>
    <row r="71" spans="1:9" x14ac:dyDescent="0.45">
      <c r="A71">
        <v>70</v>
      </c>
      <c r="B71">
        <v>33.103380000000001</v>
      </c>
      <c r="C71">
        <v>50.5702</v>
      </c>
      <c r="D71">
        <v>670</v>
      </c>
      <c r="E71">
        <v>26.746690000000001</v>
      </c>
      <c r="F71">
        <v>114.93257</v>
      </c>
      <c r="G71">
        <v>6159231.5669999998</v>
      </c>
      <c r="H71">
        <v>78.312658999999996</v>
      </c>
      <c r="I71">
        <v>293.23414600000001</v>
      </c>
    </row>
    <row r="72" spans="1:9" x14ac:dyDescent="0.45">
      <c r="A72">
        <v>71</v>
      </c>
      <c r="B72">
        <v>-43.663649999999997</v>
      </c>
      <c r="C72">
        <v>132.49026000000001</v>
      </c>
      <c r="D72">
        <v>671</v>
      </c>
      <c r="E72">
        <v>46.378810000000001</v>
      </c>
      <c r="F72">
        <v>168.42697999999999</v>
      </c>
      <c r="G72">
        <v>10584894.541999999</v>
      </c>
      <c r="H72">
        <v>24.098102999999998</v>
      </c>
      <c r="I72">
        <v>205.34509499999999</v>
      </c>
    </row>
    <row r="73" spans="1:9" x14ac:dyDescent="0.45">
      <c r="A73">
        <v>72</v>
      </c>
      <c r="B73">
        <v>-83.630170000000007</v>
      </c>
      <c r="C73">
        <v>15.75479</v>
      </c>
      <c r="D73">
        <v>672</v>
      </c>
      <c r="E73">
        <v>-89.423559999999995</v>
      </c>
      <c r="F73">
        <v>-12.167199999999999</v>
      </c>
      <c r="G73">
        <v>655243.68000000005</v>
      </c>
      <c r="H73">
        <v>182.641828</v>
      </c>
      <c r="I73">
        <v>30.548801999999998</v>
      </c>
    </row>
    <row r="74" spans="1:9" x14ac:dyDescent="0.45">
      <c r="A74">
        <v>73</v>
      </c>
      <c r="B74">
        <v>52.384459999999997</v>
      </c>
      <c r="C74">
        <v>175.12577999999999</v>
      </c>
      <c r="D74">
        <v>673</v>
      </c>
      <c r="E74">
        <v>51.062179999999998</v>
      </c>
      <c r="F74">
        <v>133.12858</v>
      </c>
      <c r="G74">
        <v>2864739.09</v>
      </c>
      <c r="H74">
        <v>283.99941799999999</v>
      </c>
      <c r="I74">
        <v>70.458464000000006</v>
      </c>
    </row>
    <row r="75" spans="1:9" x14ac:dyDescent="0.45">
      <c r="A75">
        <v>74</v>
      </c>
      <c r="B75">
        <v>80.156049999999993</v>
      </c>
      <c r="C75">
        <v>20.961569999999998</v>
      </c>
      <c r="D75">
        <v>674</v>
      </c>
      <c r="E75">
        <v>18.229130000000001</v>
      </c>
      <c r="F75">
        <v>6.37317</v>
      </c>
      <c r="G75">
        <v>6924158.0889999997</v>
      </c>
      <c r="H75">
        <v>195.69293200000001</v>
      </c>
      <c r="I75">
        <v>2.7988309999999998</v>
      </c>
    </row>
    <row r="76" spans="1:9" x14ac:dyDescent="0.45">
      <c r="A76">
        <v>75</v>
      </c>
      <c r="B76">
        <v>45.804580000000001</v>
      </c>
      <c r="C76">
        <v>-59.000880000000002</v>
      </c>
      <c r="D76">
        <v>675</v>
      </c>
      <c r="E76">
        <v>85.703500000000005</v>
      </c>
      <c r="F76">
        <v>22.088180000000001</v>
      </c>
      <c r="G76">
        <v>4871626.5669999998</v>
      </c>
      <c r="H76">
        <v>6.1606160000000001</v>
      </c>
      <c r="I76">
        <v>265.530711</v>
      </c>
    </row>
    <row r="77" spans="1:9" x14ac:dyDescent="0.45">
      <c r="A77">
        <v>76</v>
      </c>
      <c r="B77">
        <v>56.180599999999998</v>
      </c>
      <c r="C77">
        <v>79.643960000000007</v>
      </c>
      <c r="D77">
        <v>676</v>
      </c>
      <c r="E77">
        <v>-61.49727</v>
      </c>
      <c r="F77">
        <v>-72.038340000000005</v>
      </c>
      <c r="G77">
        <v>18288955.127</v>
      </c>
      <c r="H77">
        <v>238.210655</v>
      </c>
      <c r="I77">
        <v>97.648892000000004</v>
      </c>
    </row>
    <row r="78" spans="1:9" x14ac:dyDescent="0.45">
      <c r="A78">
        <v>77</v>
      </c>
      <c r="B78">
        <v>47.967190000000002</v>
      </c>
      <c r="C78">
        <v>-62.155740000000002</v>
      </c>
      <c r="D78">
        <v>677</v>
      </c>
      <c r="E78">
        <v>82.888900000000007</v>
      </c>
      <c r="F78">
        <v>69.656450000000007</v>
      </c>
      <c r="G78">
        <v>5243855.9639999997</v>
      </c>
      <c r="H78">
        <v>7.2549720000000004</v>
      </c>
      <c r="I78">
        <v>316.99701399999998</v>
      </c>
    </row>
    <row r="79" spans="1:9" x14ac:dyDescent="0.45">
      <c r="A79">
        <v>78</v>
      </c>
      <c r="B79">
        <v>-24.099620000000002</v>
      </c>
      <c r="C79">
        <v>141.74152000000001</v>
      </c>
      <c r="D79">
        <v>678</v>
      </c>
      <c r="E79">
        <v>-67.926839999999999</v>
      </c>
      <c r="F79">
        <v>-95.958380000000005</v>
      </c>
      <c r="G79">
        <v>8771186.4159999993</v>
      </c>
      <c r="H79">
        <v>161.07259300000001</v>
      </c>
      <c r="I79">
        <v>231.82270600000001</v>
      </c>
    </row>
    <row r="80" spans="1:9" x14ac:dyDescent="0.45">
      <c r="A80">
        <v>79</v>
      </c>
      <c r="B80">
        <v>9.0889999999999999E-2</v>
      </c>
      <c r="C80">
        <v>-41.97739</v>
      </c>
      <c r="D80">
        <v>679</v>
      </c>
      <c r="E80">
        <v>83.372619999999998</v>
      </c>
      <c r="F80">
        <v>61.270099999999999</v>
      </c>
      <c r="G80">
        <v>10161458.526000001</v>
      </c>
      <c r="H80">
        <v>6.4728750000000002</v>
      </c>
      <c r="I80">
        <v>283.20602600000001</v>
      </c>
    </row>
    <row r="81" spans="1:9" x14ac:dyDescent="0.45">
      <c r="A81">
        <v>80</v>
      </c>
      <c r="B81">
        <v>-73.711309999999997</v>
      </c>
      <c r="C81">
        <v>22.66018</v>
      </c>
      <c r="D81">
        <v>680</v>
      </c>
      <c r="E81">
        <v>-46.219499999999996</v>
      </c>
      <c r="F81">
        <v>5.2844899999999999</v>
      </c>
      <c r="G81">
        <v>3183285.9840000002</v>
      </c>
      <c r="H81">
        <v>334.38033899999999</v>
      </c>
      <c r="I81">
        <v>169.891209</v>
      </c>
    </row>
    <row r="82" spans="1:9" x14ac:dyDescent="0.45">
      <c r="A82">
        <v>81</v>
      </c>
      <c r="B82">
        <v>-22.004090000000001</v>
      </c>
      <c r="C82">
        <v>-44.460140000000003</v>
      </c>
      <c r="D82">
        <v>681</v>
      </c>
      <c r="E82">
        <v>29.549019999999999</v>
      </c>
      <c r="F82">
        <v>118.34869</v>
      </c>
      <c r="G82">
        <v>18112446.324000001</v>
      </c>
      <c r="H82">
        <v>60.007978999999999</v>
      </c>
      <c r="I82">
        <v>292.66889700000002</v>
      </c>
    </row>
    <row r="83" spans="1:9" x14ac:dyDescent="0.45">
      <c r="A83">
        <v>82</v>
      </c>
      <c r="B83">
        <v>51.163550000000001</v>
      </c>
      <c r="C83">
        <v>160.15751</v>
      </c>
      <c r="D83">
        <v>682</v>
      </c>
      <c r="E83">
        <v>-16.799499999999998</v>
      </c>
      <c r="F83">
        <v>-174.80132</v>
      </c>
      <c r="G83">
        <v>7914420.6540000001</v>
      </c>
      <c r="H83">
        <v>154.59867</v>
      </c>
      <c r="I83">
        <v>343.65121099999999</v>
      </c>
    </row>
    <row r="84" spans="1:9" x14ac:dyDescent="0.45">
      <c r="A84">
        <v>83</v>
      </c>
      <c r="B84">
        <v>-20.334299999999999</v>
      </c>
      <c r="C84">
        <v>-128.91397000000001</v>
      </c>
      <c r="D84">
        <v>683</v>
      </c>
      <c r="E84">
        <v>-78.716210000000004</v>
      </c>
      <c r="F84">
        <v>33.715420000000002</v>
      </c>
      <c r="G84">
        <v>8958543.5519999992</v>
      </c>
      <c r="H84">
        <v>176.59689800000001</v>
      </c>
      <c r="I84">
        <v>196.47898900000001</v>
      </c>
    </row>
    <row r="85" spans="1:9" x14ac:dyDescent="0.45">
      <c r="A85">
        <v>84</v>
      </c>
      <c r="B85">
        <v>58.311500000000002</v>
      </c>
      <c r="C85">
        <v>96.559979999999996</v>
      </c>
      <c r="D85">
        <v>684</v>
      </c>
      <c r="E85">
        <v>68.625510000000006</v>
      </c>
      <c r="F85">
        <v>-2.8053499999999998</v>
      </c>
      <c r="G85">
        <v>4511895.8569999998</v>
      </c>
      <c r="H85">
        <v>326.31004000000001</v>
      </c>
      <c r="I85">
        <v>53.044671999999998</v>
      </c>
    </row>
    <row r="86" spans="1:9" x14ac:dyDescent="0.45">
      <c r="A86">
        <v>85</v>
      </c>
      <c r="B86">
        <v>-89.463369999999998</v>
      </c>
      <c r="C86">
        <v>112.70292999999999</v>
      </c>
      <c r="D86">
        <v>685</v>
      </c>
      <c r="E86">
        <v>-81.786159999999995</v>
      </c>
      <c r="F86">
        <v>-166.90851000000001</v>
      </c>
      <c r="G86">
        <v>909274.86100000003</v>
      </c>
      <c r="H86">
        <v>84.089584000000002</v>
      </c>
      <c r="I86">
        <v>183.739012</v>
      </c>
    </row>
    <row r="87" spans="1:9" x14ac:dyDescent="0.45">
      <c r="A87">
        <v>86</v>
      </c>
      <c r="B87">
        <v>76.639799999999994</v>
      </c>
      <c r="C87">
        <v>-84.536469999999994</v>
      </c>
      <c r="D87">
        <v>686</v>
      </c>
      <c r="E87">
        <v>-1.82647</v>
      </c>
      <c r="F87">
        <v>75.829409999999996</v>
      </c>
      <c r="G87">
        <v>11607157.092</v>
      </c>
      <c r="H87">
        <v>20.261354000000001</v>
      </c>
      <c r="I87">
        <v>355.39325600000001</v>
      </c>
    </row>
    <row r="88" spans="1:9" x14ac:dyDescent="0.45">
      <c r="A88">
        <v>87</v>
      </c>
      <c r="B88">
        <v>24.83473</v>
      </c>
      <c r="C88">
        <v>-104.82879</v>
      </c>
      <c r="D88">
        <v>687</v>
      </c>
      <c r="E88">
        <v>27.559429999999999</v>
      </c>
      <c r="F88">
        <v>163.46987999999999</v>
      </c>
      <c r="G88">
        <v>8931844.8560000006</v>
      </c>
      <c r="H88">
        <v>295.94901099999998</v>
      </c>
      <c r="I88">
        <v>66.978603000000007</v>
      </c>
    </row>
    <row r="89" spans="1:9" x14ac:dyDescent="0.45">
      <c r="A89">
        <v>88</v>
      </c>
      <c r="B89">
        <v>73.392750000000007</v>
      </c>
      <c r="C89">
        <v>101.94213999999999</v>
      </c>
      <c r="D89">
        <v>688</v>
      </c>
      <c r="E89">
        <v>12.9153</v>
      </c>
      <c r="F89">
        <v>154.44694000000001</v>
      </c>
      <c r="G89">
        <v>7496752.5369999995</v>
      </c>
      <c r="H89">
        <v>123.065147</v>
      </c>
      <c r="I89">
        <v>345.73201999999998</v>
      </c>
    </row>
    <row r="90" spans="1:9" x14ac:dyDescent="0.45">
      <c r="A90">
        <v>89</v>
      </c>
      <c r="B90">
        <v>70.475589999999997</v>
      </c>
      <c r="C90">
        <v>-168.26902999999999</v>
      </c>
      <c r="D90">
        <v>689</v>
      </c>
      <c r="E90">
        <v>-56.33708</v>
      </c>
      <c r="F90">
        <v>100.75642999999999</v>
      </c>
      <c r="G90">
        <v>15762230.515000001</v>
      </c>
      <c r="H90">
        <v>244.203318</v>
      </c>
      <c r="I90">
        <v>32.901947999999997</v>
      </c>
    </row>
    <row r="91" spans="1:9" x14ac:dyDescent="0.45">
      <c r="A91">
        <v>90</v>
      </c>
      <c r="B91">
        <v>-23.364439999999998</v>
      </c>
      <c r="C91">
        <v>-58.086649999999999</v>
      </c>
      <c r="D91">
        <v>690</v>
      </c>
      <c r="E91">
        <v>-80.319149999999993</v>
      </c>
      <c r="F91">
        <v>-108.47099</v>
      </c>
      <c r="G91">
        <v>6754537.3039999995</v>
      </c>
      <c r="H91">
        <v>188.56943200000001</v>
      </c>
      <c r="I91">
        <v>54.215778</v>
      </c>
    </row>
    <row r="92" spans="1:9" x14ac:dyDescent="0.45">
      <c r="A92">
        <v>91</v>
      </c>
      <c r="B92">
        <v>28.44896</v>
      </c>
      <c r="C92">
        <v>-71.63758</v>
      </c>
      <c r="D92">
        <v>691</v>
      </c>
      <c r="E92">
        <v>89.665139999999994</v>
      </c>
      <c r="F92">
        <v>-169.04756</v>
      </c>
      <c r="G92">
        <v>6858651.0719999997</v>
      </c>
      <c r="H92">
        <v>359.62150400000002</v>
      </c>
      <c r="I92">
        <v>82.409108000000003</v>
      </c>
    </row>
    <row r="93" spans="1:9" x14ac:dyDescent="0.45">
      <c r="A93">
        <v>92</v>
      </c>
      <c r="B93">
        <v>8.6846800000000002</v>
      </c>
      <c r="C93">
        <v>-168.56728000000001</v>
      </c>
      <c r="D93">
        <v>692</v>
      </c>
      <c r="E93">
        <v>-67.725549999999998</v>
      </c>
      <c r="F93">
        <v>31.960599999999999</v>
      </c>
      <c r="G93">
        <v>13273425.584000001</v>
      </c>
      <c r="H93">
        <v>188.77827099999999</v>
      </c>
      <c r="I93">
        <v>156.615915</v>
      </c>
    </row>
    <row r="94" spans="1:9" x14ac:dyDescent="0.45">
      <c r="A94">
        <v>93</v>
      </c>
      <c r="B94">
        <v>-67.916240000000002</v>
      </c>
      <c r="C94">
        <v>-62.037520000000001</v>
      </c>
      <c r="D94">
        <v>693</v>
      </c>
      <c r="E94">
        <v>-42.902639999999998</v>
      </c>
      <c r="F94">
        <v>-169.37137999999999</v>
      </c>
      <c r="G94">
        <v>6324868.2450000001</v>
      </c>
      <c r="H94">
        <v>236.730762</v>
      </c>
      <c r="I94">
        <v>154.55147400000001</v>
      </c>
    </row>
    <row r="95" spans="1:9" x14ac:dyDescent="0.45">
      <c r="A95">
        <v>94</v>
      </c>
      <c r="B95">
        <v>8.7875099999999993</v>
      </c>
      <c r="C95">
        <v>12.072699999999999</v>
      </c>
      <c r="D95">
        <v>694</v>
      </c>
      <c r="E95">
        <v>47.915790000000001</v>
      </c>
      <c r="F95">
        <v>178.19513000000001</v>
      </c>
      <c r="G95">
        <v>13576996.58</v>
      </c>
      <c r="H95">
        <v>10.90136</v>
      </c>
      <c r="I95">
        <v>343.83716399999997</v>
      </c>
    </row>
    <row r="96" spans="1:9" x14ac:dyDescent="0.45">
      <c r="A96">
        <v>95</v>
      </c>
      <c r="B96">
        <v>-1.9326099999999999</v>
      </c>
      <c r="C96">
        <v>-49.472799999999999</v>
      </c>
      <c r="D96">
        <v>695</v>
      </c>
      <c r="E96">
        <v>52.702039999999997</v>
      </c>
      <c r="F96">
        <v>-178.83775</v>
      </c>
      <c r="G96">
        <v>12711428.208000001</v>
      </c>
      <c r="H96">
        <v>329.06261799999999</v>
      </c>
      <c r="I96">
        <v>57.793211999999997</v>
      </c>
    </row>
    <row r="97" spans="1:9" x14ac:dyDescent="0.45">
      <c r="A97">
        <v>96</v>
      </c>
      <c r="B97">
        <v>63.471769999999999</v>
      </c>
      <c r="C97">
        <v>15.390420000000001</v>
      </c>
      <c r="D97">
        <v>696</v>
      </c>
      <c r="E97">
        <v>-25.440629999999999</v>
      </c>
      <c r="F97">
        <v>27.824259999999999</v>
      </c>
      <c r="G97">
        <v>9916507.9189999998</v>
      </c>
      <c r="H97">
        <v>168.757003</v>
      </c>
      <c r="I97">
        <v>354.45474200000001</v>
      </c>
    </row>
    <row r="98" spans="1:9" x14ac:dyDescent="0.45">
      <c r="A98">
        <v>97</v>
      </c>
      <c r="B98">
        <v>-19.58109</v>
      </c>
      <c r="C98">
        <v>-91.320509999999999</v>
      </c>
      <c r="D98">
        <v>697</v>
      </c>
      <c r="E98">
        <v>-64.3446</v>
      </c>
      <c r="F98">
        <v>-136.74340000000001</v>
      </c>
      <c r="G98">
        <v>5999956.6229999997</v>
      </c>
      <c r="H98">
        <v>202.50112999999999</v>
      </c>
      <c r="I98">
        <v>56.186104</v>
      </c>
    </row>
    <row r="99" spans="1:9" x14ac:dyDescent="0.45">
      <c r="A99">
        <v>98</v>
      </c>
      <c r="B99">
        <v>-2.5715300000000001</v>
      </c>
      <c r="C99">
        <v>-1.34456</v>
      </c>
      <c r="D99">
        <v>698</v>
      </c>
      <c r="E99">
        <v>-55.965530000000001</v>
      </c>
      <c r="F99">
        <v>-109.17691000000001</v>
      </c>
      <c r="G99">
        <v>10868721.918</v>
      </c>
      <c r="H99">
        <v>212.583033</v>
      </c>
      <c r="I99">
        <v>106.463472</v>
      </c>
    </row>
    <row r="100" spans="1:9" x14ac:dyDescent="0.45">
      <c r="A100">
        <v>99</v>
      </c>
      <c r="B100">
        <v>-67.837190000000007</v>
      </c>
      <c r="C100">
        <v>-47.37088</v>
      </c>
      <c r="D100">
        <v>699</v>
      </c>
      <c r="E100">
        <v>-5.5324999999999998</v>
      </c>
      <c r="F100">
        <v>-50.833849999999998</v>
      </c>
      <c r="G100">
        <v>6920914.5099999998</v>
      </c>
      <c r="H100">
        <v>356.10022600000002</v>
      </c>
      <c r="I100">
        <v>178.51872900000001</v>
      </c>
    </row>
    <row r="101" spans="1:9" x14ac:dyDescent="0.45">
      <c r="A101">
        <v>100</v>
      </c>
      <c r="B101">
        <v>-43.765349999999998</v>
      </c>
      <c r="C101">
        <v>120.7183</v>
      </c>
      <c r="D101">
        <v>700</v>
      </c>
      <c r="E101">
        <v>-13.83961</v>
      </c>
      <c r="F101">
        <v>139.33964</v>
      </c>
      <c r="G101">
        <v>3762439.1460000002</v>
      </c>
      <c r="H101">
        <v>33.885840999999999</v>
      </c>
      <c r="I101">
        <v>204.53620799999999</v>
      </c>
    </row>
    <row r="102" spans="1:9" x14ac:dyDescent="0.45">
      <c r="A102">
        <v>101</v>
      </c>
      <c r="B102">
        <v>-46.864579999999997</v>
      </c>
      <c r="C102">
        <v>-124.83391</v>
      </c>
      <c r="D102">
        <v>701</v>
      </c>
      <c r="E102">
        <v>-45.47589</v>
      </c>
      <c r="F102">
        <v>-124.42449000000001</v>
      </c>
      <c r="G102">
        <v>157563.53899999999</v>
      </c>
      <c r="H102">
        <v>11.723852000000001</v>
      </c>
      <c r="I102">
        <v>191.42847399999999</v>
      </c>
    </row>
    <row r="103" spans="1:9" x14ac:dyDescent="0.45">
      <c r="A103">
        <v>102</v>
      </c>
      <c r="B103">
        <v>-51.325029999999998</v>
      </c>
      <c r="C103">
        <v>-26.173100000000002</v>
      </c>
      <c r="D103">
        <v>702</v>
      </c>
      <c r="E103">
        <v>-43.870429999999999</v>
      </c>
      <c r="F103">
        <v>-21.44997</v>
      </c>
      <c r="G103">
        <v>901247.91</v>
      </c>
      <c r="H103">
        <v>24.971775999999998</v>
      </c>
      <c r="I103">
        <v>201.475775</v>
      </c>
    </row>
    <row r="104" spans="1:9" x14ac:dyDescent="0.45">
      <c r="A104">
        <v>103</v>
      </c>
      <c r="B104">
        <v>17.041810000000002</v>
      </c>
      <c r="C104">
        <v>-23.13026</v>
      </c>
      <c r="D104">
        <v>703</v>
      </c>
      <c r="E104">
        <v>17.16122</v>
      </c>
      <c r="F104">
        <v>-31.748380000000001</v>
      </c>
      <c r="G104">
        <v>917232.23899999994</v>
      </c>
      <c r="H104">
        <v>272.09323899999998</v>
      </c>
      <c r="I104">
        <v>89.554545000000005</v>
      </c>
    </row>
    <row r="105" spans="1:9" x14ac:dyDescent="0.45">
      <c r="A105">
        <v>104</v>
      </c>
      <c r="B105">
        <v>15.507440000000001</v>
      </c>
      <c r="C105">
        <v>-166.73916</v>
      </c>
      <c r="D105">
        <v>704</v>
      </c>
      <c r="E105">
        <v>9.9468399999999999</v>
      </c>
      <c r="F105">
        <v>-157.50865999999999</v>
      </c>
      <c r="G105">
        <v>1175722.2879999999</v>
      </c>
      <c r="H105">
        <v>120.45009400000001</v>
      </c>
      <c r="I105">
        <v>302.49028299999998</v>
      </c>
    </row>
    <row r="106" spans="1:9" x14ac:dyDescent="0.45">
      <c r="A106">
        <v>105</v>
      </c>
      <c r="B106">
        <v>-51.038510000000002</v>
      </c>
      <c r="C106">
        <v>-144.04768000000001</v>
      </c>
      <c r="D106">
        <v>705</v>
      </c>
      <c r="E106">
        <v>-47.693089999999998</v>
      </c>
      <c r="F106">
        <v>-147.16191000000001</v>
      </c>
      <c r="G106">
        <v>435337.99300000002</v>
      </c>
      <c r="H106">
        <v>327.51018299999998</v>
      </c>
      <c r="I106">
        <v>149.874775</v>
      </c>
    </row>
    <row r="107" spans="1:9" x14ac:dyDescent="0.45">
      <c r="A107">
        <v>106</v>
      </c>
      <c r="B107">
        <v>-12.569459999999999</v>
      </c>
      <c r="C107">
        <v>153.40758</v>
      </c>
      <c r="D107">
        <v>706</v>
      </c>
      <c r="E107">
        <v>-21.151199999999999</v>
      </c>
      <c r="F107">
        <v>155.96993000000001</v>
      </c>
      <c r="G107">
        <v>988119.73800000001</v>
      </c>
      <c r="H107">
        <v>164.315797</v>
      </c>
      <c r="I107">
        <v>343.570402</v>
      </c>
    </row>
    <row r="108" spans="1:9" x14ac:dyDescent="0.45">
      <c r="A108">
        <v>107</v>
      </c>
      <c r="B108">
        <v>70.036860000000004</v>
      </c>
      <c r="C108">
        <v>88.461129999999997</v>
      </c>
      <c r="D108">
        <v>707</v>
      </c>
      <c r="E108">
        <v>79.338890000000006</v>
      </c>
      <c r="F108">
        <v>96.566980000000001</v>
      </c>
      <c r="G108">
        <v>1062926.9680000001</v>
      </c>
      <c r="H108">
        <v>9.0768930000000001</v>
      </c>
      <c r="I108">
        <v>196.92166700000001</v>
      </c>
    </row>
    <row r="109" spans="1:9" x14ac:dyDescent="0.45">
      <c r="A109">
        <v>108</v>
      </c>
      <c r="B109">
        <v>-25.377770000000002</v>
      </c>
      <c r="C109">
        <v>162.96798999999999</v>
      </c>
      <c r="D109">
        <v>708</v>
      </c>
      <c r="E109">
        <v>-18.867429999999999</v>
      </c>
      <c r="F109">
        <v>160.58103</v>
      </c>
      <c r="G109">
        <v>761747.22400000005</v>
      </c>
      <c r="H109">
        <v>340.67718100000002</v>
      </c>
      <c r="I109">
        <v>161.57765599999999</v>
      </c>
    </row>
    <row r="110" spans="1:9" x14ac:dyDescent="0.45">
      <c r="A110">
        <v>109</v>
      </c>
      <c r="B110">
        <v>-24.747730000000001</v>
      </c>
      <c r="C110">
        <v>121.9104</v>
      </c>
      <c r="D110">
        <v>709</v>
      </c>
      <c r="E110">
        <v>-16.02477</v>
      </c>
      <c r="F110">
        <v>125.33676</v>
      </c>
      <c r="G110">
        <v>1029662.387</v>
      </c>
      <c r="H110">
        <v>20.945191999999999</v>
      </c>
      <c r="I110">
        <v>199.74783400000001</v>
      </c>
    </row>
    <row r="111" spans="1:9" x14ac:dyDescent="0.45">
      <c r="A111">
        <v>110</v>
      </c>
      <c r="B111">
        <v>29.140930000000001</v>
      </c>
      <c r="C111">
        <v>173.23384999999999</v>
      </c>
      <c r="D111">
        <v>710</v>
      </c>
      <c r="E111">
        <v>37.938650000000003</v>
      </c>
      <c r="F111">
        <v>169.67572000000001</v>
      </c>
      <c r="G111">
        <v>1029995.487</v>
      </c>
      <c r="H111">
        <v>342.25377900000001</v>
      </c>
      <c r="I111">
        <v>160.281588</v>
      </c>
    </row>
    <row r="112" spans="1:9" x14ac:dyDescent="0.45">
      <c r="A112">
        <v>111</v>
      </c>
      <c r="B112">
        <v>-22.446539999999999</v>
      </c>
      <c r="C112">
        <v>123.52539</v>
      </c>
      <c r="D112">
        <v>711</v>
      </c>
      <c r="E112">
        <v>-28.32085</v>
      </c>
      <c r="F112">
        <v>123.92205</v>
      </c>
      <c r="G112">
        <v>651973.02</v>
      </c>
      <c r="H112">
        <v>176.57344000000001</v>
      </c>
      <c r="I112">
        <v>356.40317599999997</v>
      </c>
    </row>
    <row r="113" spans="1:9" x14ac:dyDescent="0.45">
      <c r="A113">
        <v>112</v>
      </c>
      <c r="B113">
        <v>-33.692309999999999</v>
      </c>
      <c r="C113">
        <v>35.293909999999997</v>
      </c>
      <c r="D113">
        <v>712</v>
      </c>
      <c r="E113">
        <v>-27.457529999999998</v>
      </c>
      <c r="F113">
        <v>40.547409999999999</v>
      </c>
      <c r="G113">
        <v>855080.93400000001</v>
      </c>
      <c r="H113">
        <v>37.466231999999998</v>
      </c>
      <c r="I113">
        <v>214.78859399999999</v>
      </c>
    </row>
    <row r="114" spans="1:9" x14ac:dyDescent="0.45">
      <c r="A114">
        <v>113</v>
      </c>
      <c r="B114">
        <v>-20.674800000000001</v>
      </c>
      <c r="C114">
        <v>105.92502</v>
      </c>
      <c r="D114">
        <v>713</v>
      </c>
      <c r="E114">
        <v>-17.067240000000002</v>
      </c>
      <c r="F114">
        <v>115.33927</v>
      </c>
      <c r="G114">
        <v>1069049.1969999999</v>
      </c>
      <c r="H114">
        <v>69.647649000000001</v>
      </c>
      <c r="I114">
        <v>246.595012</v>
      </c>
    </row>
    <row r="115" spans="1:9" x14ac:dyDescent="0.45">
      <c r="A115">
        <v>114</v>
      </c>
      <c r="B115">
        <v>58.575870000000002</v>
      </c>
      <c r="C115">
        <v>35.059399999999997</v>
      </c>
      <c r="D115">
        <v>714</v>
      </c>
      <c r="E115">
        <v>51.479590000000002</v>
      </c>
      <c r="F115">
        <v>25.970320000000001</v>
      </c>
      <c r="G115">
        <v>978958.29799999995</v>
      </c>
      <c r="H115">
        <v>220.152445</v>
      </c>
      <c r="I115">
        <v>32.685147999999998</v>
      </c>
    </row>
    <row r="116" spans="1:9" x14ac:dyDescent="0.45">
      <c r="A116">
        <v>115</v>
      </c>
      <c r="B116">
        <v>11.13489</v>
      </c>
      <c r="C116">
        <v>69.087900000000005</v>
      </c>
      <c r="D116">
        <v>715</v>
      </c>
      <c r="E116">
        <v>20.037389999999998</v>
      </c>
      <c r="F116">
        <v>78.127560000000003</v>
      </c>
      <c r="G116">
        <v>1381289.97</v>
      </c>
      <c r="H116">
        <v>43.410696000000002</v>
      </c>
      <c r="I116">
        <v>225.85163800000001</v>
      </c>
    </row>
    <row r="117" spans="1:9" x14ac:dyDescent="0.45">
      <c r="A117">
        <v>116</v>
      </c>
      <c r="B117">
        <v>12.228479999999999</v>
      </c>
      <c r="C117">
        <v>33.508319999999998</v>
      </c>
      <c r="D117">
        <v>716</v>
      </c>
      <c r="E117">
        <v>4.2466499999999998</v>
      </c>
      <c r="F117">
        <v>33.878509999999999</v>
      </c>
      <c r="G117">
        <v>883720.91</v>
      </c>
      <c r="H117">
        <v>177.32593800000001</v>
      </c>
      <c r="I117">
        <v>357.37910799999997</v>
      </c>
    </row>
    <row r="118" spans="1:9" x14ac:dyDescent="0.45">
      <c r="A118">
        <v>117</v>
      </c>
      <c r="B118">
        <v>-38.409080000000003</v>
      </c>
      <c r="C118">
        <v>56.485050000000001</v>
      </c>
      <c r="D118">
        <v>717</v>
      </c>
      <c r="E118">
        <v>-34.310160000000003</v>
      </c>
      <c r="F118">
        <v>64.220190000000002</v>
      </c>
      <c r="G118">
        <v>829495.27800000005</v>
      </c>
      <c r="H118">
        <v>59.111134</v>
      </c>
      <c r="I118">
        <v>234.51786100000001</v>
      </c>
    </row>
    <row r="119" spans="1:9" x14ac:dyDescent="0.45">
      <c r="A119">
        <v>118</v>
      </c>
      <c r="B119">
        <v>15.40639</v>
      </c>
      <c r="C119">
        <v>164.11287999999999</v>
      </c>
      <c r="D119">
        <v>718</v>
      </c>
      <c r="E119">
        <v>13.30926</v>
      </c>
      <c r="F119">
        <v>162.2586</v>
      </c>
      <c r="G119">
        <v>306329.78700000001</v>
      </c>
      <c r="H119">
        <v>220.99532199999999</v>
      </c>
      <c r="I119">
        <v>40.535387999999998</v>
      </c>
    </row>
    <row r="120" spans="1:9" x14ac:dyDescent="0.45">
      <c r="A120">
        <v>119</v>
      </c>
      <c r="B120">
        <v>9.2408199999999994</v>
      </c>
      <c r="C120">
        <v>131.63160999999999</v>
      </c>
      <c r="D120">
        <v>719</v>
      </c>
      <c r="E120">
        <v>12.18455</v>
      </c>
      <c r="F120">
        <v>138.36069000000001</v>
      </c>
      <c r="G120">
        <v>804814.54700000002</v>
      </c>
      <c r="H120">
        <v>65.538494999999998</v>
      </c>
      <c r="I120">
        <v>246.79113899999999</v>
      </c>
    </row>
    <row r="121" spans="1:9" x14ac:dyDescent="0.45">
      <c r="A121">
        <v>120</v>
      </c>
      <c r="B121">
        <v>41.121139999999997</v>
      </c>
      <c r="C121">
        <v>98.417580000000001</v>
      </c>
      <c r="D121">
        <v>720</v>
      </c>
      <c r="E121">
        <v>36.025530000000003</v>
      </c>
      <c r="F121">
        <v>88.560149999999993</v>
      </c>
      <c r="G121">
        <v>1027495.907</v>
      </c>
      <c r="H121">
        <v>239.79010099999999</v>
      </c>
      <c r="I121">
        <v>53.628425</v>
      </c>
    </row>
    <row r="122" spans="1:9" x14ac:dyDescent="0.45">
      <c r="A122">
        <v>121</v>
      </c>
      <c r="B122">
        <v>71.454030000000003</v>
      </c>
      <c r="C122">
        <v>-99.237170000000006</v>
      </c>
      <c r="D122">
        <v>721</v>
      </c>
      <c r="E122">
        <v>61.921500000000002</v>
      </c>
      <c r="F122">
        <v>-107.97436</v>
      </c>
      <c r="G122">
        <v>1128214.537</v>
      </c>
      <c r="H122">
        <v>204.039455</v>
      </c>
      <c r="I122">
        <v>15.985338</v>
      </c>
    </row>
    <row r="123" spans="1:9" x14ac:dyDescent="0.45">
      <c r="A123">
        <v>122</v>
      </c>
      <c r="B123">
        <v>89.783550000000005</v>
      </c>
      <c r="C123">
        <v>66.103970000000004</v>
      </c>
      <c r="D123">
        <v>722</v>
      </c>
      <c r="E123">
        <v>82.139790000000005</v>
      </c>
      <c r="F123">
        <v>59.496229999999997</v>
      </c>
      <c r="G123">
        <v>853871.61100000003</v>
      </c>
      <c r="H123">
        <v>186.79325800000001</v>
      </c>
      <c r="I123">
        <v>0.18722900000000001</v>
      </c>
    </row>
    <row r="124" spans="1:9" x14ac:dyDescent="0.45">
      <c r="A124">
        <v>123</v>
      </c>
      <c r="B124">
        <v>-53.711570000000002</v>
      </c>
      <c r="C124">
        <v>136.44644</v>
      </c>
      <c r="D124">
        <v>723</v>
      </c>
      <c r="E124">
        <v>-61.274990000000003</v>
      </c>
      <c r="F124">
        <v>132.93423999999999</v>
      </c>
      <c r="G124">
        <v>867936.53200000001</v>
      </c>
      <c r="H124">
        <v>192.56749400000001</v>
      </c>
      <c r="I124">
        <v>15.536168999999999</v>
      </c>
    </row>
    <row r="125" spans="1:9" x14ac:dyDescent="0.45">
      <c r="A125">
        <v>124</v>
      </c>
      <c r="B125">
        <v>65.371009999999998</v>
      </c>
      <c r="C125">
        <v>11.160589999999999</v>
      </c>
      <c r="D125">
        <v>724</v>
      </c>
      <c r="E125">
        <v>64.106880000000004</v>
      </c>
      <c r="F125">
        <v>10.719329999999999</v>
      </c>
      <c r="G125">
        <v>142494.05499999999</v>
      </c>
      <c r="H125">
        <v>188.68247299999999</v>
      </c>
      <c r="I125">
        <v>8.2833839999999999</v>
      </c>
    </row>
    <row r="126" spans="1:9" x14ac:dyDescent="0.45">
      <c r="A126">
        <v>125</v>
      </c>
      <c r="B126">
        <v>82.492410000000007</v>
      </c>
      <c r="C126">
        <v>173.25789</v>
      </c>
      <c r="D126">
        <v>725</v>
      </c>
      <c r="E126">
        <v>87.595039999999997</v>
      </c>
      <c r="F126">
        <v>174.79836</v>
      </c>
      <c r="G126">
        <v>570028.86300000001</v>
      </c>
      <c r="H126">
        <v>0.72660400000000003</v>
      </c>
      <c r="I126">
        <v>182.26283699999999</v>
      </c>
    </row>
    <row r="127" spans="1:9" x14ac:dyDescent="0.45">
      <c r="A127">
        <v>126</v>
      </c>
      <c r="B127">
        <v>-3.4873099999999999</v>
      </c>
      <c r="C127">
        <v>-153.85941</v>
      </c>
      <c r="D127">
        <v>726</v>
      </c>
      <c r="E127">
        <v>2.7094800000000001</v>
      </c>
      <c r="F127">
        <v>-161.7517</v>
      </c>
      <c r="G127">
        <v>1113827.0789999999</v>
      </c>
      <c r="H127">
        <v>307.86749800000001</v>
      </c>
      <c r="I127">
        <v>127.921234</v>
      </c>
    </row>
    <row r="128" spans="1:9" x14ac:dyDescent="0.45">
      <c r="A128">
        <v>127</v>
      </c>
      <c r="B128">
        <v>-5.1490299999999998</v>
      </c>
      <c r="C128">
        <v>-176.71262999999999</v>
      </c>
      <c r="D128">
        <v>727</v>
      </c>
      <c r="E128">
        <v>-8.3758099999999995</v>
      </c>
      <c r="F128">
        <v>-172.6439</v>
      </c>
      <c r="G128">
        <v>574111.40500000003</v>
      </c>
      <c r="H128">
        <v>128.65113700000001</v>
      </c>
      <c r="I128">
        <v>308.17164200000002</v>
      </c>
    </row>
    <row r="129" spans="1:9" x14ac:dyDescent="0.45">
      <c r="A129">
        <v>128</v>
      </c>
      <c r="B129">
        <v>-17.81653</v>
      </c>
      <c r="C129">
        <v>-105.12562</v>
      </c>
      <c r="D129">
        <v>728</v>
      </c>
      <c r="E129">
        <v>-21.096530000000001</v>
      </c>
      <c r="F129">
        <v>-101.88431</v>
      </c>
      <c r="G129">
        <v>497614.05900000001</v>
      </c>
      <c r="H129">
        <v>137.380741</v>
      </c>
      <c r="I129">
        <v>316.300386</v>
      </c>
    </row>
    <row r="130" spans="1:9" x14ac:dyDescent="0.45">
      <c r="A130">
        <v>129</v>
      </c>
      <c r="B130">
        <v>-70.740750000000006</v>
      </c>
      <c r="C130">
        <v>-12.84168</v>
      </c>
      <c r="D130">
        <v>729</v>
      </c>
      <c r="E130">
        <v>-72.590199999999996</v>
      </c>
      <c r="F130">
        <v>-7.20139</v>
      </c>
      <c r="G130">
        <v>285845.26699999999</v>
      </c>
      <c r="H130">
        <v>138.823228</v>
      </c>
      <c r="I130">
        <v>313.46813600000002</v>
      </c>
    </row>
    <row r="131" spans="1:9" x14ac:dyDescent="0.45">
      <c r="A131">
        <v>130</v>
      </c>
      <c r="B131">
        <v>-83.232919999999993</v>
      </c>
      <c r="C131">
        <v>-152.45443</v>
      </c>
      <c r="D131">
        <v>730</v>
      </c>
      <c r="E131">
        <v>-79.934169999999995</v>
      </c>
      <c r="F131">
        <v>-160.65608</v>
      </c>
      <c r="G131">
        <v>391097.70799999998</v>
      </c>
      <c r="H131">
        <v>335.90789799999999</v>
      </c>
      <c r="I131">
        <v>164.024868</v>
      </c>
    </row>
    <row r="132" spans="1:9" x14ac:dyDescent="0.45">
      <c r="A132">
        <v>131</v>
      </c>
      <c r="B132">
        <v>87.3874</v>
      </c>
      <c r="C132">
        <v>114.24518</v>
      </c>
      <c r="D132">
        <v>731</v>
      </c>
      <c r="E132">
        <v>89.519850000000005</v>
      </c>
      <c r="F132">
        <v>121.92308</v>
      </c>
      <c r="G132">
        <v>238768.057</v>
      </c>
      <c r="H132">
        <v>1.720019</v>
      </c>
      <c r="I132">
        <v>189.396456</v>
      </c>
    </row>
    <row r="133" spans="1:9" x14ac:dyDescent="0.45">
      <c r="A133">
        <v>132</v>
      </c>
      <c r="B133">
        <v>-30.748570000000001</v>
      </c>
      <c r="C133">
        <v>-83.262690000000006</v>
      </c>
      <c r="D133">
        <v>732</v>
      </c>
      <c r="E133">
        <v>-27.838360000000002</v>
      </c>
      <c r="F133">
        <v>-79.415970000000002</v>
      </c>
      <c r="G133">
        <v>493633.80499999999</v>
      </c>
      <c r="H133">
        <v>50.159550000000003</v>
      </c>
      <c r="I133">
        <v>228.27626599999999</v>
      </c>
    </row>
    <row r="134" spans="1:9" x14ac:dyDescent="0.45">
      <c r="A134">
        <v>133</v>
      </c>
      <c r="B134">
        <v>-86.095039999999997</v>
      </c>
      <c r="C134">
        <v>-122.08154</v>
      </c>
      <c r="D134">
        <v>733</v>
      </c>
      <c r="E134">
        <v>-79.958640000000003</v>
      </c>
      <c r="F134">
        <v>-123.32622000000001</v>
      </c>
      <c r="G134">
        <v>685458.12399999995</v>
      </c>
      <c r="H134">
        <v>357.96990299999999</v>
      </c>
      <c r="I134">
        <v>179.20715100000001</v>
      </c>
    </row>
    <row r="135" spans="1:9" x14ac:dyDescent="0.45">
      <c r="A135">
        <v>134</v>
      </c>
      <c r="B135">
        <v>-81.759990000000002</v>
      </c>
      <c r="C135">
        <v>-91.060910000000007</v>
      </c>
      <c r="D135">
        <v>734</v>
      </c>
      <c r="E135">
        <v>-79.229420000000005</v>
      </c>
      <c r="F135">
        <v>-93.854990000000001</v>
      </c>
      <c r="G135">
        <v>287149.495</v>
      </c>
      <c r="H135">
        <v>348.28365100000002</v>
      </c>
      <c r="I135">
        <v>171.04005599999999</v>
      </c>
    </row>
    <row r="136" spans="1:9" x14ac:dyDescent="0.45">
      <c r="A136">
        <v>135</v>
      </c>
      <c r="B136">
        <v>26.217780000000001</v>
      </c>
      <c r="C136">
        <v>39.974699999999999</v>
      </c>
      <c r="D136">
        <v>735</v>
      </c>
      <c r="E136">
        <v>31.688939999999999</v>
      </c>
      <c r="F136">
        <v>34.081009999999999</v>
      </c>
      <c r="G136">
        <v>835019.12</v>
      </c>
      <c r="H136">
        <v>317.93885299999999</v>
      </c>
      <c r="I136">
        <v>135.08052699999999</v>
      </c>
    </row>
    <row r="137" spans="1:9" x14ac:dyDescent="0.45">
      <c r="A137">
        <v>136</v>
      </c>
      <c r="B137">
        <v>-45.80874</v>
      </c>
      <c r="C137">
        <v>121.35634</v>
      </c>
      <c r="D137">
        <v>736</v>
      </c>
      <c r="E137">
        <v>-51.185450000000003</v>
      </c>
      <c r="F137">
        <v>125.66355</v>
      </c>
      <c r="G137">
        <v>677065.11899999995</v>
      </c>
      <c r="H137">
        <v>153.56374500000001</v>
      </c>
      <c r="I137">
        <v>330.333752</v>
      </c>
    </row>
    <row r="138" spans="1:9" x14ac:dyDescent="0.45">
      <c r="A138">
        <v>137</v>
      </c>
      <c r="B138">
        <v>59.462240000000001</v>
      </c>
      <c r="C138">
        <v>-93.417720000000003</v>
      </c>
      <c r="D138">
        <v>737</v>
      </c>
      <c r="E138">
        <v>57.374740000000003</v>
      </c>
      <c r="F138">
        <v>-97.694940000000003</v>
      </c>
      <c r="G138">
        <v>341268.40700000001</v>
      </c>
      <c r="H138">
        <v>228.90858299999999</v>
      </c>
      <c r="I138">
        <v>45.263765999999997</v>
      </c>
    </row>
    <row r="139" spans="1:9" x14ac:dyDescent="0.45">
      <c r="A139">
        <v>138</v>
      </c>
      <c r="B139">
        <v>56.531010000000002</v>
      </c>
      <c r="C139">
        <v>134.18917999999999</v>
      </c>
      <c r="D139">
        <v>738</v>
      </c>
      <c r="E139">
        <v>55.455730000000003</v>
      </c>
      <c r="F139">
        <v>128.55419000000001</v>
      </c>
      <c r="G139">
        <v>371335.85200000001</v>
      </c>
      <c r="H139">
        <v>253.54854900000001</v>
      </c>
      <c r="I139">
        <v>68.875908999999993</v>
      </c>
    </row>
    <row r="140" spans="1:9" x14ac:dyDescent="0.45">
      <c r="A140">
        <v>139</v>
      </c>
      <c r="B140">
        <v>-6.6466700000000003</v>
      </c>
      <c r="C140">
        <v>19.346540000000001</v>
      </c>
      <c r="D140">
        <v>739</v>
      </c>
      <c r="E140">
        <v>0.74246000000000001</v>
      </c>
      <c r="F140">
        <v>16.248339999999999</v>
      </c>
      <c r="G140">
        <v>886618.26199999999</v>
      </c>
      <c r="H140">
        <v>337.043319</v>
      </c>
      <c r="I140">
        <v>157.20325299999999</v>
      </c>
    </row>
    <row r="141" spans="1:9" x14ac:dyDescent="0.45">
      <c r="A141">
        <v>140</v>
      </c>
      <c r="B141">
        <v>41.651290000000003</v>
      </c>
      <c r="C141">
        <v>-150.10507000000001</v>
      </c>
      <c r="D141">
        <v>740</v>
      </c>
      <c r="E141">
        <v>40.65954</v>
      </c>
      <c r="F141">
        <v>-144.91209000000001</v>
      </c>
      <c r="G141">
        <v>449504.43099999998</v>
      </c>
      <c r="H141">
        <v>102.461855</v>
      </c>
      <c r="I141">
        <v>285.88083499999999</v>
      </c>
    </row>
    <row r="142" spans="1:9" x14ac:dyDescent="0.45">
      <c r="A142">
        <v>141</v>
      </c>
      <c r="B142">
        <v>74.634600000000006</v>
      </c>
      <c r="C142">
        <v>-110.99214000000001</v>
      </c>
      <c r="D142">
        <v>741</v>
      </c>
      <c r="E142">
        <v>70.51173</v>
      </c>
      <c r="F142">
        <v>-109.96983</v>
      </c>
      <c r="G142">
        <v>461332.05499999999</v>
      </c>
      <c r="H142">
        <v>175.26138399999999</v>
      </c>
      <c r="I142">
        <v>356.23740500000002</v>
      </c>
    </row>
    <row r="143" spans="1:9" x14ac:dyDescent="0.45">
      <c r="A143">
        <v>142</v>
      </c>
      <c r="B143">
        <v>-10.3453</v>
      </c>
      <c r="C143">
        <v>170.51176000000001</v>
      </c>
      <c r="D143">
        <v>742</v>
      </c>
      <c r="E143">
        <v>-1.0983400000000001</v>
      </c>
      <c r="F143">
        <v>169.86117999999999</v>
      </c>
      <c r="G143">
        <v>1025130.2290000001</v>
      </c>
      <c r="H143">
        <v>355.93205</v>
      </c>
      <c r="I143">
        <v>175.99712600000001</v>
      </c>
    </row>
    <row r="144" spans="1:9" x14ac:dyDescent="0.45">
      <c r="A144">
        <v>143</v>
      </c>
      <c r="B144">
        <v>-62.215910000000001</v>
      </c>
      <c r="C144">
        <v>-136.40989999999999</v>
      </c>
      <c r="D144">
        <v>743</v>
      </c>
      <c r="E144">
        <v>-61.638330000000003</v>
      </c>
      <c r="F144">
        <v>-134.16086999999999</v>
      </c>
      <c r="G144">
        <v>134515.37</v>
      </c>
      <c r="H144">
        <v>62.409162999999999</v>
      </c>
      <c r="I144">
        <v>240.42465000000001</v>
      </c>
    </row>
    <row r="145" spans="1:9" x14ac:dyDescent="0.45">
      <c r="A145">
        <v>144</v>
      </c>
      <c r="B145">
        <v>-61.219189999999998</v>
      </c>
      <c r="C145">
        <v>146.68601000000001</v>
      </c>
      <c r="D145">
        <v>744</v>
      </c>
      <c r="E145">
        <v>-67.652640000000005</v>
      </c>
      <c r="F145">
        <v>145.70180999999999</v>
      </c>
      <c r="G145">
        <v>718764.12699999998</v>
      </c>
      <c r="H145">
        <v>183.33898099999999</v>
      </c>
      <c r="I145">
        <v>4.2282380000000002</v>
      </c>
    </row>
    <row r="146" spans="1:9" x14ac:dyDescent="0.45">
      <c r="A146">
        <v>145</v>
      </c>
      <c r="B146">
        <v>-5.2584999999999997</v>
      </c>
      <c r="C146">
        <v>22.315850000000001</v>
      </c>
      <c r="D146">
        <v>745</v>
      </c>
      <c r="E146">
        <v>-13.997019999999999</v>
      </c>
      <c r="F146">
        <v>12.334949999999999</v>
      </c>
      <c r="G146">
        <v>1460060.216</v>
      </c>
      <c r="H146">
        <v>227.83966799999999</v>
      </c>
      <c r="I146">
        <v>49.517977999999999</v>
      </c>
    </row>
    <row r="147" spans="1:9" x14ac:dyDescent="0.45">
      <c r="A147">
        <v>146</v>
      </c>
      <c r="B147">
        <v>-4.44231</v>
      </c>
      <c r="C147">
        <v>114.01277</v>
      </c>
      <c r="D147">
        <v>746</v>
      </c>
      <c r="E147">
        <v>-13.062060000000001</v>
      </c>
      <c r="F147">
        <v>117.63001</v>
      </c>
      <c r="G147">
        <v>1032952.816</v>
      </c>
      <c r="H147">
        <v>157.59052800000001</v>
      </c>
      <c r="I147">
        <v>337.03837700000003</v>
      </c>
    </row>
    <row r="148" spans="1:9" x14ac:dyDescent="0.45">
      <c r="A148">
        <v>147</v>
      </c>
      <c r="B148">
        <v>39.652729999999998</v>
      </c>
      <c r="C148">
        <v>120.16179</v>
      </c>
      <c r="D148">
        <v>747</v>
      </c>
      <c r="E148">
        <v>34.303220000000003</v>
      </c>
      <c r="F148">
        <v>113.30732</v>
      </c>
      <c r="G148">
        <v>850898.26500000001</v>
      </c>
      <c r="H148">
        <v>227.901037</v>
      </c>
      <c r="I148">
        <v>43.770356</v>
      </c>
    </row>
    <row r="149" spans="1:9" x14ac:dyDescent="0.45">
      <c r="A149">
        <v>148</v>
      </c>
      <c r="B149">
        <v>28.54571</v>
      </c>
      <c r="C149">
        <v>-104.90599</v>
      </c>
      <c r="D149">
        <v>748</v>
      </c>
      <c r="E149">
        <v>26.677990000000001</v>
      </c>
      <c r="F149">
        <v>-106.61301</v>
      </c>
      <c r="G149">
        <v>266878.65600000002</v>
      </c>
      <c r="H149">
        <v>219.54977600000001</v>
      </c>
      <c r="I149">
        <v>38.758456000000002</v>
      </c>
    </row>
    <row r="150" spans="1:9" x14ac:dyDescent="0.45">
      <c r="A150">
        <v>149</v>
      </c>
      <c r="B150">
        <v>83.346080000000001</v>
      </c>
      <c r="C150">
        <v>163.97327999999999</v>
      </c>
      <c r="D150">
        <v>749</v>
      </c>
      <c r="E150">
        <v>78.22466</v>
      </c>
      <c r="F150">
        <v>162.52670000000001</v>
      </c>
      <c r="G150">
        <v>572419.946</v>
      </c>
      <c r="H150">
        <v>183.305847</v>
      </c>
      <c r="I150">
        <v>1.8765050000000001</v>
      </c>
    </row>
    <row r="151" spans="1:9" x14ac:dyDescent="0.45">
      <c r="A151">
        <v>150</v>
      </c>
      <c r="B151">
        <v>23.916180000000001</v>
      </c>
      <c r="C151">
        <v>60.610059999999997</v>
      </c>
      <c r="D151">
        <v>750</v>
      </c>
      <c r="E151">
        <v>24.405830000000002</v>
      </c>
      <c r="F151">
        <v>50.715510000000002</v>
      </c>
      <c r="G151">
        <v>1006778.569</v>
      </c>
      <c r="H151">
        <v>275.10875299999998</v>
      </c>
      <c r="I151">
        <v>91.050410999999997</v>
      </c>
    </row>
    <row r="152" spans="1:9" x14ac:dyDescent="0.45">
      <c r="A152">
        <v>151</v>
      </c>
      <c r="B152">
        <v>78.375900000000001</v>
      </c>
      <c r="C152">
        <v>47.253549999999997</v>
      </c>
      <c r="D152">
        <v>751</v>
      </c>
      <c r="E152">
        <v>74.362870000000001</v>
      </c>
      <c r="F152">
        <v>55.257429999999999</v>
      </c>
      <c r="G152">
        <v>494006.02799999999</v>
      </c>
      <c r="H152">
        <v>150.88503399999999</v>
      </c>
      <c r="I152">
        <v>338.668948</v>
      </c>
    </row>
    <row r="153" spans="1:9" x14ac:dyDescent="0.45">
      <c r="A153">
        <v>152</v>
      </c>
      <c r="B153">
        <v>28.515889999999999</v>
      </c>
      <c r="C153">
        <v>-44.689579999999999</v>
      </c>
      <c r="D153">
        <v>752</v>
      </c>
      <c r="E153">
        <v>35.692520000000002</v>
      </c>
      <c r="F153">
        <v>-35.835720000000002</v>
      </c>
      <c r="G153">
        <v>1152949.1240000001</v>
      </c>
      <c r="H153">
        <v>44.114659000000003</v>
      </c>
      <c r="I153">
        <v>228.836174</v>
      </c>
    </row>
    <row r="154" spans="1:9" x14ac:dyDescent="0.45">
      <c r="A154">
        <v>153</v>
      </c>
      <c r="B154">
        <v>11.04585</v>
      </c>
      <c r="C154">
        <v>-141.90440000000001</v>
      </c>
      <c r="D154">
        <v>753</v>
      </c>
      <c r="E154">
        <v>6.7511799999999997</v>
      </c>
      <c r="F154">
        <v>-138.75908000000001</v>
      </c>
      <c r="G154">
        <v>587572.56999999995</v>
      </c>
      <c r="H154">
        <v>143.67671000000001</v>
      </c>
      <c r="I154">
        <v>324.16370599999999</v>
      </c>
    </row>
    <row r="155" spans="1:9" x14ac:dyDescent="0.45">
      <c r="A155">
        <v>154</v>
      </c>
      <c r="B155">
        <v>-60.367339999999999</v>
      </c>
      <c r="C155">
        <v>102.53055999999999</v>
      </c>
      <c r="D155">
        <v>754</v>
      </c>
      <c r="E155">
        <v>-52.4024</v>
      </c>
      <c r="F155">
        <v>103.50996000000001</v>
      </c>
      <c r="G155">
        <v>888916.22699999996</v>
      </c>
      <c r="H155">
        <v>4.3142930000000002</v>
      </c>
      <c r="I155">
        <v>183.496691</v>
      </c>
    </row>
    <row r="156" spans="1:9" x14ac:dyDescent="0.45">
      <c r="A156">
        <v>155</v>
      </c>
      <c r="B156">
        <v>-69.816469999999995</v>
      </c>
      <c r="C156">
        <v>-55.597709999999999</v>
      </c>
      <c r="D156">
        <v>755</v>
      </c>
      <c r="E156">
        <v>-71.182519999999997</v>
      </c>
      <c r="F156">
        <v>-49.149940000000001</v>
      </c>
      <c r="G156">
        <v>284354.54399999999</v>
      </c>
      <c r="H156">
        <v>125.39437100000001</v>
      </c>
      <c r="I156">
        <v>299.31530900000001</v>
      </c>
    </row>
    <row r="157" spans="1:9" x14ac:dyDescent="0.45">
      <c r="A157">
        <v>156</v>
      </c>
      <c r="B157">
        <v>73.040459999999996</v>
      </c>
      <c r="C157">
        <v>109.00127999999999</v>
      </c>
      <c r="D157">
        <v>756</v>
      </c>
      <c r="E157">
        <v>70.52713</v>
      </c>
      <c r="F157">
        <v>102.26978</v>
      </c>
      <c r="G157">
        <v>365437.73</v>
      </c>
      <c r="H157">
        <v>223.189243</v>
      </c>
      <c r="I157">
        <v>36.792845999999997</v>
      </c>
    </row>
    <row r="158" spans="1:9" x14ac:dyDescent="0.45">
      <c r="A158">
        <v>157</v>
      </c>
      <c r="B158">
        <v>72.025949999999995</v>
      </c>
      <c r="C158">
        <v>-115.48669</v>
      </c>
      <c r="D158">
        <v>757</v>
      </c>
      <c r="E158">
        <v>79.247150000000005</v>
      </c>
      <c r="F158">
        <v>-124.58986</v>
      </c>
      <c r="G158">
        <v>842173.91599999997</v>
      </c>
      <c r="H158">
        <v>347.00131599999997</v>
      </c>
      <c r="I158">
        <v>158.16407899999999</v>
      </c>
    </row>
    <row r="159" spans="1:9" x14ac:dyDescent="0.45">
      <c r="A159">
        <v>158</v>
      </c>
      <c r="B159">
        <v>-60.634509999999999</v>
      </c>
      <c r="C159">
        <v>-28.29419</v>
      </c>
      <c r="D159">
        <v>758</v>
      </c>
      <c r="E159">
        <v>-53.699950000000001</v>
      </c>
      <c r="F159">
        <v>-29.58136</v>
      </c>
      <c r="G159">
        <v>776125.68</v>
      </c>
      <c r="H159">
        <v>353.69645100000002</v>
      </c>
      <c r="I159">
        <v>174.78000399999999</v>
      </c>
    </row>
    <row r="160" spans="1:9" x14ac:dyDescent="0.45">
      <c r="A160">
        <v>159</v>
      </c>
      <c r="B160">
        <v>-79.121949999999998</v>
      </c>
      <c r="C160">
        <v>-59.925660000000001</v>
      </c>
      <c r="D160">
        <v>759</v>
      </c>
      <c r="E160">
        <v>-74.027010000000004</v>
      </c>
      <c r="F160">
        <v>-54.789369999999998</v>
      </c>
      <c r="G160">
        <v>583597.70299999998</v>
      </c>
      <c r="H160">
        <v>15.691495</v>
      </c>
      <c r="I160">
        <v>190.690449</v>
      </c>
    </row>
    <row r="161" spans="1:9" x14ac:dyDescent="0.45">
      <c r="A161">
        <v>160</v>
      </c>
      <c r="B161">
        <v>-84.829350000000005</v>
      </c>
      <c r="C161">
        <v>-78.923730000000006</v>
      </c>
      <c r="D161">
        <v>760</v>
      </c>
      <c r="E161">
        <v>-76.491799999999998</v>
      </c>
      <c r="F161">
        <v>-72.027289999999994</v>
      </c>
      <c r="G161">
        <v>937689.10100000002</v>
      </c>
      <c r="H161">
        <v>11.073793999999999</v>
      </c>
      <c r="I161">
        <v>184.25054299999999</v>
      </c>
    </row>
    <row r="162" spans="1:9" x14ac:dyDescent="0.45">
      <c r="A162">
        <v>161</v>
      </c>
      <c r="B162">
        <v>-54.324210000000001</v>
      </c>
      <c r="C162">
        <v>-8.8177500000000002</v>
      </c>
      <c r="D162">
        <v>761</v>
      </c>
      <c r="E162">
        <v>-51.528910000000003</v>
      </c>
      <c r="F162">
        <v>-9.6635100000000005</v>
      </c>
      <c r="G162">
        <v>316225.25400000002</v>
      </c>
      <c r="H162">
        <v>349.29958499999998</v>
      </c>
      <c r="I162">
        <v>169.974592</v>
      </c>
    </row>
    <row r="163" spans="1:9" x14ac:dyDescent="0.45">
      <c r="A163">
        <v>162</v>
      </c>
      <c r="B163">
        <v>29.943909999999999</v>
      </c>
      <c r="C163">
        <v>94.465100000000007</v>
      </c>
      <c r="D163">
        <v>762</v>
      </c>
      <c r="E163">
        <v>31.79965</v>
      </c>
      <c r="F163">
        <v>104.16052000000001</v>
      </c>
      <c r="G163">
        <v>949375.95200000005</v>
      </c>
      <c r="H163">
        <v>75.026319000000001</v>
      </c>
      <c r="I163">
        <v>260.01067799999998</v>
      </c>
    </row>
    <row r="164" spans="1:9" x14ac:dyDescent="0.45">
      <c r="A164">
        <v>163</v>
      </c>
      <c r="B164">
        <v>-77.133089999999996</v>
      </c>
      <c r="C164">
        <v>118.06853</v>
      </c>
      <c r="D164">
        <v>763</v>
      </c>
      <c r="E164">
        <v>-84.163880000000006</v>
      </c>
      <c r="F164">
        <v>108.68982</v>
      </c>
      <c r="G164">
        <v>800748.69700000004</v>
      </c>
      <c r="H164">
        <v>187.62977699999999</v>
      </c>
      <c r="I164">
        <v>16.901761</v>
      </c>
    </row>
    <row r="165" spans="1:9" x14ac:dyDescent="0.45">
      <c r="A165">
        <v>164</v>
      </c>
      <c r="B165">
        <v>15.557410000000001</v>
      </c>
      <c r="C165">
        <v>93.436459999999997</v>
      </c>
      <c r="D165">
        <v>764</v>
      </c>
      <c r="E165">
        <v>12.54777</v>
      </c>
      <c r="F165">
        <v>99.414159999999995</v>
      </c>
      <c r="G165">
        <v>726364.39300000004</v>
      </c>
      <c r="H165">
        <v>116.531417</v>
      </c>
      <c r="I165">
        <v>297.98462799999999</v>
      </c>
    </row>
    <row r="166" spans="1:9" x14ac:dyDescent="0.45">
      <c r="A166">
        <v>165</v>
      </c>
      <c r="B166">
        <v>56.870820000000002</v>
      </c>
      <c r="C166">
        <v>93.770690000000002</v>
      </c>
      <c r="D166">
        <v>765</v>
      </c>
      <c r="E166">
        <v>47.84957</v>
      </c>
      <c r="F166">
        <v>92.608779999999996</v>
      </c>
      <c r="G166">
        <v>1006904.09</v>
      </c>
      <c r="H166">
        <v>184.97474700000001</v>
      </c>
      <c r="I166">
        <v>4.0517960000000004</v>
      </c>
    </row>
    <row r="167" spans="1:9" x14ac:dyDescent="0.45">
      <c r="A167">
        <v>166</v>
      </c>
      <c r="B167">
        <v>-32.130249999999997</v>
      </c>
      <c r="C167">
        <v>25.546700000000001</v>
      </c>
      <c r="D167">
        <v>766</v>
      </c>
      <c r="E167">
        <v>-30.509679999999999</v>
      </c>
      <c r="F167">
        <v>19.60276</v>
      </c>
      <c r="G167">
        <v>593510.87399999995</v>
      </c>
      <c r="H167">
        <v>286.05773299999998</v>
      </c>
      <c r="I167">
        <v>109.14983700000001</v>
      </c>
    </row>
    <row r="168" spans="1:9" x14ac:dyDescent="0.45">
      <c r="A168">
        <v>167</v>
      </c>
      <c r="B168">
        <v>14.0237</v>
      </c>
      <c r="C168">
        <v>105.60254999999999</v>
      </c>
      <c r="D168">
        <v>767</v>
      </c>
      <c r="E168">
        <v>15.25897</v>
      </c>
      <c r="F168">
        <v>96.285849999999996</v>
      </c>
      <c r="G168">
        <v>1012836.411</v>
      </c>
      <c r="H168">
        <v>278.91756299999997</v>
      </c>
      <c r="I168">
        <v>96.557567000000006</v>
      </c>
    </row>
    <row r="169" spans="1:9" x14ac:dyDescent="0.45">
      <c r="A169">
        <v>168</v>
      </c>
      <c r="B169">
        <v>16.594080000000002</v>
      </c>
      <c r="C169">
        <v>-168.68613999999999</v>
      </c>
      <c r="D169">
        <v>768</v>
      </c>
      <c r="E169">
        <v>15.421989999999999</v>
      </c>
      <c r="F169">
        <v>-161.33268000000001</v>
      </c>
      <c r="G169">
        <v>797599.85</v>
      </c>
      <c r="H169">
        <v>98.329919000000004</v>
      </c>
      <c r="I169">
        <v>280.36049700000001</v>
      </c>
    </row>
    <row r="170" spans="1:9" x14ac:dyDescent="0.45">
      <c r="A170">
        <v>169</v>
      </c>
      <c r="B170">
        <v>25.162299999999998</v>
      </c>
      <c r="C170">
        <v>32.969709999999999</v>
      </c>
      <c r="D170">
        <v>769</v>
      </c>
      <c r="E170">
        <v>15.16952</v>
      </c>
      <c r="F170">
        <v>42.552950000000003</v>
      </c>
      <c r="G170">
        <v>1491183.7849999999</v>
      </c>
      <c r="H170">
        <v>136.07319200000001</v>
      </c>
      <c r="I170">
        <v>319.39642900000001</v>
      </c>
    </row>
    <row r="171" spans="1:9" x14ac:dyDescent="0.45">
      <c r="A171">
        <v>170</v>
      </c>
      <c r="B171">
        <v>-8.4285999999999994</v>
      </c>
      <c r="C171">
        <v>-81.495249999999999</v>
      </c>
      <c r="D171">
        <v>770</v>
      </c>
      <c r="E171">
        <v>-8.9944799999999994</v>
      </c>
      <c r="F171">
        <v>-91.008920000000003</v>
      </c>
      <c r="G171">
        <v>1048756.311</v>
      </c>
      <c r="H171">
        <v>265.86465399999997</v>
      </c>
      <c r="I171">
        <v>87.308876999999995</v>
      </c>
    </row>
    <row r="172" spans="1:9" x14ac:dyDescent="0.45">
      <c r="A172">
        <v>171</v>
      </c>
      <c r="B172">
        <v>-24.050809999999998</v>
      </c>
      <c r="C172">
        <v>79.369389999999996</v>
      </c>
      <c r="D172">
        <v>771</v>
      </c>
      <c r="E172">
        <v>-15.2516</v>
      </c>
      <c r="F172">
        <v>87.076660000000004</v>
      </c>
      <c r="G172">
        <v>1265036.879</v>
      </c>
      <c r="H172">
        <v>41.057758999999997</v>
      </c>
      <c r="I172">
        <v>218.45466500000001</v>
      </c>
    </row>
    <row r="173" spans="1:9" x14ac:dyDescent="0.45">
      <c r="A173">
        <v>172</v>
      </c>
      <c r="B173">
        <v>-53.169400000000003</v>
      </c>
      <c r="C173">
        <v>69.629019999999997</v>
      </c>
      <c r="D173">
        <v>772</v>
      </c>
      <c r="E173">
        <v>-52.353729999999999</v>
      </c>
      <c r="F173">
        <v>70.885260000000002</v>
      </c>
      <c r="G173">
        <v>124217.11599999999</v>
      </c>
      <c r="H173">
        <v>43.555672999999999</v>
      </c>
      <c r="I173">
        <v>222.55551</v>
      </c>
    </row>
    <row r="174" spans="1:9" x14ac:dyDescent="0.45">
      <c r="A174">
        <v>173</v>
      </c>
      <c r="B174">
        <v>-50.51388</v>
      </c>
      <c r="C174">
        <v>63.461190000000002</v>
      </c>
      <c r="D174">
        <v>773</v>
      </c>
      <c r="E174">
        <v>-45.359879999999997</v>
      </c>
      <c r="F174">
        <v>67.691640000000007</v>
      </c>
      <c r="G174">
        <v>654197.86399999994</v>
      </c>
      <c r="H174">
        <v>30.470718000000002</v>
      </c>
      <c r="I174">
        <v>207.32617400000001</v>
      </c>
    </row>
    <row r="175" spans="1:9" x14ac:dyDescent="0.45">
      <c r="A175">
        <v>174</v>
      </c>
      <c r="B175">
        <v>55.772359999999999</v>
      </c>
      <c r="C175">
        <v>95.447220000000002</v>
      </c>
      <c r="D175">
        <v>774</v>
      </c>
      <c r="E175">
        <v>60.043750000000003</v>
      </c>
      <c r="F175">
        <v>98.932230000000004</v>
      </c>
      <c r="G175">
        <v>518482.88900000002</v>
      </c>
      <c r="H175">
        <v>22.008718999999999</v>
      </c>
      <c r="I175">
        <v>204.96351899999999</v>
      </c>
    </row>
    <row r="176" spans="1:9" x14ac:dyDescent="0.45">
      <c r="A176">
        <v>175</v>
      </c>
      <c r="B176">
        <v>-88.577579999999998</v>
      </c>
      <c r="C176">
        <v>-27.12125</v>
      </c>
      <c r="D176">
        <v>775</v>
      </c>
      <c r="E176">
        <v>-89.046329999999998</v>
      </c>
      <c r="F176">
        <v>-36.98312</v>
      </c>
      <c r="G176">
        <v>56931.964</v>
      </c>
      <c r="H176">
        <v>198.68955299999999</v>
      </c>
      <c r="I176">
        <v>28.549396000000002</v>
      </c>
    </row>
    <row r="177" spans="1:9" x14ac:dyDescent="0.45">
      <c r="A177">
        <v>176</v>
      </c>
      <c r="B177">
        <v>-77.384259999999998</v>
      </c>
      <c r="C177">
        <v>13.02515</v>
      </c>
      <c r="D177">
        <v>776</v>
      </c>
      <c r="E177">
        <v>-77.269189999999995</v>
      </c>
      <c r="F177">
        <v>5.4575899999999997</v>
      </c>
      <c r="G177">
        <v>185725.16800000001</v>
      </c>
      <c r="H177">
        <v>270.26586700000001</v>
      </c>
      <c r="I177">
        <v>97.649578000000005</v>
      </c>
    </row>
    <row r="178" spans="1:9" x14ac:dyDescent="0.45">
      <c r="A178">
        <v>177</v>
      </c>
      <c r="B178">
        <v>25.873139999999999</v>
      </c>
      <c r="C178">
        <v>152.13650000000001</v>
      </c>
      <c r="D178">
        <v>777</v>
      </c>
      <c r="E178">
        <v>16.34149</v>
      </c>
      <c r="F178">
        <v>142.54756</v>
      </c>
      <c r="G178">
        <v>1450056.5689999999</v>
      </c>
      <c r="H178">
        <v>225.18593999999999</v>
      </c>
      <c r="I178">
        <v>41.713695000000001</v>
      </c>
    </row>
    <row r="179" spans="1:9" x14ac:dyDescent="0.45">
      <c r="A179">
        <v>178</v>
      </c>
      <c r="B179">
        <v>60.635190000000001</v>
      </c>
      <c r="C179">
        <v>-18.58577</v>
      </c>
      <c r="D179">
        <v>778</v>
      </c>
      <c r="E179">
        <v>56.199249999999999</v>
      </c>
      <c r="F179">
        <v>-21.83446</v>
      </c>
      <c r="G179">
        <v>529160.87899999996</v>
      </c>
      <c r="H179">
        <v>202.41472999999999</v>
      </c>
      <c r="I179">
        <v>19.644942</v>
      </c>
    </row>
    <row r="180" spans="1:9" x14ac:dyDescent="0.45">
      <c r="A180">
        <v>179</v>
      </c>
      <c r="B180">
        <v>69.062250000000006</v>
      </c>
      <c r="C180">
        <v>176.82598999999999</v>
      </c>
      <c r="D180">
        <v>779</v>
      </c>
      <c r="E180">
        <v>63.586129999999997</v>
      </c>
      <c r="F180">
        <v>-174.95089999999999</v>
      </c>
      <c r="G180">
        <v>711943.01</v>
      </c>
      <c r="H180">
        <v>145.05893</v>
      </c>
      <c r="I180">
        <v>332.600596</v>
      </c>
    </row>
    <row r="181" spans="1:9" x14ac:dyDescent="0.45">
      <c r="A181">
        <v>180</v>
      </c>
      <c r="B181">
        <v>-26.066759999999999</v>
      </c>
      <c r="C181">
        <v>-120.9024</v>
      </c>
      <c r="D181">
        <v>780</v>
      </c>
      <c r="E181">
        <v>-17.47777</v>
      </c>
      <c r="F181">
        <v>-113.44262999999999</v>
      </c>
      <c r="G181">
        <v>1223926.821</v>
      </c>
      <c r="H181">
        <v>40.505451999999998</v>
      </c>
      <c r="I181">
        <v>217.72726499999999</v>
      </c>
    </row>
    <row r="182" spans="1:9" x14ac:dyDescent="0.45">
      <c r="A182">
        <v>181</v>
      </c>
      <c r="B182">
        <v>-89.244209999999995</v>
      </c>
      <c r="C182">
        <v>76.12988</v>
      </c>
      <c r="D182">
        <v>781</v>
      </c>
      <c r="E182">
        <v>-82.444220000000001</v>
      </c>
      <c r="F182">
        <v>85.384739999999994</v>
      </c>
      <c r="G182">
        <v>760688.05500000005</v>
      </c>
      <c r="H182">
        <v>10.271869000000001</v>
      </c>
      <c r="I182">
        <v>181.02503200000001</v>
      </c>
    </row>
    <row r="183" spans="1:9" x14ac:dyDescent="0.45">
      <c r="A183">
        <v>182</v>
      </c>
      <c r="B183">
        <v>45.356070000000003</v>
      </c>
      <c r="C183">
        <v>-62.408720000000002</v>
      </c>
      <c r="D183">
        <v>782</v>
      </c>
      <c r="E183">
        <v>54.447510000000001</v>
      </c>
      <c r="F183">
        <v>-53.787410000000001</v>
      </c>
      <c r="G183">
        <v>1183858.361</v>
      </c>
      <c r="H183">
        <v>28.251246999999999</v>
      </c>
      <c r="I183">
        <v>214.872041</v>
      </c>
    </row>
    <row r="184" spans="1:9" x14ac:dyDescent="0.45">
      <c r="A184">
        <v>183</v>
      </c>
      <c r="B184">
        <v>-9.5659500000000008</v>
      </c>
      <c r="C184">
        <v>20.890779999999999</v>
      </c>
      <c r="D184">
        <v>783</v>
      </c>
      <c r="E184">
        <v>-9.6599000000000004</v>
      </c>
      <c r="F184">
        <v>12.41325</v>
      </c>
      <c r="G184">
        <v>930584.103</v>
      </c>
      <c r="H184">
        <v>268.65228200000001</v>
      </c>
      <c r="I184">
        <v>90.070487999999997</v>
      </c>
    </row>
    <row r="185" spans="1:9" x14ac:dyDescent="0.45">
      <c r="A185">
        <v>184</v>
      </c>
      <c r="B185">
        <v>-68.512829999999994</v>
      </c>
      <c r="C185">
        <v>88.405010000000004</v>
      </c>
      <c r="D185">
        <v>784</v>
      </c>
      <c r="E185">
        <v>-61.031010000000002</v>
      </c>
      <c r="F185">
        <v>83.634289999999993</v>
      </c>
      <c r="G185">
        <v>863834.62699999998</v>
      </c>
      <c r="H185">
        <v>342.59680200000003</v>
      </c>
      <c r="I185">
        <v>166.92214999999999</v>
      </c>
    </row>
    <row r="186" spans="1:9" x14ac:dyDescent="0.45">
      <c r="A186">
        <v>185</v>
      </c>
      <c r="B186">
        <v>67.756069999999994</v>
      </c>
      <c r="C186">
        <v>-7.8779000000000003</v>
      </c>
      <c r="D186">
        <v>785</v>
      </c>
      <c r="E186">
        <v>61.467379999999999</v>
      </c>
      <c r="F186">
        <v>-6.8839800000000002</v>
      </c>
      <c r="G186">
        <v>702689.67799999996</v>
      </c>
      <c r="H186">
        <v>175.666966</v>
      </c>
      <c r="I186">
        <v>356.56625600000001</v>
      </c>
    </row>
    <row r="187" spans="1:9" x14ac:dyDescent="0.45">
      <c r="A187">
        <v>186</v>
      </c>
      <c r="B187">
        <v>-52.442160000000001</v>
      </c>
      <c r="C187">
        <v>20.656749999999999</v>
      </c>
      <c r="D187">
        <v>786</v>
      </c>
      <c r="E187">
        <v>-60.026859999999999</v>
      </c>
      <c r="F187">
        <v>14.25952</v>
      </c>
      <c r="G187">
        <v>932048.79500000004</v>
      </c>
      <c r="H187">
        <v>202.53474</v>
      </c>
      <c r="I187">
        <v>27.866264999999999</v>
      </c>
    </row>
    <row r="188" spans="1:9" x14ac:dyDescent="0.45">
      <c r="A188">
        <v>187</v>
      </c>
      <c r="B188">
        <v>16.623619999999999</v>
      </c>
      <c r="C188">
        <v>176.03188</v>
      </c>
      <c r="D188">
        <v>787</v>
      </c>
      <c r="E188">
        <v>12.38795</v>
      </c>
      <c r="F188">
        <v>-177.78276</v>
      </c>
      <c r="G188">
        <v>814807.42299999995</v>
      </c>
      <c r="H188">
        <v>124.295098</v>
      </c>
      <c r="I188">
        <v>305.846878</v>
      </c>
    </row>
    <row r="189" spans="1:9" x14ac:dyDescent="0.45">
      <c r="A189">
        <v>188</v>
      </c>
      <c r="B189">
        <v>-25.84301</v>
      </c>
      <c r="C189">
        <v>-14.817640000000001</v>
      </c>
      <c r="D189">
        <v>788</v>
      </c>
      <c r="E189">
        <v>-26.60894</v>
      </c>
      <c r="F189">
        <v>-6.6561300000000001</v>
      </c>
      <c r="G189">
        <v>819800.46200000006</v>
      </c>
      <c r="H189">
        <v>97.736130000000003</v>
      </c>
      <c r="I189">
        <v>274.12443400000001</v>
      </c>
    </row>
    <row r="190" spans="1:9" x14ac:dyDescent="0.45">
      <c r="A190">
        <v>189</v>
      </c>
      <c r="B190">
        <v>-30.38682</v>
      </c>
      <c r="C190">
        <v>-76.668790000000001</v>
      </c>
      <c r="D190">
        <v>789</v>
      </c>
      <c r="E190">
        <v>-23.240179999999999</v>
      </c>
      <c r="F190">
        <v>-75.047179999999997</v>
      </c>
      <c r="G190">
        <v>808065.87699999998</v>
      </c>
      <c r="H190">
        <v>11.882151</v>
      </c>
      <c r="I190">
        <v>191.149193</v>
      </c>
    </row>
    <row r="191" spans="1:9" x14ac:dyDescent="0.45">
      <c r="A191">
        <v>190</v>
      </c>
      <c r="B191">
        <v>55.910029999999999</v>
      </c>
      <c r="C191">
        <v>165.71516</v>
      </c>
      <c r="D191">
        <v>790</v>
      </c>
      <c r="E191">
        <v>55.677230000000002</v>
      </c>
      <c r="F191">
        <v>161.47691</v>
      </c>
      <c r="G191">
        <v>267061.47499999998</v>
      </c>
      <c r="H191">
        <v>266.18665499999997</v>
      </c>
      <c r="I191">
        <v>82.681032000000002</v>
      </c>
    </row>
    <row r="192" spans="1:9" x14ac:dyDescent="0.45">
      <c r="A192">
        <v>191</v>
      </c>
      <c r="B192">
        <v>-59.095149999999997</v>
      </c>
      <c r="C192">
        <v>129.89176</v>
      </c>
      <c r="D192">
        <v>791</v>
      </c>
      <c r="E192">
        <v>-50.128189999999996</v>
      </c>
      <c r="F192">
        <v>136.99707000000001</v>
      </c>
      <c r="G192">
        <v>1097226.774</v>
      </c>
      <c r="H192">
        <v>27.654482000000002</v>
      </c>
      <c r="I192">
        <v>201.84162900000001</v>
      </c>
    </row>
    <row r="193" spans="1:9" x14ac:dyDescent="0.45">
      <c r="A193">
        <v>192</v>
      </c>
      <c r="B193">
        <v>-77.110870000000006</v>
      </c>
      <c r="C193">
        <v>-3.8794200000000001</v>
      </c>
      <c r="D193">
        <v>792</v>
      </c>
      <c r="E193">
        <v>-81.100620000000006</v>
      </c>
      <c r="F193">
        <v>-2.6490800000000001</v>
      </c>
      <c r="G193">
        <v>446199.73</v>
      </c>
      <c r="H193">
        <v>177.267337</v>
      </c>
      <c r="I193">
        <v>356.05843599999997</v>
      </c>
    </row>
    <row r="194" spans="1:9" x14ac:dyDescent="0.45">
      <c r="A194">
        <v>193</v>
      </c>
      <c r="B194">
        <v>-54.169440000000002</v>
      </c>
      <c r="C194">
        <v>71.150040000000004</v>
      </c>
      <c r="D194">
        <v>793</v>
      </c>
      <c r="E194">
        <v>-54.498989999999999</v>
      </c>
      <c r="F194">
        <v>78.353459999999998</v>
      </c>
      <c r="G194">
        <v>469804.15700000001</v>
      </c>
      <c r="H194">
        <v>97.397852999999998</v>
      </c>
      <c r="I194">
        <v>271.54291499999999</v>
      </c>
    </row>
    <row r="195" spans="1:9" x14ac:dyDescent="0.45">
      <c r="A195">
        <v>194</v>
      </c>
      <c r="B195">
        <v>-63.899839999999998</v>
      </c>
      <c r="C195">
        <v>41.559040000000003</v>
      </c>
      <c r="D195">
        <v>794</v>
      </c>
      <c r="E195">
        <v>-67.119910000000004</v>
      </c>
      <c r="F195">
        <v>33.256219999999999</v>
      </c>
      <c r="G195">
        <v>525080.65</v>
      </c>
      <c r="H195">
        <v>223.212715</v>
      </c>
      <c r="I195">
        <v>50.773805000000003</v>
      </c>
    </row>
    <row r="196" spans="1:9" x14ac:dyDescent="0.45">
      <c r="A196">
        <v>195</v>
      </c>
      <c r="B196">
        <v>73.514179999999996</v>
      </c>
      <c r="C196">
        <v>-130.86909</v>
      </c>
      <c r="D196">
        <v>795</v>
      </c>
      <c r="E196">
        <v>76.489549999999994</v>
      </c>
      <c r="F196">
        <v>-123.54300000000001</v>
      </c>
      <c r="G196">
        <v>393228.41499999998</v>
      </c>
      <c r="H196">
        <v>29.015404</v>
      </c>
      <c r="I196">
        <v>216.09495100000001</v>
      </c>
    </row>
    <row r="197" spans="1:9" x14ac:dyDescent="0.45">
      <c r="A197">
        <v>196</v>
      </c>
      <c r="B197">
        <v>45.187750000000001</v>
      </c>
      <c r="C197">
        <v>-103.866</v>
      </c>
      <c r="D197">
        <v>796</v>
      </c>
      <c r="E197">
        <v>50.50656</v>
      </c>
      <c r="F197">
        <v>-101.60581999999999</v>
      </c>
      <c r="G197">
        <v>615023.21799999999</v>
      </c>
      <c r="H197">
        <v>15.131541</v>
      </c>
      <c r="I197">
        <v>196.80905000000001</v>
      </c>
    </row>
    <row r="198" spans="1:9" x14ac:dyDescent="0.45">
      <c r="A198">
        <v>197</v>
      </c>
      <c r="B198">
        <v>-71.405919999999995</v>
      </c>
      <c r="C198">
        <v>178.10623000000001</v>
      </c>
      <c r="D198">
        <v>797</v>
      </c>
      <c r="E198">
        <v>-64.210269999999994</v>
      </c>
      <c r="F198">
        <v>175.41218000000001</v>
      </c>
      <c r="G198">
        <v>810345.09199999995</v>
      </c>
      <c r="H198">
        <v>350.68704600000001</v>
      </c>
      <c r="I198">
        <v>173.18652499999999</v>
      </c>
    </row>
    <row r="199" spans="1:9" x14ac:dyDescent="0.45">
      <c r="A199">
        <v>198</v>
      </c>
      <c r="B199">
        <v>-30.221109999999999</v>
      </c>
      <c r="C199">
        <v>29.884509999999999</v>
      </c>
      <c r="D199">
        <v>798</v>
      </c>
      <c r="E199">
        <v>-34.161929999999998</v>
      </c>
      <c r="F199">
        <v>33.612780000000001</v>
      </c>
      <c r="G199">
        <v>560753.58499999996</v>
      </c>
      <c r="H199">
        <v>142.162294</v>
      </c>
      <c r="I199">
        <v>320.17437000000001</v>
      </c>
    </row>
    <row r="200" spans="1:9" x14ac:dyDescent="0.45">
      <c r="A200">
        <v>199</v>
      </c>
      <c r="B200">
        <v>41.050429999999999</v>
      </c>
      <c r="C200">
        <v>104.37965</v>
      </c>
      <c r="D200">
        <v>799</v>
      </c>
      <c r="E200">
        <v>38.301870000000001</v>
      </c>
      <c r="F200">
        <v>107.03959999999999</v>
      </c>
      <c r="G200">
        <v>381017.522</v>
      </c>
      <c r="H200">
        <v>142.352948</v>
      </c>
      <c r="I200">
        <v>324.05185799999998</v>
      </c>
    </row>
    <row r="201" spans="1:9" x14ac:dyDescent="0.45">
      <c r="A201">
        <v>200</v>
      </c>
      <c r="B201">
        <v>67.756069999999994</v>
      </c>
      <c r="C201">
        <v>-7.8779000000000003</v>
      </c>
      <c r="D201">
        <v>800</v>
      </c>
      <c r="E201">
        <v>61.467379999999999</v>
      </c>
      <c r="F201">
        <v>-6.8839800000000002</v>
      </c>
      <c r="G201">
        <v>702689.67799999996</v>
      </c>
      <c r="H201">
        <v>175.666966</v>
      </c>
      <c r="I201">
        <v>356.56625600000001</v>
      </c>
    </row>
    <row r="202" spans="1:9" x14ac:dyDescent="0.45">
      <c r="A202">
        <v>201</v>
      </c>
      <c r="B202">
        <v>11.42489</v>
      </c>
      <c r="C202">
        <v>128.47219000000001</v>
      </c>
      <c r="D202">
        <v>801</v>
      </c>
      <c r="E202">
        <v>11.38719</v>
      </c>
      <c r="F202">
        <v>128.92492999999999</v>
      </c>
      <c r="G202">
        <v>49585.567000000003</v>
      </c>
      <c r="H202">
        <v>94.779644000000005</v>
      </c>
      <c r="I202">
        <v>274.86917899999997</v>
      </c>
    </row>
    <row r="203" spans="1:9" x14ac:dyDescent="0.45">
      <c r="A203">
        <v>202</v>
      </c>
      <c r="B203">
        <v>-45.949910000000003</v>
      </c>
      <c r="C203">
        <v>-123.24057999999999</v>
      </c>
      <c r="D203">
        <v>802</v>
      </c>
      <c r="E203">
        <v>-46.72401</v>
      </c>
      <c r="F203">
        <v>-123.55916000000001</v>
      </c>
      <c r="G203">
        <v>89474.726999999999</v>
      </c>
      <c r="H203">
        <v>195.79526000000001</v>
      </c>
      <c r="I203">
        <v>16.025729999999999</v>
      </c>
    </row>
    <row r="204" spans="1:9" x14ac:dyDescent="0.45">
      <c r="A204">
        <v>203</v>
      </c>
      <c r="B204">
        <v>32.244869999999999</v>
      </c>
      <c r="C204">
        <v>174.98697000000001</v>
      </c>
      <c r="D204">
        <v>803</v>
      </c>
      <c r="E204">
        <v>32.430430000000001</v>
      </c>
      <c r="F204">
        <v>175.33143000000001</v>
      </c>
      <c r="G204">
        <v>38406.737999999998</v>
      </c>
      <c r="H204">
        <v>57.511713999999998</v>
      </c>
      <c r="I204">
        <v>237.69596899999999</v>
      </c>
    </row>
    <row r="205" spans="1:9" x14ac:dyDescent="0.45">
      <c r="A205">
        <v>204</v>
      </c>
      <c r="B205">
        <v>-8.2000799999999998</v>
      </c>
      <c r="C205">
        <v>-141.29650000000001</v>
      </c>
      <c r="D205">
        <v>804</v>
      </c>
      <c r="E205">
        <v>-7.3658700000000001</v>
      </c>
      <c r="F205">
        <v>-142.11833999999999</v>
      </c>
      <c r="G205">
        <v>129340.448</v>
      </c>
      <c r="H205">
        <v>315.44778400000001</v>
      </c>
      <c r="I205">
        <v>135.55908299999999</v>
      </c>
    </row>
    <row r="206" spans="1:9" x14ac:dyDescent="0.45">
      <c r="A206">
        <v>205</v>
      </c>
      <c r="B206">
        <v>-89.186030000000002</v>
      </c>
      <c r="C206">
        <v>75.02243</v>
      </c>
      <c r="D206">
        <v>805</v>
      </c>
      <c r="E206">
        <v>-89.675690000000003</v>
      </c>
      <c r="F206">
        <v>74.230509999999995</v>
      </c>
      <c r="G206">
        <v>54697.767</v>
      </c>
      <c r="H206">
        <v>180.524441</v>
      </c>
      <c r="I206">
        <v>1.31633</v>
      </c>
    </row>
    <row r="207" spans="1:9" x14ac:dyDescent="0.45">
      <c r="A207">
        <v>206</v>
      </c>
      <c r="B207">
        <v>35.686369999999997</v>
      </c>
      <c r="C207">
        <v>19.52291</v>
      </c>
      <c r="D207">
        <v>806</v>
      </c>
      <c r="E207">
        <v>35.268470000000001</v>
      </c>
      <c r="F207">
        <v>20.41056</v>
      </c>
      <c r="G207">
        <v>92948.010999999999</v>
      </c>
      <c r="H207">
        <v>119.66459500000001</v>
      </c>
      <c r="I207">
        <v>300.17978199999999</v>
      </c>
    </row>
    <row r="208" spans="1:9" x14ac:dyDescent="0.45">
      <c r="A208">
        <v>207</v>
      </c>
      <c r="B208">
        <v>32.76258</v>
      </c>
      <c r="C208">
        <v>169.84358</v>
      </c>
      <c r="D208">
        <v>807</v>
      </c>
      <c r="E208">
        <v>32.44265</v>
      </c>
      <c r="F208">
        <v>170.60256999999999</v>
      </c>
      <c r="G208">
        <v>79591.297000000006</v>
      </c>
      <c r="H208">
        <v>116.267653</v>
      </c>
      <c r="I208">
        <v>296.67660999999998</v>
      </c>
    </row>
    <row r="209" spans="1:9" x14ac:dyDescent="0.45">
      <c r="A209">
        <v>208</v>
      </c>
      <c r="B209">
        <v>-24.03978</v>
      </c>
      <c r="C209">
        <v>157.28172000000001</v>
      </c>
      <c r="D209">
        <v>808</v>
      </c>
      <c r="E209">
        <v>-24.547260000000001</v>
      </c>
      <c r="F209">
        <v>157.38636</v>
      </c>
      <c r="G209">
        <v>57204.743999999999</v>
      </c>
      <c r="H209">
        <v>169.319446</v>
      </c>
      <c r="I209">
        <v>349.27639499999998</v>
      </c>
    </row>
    <row r="210" spans="1:9" x14ac:dyDescent="0.45">
      <c r="A210">
        <v>209</v>
      </c>
      <c r="B210">
        <v>40.904859999999999</v>
      </c>
      <c r="C210">
        <v>38.922049999999999</v>
      </c>
      <c r="D210">
        <v>809</v>
      </c>
      <c r="E210">
        <v>41.676940000000002</v>
      </c>
      <c r="F210">
        <v>39.731079999999999</v>
      </c>
      <c r="G210">
        <v>109291.923</v>
      </c>
      <c r="H210">
        <v>38.053870000000003</v>
      </c>
      <c r="I210">
        <v>218.58775199999999</v>
      </c>
    </row>
    <row r="211" spans="1:9" x14ac:dyDescent="0.45">
      <c r="A211">
        <v>210</v>
      </c>
      <c r="B211">
        <v>85.995159999999998</v>
      </c>
      <c r="C211">
        <v>51.500729999999997</v>
      </c>
      <c r="D211">
        <v>810</v>
      </c>
      <c r="E211">
        <v>85.496619999999993</v>
      </c>
      <c r="F211">
        <v>51.227809999999998</v>
      </c>
      <c r="G211">
        <v>55726.553999999996</v>
      </c>
      <c r="H211">
        <v>182.46163000000001</v>
      </c>
      <c r="I211">
        <v>2.1894589999999998</v>
      </c>
    </row>
    <row r="212" spans="1:9" x14ac:dyDescent="0.45">
      <c r="A212">
        <v>211</v>
      </c>
      <c r="B212">
        <v>-39.606439999999999</v>
      </c>
      <c r="C212">
        <v>-121.12639</v>
      </c>
      <c r="D212">
        <v>811</v>
      </c>
      <c r="E212">
        <v>-39.582459999999998</v>
      </c>
      <c r="F212">
        <v>-120.40260000000001</v>
      </c>
      <c r="G212">
        <v>62228.12</v>
      </c>
      <c r="H212">
        <v>87.778552000000005</v>
      </c>
      <c r="I212">
        <v>267.31724100000002</v>
      </c>
    </row>
    <row r="213" spans="1:9" x14ac:dyDescent="0.45">
      <c r="A213">
        <v>212</v>
      </c>
      <c r="B213">
        <v>41.62415</v>
      </c>
      <c r="C213">
        <v>-92.772999999999996</v>
      </c>
      <c r="D213">
        <v>812</v>
      </c>
      <c r="E213">
        <v>41.090009999999999</v>
      </c>
      <c r="F213">
        <v>-92.116820000000004</v>
      </c>
      <c r="G213">
        <v>80833.111999999994</v>
      </c>
      <c r="H213">
        <v>136.99527800000001</v>
      </c>
      <c r="I213">
        <v>317.428856</v>
      </c>
    </row>
    <row r="214" spans="1:9" x14ac:dyDescent="0.45">
      <c r="A214">
        <v>213</v>
      </c>
      <c r="B214">
        <v>48.275149999999996</v>
      </c>
      <c r="C214">
        <v>97.923240000000007</v>
      </c>
      <c r="D214">
        <v>813</v>
      </c>
      <c r="E214">
        <v>47.432580000000002</v>
      </c>
      <c r="F214">
        <v>98.715130000000002</v>
      </c>
      <c r="G214">
        <v>110852.06</v>
      </c>
      <c r="H214">
        <v>147.389319</v>
      </c>
      <c r="I214">
        <v>327.97647499999999</v>
      </c>
    </row>
    <row r="215" spans="1:9" x14ac:dyDescent="0.45">
      <c r="A215">
        <v>214</v>
      </c>
      <c r="B215">
        <v>84.244709999999998</v>
      </c>
      <c r="C215">
        <v>166.67049</v>
      </c>
      <c r="D215">
        <v>814</v>
      </c>
      <c r="E215">
        <v>84.114059999999995</v>
      </c>
      <c r="F215">
        <v>166.69189</v>
      </c>
      <c r="G215">
        <v>14593.314</v>
      </c>
      <c r="H215">
        <v>179.03762</v>
      </c>
      <c r="I215">
        <v>359.05890900000003</v>
      </c>
    </row>
    <row r="216" spans="1:9" x14ac:dyDescent="0.45">
      <c r="A216">
        <v>215</v>
      </c>
      <c r="B216">
        <v>67.498949999999994</v>
      </c>
      <c r="C216">
        <v>-48.581899999999997</v>
      </c>
      <c r="D216">
        <v>815</v>
      </c>
      <c r="E216">
        <v>66.75609</v>
      </c>
      <c r="F216">
        <v>-48.06288</v>
      </c>
      <c r="G216">
        <v>85852.157999999996</v>
      </c>
      <c r="H216">
        <v>164.55291800000001</v>
      </c>
      <c r="I216">
        <v>345.031139</v>
      </c>
    </row>
    <row r="217" spans="1:9" x14ac:dyDescent="0.45">
      <c r="A217">
        <v>216</v>
      </c>
      <c r="B217">
        <v>82.545299999999997</v>
      </c>
      <c r="C217">
        <v>16.224409999999999</v>
      </c>
      <c r="D217">
        <v>816</v>
      </c>
      <c r="E217">
        <v>82.524640000000005</v>
      </c>
      <c r="F217">
        <v>16.640619999999998</v>
      </c>
      <c r="G217">
        <v>6465.1270000000004</v>
      </c>
      <c r="H217">
        <v>110.701554</v>
      </c>
      <c r="I217">
        <v>291.114237</v>
      </c>
    </row>
    <row r="218" spans="1:9" x14ac:dyDescent="0.45">
      <c r="A218">
        <v>217</v>
      </c>
      <c r="B218">
        <v>-13.70762</v>
      </c>
      <c r="C218">
        <v>1.4645900000000001</v>
      </c>
      <c r="D218">
        <v>817</v>
      </c>
      <c r="E218">
        <v>-14.509539999999999</v>
      </c>
      <c r="F218">
        <v>1.2748600000000001</v>
      </c>
      <c r="G218">
        <v>91059.331000000006</v>
      </c>
      <c r="H218">
        <v>192.97939400000001</v>
      </c>
      <c r="I218">
        <v>13.025644</v>
      </c>
    </row>
    <row r="219" spans="1:9" x14ac:dyDescent="0.45">
      <c r="A219">
        <v>218</v>
      </c>
      <c r="B219">
        <v>38.62106</v>
      </c>
      <c r="C219">
        <v>-27.553789999999999</v>
      </c>
      <c r="D219">
        <v>818</v>
      </c>
      <c r="E219">
        <v>38.606610000000003</v>
      </c>
      <c r="F219">
        <v>-27.997340000000001</v>
      </c>
      <c r="G219">
        <v>38664.370999999999</v>
      </c>
      <c r="H219">
        <v>267.76070700000002</v>
      </c>
      <c r="I219">
        <v>87.483901000000003</v>
      </c>
    </row>
    <row r="220" spans="1:9" x14ac:dyDescent="0.45">
      <c r="A220">
        <v>219</v>
      </c>
      <c r="B220">
        <v>78.790859999999995</v>
      </c>
      <c r="C220">
        <v>129.01781</v>
      </c>
      <c r="D220">
        <v>819</v>
      </c>
      <c r="E220">
        <v>77.978809999999996</v>
      </c>
      <c r="F220">
        <v>129.25568000000001</v>
      </c>
      <c r="G220">
        <v>90821.361000000004</v>
      </c>
      <c r="H220">
        <v>176.50733600000001</v>
      </c>
      <c r="I220">
        <v>356.740341</v>
      </c>
    </row>
    <row r="221" spans="1:9" x14ac:dyDescent="0.45">
      <c r="A221">
        <v>220</v>
      </c>
      <c r="B221">
        <v>-4.1792499999999997</v>
      </c>
      <c r="C221">
        <v>-154.75997000000001</v>
      </c>
      <c r="D221">
        <v>820</v>
      </c>
      <c r="E221">
        <v>-3.9343599999999999</v>
      </c>
      <c r="F221">
        <v>-153.95267000000001</v>
      </c>
      <c r="G221">
        <v>93645.361000000004</v>
      </c>
      <c r="H221">
        <v>73.220275999999998</v>
      </c>
      <c r="I221">
        <v>253.163162</v>
      </c>
    </row>
    <row r="222" spans="1:9" x14ac:dyDescent="0.45">
      <c r="A222">
        <v>221</v>
      </c>
      <c r="B222">
        <v>-51.931759999999997</v>
      </c>
      <c r="C222">
        <v>64.643339999999995</v>
      </c>
      <c r="D222">
        <v>821</v>
      </c>
      <c r="E222">
        <v>-52.138080000000002</v>
      </c>
      <c r="F222">
        <v>64.524100000000004</v>
      </c>
      <c r="G222">
        <v>24371.563999999998</v>
      </c>
      <c r="H222">
        <v>199.571258</v>
      </c>
      <c r="I222">
        <v>19.665265000000002</v>
      </c>
    </row>
    <row r="223" spans="1:9" x14ac:dyDescent="0.45">
      <c r="A223">
        <v>222</v>
      </c>
      <c r="B223">
        <v>-58.657209999999999</v>
      </c>
      <c r="C223">
        <v>154.32174000000001</v>
      </c>
      <c r="D223">
        <v>822</v>
      </c>
      <c r="E223">
        <v>-59.519649999999999</v>
      </c>
      <c r="F223">
        <v>154.82140000000001</v>
      </c>
      <c r="G223">
        <v>100251.49099999999</v>
      </c>
      <c r="H223">
        <v>163.611998</v>
      </c>
      <c r="I223">
        <v>343.18329599999998</v>
      </c>
    </row>
    <row r="224" spans="1:9" x14ac:dyDescent="0.45">
      <c r="A224">
        <v>223</v>
      </c>
      <c r="B224">
        <v>17.8642</v>
      </c>
      <c r="C224">
        <v>-179.96003999999999</v>
      </c>
      <c r="D224">
        <v>823</v>
      </c>
      <c r="E224">
        <v>18.489709999999999</v>
      </c>
      <c r="F224">
        <v>-179.89852999999999</v>
      </c>
      <c r="G224">
        <v>69538.138000000006</v>
      </c>
      <c r="H224">
        <v>5.3602829999999999</v>
      </c>
      <c r="I224">
        <v>185.379471</v>
      </c>
    </row>
    <row r="225" spans="1:9" x14ac:dyDescent="0.45">
      <c r="A225">
        <v>224</v>
      </c>
      <c r="B225">
        <v>-6.0758099999999997</v>
      </c>
      <c r="C225">
        <v>159.59649999999999</v>
      </c>
      <c r="D225">
        <v>824</v>
      </c>
      <c r="E225">
        <v>-5.4396100000000001</v>
      </c>
      <c r="F225">
        <v>160.45665</v>
      </c>
      <c r="G225">
        <v>118432.822</v>
      </c>
      <c r="H225">
        <v>53.599342</v>
      </c>
      <c r="I225">
        <v>233.513047</v>
      </c>
    </row>
    <row r="226" spans="1:9" x14ac:dyDescent="0.45">
      <c r="A226">
        <v>225</v>
      </c>
      <c r="B226">
        <v>3.3902800000000002</v>
      </c>
      <c r="C226">
        <v>81.671620000000004</v>
      </c>
      <c r="D226">
        <v>825</v>
      </c>
      <c r="E226">
        <v>4.2435</v>
      </c>
      <c r="F226">
        <v>81.713329999999999</v>
      </c>
      <c r="G226">
        <v>94462.076000000001</v>
      </c>
      <c r="H226">
        <v>2.8098450000000001</v>
      </c>
      <c r="I226">
        <v>182.81262100000001</v>
      </c>
    </row>
    <row r="227" spans="1:9" x14ac:dyDescent="0.45">
      <c r="A227">
        <v>226</v>
      </c>
      <c r="B227">
        <v>-42.749899999999997</v>
      </c>
      <c r="C227">
        <v>7.3643099999999997</v>
      </c>
      <c r="D227">
        <v>826</v>
      </c>
      <c r="E227">
        <v>-43.262270000000001</v>
      </c>
      <c r="F227">
        <v>8.0227500000000003</v>
      </c>
      <c r="G227">
        <v>78242.604999999996</v>
      </c>
      <c r="H227">
        <v>136.90004300000001</v>
      </c>
      <c r="I227">
        <v>316.45093000000003</v>
      </c>
    </row>
    <row r="228" spans="1:9" x14ac:dyDescent="0.45">
      <c r="A228">
        <v>227</v>
      </c>
      <c r="B228">
        <v>-47.722679999999997</v>
      </c>
      <c r="C228">
        <v>-0.36753000000000002</v>
      </c>
      <c r="D228">
        <v>827</v>
      </c>
      <c r="E228">
        <v>-48.639560000000003</v>
      </c>
      <c r="F228">
        <v>0.60075000000000001</v>
      </c>
      <c r="G228">
        <v>124812.694</v>
      </c>
      <c r="H228">
        <v>145.12759</v>
      </c>
      <c r="I228">
        <v>324.40594199999998</v>
      </c>
    </row>
    <row r="229" spans="1:9" x14ac:dyDescent="0.45">
      <c r="A229">
        <v>228</v>
      </c>
      <c r="B229">
        <v>89.179730000000006</v>
      </c>
      <c r="C229">
        <v>136.39581999999999</v>
      </c>
      <c r="D229">
        <v>828</v>
      </c>
      <c r="E229">
        <v>88.978059999999999</v>
      </c>
      <c r="F229">
        <v>137.01364000000001</v>
      </c>
      <c r="G229">
        <v>22552.238000000001</v>
      </c>
      <c r="H229">
        <v>176.87167199999999</v>
      </c>
      <c r="I229">
        <v>357.48941300000001</v>
      </c>
    </row>
    <row r="230" spans="1:9" x14ac:dyDescent="0.45">
      <c r="A230">
        <v>229</v>
      </c>
      <c r="B230">
        <v>-27.42296</v>
      </c>
      <c r="C230">
        <v>-154.84023999999999</v>
      </c>
      <c r="D230">
        <v>829</v>
      </c>
      <c r="E230">
        <v>-27.38842</v>
      </c>
      <c r="F230">
        <v>-153.98864</v>
      </c>
      <c r="G230">
        <v>84306.782000000007</v>
      </c>
      <c r="H230">
        <v>87.594027999999994</v>
      </c>
      <c r="I230">
        <v>267.20204100000001</v>
      </c>
    </row>
    <row r="231" spans="1:9" x14ac:dyDescent="0.45">
      <c r="A231">
        <v>230</v>
      </c>
      <c r="B231">
        <v>-72.035470000000004</v>
      </c>
      <c r="C231">
        <v>-171.25653</v>
      </c>
      <c r="D231">
        <v>830</v>
      </c>
      <c r="E231">
        <v>-72.718109999999996</v>
      </c>
      <c r="F231">
        <v>-170.98632000000001</v>
      </c>
      <c r="G231">
        <v>76721.703999999998</v>
      </c>
      <c r="H231">
        <v>173.29078799999999</v>
      </c>
      <c r="I231">
        <v>353.033255</v>
      </c>
    </row>
    <row r="232" spans="1:9" x14ac:dyDescent="0.45">
      <c r="A232">
        <v>231</v>
      </c>
      <c r="B232">
        <v>-74.594399999999993</v>
      </c>
      <c r="C232">
        <v>-43.516910000000003</v>
      </c>
      <c r="D232">
        <v>831</v>
      </c>
      <c r="E232">
        <v>-75.581559999999996</v>
      </c>
      <c r="F232">
        <v>-42.921320000000001</v>
      </c>
      <c r="G232">
        <v>111505.932</v>
      </c>
      <c r="H232">
        <v>171.458439</v>
      </c>
      <c r="I232">
        <v>350.88288499999999</v>
      </c>
    </row>
    <row r="233" spans="1:9" x14ac:dyDescent="0.45">
      <c r="A233">
        <v>232</v>
      </c>
      <c r="B233">
        <v>53.191809999999997</v>
      </c>
      <c r="C233">
        <v>-174.81004999999999</v>
      </c>
      <c r="D233">
        <v>832</v>
      </c>
      <c r="E233">
        <v>52.33128</v>
      </c>
      <c r="F233">
        <v>-175.39552</v>
      </c>
      <c r="G233">
        <v>103595.88499999999</v>
      </c>
      <c r="H233">
        <v>202.66056399999999</v>
      </c>
      <c r="I233">
        <v>22.194443</v>
      </c>
    </row>
    <row r="234" spans="1:9" x14ac:dyDescent="0.45">
      <c r="A234">
        <v>233</v>
      </c>
      <c r="B234">
        <v>-76.043800000000005</v>
      </c>
      <c r="C234">
        <v>-61.64893</v>
      </c>
      <c r="D234">
        <v>833</v>
      </c>
      <c r="E234">
        <v>-76.523560000000003</v>
      </c>
      <c r="F234">
        <v>-61.125309999999999</v>
      </c>
      <c r="G234">
        <v>55320.985999999997</v>
      </c>
      <c r="H234">
        <v>165.739574</v>
      </c>
      <c r="I234">
        <v>345.23088200000001</v>
      </c>
    </row>
    <row r="235" spans="1:9" x14ac:dyDescent="0.45">
      <c r="A235">
        <v>234</v>
      </c>
      <c r="B235">
        <v>-27.30219</v>
      </c>
      <c r="C235">
        <v>108.43069</v>
      </c>
      <c r="D235">
        <v>834</v>
      </c>
      <c r="E235">
        <v>-26.87274</v>
      </c>
      <c r="F235">
        <v>108.60153</v>
      </c>
      <c r="G235">
        <v>50511.680999999997</v>
      </c>
      <c r="H235">
        <v>19.638152000000002</v>
      </c>
      <c r="I235">
        <v>199.56035900000001</v>
      </c>
    </row>
    <row r="236" spans="1:9" x14ac:dyDescent="0.45">
      <c r="A236">
        <v>235</v>
      </c>
      <c r="B236">
        <v>-27.56935</v>
      </c>
      <c r="C236">
        <v>160.24204</v>
      </c>
      <c r="D236">
        <v>835</v>
      </c>
      <c r="E236">
        <v>-27.67482</v>
      </c>
      <c r="F236">
        <v>160.91743</v>
      </c>
      <c r="G236">
        <v>67679.627999999997</v>
      </c>
      <c r="H236">
        <v>100.100606</v>
      </c>
      <c r="I236">
        <v>279.78746699999999</v>
      </c>
    </row>
    <row r="237" spans="1:9" x14ac:dyDescent="0.45">
      <c r="A237">
        <v>236</v>
      </c>
      <c r="B237">
        <v>-67.435599999999994</v>
      </c>
      <c r="C237">
        <v>-128.18227999999999</v>
      </c>
      <c r="D237">
        <v>836</v>
      </c>
      <c r="E237">
        <v>-66.869159999999994</v>
      </c>
      <c r="F237">
        <v>-128.90196</v>
      </c>
      <c r="G237">
        <v>70453.369000000006</v>
      </c>
      <c r="H237">
        <v>333.38666999999998</v>
      </c>
      <c r="I237">
        <v>154.04989399999999</v>
      </c>
    </row>
    <row r="238" spans="1:9" x14ac:dyDescent="0.45">
      <c r="A238">
        <v>237</v>
      </c>
      <c r="B238">
        <v>56.44482</v>
      </c>
      <c r="C238">
        <v>-57.208320000000001</v>
      </c>
      <c r="D238">
        <v>837</v>
      </c>
      <c r="E238">
        <v>56.372999999999998</v>
      </c>
      <c r="F238">
        <v>-57.456090000000003</v>
      </c>
      <c r="G238">
        <v>17259.881000000001</v>
      </c>
      <c r="H238">
        <v>242.50075799999999</v>
      </c>
      <c r="I238">
        <v>62.294364000000002</v>
      </c>
    </row>
    <row r="239" spans="1:9" x14ac:dyDescent="0.45">
      <c r="A239">
        <v>238</v>
      </c>
      <c r="B239">
        <v>-72.437510000000003</v>
      </c>
      <c r="C239">
        <v>32.01849</v>
      </c>
      <c r="D239">
        <v>838</v>
      </c>
      <c r="E239">
        <v>-71.582530000000006</v>
      </c>
      <c r="F239">
        <v>32.245840000000001</v>
      </c>
      <c r="G239">
        <v>95725.532000000007</v>
      </c>
      <c r="H239">
        <v>4.806184</v>
      </c>
      <c r="I239">
        <v>184.58994300000001</v>
      </c>
    </row>
    <row r="240" spans="1:9" x14ac:dyDescent="0.45">
      <c r="A240">
        <v>239</v>
      </c>
      <c r="B240">
        <v>-38.648069999999997</v>
      </c>
      <c r="C240">
        <v>174.66364999999999</v>
      </c>
      <c r="D240">
        <v>839</v>
      </c>
      <c r="E240">
        <v>-38.215649999999997</v>
      </c>
      <c r="F240">
        <v>174.68594999999999</v>
      </c>
      <c r="G240">
        <v>48040.112999999998</v>
      </c>
      <c r="H240">
        <v>2.3298369999999999</v>
      </c>
      <c r="I240">
        <v>182.31597600000001</v>
      </c>
    </row>
    <row r="241" spans="1:9" x14ac:dyDescent="0.45">
      <c r="A241">
        <v>240</v>
      </c>
      <c r="B241">
        <v>-63.26831</v>
      </c>
      <c r="C241">
        <v>-75.278710000000004</v>
      </c>
      <c r="D241">
        <v>840</v>
      </c>
      <c r="E241">
        <v>-63.911479999999997</v>
      </c>
      <c r="F241">
        <v>-74.852509999999995</v>
      </c>
      <c r="G241">
        <v>74751.687999999995</v>
      </c>
      <c r="H241">
        <v>163.74740499999999</v>
      </c>
      <c r="I241">
        <v>343.365679</v>
      </c>
    </row>
    <row r="242" spans="1:9" x14ac:dyDescent="0.45">
      <c r="A242">
        <v>241</v>
      </c>
      <c r="B242">
        <v>-63.194290000000002</v>
      </c>
      <c r="C242">
        <v>13.873390000000001</v>
      </c>
      <c r="D242">
        <v>841</v>
      </c>
      <c r="E242">
        <v>-62.706589999999998</v>
      </c>
      <c r="F242">
        <v>13.368639999999999</v>
      </c>
      <c r="G242">
        <v>60094.144999999997</v>
      </c>
      <c r="H242">
        <v>334.53979399999997</v>
      </c>
      <c r="I242">
        <v>154.98933600000001</v>
      </c>
    </row>
    <row r="243" spans="1:9" x14ac:dyDescent="0.45">
      <c r="A243">
        <v>242</v>
      </c>
      <c r="B243">
        <v>-70.420919999999995</v>
      </c>
      <c r="C243">
        <v>12.29795</v>
      </c>
      <c r="D243">
        <v>842</v>
      </c>
      <c r="E243">
        <v>-71.379620000000003</v>
      </c>
      <c r="F243">
        <v>13.29031</v>
      </c>
      <c r="G243">
        <v>112938.856</v>
      </c>
      <c r="H243">
        <v>161.74435199999999</v>
      </c>
      <c r="I243">
        <v>340.80658499999998</v>
      </c>
    </row>
    <row r="244" spans="1:9" x14ac:dyDescent="0.45">
      <c r="A244">
        <v>243</v>
      </c>
      <c r="B244">
        <v>87.846559999999997</v>
      </c>
      <c r="C244">
        <v>-0.87456</v>
      </c>
      <c r="D244">
        <v>843</v>
      </c>
      <c r="E244">
        <v>88.451130000000006</v>
      </c>
      <c r="F244">
        <v>-0.82923000000000002</v>
      </c>
      <c r="G244">
        <v>67526.303</v>
      </c>
      <c r="H244">
        <v>0.116121</v>
      </c>
      <c r="I244">
        <v>180.161428</v>
      </c>
    </row>
    <row r="245" spans="1:9" x14ac:dyDescent="0.45">
      <c r="A245">
        <v>244</v>
      </c>
      <c r="B245">
        <v>72.121650000000002</v>
      </c>
      <c r="C245">
        <v>108.23157999999999</v>
      </c>
      <c r="D245">
        <v>844</v>
      </c>
      <c r="E245">
        <v>72.806150000000002</v>
      </c>
      <c r="F245">
        <v>109.06195</v>
      </c>
      <c r="G245">
        <v>81331.076000000001</v>
      </c>
      <c r="H245">
        <v>19.694022</v>
      </c>
      <c r="I245">
        <v>200.48581799999999</v>
      </c>
    </row>
    <row r="246" spans="1:9" x14ac:dyDescent="0.45">
      <c r="A246">
        <v>245</v>
      </c>
      <c r="B246">
        <v>-74.062029999999993</v>
      </c>
      <c r="C246">
        <v>155.36976999999999</v>
      </c>
      <c r="D246">
        <v>845</v>
      </c>
      <c r="E246">
        <v>-73.247749999999996</v>
      </c>
      <c r="F246">
        <v>155.66757000000001</v>
      </c>
      <c r="G246">
        <v>91357.676000000007</v>
      </c>
      <c r="H246">
        <v>6.0223820000000003</v>
      </c>
      <c r="I246">
        <v>185.73661100000001</v>
      </c>
    </row>
    <row r="247" spans="1:9" x14ac:dyDescent="0.45">
      <c r="A247">
        <v>246</v>
      </c>
      <c r="B247">
        <v>80.085620000000006</v>
      </c>
      <c r="C247">
        <v>-8.6128400000000003</v>
      </c>
      <c r="D247">
        <v>846</v>
      </c>
      <c r="E247">
        <v>79.441649999999996</v>
      </c>
      <c r="F247">
        <v>-7.8631900000000003</v>
      </c>
      <c r="G247">
        <v>73426.259999999995</v>
      </c>
      <c r="H247">
        <v>167.940437</v>
      </c>
      <c r="I247">
        <v>348.67816599999998</v>
      </c>
    </row>
    <row r="248" spans="1:9" x14ac:dyDescent="0.45">
      <c r="A248">
        <v>247</v>
      </c>
      <c r="B248">
        <v>45.252490000000002</v>
      </c>
      <c r="C248">
        <v>54.046599999999998</v>
      </c>
      <c r="D248">
        <v>847</v>
      </c>
      <c r="E248">
        <v>45.168010000000002</v>
      </c>
      <c r="F248">
        <v>54.170470000000002</v>
      </c>
      <c r="G248">
        <v>13521.853999999999</v>
      </c>
      <c r="H248">
        <v>133.93063900000001</v>
      </c>
      <c r="I248">
        <v>314.01854900000001</v>
      </c>
    </row>
    <row r="249" spans="1:9" x14ac:dyDescent="0.45">
      <c r="A249">
        <v>248</v>
      </c>
      <c r="B249">
        <v>-7.1387400000000003</v>
      </c>
      <c r="C249">
        <v>144.79919000000001</v>
      </c>
      <c r="D249">
        <v>848</v>
      </c>
      <c r="E249">
        <v>-6.8734599999999997</v>
      </c>
      <c r="F249">
        <v>145.31829999999999</v>
      </c>
      <c r="G249">
        <v>64425.722000000002</v>
      </c>
      <c r="H249">
        <v>62.943134000000001</v>
      </c>
      <c r="I249">
        <v>242.87981400000001</v>
      </c>
    </row>
    <row r="250" spans="1:9" x14ac:dyDescent="0.45">
      <c r="A250">
        <v>249</v>
      </c>
      <c r="B250">
        <v>-52.76979</v>
      </c>
      <c r="C250">
        <v>6.0192800000000002</v>
      </c>
      <c r="D250">
        <v>849</v>
      </c>
      <c r="E250">
        <v>-53.016689999999997</v>
      </c>
      <c r="F250">
        <v>5.9756200000000002</v>
      </c>
      <c r="G250">
        <v>27632.760999999999</v>
      </c>
      <c r="H250">
        <v>186.086905</v>
      </c>
      <c r="I250">
        <v>6.1217240000000004</v>
      </c>
    </row>
    <row r="251" spans="1:9" x14ac:dyDescent="0.45">
      <c r="A251">
        <v>250</v>
      </c>
      <c r="B251">
        <v>-56.59384</v>
      </c>
      <c r="C251">
        <v>50.761090000000003</v>
      </c>
      <c r="D251">
        <v>850</v>
      </c>
      <c r="E251">
        <v>-57.435360000000003</v>
      </c>
      <c r="F251">
        <v>51.031999999999996</v>
      </c>
      <c r="G251">
        <v>95145.683999999994</v>
      </c>
      <c r="H251">
        <v>170.15299999999999</v>
      </c>
      <c r="I251">
        <v>349.92575199999999</v>
      </c>
    </row>
    <row r="252" spans="1:9" x14ac:dyDescent="0.45">
      <c r="A252">
        <v>251</v>
      </c>
      <c r="B252">
        <v>-77.384240000000005</v>
      </c>
      <c r="C252">
        <v>-13.293229999999999</v>
      </c>
      <c r="D252">
        <v>851</v>
      </c>
      <c r="E252">
        <v>-78.055419999999998</v>
      </c>
      <c r="F252">
        <v>-12.662190000000001</v>
      </c>
      <c r="G252">
        <v>76415.832999999999</v>
      </c>
      <c r="H252">
        <v>168.99637799999999</v>
      </c>
      <c r="I252">
        <v>348.37976600000002</v>
      </c>
    </row>
    <row r="253" spans="1:9" x14ac:dyDescent="0.45">
      <c r="A253">
        <v>252</v>
      </c>
      <c r="B253">
        <v>-29.301469999999998</v>
      </c>
      <c r="C253">
        <v>117.18138999999999</v>
      </c>
      <c r="D253">
        <v>852</v>
      </c>
      <c r="E253">
        <v>-30.118590000000001</v>
      </c>
      <c r="F253">
        <v>117.47896</v>
      </c>
      <c r="G253">
        <v>95042.45</v>
      </c>
      <c r="H253">
        <v>162.437827</v>
      </c>
      <c r="I253">
        <v>342.290344</v>
      </c>
    </row>
    <row r="254" spans="1:9" x14ac:dyDescent="0.45">
      <c r="A254">
        <v>253</v>
      </c>
      <c r="B254">
        <v>-22.286799999999999</v>
      </c>
      <c r="C254">
        <v>-77.289569999999998</v>
      </c>
      <c r="D254">
        <v>853</v>
      </c>
      <c r="E254">
        <v>-22.419309999999999</v>
      </c>
      <c r="F254">
        <v>-77.635589999999993</v>
      </c>
      <c r="G254">
        <v>38543.968999999997</v>
      </c>
      <c r="H254">
        <v>247.55752799999999</v>
      </c>
      <c r="I254">
        <v>67.689124000000007</v>
      </c>
    </row>
    <row r="255" spans="1:9" x14ac:dyDescent="0.45">
      <c r="A255">
        <v>254</v>
      </c>
      <c r="B255">
        <v>46.496409999999997</v>
      </c>
      <c r="C255">
        <v>15.790179999999999</v>
      </c>
      <c r="D255">
        <v>854</v>
      </c>
      <c r="E255">
        <v>45.524059999999999</v>
      </c>
      <c r="F255">
        <v>14.81892</v>
      </c>
      <c r="G255">
        <v>131676.755</v>
      </c>
      <c r="H255">
        <v>215.18853899999999</v>
      </c>
      <c r="I255">
        <v>34.489719000000001</v>
      </c>
    </row>
    <row r="256" spans="1:9" x14ac:dyDescent="0.45">
      <c r="A256">
        <v>255</v>
      </c>
      <c r="B256">
        <v>-80.216399999999993</v>
      </c>
      <c r="C256">
        <v>-3.3115199999999998</v>
      </c>
      <c r="D256">
        <v>855</v>
      </c>
      <c r="E256">
        <v>-81.070650000000001</v>
      </c>
      <c r="F256">
        <v>-3.4513500000000001</v>
      </c>
      <c r="G256">
        <v>95422.789000000004</v>
      </c>
      <c r="H256">
        <v>181.455679</v>
      </c>
      <c r="I256">
        <v>1.5936520000000001</v>
      </c>
    </row>
    <row r="257" spans="1:9" x14ac:dyDescent="0.45">
      <c r="A257">
        <v>256</v>
      </c>
      <c r="B257">
        <v>-64.958669999999998</v>
      </c>
      <c r="C257">
        <v>-33.063459999999999</v>
      </c>
      <c r="D257">
        <v>856</v>
      </c>
      <c r="E257">
        <v>-65.569689999999994</v>
      </c>
      <c r="F257">
        <v>-33.600850000000001</v>
      </c>
      <c r="G257">
        <v>72603.061000000002</v>
      </c>
      <c r="H257">
        <v>199.982313</v>
      </c>
      <c r="I257">
        <v>20.470403000000001</v>
      </c>
    </row>
    <row r="258" spans="1:9" x14ac:dyDescent="0.45">
      <c r="A258">
        <v>257</v>
      </c>
      <c r="B258">
        <v>-12.998950000000001</v>
      </c>
      <c r="C258">
        <v>106.23472</v>
      </c>
      <c r="D258">
        <v>857</v>
      </c>
      <c r="E258">
        <v>-12.39873</v>
      </c>
      <c r="F258">
        <v>106.73761</v>
      </c>
      <c r="G258">
        <v>85979.777000000002</v>
      </c>
      <c r="H258">
        <v>39.495975999999999</v>
      </c>
      <c r="I258">
        <v>219.385425</v>
      </c>
    </row>
    <row r="259" spans="1:9" x14ac:dyDescent="0.45">
      <c r="A259">
        <v>258</v>
      </c>
      <c r="B259">
        <v>59.61103</v>
      </c>
      <c r="C259">
        <v>109.36633999999999</v>
      </c>
      <c r="D259">
        <v>858</v>
      </c>
      <c r="E259">
        <v>59.637129999999999</v>
      </c>
      <c r="F259">
        <v>108.77014</v>
      </c>
      <c r="G259">
        <v>33769.953000000001</v>
      </c>
      <c r="H259">
        <v>275.19657100000001</v>
      </c>
      <c r="I259">
        <v>94.682212000000007</v>
      </c>
    </row>
    <row r="260" spans="1:9" x14ac:dyDescent="0.45">
      <c r="A260">
        <v>259</v>
      </c>
      <c r="B260">
        <v>7.12052</v>
      </c>
      <c r="C260">
        <v>136.94113999999999</v>
      </c>
      <c r="D260">
        <v>859</v>
      </c>
      <c r="E260">
        <v>6.7193399999999999</v>
      </c>
      <c r="F260">
        <v>137.04864000000001</v>
      </c>
      <c r="G260">
        <v>45929.728000000003</v>
      </c>
      <c r="H260">
        <v>165.00284099999999</v>
      </c>
      <c r="I260">
        <v>345.01579299999997</v>
      </c>
    </row>
    <row r="261" spans="1:9" x14ac:dyDescent="0.45">
      <c r="A261">
        <v>260</v>
      </c>
      <c r="B261">
        <v>8.7299900000000008</v>
      </c>
      <c r="C261">
        <v>102.49267</v>
      </c>
      <c r="D261">
        <v>860</v>
      </c>
      <c r="E261">
        <v>8.6732800000000001</v>
      </c>
      <c r="F261">
        <v>101.86292</v>
      </c>
      <c r="G261">
        <v>69585.073999999993</v>
      </c>
      <c r="H261">
        <v>264.87626899999998</v>
      </c>
      <c r="I261">
        <v>84.780994000000007</v>
      </c>
    </row>
    <row r="262" spans="1:9" x14ac:dyDescent="0.45">
      <c r="A262">
        <v>261</v>
      </c>
      <c r="B262">
        <v>36.751980000000003</v>
      </c>
      <c r="C262">
        <v>89.648049999999998</v>
      </c>
      <c r="D262">
        <v>861</v>
      </c>
      <c r="E262">
        <v>36.056130000000003</v>
      </c>
      <c r="F262">
        <v>90.097530000000006</v>
      </c>
      <c r="G262">
        <v>87108.478000000003</v>
      </c>
      <c r="H262">
        <v>152.29465200000001</v>
      </c>
      <c r="I262">
        <v>332.56141400000001</v>
      </c>
    </row>
    <row r="263" spans="1:9" x14ac:dyDescent="0.45">
      <c r="A263">
        <v>262</v>
      </c>
      <c r="B263">
        <v>-59.953449999999997</v>
      </c>
      <c r="C263">
        <v>-107.02262</v>
      </c>
      <c r="D263">
        <v>862</v>
      </c>
      <c r="E263">
        <v>-60.740749999999998</v>
      </c>
      <c r="F263">
        <v>-106.57621</v>
      </c>
      <c r="G263">
        <v>91116.138999999996</v>
      </c>
      <c r="H263">
        <v>164.49897300000001</v>
      </c>
      <c r="I263">
        <v>344.11101600000001</v>
      </c>
    </row>
    <row r="264" spans="1:9" x14ac:dyDescent="0.45">
      <c r="A264">
        <v>263</v>
      </c>
      <c r="B264">
        <v>-78.181749999999994</v>
      </c>
      <c r="C264">
        <v>-21.132079999999998</v>
      </c>
      <c r="D264">
        <v>863</v>
      </c>
      <c r="E264">
        <v>-77.550960000000003</v>
      </c>
      <c r="F264">
        <v>-21.94014</v>
      </c>
      <c r="G264">
        <v>72932.058000000005</v>
      </c>
      <c r="H264">
        <v>344.53019699999999</v>
      </c>
      <c r="I264">
        <v>165.32021700000001</v>
      </c>
    </row>
    <row r="265" spans="1:9" x14ac:dyDescent="0.45">
      <c r="A265">
        <v>264</v>
      </c>
      <c r="B265">
        <v>19.14892</v>
      </c>
      <c r="C265">
        <v>91.384129999999999</v>
      </c>
      <c r="D265">
        <v>864</v>
      </c>
      <c r="E265">
        <v>19.559259999999998</v>
      </c>
      <c r="F265">
        <v>91.946860000000001</v>
      </c>
      <c r="G265">
        <v>74558.342000000004</v>
      </c>
      <c r="H265">
        <v>52.373322000000002</v>
      </c>
      <c r="I265">
        <v>232.55981600000001</v>
      </c>
    </row>
    <row r="266" spans="1:9" x14ac:dyDescent="0.45">
      <c r="A266">
        <v>265</v>
      </c>
      <c r="B266">
        <v>-18.29898</v>
      </c>
      <c r="C266">
        <v>-57.074159999999999</v>
      </c>
      <c r="D266">
        <v>865</v>
      </c>
      <c r="E266">
        <v>-17.80846</v>
      </c>
      <c r="F266">
        <v>-56.730490000000003</v>
      </c>
      <c r="G266">
        <v>65356.107000000004</v>
      </c>
      <c r="H266">
        <v>33.882922000000001</v>
      </c>
      <c r="I266">
        <v>213.77641499999999</v>
      </c>
    </row>
    <row r="267" spans="1:9" x14ac:dyDescent="0.45">
      <c r="A267">
        <v>266</v>
      </c>
      <c r="B267">
        <v>13.66348</v>
      </c>
      <c r="C267">
        <v>-176.74775</v>
      </c>
      <c r="D267">
        <v>866</v>
      </c>
      <c r="E267">
        <v>13.21739</v>
      </c>
      <c r="F267">
        <v>-176.68232</v>
      </c>
      <c r="G267">
        <v>49858.872000000003</v>
      </c>
      <c r="H267">
        <v>171.822428</v>
      </c>
      <c r="I267">
        <v>351.83763599999997</v>
      </c>
    </row>
    <row r="268" spans="1:9" x14ac:dyDescent="0.45">
      <c r="A268">
        <v>267</v>
      </c>
      <c r="B268">
        <v>45.942509999999999</v>
      </c>
      <c r="C268">
        <v>143.80869999999999</v>
      </c>
      <c r="D268">
        <v>867</v>
      </c>
      <c r="E268">
        <v>45.974609999999998</v>
      </c>
      <c r="F268">
        <v>144.30295000000001</v>
      </c>
      <c r="G268">
        <v>38480.510999999999</v>
      </c>
      <c r="H268">
        <v>84.502264999999994</v>
      </c>
      <c r="I268">
        <v>264.857551</v>
      </c>
    </row>
    <row r="269" spans="1:9" x14ac:dyDescent="0.45">
      <c r="A269">
        <v>268</v>
      </c>
      <c r="B269">
        <v>-6.3385800000000003</v>
      </c>
      <c r="C269">
        <v>79.078190000000006</v>
      </c>
      <c r="D269">
        <v>868</v>
      </c>
      <c r="E269">
        <v>-5.4797000000000002</v>
      </c>
      <c r="F269">
        <v>79.579409999999996</v>
      </c>
      <c r="G269">
        <v>110006.99</v>
      </c>
      <c r="H269">
        <v>30.325800000000001</v>
      </c>
      <c r="I269">
        <v>210.27419699999999</v>
      </c>
    </row>
    <row r="270" spans="1:9" x14ac:dyDescent="0.45">
      <c r="A270">
        <v>269</v>
      </c>
      <c r="B270">
        <v>-75.261250000000004</v>
      </c>
      <c r="C270">
        <v>-147.21267</v>
      </c>
      <c r="D270">
        <v>869</v>
      </c>
      <c r="E270">
        <v>-75.35857</v>
      </c>
      <c r="F270">
        <v>-146.96997999999999</v>
      </c>
      <c r="G270">
        <v>12854.441000000001</v>
      </c>
      <c r="H270">
        <v>147.79738800000001</v>
      </c>
      <c r="I270">
        <v>327.56263100000001</v>
      </c>
    </row>
    <row r="271" spans="1:9" x14ac:dyDescent="0.45">
      <c r="A271">
        <v>270</v>
      </c>
      <c r="B271">
        <v>-72.044129999999996</v>
      </c>
      <c r="C271">
        <v>154.42305999999999</v>
      </c>
      <c r="D271">
        <v>870</v>
      </c>
      <c r="E271">
        <v>-71.136750000000006</v>
      </c>
      <c r="F271">
        <v>153.76536999999999</v>
      </c>
      <c r="G271">
        <v>103867.36199999999</v>
      </c>
      <c r="H271">
        <v>346.78620100000001</v>
      </c>
      <c r="I271">
        <v>167.41025300000001</v>
      </c>
    </row>
    <row r="272" spans="1:9" x14ac:dyDescent="0.45">
      <c r="A272">
        <v>271</v>
      </c>
      <c r="B272">
        <v>60.481920000000002</v>
      </c>
      <c r="C272">
        <v>23.917190000000002</v>
      </c>
      <c r="D272">
        <v>871</v>
      </c>
      <c r="E272">
        <v>60.518250000000002</v>
      </c>
      <c r="F272">
        <v>24.397919999999999</v>
      </c>
      <c r="G272">
        <v>26727.112000000001</v>
      </c>
      <c r="H272">
        <v>81.079696999999996</v>
      </c>
      <c r="I272">
        <v>261.49810400000001</v>
      </c>
    </row>
    <row r="273" spans="1:9" x14ac:dyDescent="0.45">
      <c r="A273">
        <v>272</v>
      </c>
      <c r="B273">
        <v>88.945859999999996</v>
      </c>
      <c r="C273">
        <v>-13.893789999999999</v>
      </c>
      <c r="D273">
        <v>872</v>
      </c>
      <c r="E273">
        <v>88.441069999999996</v>
      </c>
      <c r="F273">
        <v>-14.747450000000001</v>
      </c>
      <c r="G273">
        <v>56422.040999999997</v>
      </c>
      <c r="H273">
        <v>182.63499899999999</v>
      </c>
      <c r="I273">
        <v>1.7815529999999999</v>
      </c>
    </row>
    <row r="274" spans="1:9" x14ac:dyDescent="0.45">
      <c r="A274">
        <v>273</v>
      </c>
      <c r="B274">
        <v>-31.321149999999999</v>
      </c>
      <c r="C274">
        <v>-29.877099999999999</v>
      </c>
      <c r="D274">
        <v>873</v>
      </c>
      <c r="E274">
        <v>-31.052669999999999</v>
      </c>
      <c r="F274">
        <v>-30.46238</v>
      </c>
      <c r="G274">
        <v>63232.082999999999</v>
      </c>
      <c r="H274">
        <v>297.93176099999999</v>
      </c>
      <c r="I274">
        <v>118.23484000000001</v>
      </c>
    </row>
    <row r="275" spans="1:9" x14ac:dyDescent="0.45">
      <c r="A275">
        <v>274</v>
      </c>
      <c r="B275">
        <v>53.416429999999998</v>
      </c>
      <c r="C275">
        <v>20.169750000000001</v>
      </c>
      <c r="D275">
        <v>874</v>
      </c>
      <c r="E275">
        <v>54.178559999999997</v>
      </c>
      <c r="F275">
        <v>19.55808</v>
      </c>
      <c r="G275">
        <v>93913.721000000005</v>
      </c>
      <c r="H275">
        <v>334.83165400000001</v>
      </c>
      <c r="I275">
        <v>154.338064</v>
      </c>
    </row>
    <row r="276" spans="1:9" x14ac:dyDescent="0.45">
      <c r="A276">
        <v>275</v>
      </c>
      <c r="B276">
        <v>-66.292150000000007</v>
      </c>
      <c r="C276">
        <v>-51.547910000000002</v>
      </c>
      <c r="D276">
        <v>875</v>
      </c>
      <c r="E276">
        <v>-65.618889999999993</v>
      </c>
      <c r="F276">
        <v>-52.342460000000003</v>
      </c>
      <c r="G276">
        <v>83317.122000000003</v>
      </c>
      <c r="H276">
        <v>333.931175</v>
      </c>
      <c r="I276">
        <v>154.65679600000001</v>
      </c>
    </row>
    <row r="277" spans="1:9" x14ac:dyDescent="0.45">
      <c r="A277">
        <v>276</v>
      </c>
      <c r="B277">
        <v>-54.089619999999996</v>
      </c>
      <c r="C277">
        <v>-56.965269999999997</v>
      </c>
      <c r="D277">
        <v>876</v>
      </c>
      <c r="E277">
        <v>-54.311219999999999</v>
      </c>
      <c r="F277">
        <v>-57.385060000000003</v>
      </c>
      <c r="G277">
        <v>36863.61</v>
      </c>
      <c r="H277">
        <v>227.83122700000001</v>
      </c>
      <c r="I277">
        <v>48.171706</v>
      </c>
    </row>
    <row r="278" spans="1:9" x14ac:dyDescent="0.45">
      <c r="A278">
        <v>277</v>
      </c>
      <c r="B278">
        <v>49.60765</v>
      </c>
      <c r="C278">
        <v>78.039140000000003</v>
      </c>
      <c r="D278">
        <v>877</v>
      </c>
      <c r="E278">
        <v>48.967799999999997</v>
      </c>
      <c r="F278">
        <v>78.897099999999995</v>
      </c>
      <c r="G278">
        <v>94654.224000000002</v>
      </c>
      <c r="H278">
        <v>138.419859</v>
      </c>
      <c r="I278">
        <v>319.07020299999999</v>
      </c>
    </row>
    <row r="279" spans="1:9" x14ac:dyDescent="0.45">
      <c r="A279">
        <v>278</v>
      </c>
      <c r="B279">
        <v>21.583069999999999</v>
      </c>
      <c r="C279">
        <v>-176.51130000000001</v>
      </c>
      <c r="D279">
        <v>878</v>
      </c>
      <c r="E279">
        <v>22.121200000000002</v>
      </c>
      <c r="F279">
        <v>-177.33247</v>
      </c>
      <c r="G279">
        <v>103709.27499999999</v>
      </c>
      <c r="H279">
        <v>305.22024800000003</v>
      </c>
      <c r="I279">
        <v>124.91459</v>
      </c>
    </row>
    <row r="280" spans="1:9" x14ac:dyDescent="0.45">
      <c r="A280">
        <v>279</v>
      </c>
      <c r="B280">
        <v>16.77291</v>
      </c>
      <c r="C280">
        <v>-64.740250000000003</v>
      </c>
      <c r="D280">
        <v>879</v>
      </c>
      <c r="E280">
        <v>16.8718</v>
      </c>
      <c r="F280">
        <v>-65.412660000000002</v>
      </c>
      <c r="G280">
        <v>72499.957999999999</v>
      </c>
      <c r="H280">
        <v>278.77919900000001</v>
      </c>
      <c r="I280">
        <v>98.584598</v>
      </c>
    </row>
    <row r="281" spans="1:9" x14ac:dyDescent="0.45">
      <c r="A281">
        <v>280</v>
      </c>
      <c r="B281">
        <v>32.084580000000003</v>
      </c>
      <c r="C281">
        <v>-137.40487999999999</v>
      </c>
      <c r="D281">
        <v>880</v>
      </c>
      <c r="E281">
        <v>31.64038</v>
      </c>
      <c r="F281">
        <v>-138.39496</v>
      </c>
      <c r="G281">
        <v>105852.084</v>
      </c>
      <c r="H281">
        <v>242.531398</v>
      </c>
      <c r="I281">
        <v>62.008738000000001</v>
      </c>
    </row>
    <row r="282" spans="1:9" x14ac:dyDescent="0.45">
      <c r="A282">
        <v>281</v>
      </c>
      <c r="B282">
        <v>40.911969999999997</v>
      </c>
      <c r="C282">
        <v>-13.68938</v>
      </c>
      <c r="D282">
        <v>881</v>
      </c>
      <c r="E282">
        <v>41.191110000000002</v>
      </c>
      <c r="F282">
        <v>-14.314120000000001</v>
      </c>
      <c r="G282">
        <v>60987.586000000003</v>
      </c>
      <c r="H282">
        <v>300.75526300000001</v>
      </c>
      <c r="I282">
        <v>120.34497</v>
      </c>
    </row>
    <row r="283" spans="1:9" x14ac:dyDescent="0.45">
      <c r="A283">
        <v>282</v>
      </c>
      <c r="B283">
        <v>-40.943199999999997</v>
      </c>
      <c r="C283">
        <v>142.91667000000001</v>
      </c>
      <c r="D283">
        <v>882</v>
      </c>
      <c r="E283">
        <v>-39.996729999999999</v>
      </c>
      <c r="F283">
        <v>143.56459000000001</v>
      </c>
      <c r="G283">
        <v>118595.412</v>
      </c>
      <c r="H283">
        <v>27.811864</v>
      </c>
      <c r="I283">
        <v>207.39131499999999</v>
      </c>
    </row>
    <row r="284" spans="1:9" x14ac:dyDescent="0.45">
      <c r="A284">
        <v>283</v>
      </c>
      <c r="B284">
        <v>-37.205269999999999</v>
      </c>
      <c r="C284">
        <v>-20.326080000000001</v>
      </c>
      <c r="D284">
        <v>883</v>
      </c>
      <c r="E284">
        <v>-37.992040000000003</v>
      </c>
      <c r="F284">
        <v>-20.00976</v>
      </c>
      <c r="G284">
        <v>91681.667000000001</v>
      </c>
      <c r="H284">
        <v>162.35724200000001</v>
      </c>
      <c r="I284">
        <v>342.164242</v>
      </c>
    </row>
    <row r="285" spans="1:9" x14ac:dyDescent="0.45">
      <c r="A285">
        <v>284</v>
      </c>
      <c r="B285">
        <v>-75.58314</v>
      </c>
      <c r="C285">
        <v>71.970050000000001</v>
      </c>
      <c r="D285">
        <v>884</v>
      </c>
      <c r="E285">
        <v>-75.053169999999994</v>
      </c>
      <c r="F285">
        <v>72.437200000000004</v>
      </c>
      <c r="G285">
        <v>60615.120999999999</v>
      </c>
      <c r="H285">
        <v>12.824904</v>
      </c>
      <c r="I285">
        <v>192.37300200000001</v>
      </c>
    </row>
    <row r="286" spans="1:9" x14ac:dyDescent="0.45">
      <c r="A286">
        <v>285</v>
      </c>
      <c r="B286">
        <v>83.8001</v>
      </c>
      <c r="C286">
        <v>127.32998000000001</v>
      </c>
      <c r="D286">
        <v>885</v>
      </c>
      <c r="E286">
        <v>84.577529999999996</v>
      </c>
      <c r="F286">
        <v>126.33351999999999</v>
      </c>
      <c r="G286">
        <v>87550.186000000002</v>
      </c>
      <c r="H286">
        <v>353.10062299999998</v>
      </c>
      <c r="I286">
        <v>172.109261</v>
      </c>
    </row>
    <row r="287" spans="1:9" x14ac:dyDescent="0.45">
      <c r="A287">
        <v>286</v>
      </c>
      <c r="B287">
        <v>16.90672</v>
      </c>
      <c r="C287">
        <v>132.65636000000001</v>
      </c>
      <c r="D287">
        <v>886</v>
      </c>
      <c r="E287">
        <v>16.93261</v>
      </c>
      <c r="F287">
        <v>133.13082</v>
      </c>
      <c r="G287">
        <v>50625.874000000003</v>
      </c>
      <c r="H287">
        <v>86.686552000000006</v>
      </c>
      <c r="I287">
        <v>266.824635</v>
      </c>
    </row>
    <row r="288" spans="1:9" x14ac:dyDescent="0.45">
      <c r="A288">
        <v>287</v>
      </c>
      <c r="B288">
        <v>-29.880649999999999</v>
      </c>
      <c r="C288">
        <v>-111.69532</v>
      </c>
      <c r="D288">
        <v>887</v>
      </c>
      <c r="E288">
        <v>-29.70758</v>
      </c>
      <c r="F288">
        <v>-112.35563</v>
      </c>
      <c r="G288">
        <v>66662.044999999998</v>
      </c>
      <c r="H288">
        <v>286.56139400000001</v>
      </c>
      <c r="I288">
        <v>106.889495</v>
      </c>
    </row>
    <row r="289" spans="1:9" x14ac:dyDescent="0.45">
      <c r="A289">
        <v>288</v>
      </c>
      <c r="B289">
        <v>-34.246119999999998</v>
      </c>
      <c r="C289">
        <v>-73.81541</v>
      </c>
      <c r="D289">
        <v>888</v>
      </c>
      <c r="E289">
        <v>-33.790619999999997</v>
      </c>
      <c r="F289">
        <v>-72.902140000000003</v>
      </c>
      <c r="G289">
        <v>98327.422000000006</v>
      </c>
      <c r="H289">
        <v>59.335866000000003</v>
      </c>
      <c r="I289">
        <v>238.824918</v>
      </c>
    </row>
    <row r="290" spans="1:9" x14ac:dyDescent="0.45">
      <c r="A290">
        <v>289</v>
      </c>
      <c r="B290">
        <v>81.709270000000004</v>
      </c>
      <c r="C290">
        <v>-147.77295000000001</v>
      </c>
      <c r="D290">
        <v>889</v>
      </c>
      <c r="E290">
        <v>82.634469999999993</v>
      </c>
      <c r="F290">
        <v>-146.80287999999999</v>
      </c>
      <c r="G290">
        <v>104364.72100000001</v>
      </c>
      <c r="H290">
        <v>7.6480589999999999</v>
      </c>
      <c r="I290">
        <v>188.60912099999999</v>
      </c>
    </row>
    <row r="291" spans="1:9" x14ac:dyDescent="0.45">
      <c r="A291">
        <v>290</v>
      </c>
      <c r="B291">
        <v>3.99797</v>
      </c>
      <c r="C291">
        <v>39.808050000000001</v>
      </c>
      <c r="D291">
        <v>890</v>
      </c>
      <c r="E291">
        <v>4.4888700000000004</v>
      </c>
      <c r="F291">
        <v>40.513489999999997</v>
      </c>
      <c r="G291">
        <v>95289.048999999999</v>
      </c>
      <c r="H291">
        <v>55.246760000000002</v>
      </c>
      <c r="I291">
        <v>235.298959</v>
      </c>
    </row>
    <row r="292" spans="1:9" x14ac:dyDescent="0.45">
      <c r="A292">
        <v>291</v>
      </c>
      <c r="B292">
        <v>48.434139999999999</v>
      </c>
      <c r="C292">
        <v>59.024380000000001</v>
      </c>
      <c r="D292">
        <v>891</v>
      </c>
      <c r="E292">
        <v>48.230629999999998</v>
      </c>
      <c r="F292">
        <v>58.24362</v>
      </c>
      <c r="G292">
        <v>62154.805999999997</v>
      </c>
      <c r="H292">
        <v>248.94075799999999</v>
      </c>
      <c r="I292">
        <v>68.357513999999995</v>
      </c>
    </row>
    <row r="293" spans="1:9" x14ac:dyDescent="0.45">
      <c r="A293">
        <v>292</v>
      </c>
      <c r="B293">
        <v>-78.590999999999994</v>
      </c>
      <c r="C293">
        <v>-82.940529999999995</v>
      </c>
      <c r="D293">
        <v>892</v>
      </c>
      <c r="E293">
        <v>-78.429820000000007</v>
      </c>
      <c r="F293">
        <v>-83.816050000000004</v>
      </c>
      <c r="G293">
        <v>26516.797999999999</v>
      </c>
      <c r="H293">
        <v>312.307703</v>
      </c>
      <c r="I293">
        <v>133.16568000000001</v>
      </c>
    </row>
    <row r="294" spans="1:9" x14ac:dyDescent="0.45">
      <c r="A294">
        <v>293</v>
      </c>
      <c r="B294">
        <v>-0.28333999999999998</v>
      </c>
      <c r="C294">
        <v>-146.87727000000001</v>
      </c>
      <c r="D294">
        <v>893</v>
      </c>
      <c r="E294">
        <v>-0.38272</v>
      </c>
      <c r="F294">
        <v>-146.07856000000001</v>
      </c>
      <c r="G294">
        <v>89586.998000000007</v>
      </c>
      <c r="H294">
        <v>97.047936000000007</v>
      </c>
      <c r="I294">
        <v>277.04329300000001</v>
      </c>
    </row>
    <row r="295" spans="1:9" x14ac:dyDescent="0.45">
      <c r="A295">
        <v>294</v>
      </c>
      <c r="B295">
        <v>4.1198899999999998</v>
      </c>
      <c r="C295">
        <v>-64.602000000000004</v>
      </c>
      <c r="D295">
        <v>894</v>
      </c>
      <c r="E295">
        <v>4.4798099999999996</v>
      </c>
      <c r="F295">
        <v>-63.866210000000002</v>
      </c>
      <c r="G295">
        <v>90859.5</v>
      </c>
      <c r="H295">
        <v>63.993879</v>
      </c>
      <c r="I295">
        <v>244.049047</v>
      </c>
    </row>
    <row r="296" spans="1:9" x14ac:dyDescent="0.45">
      <c r="A296">
        <v>295</v>
      </c>
      <c r="B296">
        <v>-57.535170000000001</v>
      </c>
      <c r="C296">
        <v>131.10513</v>
      </c>
      <c r="D296">
        <v>895</v>
      </c>
      <c r="E296">
        <v>-58.172080000000001</v>
      </c>
      <c r="F296">
        <v>131.53251</v>
      </c>
      <c r="G296">
        <v>75337.535999999993</v>
      </c>
      <c r="H296">
        <v>160.49757</v>
      </c>
      <c r="I296">
        <v>340.13570499999997</v>
      </c>
    </row>
    <row r="297" spans="1:9" x14ac:dyDescent="0.45">
      <c r="A297">
        <v>296</v>
      </c>
      <c r="B297">
        <v>-5.3463599999999998</v>
      </c>
      <c r="C297">
        <v>-97.144379999999998</v>
      </c>
      <c r="D297">
        <v>896</v>
      </c>
      <c r="E297">
        <v>-5.0005100000000002</v>
      </c>
      <c r="F297">
        <v>-97.825320000000005</v>
      </c>
      <c r="G297">
        <v>84629.773000000001</v>
      </c>
      <c r="H297">
        <v>296.835396</v>
      </c>
      <c r="I297">
        <v>116.896798</v>
      </c>
    </row>
    <row r="298" spans="1:9" x14ac:dyDescent="0.45">
      <c r="A298">
        <v>297</v>
      </c>
      <c r="B298">
        <v>81.573599999999999</v>
      </c>
      <c r="C298">
        <v>-156.09604999999999</v>
      </c>
      <c r="D298">
        <v>897</v>
      </c>
      <c r="E298">
        <v>82.350070000000002</v>
      </c>
      <c r="F298">
        <v>-156.91614000000001</v>
      </c>
      <c r="G298">
        <v>87648.481</v>
      </c>
      <c r="H298">
        <v>352.003557</v>
      </c>
      <c r="I298">
        <v>171.19150500000001</v>
      </c>
    </row>
    <row r="299" spans="1:9" x14ac:dyDescent="0.45">
      <c r="A299">
        <v>298</v>
      </c>
      <c r="B299">
        <v>78.949470000000005</v>
      </c>
      <c r="C299">
        <v>-84.302080000000004</v>
      </c>
      <c r="D299">
        <v>898</v>
      </c>
      <c r="E299">
        <v>78.244540000000001</v>
      </c>
      <c r="F299">
        <v>-85.292209999999997</v>
      </c>
      <c r="G299">
        <v>81682.396999999997</v>
      </c>
      <c r="H299">
        <v>196.00948399999999</v>
      </c>
      <c r="I299">
        <v>15.038879</v>
      </c>
    </row>
    <row r="300" spans="1:9" x14ac:dyDescent="0.45">
      <c r="A300">
        <v>299</v>
      </c>
      <c r="B300">
        <v>67.04083</v>
      </c>
      <c r="C300">
        <v>142.8177</v>
      </c>
      <c r="D300">
        <v>899</v>
      </c>
      <c r="E300">
        <v>67.039259999999999</v>
      </c>
      <c r="F300">
        <v>143.40382</v>
      </c>
      <c r="G300">
        <v>25524.931</v>
      </c>
      <c r="H300">
        <v>90.123178999999993</v>
      </c>
      <c r="I300">
        <v>270.66286600000001</v>
      </c>
    </row>
    <row r="301" spans="1:9" x14ac:dyDescent="0.45">
      <c r="A301">
        <v>300</v>
      </c>
      <c r="B301">
        <v>61.084530000000001</v>
      </c>
      <c r="C301">
        <v>22.738029999999998</v>
      </c>
      <c r="D301">
        <v>900</v>
      </c>
      <c r="E301">
        <v>60.56268</v>
      </c>
      <c r="F301">
        <v>22.917560000000002</v>
      </c>
      <c r="G301">
        <v>58962.375</v>
      </c>
      <c r="H301">
        <v>170.385989</v>
      </c>
      <c r="I301">
        <v>350.54274299999997</v>
      </c>
    </row>
    <row r="302" spans="1:9" x14ac:dyDescent="0.45">
      <c r="A302">
        <v>301</v>
      </c>
      <c r="B302">
        <v>-8.7715399999999999</v>
      </c>
      <c r="C302">
        <v>-87.263670000000005</v>
      </c>
      <c r="D302">
        <v>901</v>
      </c>
      <c r="E302">
        <v>-8.9253300000000007</v>
      </c>
      <c r="F302">
        <v>-87.265600000000006</v>
      </c>
      <c r="G302">
        <v>17010.583999999999</v>
      </c>
      <c r="H302">
        <v>180.71496999999999</v>
      </c>
      <c r="I302">
        <v>0.71526699999999999</v>
      </c>
    </row>
    <row r="303" spans="1:9" x14ac:dyDescent="0.45">
      <c r="A303">
        <v>302</v>
      </c>
      <c r="B303">
        <v>-60.347119999999997</v>
      </c>
      <c r="C303">
        <v>162.42533</v>
      </c>
      <c r="D303">
        <v>902</v>
      </c>
      <c r="E303">
        <v>-60.502249999999997</v>
      </c>
      <c r="F303">
        <v>162.44852</v>
      </c>
      <c r="G303">
        <v>17331.64</v>
      </c>
      <c r="H303">
        <v>175.783421</v>
      </c>
      <c r="I303">
        <v>355.76325200000002</v>
      </c>
    </row>
    <row r="304" spans="1:9" x14ac:dyDescent="0.45">
      <c r="A304">
        <v>303</v>
      </c>
      <c r="B304">
        <v>-43.271380000000001</v>
      </c>
      <c r="C304">
        <v>125.9294</v>
      </c>
      <c r="D304">
        <v>903</v>
      </c>
      <c r="E304">
        <v>-43.39537</v>
      </c>
      <c r="F304">
        <v>125.98155</v>
      </c>
      <c r="G304">
        <v>14409.82</v>
      </c>
      <c r="H304">
        <v>162.95020600000001</v>
      </c>
      <c r="I304">
        <v>342.91441900000001</v>
      </c>
    </row>
    <row r="305" spans="1:9" x14ac:dyDescent="0.45">
      <c r="A305">
        <v>304</v>
      </c>
      <c r="B305">
        <v>-37.080170000000003</v>
      </c>
      <c r="C305">
        <v>127.09634</v>
      </c>
      <c r="D305">
        <v>904</v>
      </c>
      <c r="E305">
        <v>-37.145740000000004</v>
      </c>
      <c r="F305">
        <v>127.25547</v>
      </c>
      <c r="G305">
        <v>15905.687</v>
      </c>
      <c r="H305">
        <v>117.274259</v>
      </c>
      <c r="I305">
        <v>297.17824100000001</v>
      </c>
    </row>
    <row r="306" spans="1:9" x14ac:dyDescent="0.45">
      <c r="A306">
        <v>305</v>
      </c>
      <c r="B306">
        <v>56.070900000000002</v>
      </c>
      <c r="C306">
        <v>58.975679999999997</v>
      </c>
      <c r="D306">
        <v>905</v>
      </c>
      <c r="E306">
        <v>56.221699999999998</v>
      </c>
      <c r="F306">
        <v>58.948929999999997</v>
      </c>
      <c r="G306">
        <v>16872.870999999999</v>
      </c>
      <c r="H306">
        <v>354.35585400000002</v>
      </c>
      <c r="I306">
        <v>174.33363900000001</v>
      </c>
    </row>
    <row r="307" spans="1:9" x14ac:dyDescent="0.45">
      <c r="A307">
        <v>306</v>
      </c>
      <c r="B307">
        <v>59.503010000000003</v>
      </c>
      <c r="C307">
        <v>7.8700000000000003E-3</v>
      </c>
      <c r="D307">
        <v>906</v>
      </c>
      <c r="E307">
        <v>59.535269999999997</v>
      </c>
      <c r="F307">
        <v>0.12007</v>
      </c>
      <c r="G307">
        <v>7297.6869999999999</v>
      </c>
      <c r="H307">
        <v>60.448579000000002</v>
      </c>
      <c r="I307">
        <v>240.54527200000001</v>
      </c>
    </row>
    <row r="308" spans="1:9" x14ac:dyDescent="0.45">
      <c r="A308">
        <v>307</v>
      </c>
      <c r="B308">
        <v>-74.952259999999995</v>
      </c>
      <c r="C308">
        <v>-26.58023</v>
      </c>
      <c r="D308">
        <v>907</v>
      </c>
      <c r="E308">
        <v>-74.843159999999997</v>
      </c>
      <c r="F308">
        <v>-26.707640000000001</v>
      </c>
      <c r="G308">
        <v>12729.16</v>
      </c>
      <c r="H308">
        <v>343.00778400000002</v>
      </c>
      <c r="I308">
        <v>163.13079400000001</v>
      </c>
    </row>
    <row r="309" spans="1:9" x14ac:dyDescent="0.45">
      <c r="A309">
        <v>308</v>
      </c>
      <c r="B309">
        <v>65.835390000000004</v>
      </c>
      <c r="C309">
        <v>170.96190999999999</v>
      </c>
      <c r="D309">
        <v>908</v>
      </c>
      <c r="E309">
        <v>65.727909999999994</v>
      </c>
      <c r="F309">
        <v>170.84088</v>
      </c>
      <c r="G309">
        <v>13203.951999999999</v>
      </c>
      <c r="H309">
        <v>204.87360899999999</v>
      </c>
      <c r="I309">
        <v>24.763231000000001</v>
      </c>
    </row>
    <row r="310" spans="1:9" x14ac:dyDescent="0.45">
      <c r="A310">
        <v>309</v>
      </c>
      <c r="B310">
        <v>-26.727869999999999</v>
      </c>
      <c r="C310">
        <v>38.045090000000002</v>
      </c>
      <c r="D310">
        <v>909</v>
      </c>
      <c r="E310">
        <v>-26.840309999999999</v>
      </c>
      <c r="F310">
        <v>38.172600000000003</v>
      </c>
      <c r="G310">
        <v>17776.249</v>
      </c>
      <c r="H310">
        <v>134.523414</v>
      </c>
      <c r="I310">
        <v>314.46595400000001</v>
      </c>
    </row>
    <row r="311" spans="1:9" x14ac:dyDescent="0.45">
      <c r="A311">
        <v>310</v>
      </c>
      <c r="B311">
        <v>-26.631070000000001</v>
      </c>
      <c r="C311">
        <v>-2.1562600000000001</v>
      </c>
      <c r="D311">
        <v>910</v>
      </c>
      <c r="E311">
        <v>-26.629349999999999</v>
      </c>
      <c r="F311">
        <v>-2.0534500000000002</v>
      </c>
      <c r="G311">
        <v>10239.334999999999</v>
      </c>
      <c r="H311">
        <v>88.956603999999999</v>
      </c>
      <c r="I311">
        <v>268.91052200000001</v>
      </c>
    </row>
    <row r="312" spans="1:9" x14ac:dyDescent="0.45">
      <c r="A312">
        <v>311</v>
      </c>
      <c r="B312">
        <v>-53.101390000000002</v>
      </c>
      <c r="C312">
        <v>174.91311999999999</v>
      </c>
      <c r="D312">
        <v>911</v>
      </c>
      <c r="E312">
        <v>-53.094059999999999</v>
      </c>
      <c r="F312">
        <v>174.76838000000001</v>
      </c>
      <c r="G312">
        <v>9729.741</v>
      </c>
      <c r="H312">
        <v>274.75145099999997</v>
      </c>
      <c r="I312">
        <v>94.867193999999998</v>
      </c>
    </row>
    <row r="313" spans="1:9" x14ac:dyDescent="0.45">
      <c r="A313">
        <v>312</v>
      </c>
      <c r="B313">
        <v>-17.590499999999999</v>
      </c>
      <c r="C313">
        <v>-167.22135</v>
      </c>
      <c r="D313">
        <v>912</v>
      </c>
      <c r="E313">
        <v>-17.477409999999999</v>
      </c>
      <c r="F313">
        <v>-167.34619000000001</v>
      </c>
      <c r="G313">
        <v>18230.852999999999</v>
      </c>
      <c r="H313">
        <v>313.338188</v>
      </c>
      <c r="I313">
        <v>133.375799</v>
      </c>
    </row>
    <row r="314" spans="1:9" x14ac:dyDescent="0.45">
      <c r="A314">
        <v>313</v>
      </c>
      <c r="B314">
        <v>85.293099999999995</v>
      </c>
      <c r="C314">
        <v>81.5137</v>
      </c>
      <c r="D314">
        <v>913</v>
      </c>
      <c r="E314">
        <v>85.383160000000004</v>
      </c>
      <c r="F314">
        <v>81.513400000000004</v>
      </c>
      <c r="G314">
        <v>10058.487999999999</v>
      </c>
      <c r="H314">
        <v>359.98463700000002</v>
      </c>
      <c r="I314">
        <v>179.98433800000001</v>
      </c>
    </row>
    <row r="315" spans="1:9" x14ac:dyDescent="0.45">
      <c r="A315">
        <v>314</v>
      </c>
      <c r="B315">
        <v>-62.232089999999999</v>
      </c>
      <c r="C315">
        <v>-138.51569000000001</v>
      </c>
      <c r="D315">
        <v>914</v>
      </c>
      <c r="E315">
        <v>-62.14969</v>
      </c>
      <c r="F315">
        <v>-138.52848</v>
      </c>
      <c r="G315">
        <v>9207.4869999999992</v>
      </c>
      <c r="H315">
        <v>355.84652299999999</v>
      </c>
      <c r="I315">
        <v>175.85783499999999</v>
      </c>
    </row>
    <row r="316" spans="1:9" x14ac:dyDescent="0.45">
      <c r="A316">
        <v>315</v>
      </c>
      <c r="B316">
        <v>-5.1765699999999999</v>
      </c>
      <c r="C316">
        <v>12.51703</v>
      </c>
      <c r="D316">
        <v>915</v>
      </c>
      <c r="E316">
        <v>-5.1373499999999996</v>
      </c>
      <c r="F316">
        <v>12.44454</v>
      </c>
      <c r="G316">
        <v>9132.6470000000008</v>
      </c>
      <c r="H316">
        <v>298.34944000000002</v>
      </c>
      <c r="I316">
        <v>118.35595600000001</v>
      </c>
    </row>
    <row r="317" spans="1:9" x14ac:dyDescent="0.45">
      <c r="A317">
        <v>316</v>
      </c>
      <c r="B317">
        <v>-45.983930000000001</v>
      </c>
      <c r="C317">
        <v>-139.57661999999999</v>
      </c>
      <c r="D317">
        <v>916</v>
      </c>
      <c r="E317">
        <v>-45.892330000000001</v>
      </c>
      <c r="F317">
        <v>-139.54764</v>
      </c>
      <c r="G317">
        <v>10426.439</v>
      </c>
      <c r="H317">
        <v>12.458031</v>
      </c>
      <c r="I317">
        <v>192.437207</v>
      </c>
    </row>
    <row r="318" spans="1:9" x14ac:dyDescent="0.45">
      <c r="A318">
        <v>317</v>
      </c>
      <c r="B318">
        <v>50.101320000000001</v>
      </c>
      <c r="C318">
        <v>-22.025069999999999</v>
      </c>
      <c r="D318">
        <v>917</v>
      </c>
      <c r="E318">
        <v>50.119689999999999</v>
      </c>
      <c r="F318">
        <v>-22.005089999999999</v>
      </c>
      <c r="G318">
        <v>2493.54</v>
      </c>
      <c r="H318">
        <v>34.963143000000002</v>
      </c>
      <c r="I318">
        <v>214.97847400000001</v>
      </c>
    </row>
    <row r="319" spans="1:9" x14ac:dyDescent="0.45">
      <c r="A319">
        <v>318</v>
      </c>
      <c r="B319">
        <v>2.5049100000000002</v>
      </c>
      <c r="C319">
        <v>44.176459999999999</v>
      </c>
      <c r="D319">
        <v>918</v>
      </c>
      <c r="E319">
        <v>2.52488</v>
      </c>
      <c r="F319">
        <v>44.280160000000002</v>
      </c>
      <c r="G319">
        <v>11742.29</v>
      </c>
      <c r="H319">
        <v>79.158356999999995</v>
      </c>
      <c r="I319">
        <v>259.16290700000002</v>
      </c>
    </row>
    <row r="320" spans="1:9" x14ac:dyDescent="0.45">
      <c r="A320">
        <v>319</v>
      </c>
      <c r="B320">
        <v>14.74234</v>
      </c>
      <c r="C320">
        <v>-31.122050000000002</v>
      </c>
      <c r="D320">
        <v>919</v>
      </c>
      <c r="E320">
        <v>14.670439999999999</v>
      </c>
      <c r="F320">
        <v>-31.158519999999999</v>
      </c>
      <c r="G320">
        <v>8872.1790000000001</v>
      </c>
      <c r="H320">
        <v>206.280575</v>
      </c>
      <c r="I320">
        <v>26.271315999999999</v>
      </c>
    </row>
    <row r="321" spans="1:9" x14ac:dyDescent="0.45">
      <c r="A321">
        <v>320</v>
      </c>
      <c r="B321">
        <v>-7.7595900000000002</v>
      </c>
      <c r="C321">
        <v>-54.59355</v>
      </c>
      <c r="D321">
        <v>920</v>
      </c>
      <c r="E321">
        <v>-7.6051099999999998</v>
      </c>
      <c r="F321">
        <v>-54.727649999999997</v>
      </c>
      <c r="G321">
        <v>22600.223000000002</v>
      </c>
      <c r="H321">
        <v>319.09922699999998</v>
      </c>
      <c r="I321">
        <v>139.117154</v>
      </c>
    </row>
    <row r="322" spans="1:9" x14ac:dyDescent="0.45">
      <c r="A322">
        <v>321</v>
      </c>
      <c r="B322">
        <v>10.917109999999999</v>
      </c>
      <c r="C322">
        <v>142.5992</v>
      </c>
      <c r="D322">
        <v>921</v>
      </c>
      <c r="E322">
        <v>11.012449999999999</v>
      </c>
      <c r="F322">
        <v>142.58949999999999</v>
      </c>
      <c r="G322">
        <v>10599.142</v>
      </c>
      <c r="H322">
        <v>354.26011699999998</v>
      </c>
      <c r="I322">
        <v>174.25827200000001</v>
      </c>
    </row>
    <row r="323" spans="1:9" x14ac:dyDescent="0.45">
      <c r="A323">
        <v>322</v>
      </c>
      <c r="B323">
        <v>-15.27093</v>
      </c>
      <c r="C323">
        <v>105.7351</v>
      </c>
      <c r="D323">
        <v>922</v>
      </c>
      <c r="E323">
        <v>-15.180289999999999</v>
      </c>
      <c r="F323">
        <v>105.78307</v>
      </c>
      <c r="G323">
        <v>11276.078</v>
      </c>
      <c r="H323">
        <v>27.203309000000001</v>
      </c>
      <c r="I323">
        <v>207.19071099999999</v>
      </c>
    </row>
    <row r="324" spans="1:9" x14ac:dyDescent="0.45">
      <c r="A324">
        <v>323</v>
      </c>
      <c r="B324">
        <v>-42.531390000000002</v>
      </c>
      <c r="C324">
        <v>48.64846</v>
      </c>
      <c r="D324">
        <v>923</v>
      </c>
      <c r="E324">
        <v>-42.4711</v>
      </c>
      <c r="F324">
        <v>48.587870000000002</v>
      </c>
      <c r="G324">
        <v>8346.0290000000005</v>
      </c>
      <c r="H324">
        <v>323.34335800000002</v>
      </c>
      <c r="I324">
        <v>143.38429300000001</v>
      </c>
    </row>
    <row r="325" spans="1:9" x14ac:dyDescent="0.45">
      <c r="A325">
        <v>324</v>
      </c>
      <c r="B325">
        <v>30.516100000000002</v>
      </c>
      <c r="C325">
        <v>-72.533649999999994</v>
      </c>
      <c r="D325">
        <v>924</v>
      </c>
      <c r="E325">
        <v>30.599319999999999</v>
      </c>
      <c r="F325">
        <v>-72.693790000000007</v>
      </c>
      <c r="G325">
        <v>17921.378000000001</v>
      </c>
      <c r="H325">
        <v>301.02477699999997</v>
      </c>
      <c r="I325">
        <v>120.94336</v>
      </c>
    </row>
    <row r="326" spans="1:9" x14ac:dyDescent="0.45">
      <c r="A326">
        <v>325</v>
      </c>
      <c r="B326">
        <v>-73.167670000000001</v>
      </c>
      <c r="C326">
        <v>-112.94094</v>
      </c>
      <c r="D326">
        <v>925</v>
      </c>
      <c r="E326">
        <v>-73.046449999999993</v>
      </c>
      <c r="F326">
        <v>-112.78610999999999</v>
      </c>
      <c r="G326">
        <v>14430.697</v>
      </c>
      <c r="H326">
        <v>20.447284</v>
      </c>
      <c r="I326">
        <v>200.29913500000001</v>
      </c>
    </row>
    <row r="327" spans="1:9" x14ac:dyDescent="0.45">
      <c r="A327">
        <v>326</v>
      </c>
      <c r="B327">
        <v>63.214709999999997</v>
      </c>
      <c r="C327">
        <v>-39.479889999999997</v>
      </c>
      <c r="D327">
        <v>926</v>
      </c>
      <c r="E327">
        <v>63.305770000000003</v>
      </c>
      <c r="F327">
        <v>-39.582320000000003</v>
      </c>
      <c r="G327">
        <v>11379.204</v>
      </c>
      <c r="H327">
        <v>333.16938299999998</v>
      </c>
      <c r="I327">
        <v>153.07790700000001</v>
      </c>
    </row>
    <row r="328" spans="1:9" x14ac:dyDescent="0.45">
      <c r="A328">
        <v>327</v>
      </c>
      <c r="B328">
        <v>-68.163960000000003</v>
      </c>
      <c r="C328">
        <v>175.15158</v>
      </c>
      <c r="D328">
        <v>927</v>
      </c>
      <c r="E328">
        <v>-68.213539999999995</v>
      </c>
      <c r="F328">
        <v>175.01906</v>
      </c>
      <c r="G328">
        <v>7797.3549999999996</v>
      </c>
      <c r="H328">
        <v>224.766741</v>
      </c>
      <c r="I328">
        <v>44.889774000000003</v>
      </c>
    </row>
    <row r="329" spans="1:9" x14ac:dyDescent="0.45">
      <c r="A329">
        <v>328</v>
      </c>
      <c r="B329">
        <v>-54.996740000000003</v>
      </c>
      <c r="C329">
        <v>107.54679</v>
      </c>
      <c r="D329">
        <v>928</v>
      </c>
      <c r="E329">
        <v>-54.965969999999999</v>
      </c>
      <c r="F329">
        <v>107.42086</v>
      </c>
      <c r="G329">
        <v>8760.0010000000002</v>
      </c>
      <c r="H329">
        <v>292.96696200000002</v>
      </c>
      <c r="I329">
        <v>113.07009499999999</v>
      </c>
    </row>
    <row r="330" spans="1:9" x14ac:dyDescent="0.45">
      <c r="A330">
        <v>329</v>
      </c>
      <c r="B330">
        <v>-19.89198</v>
      </c>
      <c r="C330">
        <v>-144.85908000000001</v>
      </c>
      <c r="D330">
        <v>929</v>
      </c>
      <c r="E330">
        <v>-19.901769999999999</v>
      </c>
      <c r="F330">
        <v>-144.81505999999999</v>
      </c>
      <c r="G330">
        <v>4735.2510000000002</v>
      </c>
      <c r="H330">
        <v>103.23836</v>
      </c>
      <c r="I330">
        <v>283.22337900000002</v>
      </c>
    </row>
    <row r="331" spans="1:9" x14ac:dyDescent="0.45">
      <c r="A331">
        <v>330</v>
      </c>
      <c r="B331">
        <v>31.087910000000001</v>
      </c>
      <c r="C331">
        <v>-15.5951</v>
      </c>
      <c r="D331">
        <v>930</v>
      </c>
      <c r="E331">
        <v>30.993649999999999</v>
      </c>
      <c r="F331">
        <v>-15.449009999999999</v>
      </c>
      <c r="G331">
        <v>17427.393</v>
      </c>
      <c r="H331">
        <v>126.808317</v>
      </c>
      <c r="I331">
        <v>306.88364799999999</v>
      </c>
    </row>
    <row r="332" spans="1:9" x14ac:dyDescent="0.45">
      <c r="A332">
        <v>331</v>
      </c>
      <c r="B332">
        <v>-31.442509999999999</v>
      </c>
      <c r="C332">
        <v>-55.374400000000001</v>
      </c>
      <c r="D332">
        <v>931</v>
      </c>
      <c r="E332">
        <v>-31.559370000000001</v>
      </c>
      <c r="F332">
        <v>-55.347299999999997</v>
      </c>
      <c r="G332">
        <v>13210.514999999999</v>
      </c>
      <c r="H332">
        <v>168.769046</v>
      </c>
      <c r="I332">
        <v>348.754886</v>
      </c>
    </row>
    <row r="333" spans="1:9" x14ac:dyDescent="0.45">
      <c r="A333">
        <v>332</v>
      </c>
      <c r="B333">
        <v>-26.409579999999998</v>
      </c>
      <c r="C333">
        <v>-96.144710000000003</v>
      </c>
      <c r="D333">
        <v>932</v>
      </c>
      <c r="E333">
        <v>-26.42427</v>
      </c>
      <c r="F333">
        <v>-96.079440000000005</v>
      </c>
      <c r="G333">
        <v>6711.7719999999999</v>
      </c>
      <c r="H333">
        <v>104.048351</v>
      </c>
      <c r="I333">
        <v>284.01931200000001</v>
      </c>
    </row>
    <row r="334" spans="1:9" x14ac:dyDescent="0.45">
      <c r="A334">
        <v>333</v>
      </c>
      <c r="B334">
        <v>14.618600000000001</v>
      </c>
      <c r="C334">
        <v>-5.1414200000000001</v>
      </c>
      <c r="D334">
        <v>933</v>
      </c>
      <c r="E334">
        <v>14.485889999999999</v>
      </c>
      <c r="F334">
        <v>-5.0845399999999996</v>
      </c>
      <c r="G334">
        <v>15911.812</v>
      </c>
      <c r="H334">
        <v>157.33362700000001</v>
      </c>
      <c r="I334">
        <v>337.34791899999999</v>
      </c>
    </row>
    <row r="335" spans="1:9" x14ac:dyDescent="0.45">
      <c r="A335">
        <v>334</v>
      </c>
      <c r="B335">
        <v>-4.2992600000000003</v>
      </c>
      <c r="C335">
        <v>55.2729</v>
      </c>
      <c r="D335">
        <v>934</v>
      </c>
      <c r="E335">
        <v>-4.4540800000000003</v>
      </c>
      <c r="F335">
        <v>55.14443</v>
      </c>
      <c r="G335">
        <v>22280.925999999999</v>
      </c>
      <c r="H335">
        <v>219.78692100000001</v>
      </c>
      <c r="I335">
        <v>39.796725000000002</v>
      </c>
    </row>
    <row r="336" spans="1:9" x14ac:dyDescent="0.45">
      <c r="A336">
        <v>335</v>
      </c>
      <c r="B336">
        <v>44.346139999999998</v>
      </c>
      <c r="C336">
        <v>-46.57685</v>
      </c>
      <c r="D336">
        <v>935</v>
      </c>
      <c r="E336">
        <v>44.4604</v>
      </c>
      <c r="F336">
        <v>-46.444470000000003</v>
      </c>
      <c r="G336">
        <v>16504.878000000001</v>
      </c>
      <c r="H336">
        <v>39.66601</v>
      </c>
      <c r="I336">
        <v>219.75863699999999</v>
      </c>
    </row>
    <row r="337" spans="1:9" x14ac:dyDescent="0.45">
      <c r="A337">
        <v>336</v>
      </c>
      <c r="B337">
        <v>-86.823620000000005</v>
      </c>
      <c r="C337">
        <v>29.130659999999999</v>
      </c>
      <c r="D337">
        <v>936</v>
      </c>
      <c r="E337">
        <v>-86.722210000000004</v>
      </c>
      <c r="F337">
        <v>29.014199999999999</v>
      </c>
      <c r="G337">
        <v>11350.163</v>
      </c>
      <c r="H337">
        <v>356.24288000000001</v>
      </c>
      <c r="I337">
        <v>176.35915499999999</v>
      </c>
    </row>
    <row r="338" spans="1:9" x14ac:dyDescent="0.45">
      <c r="A338">
        <v>337</v>
      </c>
      <c r="B338">
        <v>-27.21688</v>
      </c>
      <c r="C338">
        <v>50.631219999999999</v>
      </c>
      <c r="D338">
        <v>937</v>
      </c>
      <c r="E338">
        <v>-27.231110000000001</v>
      </c>
      <c r="F338">
        <v>50.474269999999997</v>
      </c>
      <c r="G338">
        <v>15626.824000000001</v>
      </c>
      <c r="H338">
        <v>264.17296599999997</v>
      </c>
      <c r="I338">
        <v>84.244765999999998</v>
      </c>
    </row>
    <row r="339" spans="1:9" x14ac:dyDescent="0.45">
      <c r="A339">
        <v>338</v>
      </c>
      <c r="B339">
        <v>59.546109999999999</v>
      </c>
      <c r="C339">
        <v>25.140609999999999</v>
      </c>
      <c r="D339">
        <v>938</v>
      </c>
      <c r="E339">
        <v>59.546320000000001</v>
      </c>
      <c r="F339">
        <v>25.285360000000001</v>
      </c>
      <c r="G339">
        <v>8187.4380000000001</v>
      </c>
      <c r="H339">
        <v>89.773892000000004</v>
      </c>
      <c r="I339">
        <v>269.89867199999998</v>
      </c>
    </row>
    <row r="340" spans="1:9" x14ac:dyDescent="0.45">
      <c r="A340">
        <v>339</v>
      </c>
      <c r="B340">
        <v>-46.819240000000001</v>
      </c>
      <c r="C340">
        <v>-155.74744000000001</v>
      </c>
      <c r="D340">
        <v>939</v>
      </c>
      <c r="E340">
        <v>-46.829590000000003</v>
      </c>
      <c r="F340">
        <v>-155.74350000000001</v>
      </c>
      <c r="G340">
        <v>1189.212</v>
      </c>
      <c r="H340">
        <v>165.35777100000001</v>
      </c>
      <c r="I340">
        <v>345.35489699999999</v>
      </c>
    </row>
    <row r="341" spans="1:9" x14ac:dyDescent="0.45">
      <c r="A341">
        <v>340</v>
      </c>
      <c r="B341">
        <v>-83.66319</v>
      </c>
      <c r="C341">
        <v>81.776799999999994</v>
      </c>
      <c r="D341">
        <v>940</v>
      </c>
      <c r="E341">
        <v>-83.496949999999998</v>
      </c>
      <c r="F341">
        <v>81.775760000000005</v>
      </c>
      <c r="G341">
        <v>18565.665000000001</v>
      </c>
      <c r="H341">
        <v>359.95940100000001</v>
      </c>
      <c r="I341">
        <v>179.96043399999999</v>
      </c>
    </row>
    <row r="342" spans="1:9" x14ac:dyDescent="0.45">
      <c r="A342">
        <v>341</v>
      </c>
      <c r="B342">
        <v>-43.860700000000001</v>
      </c>
      <c r="C342">
        <v>54.184629999999999</v>
      </c>
      <c r="D342">
        <v>941</v>
      </c>
      <c r="E342">
        <v>-43.84901</v>
      </c>
      <c r="F342">
        <v>54.116</v>
      </c>
      <c r="G342">
        <v>5668.7619999999997</v>
      </c>
      <c r="H342">
        <v>283.22193099999998</v>
      </c>
      <c r="I342">
        <v>103.26948</v>
      </c>
    </row>
    <row r="343" spans="1:9" x14ac:dyDescent="0.45">
      <c r="A343">
        <v>342</v>
      </c>
      <c r="B343">
        <v>-82.597629999999995</v>
      </c>
      <c r="C343">
        <v>93.609790000000004</v>
      </c>
      <c r="D343">
        <v>942</v>
      </c>
      <c r="E343">
        <v>-82.669039999999995</v>
      </c>
      <c r="F343">
        <v>93.457880000000003</v>
      </c>
      <c r="G343">
        <v>8266.1260000000002</v>
      </c>
      <c r="H343">
        <v>195.18308099999999</v>
      </c>
      <c r="I343">
        <v>15.333736999999999</v>
      </c>
    </row>
    <row r="344" spans="1:9" x14ac:dyDescent="0.45">
      <c r="A344">
        <v>343</v>
      </c>
      <c r="B344">
        <v>-12.49606</v>
      </c>
      <c r="C344">
        <v>44.544510000000002</v>
      </c>
      <c r="D344">
        <v>943</v>
      </c>
      <c r="E344">
        <v>-12.50287</v>
      </c>
      <c r="F344">
        <v>44.384099999999997</v>
      </c>
      <c r="G344">
        <v>17452.521000000001</v>
      </c>
      <c r="H344">
        <v>267.50861300000003</v>
      </c>
      <c r="I344">
        <v>87.543329999999997</v>
      </c>
    </row>
    <row r="345" spans="1:9" x14ac:dyDescent="0.45">
      <c r="A345">
        <v>344</v>
      </c>
      <c r="B345">
        <v>31.840859999999999</v>
      </c>
      <c r="C345">
        <v>164.17705000000001</v>
      </c>
      <c r="D345">
        <v>944</v>
      </c>
      <c r="E345">
        <v>31.840319999999998</v>
      </c>
      <c r="F345">
        <v>164.14494999999999</v>
      </c>
      <c r="G345">
        <v>3039.056</v>
      </c>
      <c r="H345">
        <v>268.87951700000002</v>
      </c>
      <c r="I345">
        <v>88.862583000000001</v>
      </c>
    </row>
    <row r="346" spans="1:9" x14ac:dyDescent="0.45">
      <c r="A346">
        <v>345</v>
      </c>
      <c r="B346">
        <v>61.795400000000001</v>
      </c>
      <c r="C346">
        <v>4.9847700000000001</v>
      </c>
      <c r="D346">
        <v>945</v>
      </c>
      <c r="E346">
        <v>61.752369999999999</v>
      </c>
      <c r="F346">
        <v>5.1300800000000004</v>
      </c>
      <c r="G346">
        <v>9045.9740000000002</v>
      </c>
      <c r="H346">
        <v>121.948716</v>
      </c>
      <c r="I346">
        <v>302.07674700000001</v>
      </c>
    </row>
    <row r="347" spans="1:9" x14ac:dyDescent="0.45">
      <c r="A347">
        <v>346</v>
      </c>
      <c r="B347">
        <v>56.26972</v>
      </c>
      <c r="C347">
        <v>55.966749999999998</v>
      </c>
      <c r="D347">
        <v>946</v>
      </c>
      <c r="E347">
        <v>56.154739999999997</v>
      </c>
      <c r="F347">
        <v>55.994390000000003</v>
      </c>
      <c r="G347">
        <v>12916.894</v>
      </c>
      <c r="H347">
        <v>172.358386</v>
      </c>
      <c r="I347">
        <v>352.38135799999998</v>
      </c>
    </row>
    <row r="348" spans="1:9" x14ac:dyDescent="0.45">
      <c r="A348">
        <v>347</v>
      </c>
      <c r="B348">
        <v>-18.397220000000001</v>
      </c>
      <c r="C348">
        <v>117.01608</v>
      </c>
      <c r="D348">
        <v>947</v>
      </c>
      <c r="E348">
        <v>-18.45158</v>
      </c>
      <c r="F348">
        <v>116.99928</v>
      </c>
      <c r="G348">
        <v>6273.1790000000001</v>
      </c>
      <c r="H348">
        <v>196.432772</v>
      </c>
      <c r="I348">
        <v>16.438082000000001</v>
      </c>
    </row>
    <row r="349" spans="1:9" x14ac:dyDescent="0.45">
      <c r="A349">
        <v>348</v>
      </c>
      <c r="B349">
        <v>-28.80226</v>
      </c>
      <c r="C349">
        <v>-35.583840000000002</v>
      </c>
      <c r="D349">
        <v>948</v>
      </c>
      <c r="E349">
        <v>-28.805099999999999</v>
      </c>
      <c r="F349">
        <v>-35.578510000000001</v>
      </c>
      <c r="G349">
        <v>608.12599999999998</v>
      </c>
      <c r="H349">
        <v>121.172493</v>
      </c>
      <c r="I349">
        <v>301.16992499999998</v>
      </c>
    </row>
    <row r="350" spans="1:9" x14ac:dyDescent="0.45">
      <c r="A350">
        <v>349</v>
      </c>
      <c r="B350">
        <v>-78.84854</v>
      </c>
      <c r="C350">
        <v>-55.089280000000002</v>
      </c>
      <c r="D350">
        <v>949</v>
      </c>
      <c r="E350">
        <v>-78.890469999999993</v>
      </c>
      <c r="F350">
        <v>-55.064720000000001</v>
      </c>
      <c r="G350">
        <v>4711.4129999999996</v>
      </c>
      <c r="H350">
        <v>173.55921699999999</v>
      </c>
      <c r="I350">
        <v>353.53511900000001</v>
      </c>
    </row>
    <row r="351" spans="1:9" x14ac:dyDescent="0.45">
      <c r="A351">
        <v>350</v>
      </c>
      <c r="B351">
        <v>31.314209999999999</v>
      </c>
      <c r="C351">
        <v>-170.32921999999999</v>
      </c>
      <c r="D351">
        <v>950</v>
      </c>
      <c r="E351">
        <v>31.34074</v>
      </c>
      <c r="F351">
        <v>-170.39631</v>
      </c>
      <c r="G351">
        <v>7030.3339999999998</v>
      </c>
      <c r="H351">
        <v>294.75127400000002</v>
      </c>
      <c r="I351">
        <v>114.716392</v>
      </c>
    </row>
    <row r="352" spans="1:9" x14ac:dyDescent="0.45">
      <c r="A352">
        <v>351</v>
      </c>
      <c r="B352">
        <v>-46.90448</v>
      </c>
      <c r="C352">
        <v>137.71643</v>
      </c>
      <c r="D352">
        <v>951</v>
      </c>
      <c r="E352">
        <v>-46.988259999999997</v>
      </c>
      <c r="F352">
        <v>137.58946</v>
      </c>
      <c r="G352">
        <v>13423.407999999999</v>
      </c>
      <c r="H352">
        <v>226.018146</v>
      </c>
      <c r="I352">
        <v>46.110925000000002</v>
      </c>
    </row>
    <row r="353" spans="1:9" x14ac:dyDescent="0.45">
      <c r="A353">
        <v>352</v>
      </c>
      <c r="B353">
        <v>-80.749179999999996</v>
      </c>
      <c r="C353">
        <v>-71.770089999999996</v>
      </c>
      <c r="D353">
        <v>952</v>
      </c>
      <c r="E353">
        <v>-80.769069999999999</v>
      </c>
      <c r="F353">
        <v>-71.865759999999995</v>
      </c>
      <c r="G353">
        <v>2806.5929999999998</v>
      </c>
      <c r="H353">
        <v>217.64040800000001</v>
      </c>
      <c r="I353">
        <v>37.734836000000001</v>
      </c>
    </row>
    <row r="354" spans="1:9" x14ac:dyDescent="0.45">
      <c r="A354">
        <v>353</v>
      </c>
      <c r="B354">
        <v>71.830119999999994</v>
      </c>
      <c r="C354">
        <v>-21.113969999999998</v>
      </c>
      <c r="D354">
        <v>953</v>
      </c>
      <c r="E354">
        <v>71.950940000000003</v>
      </c>
      <c r="F354">
        <v>-21.180430000000001</v>
      </c>
      <c r="G354">
        <v>13677.593999999999</v>
      </c>
      <c r="H354">
        <v>350.32268499999998</v>
      </c>
      <c r="I354">
        <v>170.25951800000001</v>
      </c>
    </row>
    <row r="355" spans="1:9" x14ac:dyDescent="0.45">
      <c r="A355">
        <v>354</v>
      </c>
      <c r="B355">
        <v>81.128439999999998</v>
      </c>
      <c r="C355">
        <v>77.347290000000001</v>
      </c>
      <c r="D355">
        <v>954</v>
      </c>
      <c r="E355">
        <v>81.209860000000006</v>
      </c>
      <c r="F355">
        <v>77.204279999999997</v>
      </c>
      <c r="G355">
        <v>9416.7870000000003</v>
      </c>
      <c r="H355">
        <v>344.97768000000002</v>
      </c>
      <c r="I355">
        <v>164.836365</v>
      </c>
    </row>
    <row r="356" spans="1:9" x14ac:dyDescent="0.45">
      <c r="A356">
        <v>355</v>
      </c>
      <c r="B356">
        <v>72.539820000000006</v>
      </c>
      <c r="C356">
        <v>155.15729999999999</v>
      </c>
      <c r="D356">
        <v>955</v>
      </c>
      <c r="E356">
        <v>72.426959999999994</v>
      </c>
      <c r="F356">
        <v>155.11358999999999</v>
      </c>
      <c r="G356">
        <v>12679.628000000001</v>
      </c>
      <c r="H356">
        <v>186.67374899999999</v>
      </c>
      <c r="I356">
        <v>6.632066</v>
      </c>
    </row>
    <row r="357" spans="1:9" x14ac:dyDescent="0.45">
      <c r="A357">
        <v>356</v>
      </c>
      <c r="B357">
        <v>-60.31823</v>
      </c>
      <c r="C357">
        <v>-95.98245</v>
      </c>
      <c r="D357">
        <v>956</v>
      </c>
      <c r="E357">
        <v>-60.450560000000003</v>
      </c>
      <c r="F357">
        <v>-95.865369999999999</v>
      </c>
      <c r="G357">
        <v>16096.002</v>
      </c>
      <c r="H357">
        <v>156.399959</v>
      </c>
      <c r="I357">
        <v>336.29817500000001</v>
      </c>
    </row>
    <row r="358" spans="1:9" x14ac:dyDescent="0.45">
      <c r="A358">
        <v>357</v>
      </c>
      <c r="B358">
        <v>7.4153700000000002</v>
      </c>
      <c r="C358">
        <v>74.279839999999993</v>
      </c>
      <c r="D358">
        <v>957</v>
      </c>
      <c r="E358">
        <v>7.2734100000000002</v>
      </c>
      <c r="F358">
        <v>74.379490000000004</v>
      </c>
      <c r="G358">
        <v>19171.261999999999</v>
      </c>
      <c r="H358">
        <v>144.97028499999999</v>
      </c>
      <c r="I358">
        <v>324.983024</v>
      </c>
    </row>
    <row r="359" spans="1:9" x14ac:dyDescent="0.45">
      <c r="A359">
        <v>358</v>
      </c>
      <c r="B359">
        <v>77.668859999999995</v>
      </c>
      <c r="C359">
        <v>9.5417400000000008</v>
      </c>
      <c r="D359">
        <v>958</v>
      </c>
      <c r="E359">
        <v>77.504649999999998</v>
      </c>
      <c r="F359">
        <v>9.4145199999999996</v>
      </c>
      <c r="G359">
        <v>18585.341</v>
      </c>
      <c r="H359">
        <v>189.52021999999999</v>
      </c>
      <c r="I359">
        <v>9.3959740000000007</v>
      </c>
    </row>
    <row r="360" spans="1:9" x14ac:dyDescent="0.45">
      <c r="A360">
        <v>359</v>
      </c>
      <c r="B360">
        <v>-13.71679</v>
      </c>
      <c r="C360">
        <v>-43.847149999999999</v>
      </c>
      <c r="D360">
        <v>959</v>
      </c>
      <c r="E360">
        <v>-13.61233</v>
      </c>
      <c r="F360">
        <v>-43.76285</v>
      </c>
      <c r="G360">
        <v>14722.295</v>
      </c>
      <c r="H360">
        <v>38.288893999999999</v>
      </c>
      <c r="I360">
        <v>218.268979</v>
      </c>
    </row>
    <row r="361" spans="1:9" x14ac:dyDescent="0.45">
      <c r="A361">
        <v>360</v>
      </c>
      <c r="B361">
        <v>25.532720000000001</v>
      </c>
      <c r="C361">
        <v>105.77508</v>
      </c>
      <c r="D361">
        <v>960</v>
      </c>
      <c r="E361">
        <v>25.499030000000001</v>
      </c>
      <c r="F361">
        <v>105.81137</v>
      </c>
      <c r="G361">
        <v>5218.9520000000002</v>
      </c>
      <c r="H361">
        <v>135.64556099999999</v>
      </c>
      <c r="I361">
        <v>315.66119300000003</v>
      </c>
    </row>
    <row r="362" spans="1:9" x14ac:dyDescent="0.45">
      <c r="A362">
        <v>361</v>
      </c>
      <c r="B362">
        <v>11.3225</v>
      </c>
      <c r="C362">
        <v>105.72385</v>
      </c>
      <c r="D362">
        <v>961</v>
      </c>
      <c r="E362">
        <v>11.242940000000001</v>
      </c>
      <c r="F362">
        <v>105.80704</v>
      </c>
      <c r="G362">
        <v>12647.138999999999</v>
      </c>
      <c r="H362">
        <v>134.08785399999999</v>
      </c>
      <c r="I362">
        <v>314.10413</v>
      </c>
    </row>
    <row r="363" spans="1:9" x14ac:dyDescent="0.45">
      <c r="A363">
        <v>362</v>
      </c>
      <c r="B363">
        <v>-24.931319999999999</v>
      </c>
      <c r="C363">
        <v>160.61526000000001</v>
      </c>
      <c r="D363">
        <v>962</v>
      </c>
      <c r="E363">
        <v>-24.927230000000002</v>
      </c>
      <c r="F363">
        <v>160.69457</v>
      </c>
      <c r="G363">
        <v>8023.73</v>
      </c>
      <c r="H363">
        <v>86.779809</v>
      </c>
      <c r="I363">
        <v>266.74637999999999</v>
      </c>
    </row>
    <row r="364" spans="1:9" x14ac:dyDescent="0.45">
      <c r="A364">
        <v>363</v>
      </c>
      <c r="B364">
        <v>26.17822</v>
      </c>
      <c r="C364">
        <v>15.9649</v>
      </c>
      <c r="D364">
        <v>963</v>
      </c>
      <c r="E364">
        <v>26.03586</v>
      </c>
      <c r="F364">
        <v>15.926159999999999</v>
      </c>
      <c r="G364">
        <v>16241.067999999999</v>
      </c>
      <c r="H364">
        <v>193.812162</v>
      </c>
      <c r="I364">
        <v>13.795114</v>
      </c>
    </row>
    <row r="365" spans="1:9" x14ac:dyDescent="0.45">
      <c r="A365">
        <v>364</v>
      </c>
      <c r="B365">
        <v>23.179860000000001</v>
      </c>
      <c r="C365">
        <v>-59.313989999999997</v>
      </c>
      <c r="D365">
        <v>964</v>
      </c>
      <c r="E365">
        <v>23.27271</v>
      </c>
      <c r="F365">
        <v>-59.216720000000002</v>
      </c>
      <c r="G365">
        <v>14312.68</v>
      </c>
      <c r="H365">
        <v>44.054572999999998</v>
      </c>
      <c r="I365">
        <v>224.09293299999999</v>
      </c>
    </row>
    <row r="366" spans="1:9" x14ac:dyDescent="0.45">
      <c r="A366">
        <v>365</v>
      </c>
      <c r="B366">
        <v>-48.208269999999999</v>
      </c>
      <c r="C366">
        <v>-98.751050000000006</v>
      </c>
      <c r="D366">
        <v>965</v>
      </c>
      <c r="E366">
        <v>-48.292389999999997</v>
      </c>
      <c r="F366">
        <v>-98.662739999999999</v>
      </c>
      <c r="G366">
        <v>11423.776</v>
      </c>
      <c r="H366">
        <v>144.99735100000001</v>
      </c>
      <c r="I366">
        <v>324.931466</v>
      </c>
    </row>
    <row r="367" spans="1:9" x14ac:dyDescent="0.45">
      <c r="A367">
        <v>366</v>
      </c>
      <c r="B367">
        <v>49.375880000000002</v>
      </c>
      <c r="C367">
        <v>174.13990000000001</v>
      </c>
      <c r="D367">
        <v>966</v>
      </c>
      <c r="E367">
        <v>49.530279999999998</v>
      </c>
      <c r="F367">
        <v>174.25591</v>
      </c>
      <c r="G367">
        <v>19121.55</v>
      </c>
      <c r="H367">
        <v>26.052852000000001</v>
      </c>
      <c r="I367">
        <v>206.14100500000001</v>
      </c>
    </row>
    <row r="368" spans="1:9" x14ac:dyDescent="0.45">
      <c r="A368">
        <v>367</v>
      </c>
      <c r="B368">
        <v>-16.225269999999998</v>
      </c>
      <c r="C368">
        <v>68.373649999999998</v>
      </c>
      <c r="D368">
        <v>967</v>
      </c>
      <c r="E368">
        <v>-16.23677</v>
      </c>
      <c r="F368">
        <v>68.531899999999993</v>
      </c>
      <c r="G368">
        <v>16966.385999999999</v>
      </c>
      <c r="H368">
        <v>94.323753999999994</v>
      </c>
      <c r="I368">
        <v>274.27952099999999</v>
      </c>
    </row>
    <row r="369" spans="1:9" x14ac:dyDescent="0.45">
      <c r="A369">
        <v>368</v>
      </c>
      <c r="B369">
        <v>-30.425429999999999</v>
      </c>
      <c r="C369">
        <v>84.17201</v>
      </c>
      <c r="D369">
        <v>968</v>
      </c>
      <c r="E369">
        <v>-30.57798</v>
      </c>
      <c r="F369">
        <v>84.154650000000004</v>
      </c>
      <c r="G369">
        <v>16993.748</v>
      </c>
      <c r="H369">
        <v>185.62342100000001</v>
      </c>
      <c r="I369">
        <v>5.6322320000000001</v>
      </c>
    </row>
    <row r="370" spans="1:9" x14ac:dyDescent="0.45">
      <c r="A370">
        <v>369</v>
      </c>
      <c r="B370">
        <v>-44.331209999999999</v>
      </c>
      <c r="C370">
        <v>69.867279999999994</v>
      </c>
      <c r="D370">
        <v>969</v>
      </c>
      <c r="E370">
        <v>-44.33775</v>
      </c>
      <c r="F370">
        <v>69.855050000000006</v>
      </c>
      <c r="G370">
        <v>1216.3520000000001</v>
      </c>
      <c r="H370">
        <v>233.30779999999999</v>
      </c>
      <c r="I370">
        <v>53.316347</v>
      </c>
    </row>
    <row r="371" spans="1:9" x14ac:dyDescent="0.45">
      <c r="A371">
        <v>370</v>
      </c>
      <c r="B371">
        <v>-89.659520000000001</v>
      </c>
      <c r="C371">
        <v>-35.564059999999998</v>
      </c>
      <c r="D371">
        <v>970</v>
      </c>
      <c r="E371">
        <v>-89.577759999999998</v>
      </c>
      <c r="F371">
        <v>-35.507849999999998</v>
      </c>
      <c r="G371">
        <v>9132.19</v>
      </c>
      <c r="H371">
        <v>0.29028599999999999</v>
      </c>
      <c r="I371">
        <v>180.23407700000001</v>
      </c>
    </row>
    <row r="372" spans="1:9" x14ac:dyDescent="0.45">
      <c r="A372">
        <v>371</v>
      </c>
      <c r="B372">
        <v>89.640309999999999</v>
      </c>
      <c r="C372">
        <v>2.7608100000000002</v>
      </c>
      <c r="D372">
        <v>971</v>
      </c>
      <c r="E372">
        <v>89.731530000000006</v>
      </c>
      <c r="F372">
        <v>2.6547499999999999</v>
      </c>
      <c r="G372">
        <v>10188.924000000001</v>
      </c>
      <c r="H372">
        <v>359.68786</v>
      </c>
      <c r="I372">
        <v>179.58180200000001</v>
      </c>
    </row>
    <row r="373" spans="1:9" x14ac:dyDescent="0.45">
      <c r="A373">
        <v>372</v>
      </c>
      <c r="B373">
        <v>26.988849999999999</v>
      </c>
      <c r="C373">
        <v>-13.80307</v>
      </c>
      <c r="D373">
        <v>972</v>
      </c>
      <c r="E373">
        <v>27.083939999999998</v>
      </c>
      <c r="F373">
        <v>-13.968450000000001</v>
      </c>
      <c r="G373">
        <v>19500.922999999999</v>
      </c>
      <c r="H373">
        <v>302.74166700000001</v>
      </c>
      <c r="I373">
        <v>122.66649200000001</v>
      </c>
    </row>
    <row r="374" spans="1:9" x14ac:dyDescent="0.45">
      <c r="A374">
        <v>373</v>
      </c>
      <c r="B374">
        <v>43.0321</v>
      </c>
      <c r="C374">
        <v>10.43601</v>
      </c>
      <c r="D374">
        <v>973</v>
      </c>
      <c r="E374">
        <v>43.064399999999999</v>
      </c>
      <c r="F374">
        <v>10.32657</v>
      </c>
      <c r="G374">
        <v>9611.7849999999999</v>
      </c>
      <c r="H374">
        <v>291.95820800000001</v>
      </c>
      <c r="I374">
        <v>111.883503</v>
      </c>
    </row>
    <row r="375" spans="1:9" x14ac:dyDescent="0.45">
      <c r="A375">
        <v>374</v>
      </c>
      <c r="B375">
        <v>-84.256739999999994</v>
      </c>
      <c r="C375">
        <v>122.37854</v>
      </c>
      <c r="D375">
        <v>974</v>
      </c>
      <c r="E375">
        <v>-84.211079999999995</v>
      </c>
      <c r="F375">
        <v>122.40808</v>
      </c>
      <c r="G375">
        <v>5110.1890000000003</v>
      </c>
      <c r="H375">
        <v>3.7338279999999999</v>
      </c>
      <c r="I375">
        <v>183.70443700000001</v>
      </c>
    </row>
    <row r="376" spans="1:9" x14ac:dyDescent="0.45">
      <c r="A376">
        <v>375</v>
      </c>
      <c r="B376">
        <v>88.777150000000006</v>
      </c>
      <c r="C376">
        <v>-142.06998999999999</v>
      </c>
      <c r="D376">
        <v>975</v>
      </c>
      <c r="E376">
        <v>88.825180000000003</v>
      </c>
      <c r="F376">
        <v>-141.93622999999999</v>
      </c>
      <c r="G376">
        <v>5373.7330000000002</v>
      </c>
      <c r="H376">
        <v>3.2677990000000001</v>
      </c>
      <c r="I376">
        <v>183.40153000000001</v>
      </c>
    </row>
    <row r="377" spans="1:9" x14ac:dyDescent="0.45">
      <c r="A377">
        <v>376</v>
      </c>
      <c r="B377">
        <v>-49.55829</v>
      </c>
      <c r="C377">
        <v>-85.551069999999996</v>
      </c>
      <c r="D377">
        <v>976</v>
      </c>
      <c r="E377">
        <v>-49.394210000000001</v>
      </c>
      <c r="F377">
        <v>-85.664760000000001</v>
      </c>
      <c r="G377">
        <v>20022.603999999999</v>
      </c>
      <c r="H377">
        <v>335.65770199999997</v>
      </c>
      <c r="I377">
        <v>155.744122</v>
      </c>
    </row>
    <row r="378" spans="1:9" x14ac:dyDescent="0.45">
      <c r="A378">
        <v>377</v>
      </c>
      <c r="B378">
        <v>16.99661</v>
      </c>
      <c r="C378">
        <v>142.86963</v>
      </c>
      <c r="D378">
        <v>977</v>
      </c>
      <c r="E378">
        <v>17.1006</v>
      </c>
      <c r="F378">
        <v>142.78934000000001</v>
      </c>
      <c r="G378">
        <v>14335.521000000001</v>
      </c>
      <c r="H378">
        <v>323.41004099999998</v>
      </c>
      <c r="I378">
        <v>143.38650100000001</v>
      </c>
    </row>
    <row r="379" spans="1:9" x14ac:dyDescent="0.45">
      <c r="A379">
        <v>378</v>
      </c>
      <c r="B379">
        <v>87.933639999999997</v>
      </c>
      <c r="C379">
        <v>-110.04489</v>
      </c>
      <c r="D379">
        <v>978</v>
      </c>
      <c r="E379">
        <v>87.971580000000003</v>
      </c>
      <c r="F379">
        <v>-109.9132</v>
      </c>
      <c r="G379">
        <v>4270.07</v>
      </c>
      <c r="H379">
        <v>7.0031670000000004</v>
      </c>
      <c r="I379">
        <v>187.134772</v>
      </c>
    </row>
    <row r="380" spans="1:9" x14ac:dyDescent="0.45">
      <c r="A380">
        <v>379</v>
      </c>
      <c r="B380">
        <v>-63.323700000000002</v>
      </c>
      <c r="C380">
        <v>35.038049999999998</v>
      </c>
      <c r="D380">
        <v>979</v>
      </c>
      <c r="E380">
        <v>-63.164490000000001</v>
      </c>
      <c r="F380">
        <v>35.19753</v>
      </c>
      <c r="G380">
        <v>19471.91</v>
      </c>
      <c r="H380">
        <v>24.373726000000001</v>
      </c>
      <c r="I380">
        <v>204.23132100000001</v>
      </c>
    </row>
    <row r="381" spans="1:9" x14ac:dyDescent="0.45">
      <c r="A381">
        <v>380</v>
      </c>
      <c r="B381">
        <v>-73.350340000000003</v>
      </c>
      <c r="C381">
        <v>33.979140000000001</v>
      </c>
      <c r="D381">
        <v>980</v>
      </c>
      <c r="E381">
        <v>-73.424610000000001</v>
      </c>
      <c r="F381">
        <v>33.956690000000002</v>
      </c>
      <c r="G381">
        <v>8319.59</v>
      </c>
      <c r="H381">
        <v>184.93117599999999</v>
      </c>
      <c r="I381">
        <v>4.9526890000000003</v>
      </c>
    </row>
    <row r="382" spans="1:9" x14ac:dyDescent="0.45">
      <c r="A382">
        <v>381</v>
      </c>
      <c r="B382">
        <v>-40.048839999999998</v>
      </c>
      <c r="C382">
        <v>-125.82129</v>
      </c>
      <c r="D382">
        <v>981</v>
      </c>
      <c r="E382">
        <v>-40.196159999999999</v>
      </c>
      <c r="F382">
        <v>-125.82666</v>
      </c>
      <c r="G382">
        <v>16364.371999999999</v>
      </c>
      <c r="H382">
        <v>181.601158</v>
      </c>
      <c r="I382">
        <v>1.6046180000000001</v>
      </c>
    </row>
    <row r="383" spans="1:9" x14ac:dyDescent="0.45">
      <c r="A383">
        <v>382</v>
      </c>
      <c r="B383">
        <v>27.92492</v>
      </c>
      <c r="C383">
        <v>-54.82826</v>
      </c>
      <c r="D383">
        <v>982</v>
      </c>
      <c r="E383">
        <v>27.76737</v>
      </c>
      <c r="F383">
        <v>-54.768700000000003</v>
      </c>
      <c r="G383">
        <v>18418.542000000001</v>
      </c>
      <c r="H383">
        <v>161.41244699999999</v>
      </c>
      <c r="I383">
        <v>341.44026700000001</v>
      </c>
    </row>
    <row r="384" spans="1:9" x14ac:dyDescent="0.45">
      <c r="A384">
        <v>383</v>
      </c>
      <c r="B384">
        <v>48.04907</v>
      </c>
      <c r="C384">
        <v>81.865170000000006</v>
      </c>
      <c r="D384">
        <v>983</v>
      </c>
      <c r="E384">
        <v>48.16534</v>
      </c>
      <c r="F384">
        <v>81.815770000000001</v>
      </c>
      <c r="G384">
        <v>13441.574000000001</v>
      </c>
      <c r="H384">
        <v>344.13431600000001</v>
      </c>
      <c r="I384">
        <v>164.097543</v>
      </c>
    </row>
    <row r="385" spans="1:9" x14ac:dyDescent="0.45">
      <c r="A385">
        <v>384</v>
      </c>
      <c r="B385">
        <v>89.605909999999994</v>
      </c>
      <c r="C385">
        <v>-10.43768</v>
      </c>
      <c r="D385">
        <v>984</v>
      </c>
      <c r="E385">
        <v>89.674090000000007</v>
      </c>
      <c r="F385">
        <v>-10.542590000000001</v>
      </c>
      <c r="G385">
        <v>7615.6450000000004</v>
      </c>
      <c r="H385">
        <v>359.498535</v>
      </c>
      <c r="I385">
        <v>179.39362700000001</v>
      </c>
    </row>
    <row r="386" spans="1:9" x14ac:dyDescent="0.45">
      <c r="A386">
        <v>385</v>
      </c>
      <c r="B386">
        <v>68.535939999999997</v>
      </c>
      <c r="C386">
        <v>175.52838</v>
      </c>
      <c r="D386">
        <v>985</v>
      </c>
      <c r="E386">
        <v>68.527690000000007</v>
      </c>
      <c r="F386">
        <v>175.40531999999999</v>
      </c>
      <c r="G386">
        <v>5111.723</v>
      </c>
      <c r="H386">
        <v>259.68615299999999</v>
      </c>
      <c r="I386">
        <v>79.571630999999996</v>
      </c>
    </row>
    <row r="387" spans="1:9" x14ac:dyDescent="0.45">
      <c r="A387">
        <v>386</v>
      </c>
      <c r="B387">
        <v>34.945880000000002</v>
      </c>
      <c r="C387">
        <v>-84.280659999999997</v>
      </c>
      <c r="D387">
        <v>986</v>
      </c>
      <c r="E387">
        <v>35.013550000000002</v>
      </c>
      <c r="F387">
        <v>-84.443359999999998</v>
      </c>
      <c r="G387">
        <v>16645.358</v>
      </c>
      <c r="H387">
        <v>296.85550499999999</v>
      </c>
      <c r="I387">
        <v>116.762231</v>
      </c>
    </row>
    <row r="388" spans="1:9" x14ac:dyDescent="0.45">
      <c r="A388">
        <v>387</v>
      </c>
      <c r="B388">
        <v>-10.40157</v>
      </c>
      <c r="C388">
        <v>60.462679999999999</v>
      </c>
      <c r="D388">
        <v>987</v>
      </c>
      <c r="E388">
        <v>-10.39433</v>
      </c>
      <c r="F388">
        <v>60.520389999999999</v>
      </c>
      <c r="G388">
        <v>6369.9769999999999</v>
      </c>
      <c r="H388">
        <v>82.782996999999995</v>
      </c>
      <c r="I388">
        <v>262.772581</v>
      </c>
    </row>
    <row r="389" spans="1:9" x14ac:dyDescent="0.45">
      <c r="A389">
        <v>388</v>
      </c>
      <c r="B389">
        <v>-11.86347</v>
      </c>
      <c r="C389">
        <v>-58.650460000000002</v>
      </c>
      <c r="D389">
        <v>988</v>
      </c>
      <c r="E389">
        <v>-11.822430000000001</v>
      </c>
      <c r="F389">
        <v>-58.487209999999997</v>
      </c>
      <c r="G389">
        <v>18358.764999999999</v>
      </c>
      <c r="H389">
        <v>75.699719000000002</v>
      </c>
      <c r="I389">
        <v>255.66621599999999</v>
      </c>
    </row>
    <row r="390" spans="1:9" x14ac:dyDescent="0.45">
      <c r="A390">
        <v>389</v>
      </c>
      <c r="B390">
        <v>7.6256599999999999</v>
      </c>
      <c r="C390">
        <v>-113.48932000000001</v>
      </c>
      <c r="D390">
        <v>989</v>
      </c>
      <c r="E390">
        <v>7.6935399999999996</v>
      </c>
      <c r="F390">
        <v>-113.61476999999999</v>
      </c>
      <c r="G390">
        <v>15746.016</v>
      </c>
      <c r="H390">
        <v>298.48256199999997</v>
      </c>
      <c r="I390">
        <v>118.465841</v>
      </c>
    </row>
    <row r="391" spans="1:9" x14ac:dyDescent="0.45">
      <c r="A391">
        <v>390</v>
      </c>
      <c r="B391">
        <v>-10.32147</v>
      </c>
      <c r="C391">
        <v>31.61589</v>
      </c>
      <c r="D391">
        <v>990</v>
      </c>
      <c r="E391">
        <v>-10.39404</v>
      </c>
      <c r="F391">
        <v>31.603860000000001</v>
      </c>
      <c r="G391">
        <v>8134.384</v>
      </c>
      <c r="H391">
        <v>189.31994499999999</v>
      </c>
      <c r="I391">
        <v>9.3221080000000001</v>
      </c>
    </row>
    <row r="392" spans="1:9" x14ac:dyDescent="0.45">
      <c r="A392">
        <v>391</v>
      </c>
      <c r="B392">
        <v>80.641319999999993</v>
      </c>
      <c r="C392">
        <v>-6.3725699999999996</v>
      </c>
      <c r="D392">
        <v>991</v>
      </c>
      <c r="E392">
        <v>80.595309999999998</v>
      </c>
      <c r="F392">
        <v>-6.4451400000000003</v>
      </c>
      <c r="G392">
        <v>5304.8159999999998</v>
      </c>
      <c r="H392">
        <v>194.45733899999999</v>
      </c>
      <c r="I392">
        <v>14.38574</v>
      </c>
    </row>
    <row r="393" spans="1:9" x14ac:dyDescent="0.45">
      <c r="A393">
        <v>392</v>
      </c>
      <c r="B393">
        <v>-19.90672</v>
      </c>
      <c r="C393">
        <v>120.17301</v>
      </c>
      <c r="D393">
        <v>992</v>
      </c>
      <c r="E393">
        <v>-19.882909999999999</v>
      </c>
      <c r="F393">
        <v>120.19853000000001</v>
      </c>
      <c r="G393">
        <v>3753.5540000000001</v>
      </c>
      <c r="H393">
        <v>45.398583000000002</v>
      </c>
      <c r="I393">
        <v>225.38989799999999</v>
      </c>
    </row>
    <row r="394" spans="1:9" x14ac:dyDescent="0.45">
      <c r="A394">
        <v>393</v>
      </c>
      <c r="B394">
        <v>74.393379999999993</v>
      </c>
      <c r="C394">
        <v>28.14359</v>
      </c>
      <c r="D394">
        <v>993</v>
      </c>
      <c r="E394">
        <v>74.549109999999999</v>
      </c>
      <c r="F394">
        <v>28.14781</v>
      </c>
      <c r="G394">
        <v>17381.965</v>
      </c>
      <c r="H394">
        <v>0.413829</v>
      </c>
      <c r="I394">
        <v>180.41789499999999</v>
      </c>
    </row>
    <row r="395" spans="1:9" x14ac:dyDescent="0.45">
      <c r="A395">
        <v>394</v>
      </c>
      <c r="B395">
        <v>-57.052860000000003</v>
      </c>
      <c r="C395">
        <v>86.024870000000007</v>
      </c>
      <c r="D395">
        <v>994</v>
      </c>
      <c r="E395">
        <v>-57.11871</v>
      </c>
      <c r="F395">
        <v>86.007220000000004</v>
      </c>
      <c r="G395">
        <v>7410.8239999999996</v>
      </c>
      <c r="H395">
        <v>188.29541599999999</v>
      </c>
      <c r="I395">
        <v>8.3102330000000002</v>
      </c>
    </row>
    <row r="396" spans="1:9" x14ac:dyDescent="0.45">
      <c r="A396">
        <v>395</v>
      </c>
      <c r="B396">
        <v>13.37185</v>
      </c>
      <c r="C396">
        <v>20.81917</v>
      </c>
      <c r="D396">
        <v>995</v>
      </c>
      <c r="E396">
        <v>13.512829999999999</v>
      </c>
      <c r="F396">
        <v>20.748799999999999</v>
      </c>
      <c r="G396">
        <v>17359.226999999999</v>
      </c>
      <c r="H396">
        <v>333.96945399999998</v>
      </c>
      <c r="I396">
        <v>153.95309499999999</v>
      </c>
    </row>
    <row r="397" spans="1:9" x14ac:dyDescent="0.45">
      <c r="A397">
        <v>396</v>
      </c>
      <c r="B397">
        <v>-35.134920000000001</v>
      </c>
      <c r="C397">
        <v>28.194500000000001</v>
      </c>
      <c r="D397">
        <v>996</v>
      </c>
      <c r="E397">
        <v>-34.986539999999998</v>
      </c>
      <c r="F397">
        <v>28.040780000000002</v>
      </c>
      <c r="G397">
        <v>21624.302</v>
      </c>
      <c r="H397">
        <v>319.53043300000002</v>
      </c>
      <c r="I397">
        <v>139.61873600000001</v>
      </c>
    </row>
    <row r="398" spans="1:9" x14ac:dyDescent="0.45">
      <c r="A398">
        <v>397</v>
      </c>
      <c r="B398">
        <v>81.20993</v>
      </c>
      <c r="C398">
        <v>11.69046</v>
      </c>
      <c r="D398">
        <v>997</v>
      </c>
      <c r="E398">
        <v>81.060100000000006</v>
      </c>
      <c r="F398">
        <v>11.60773</v>
      </c>
      <c r="G398">
        <v>16791.569</v>
      </c>
      <c r="H398">
        <v>184.90530799999999</v>
      </c>
      <c r="I398">
        <v>4.8235659999999996</v>
      </c>
    </row>
    <row r="399" spans="1:9" x14ac:dyDescent="0.45">
      <c r="A399">
        <v>398</v>
      </c>
      <c r="B399">
        <v>-54.009599999999999</v>
      </c>
      <c r="C399">
        <v>-69.937709999999996</v>
      </c>
      <c r="D399">
        <v>998</v>
      </c>
      <c r="E399">
        <v>-54.102760000000004</v>
      </c>
      <c r="F399">
        <v>-69.805099999999996</v>
      </c>
      <c r="G399">
        <v>13525.477999999999</v>
      </c>
      <c r="H399">
        <v>140.10740799999999</v>
      </c>
      <c r="I399">
        <v>320.00004799999999</v>
      </c>
    </row>
    <row r="400" spans="1:9" x14ac:dyDescent="0.45">
      <c r="A400">
        <v>399</v>
      </c>
      <c r="B400">
        <v>29.51418</v>
      </c>
      <c r="C400">
        <v>-122.42158999999999</v>
      </c>
      <c r="D400">
        <v>999</v>
      </c>
      <c r="E400">
        <v>29.616009999999999</v>
      </c>
      <c r="F400">
        <v>-122.31140000000001</v>
      </c>
      <c r="G400">
        <v>15537.743</v>
      </c>
      <c r="H400">
        <v>43.383406000000001</v>
      </c>
      <c r="I400">
        <v>223.43777499999999</v>
      </c>
    </row>
    <row r="401" spans="1:9" x14ac:dyDescent="0.45">
      <c r="A401">
        <v>400</v>
      </c>
      <c r="B401">
        <v>-31.293890000000001</v>
      </c>
      <c r="C401">
        <v>-34.172840000000001</v>
      </c>
      <c r="D401">
        <v>1000</v>
      </c>
      <c r="E401">
        <v>-31.367519999999999</v>
      </c>
      <c r="F401">
        <v>-34.061619999999998</v>
      </c>
      <c r="G401">
        <v>13367.573</v>
      </c>
      <c r="H401">
        <v>127.669911</v>
      </c>
      <c r="I401">
        <v>307.61207899999999</v>
      </c>
    </row>
    <row r="402" spans="1:9" x14ac:dyDescent="0.45">
      <c r="A402">
        <v>401</v>
      </c>
      <c r="B402">
        <v>-31.357489999999999</v>
      </c>
      <c r="C402">
        <v>15.415240000000001</v>
      </c>
      <c r="D402">
        <v>1001</v>
      </c>
      <c r="E402">
        <v>-31.363990000000001</v>
      </c>
      <c r="F402">
        <v>15.418200000000001</v>
      </c>
      <c r="G402">
        <v>773.76199999999994</v>
      </c>
      <c r="H402">
        <v>158.65683799999999</v>
      </c>
      <c r="I402">
        <v>338.65529800000002</v>
      </c>
    </row>
    <row r="403" spans="1:9" x14ac:dyDescent="0.45">
      <c r="A403">
        <v>402</v>
      </c>
      <c r="B403">
        <v>35.88373</v>
      </c>
      <c r="C403">
        <v>-3.7313999999999998</v>
      </c>
      <c r="D403">
        <v>1002</v>
      </c>
      <c r="E403">
        <v>35.87426</v>
      </c>
      <c r="F403">
        <v>-3.7232500000000002</v>
      </c>
      <c r="G403">
        <v>1282.8589999999999</v>
      </c>
      <c r="H403">
        <v>144.990127</v>
      </c>
      <c r="I403">
        <v>324.99490400000002</v>
      </c>
    </row>
    <row r="404" spans="1:9" x14ac:dyDescent="0.45">
      <c r="A404">
        <v>403</v>
      </c>
      <c r="B404">
        <v>-57.968539999999997</v>
      </c>
      <c r="C404">
        <v>-116.19098</v>
      </c>
      <c r="D404">
        <v>1003</v>
      </c>
      <c r="E404">
        <v>-57.964480000000002</v>
      </c>
      <c r="F404">
        <v>-116.20393</v>
      </c>
      <c r="G404">
        <v>889.93100000000004</v>
      </c>
      <c r="H404">
        <v>300.53314599999999</v>
      </c>
      <c r="I404">
        <v>120.544124</v>
      </c>
    </row>
    <row r="405" spans="1:9" x14ac:dyDescent="0.45">
      <c r="A405">
        <v>404</v>
      </c>
      <c r="B405">
        <v>-0.67023999999999995</v>
      </c>
      <c r="C405">
        <v>57.202910000000003</v>
      </c>
      <c r="D405">
        <v>1004</v>
      </c>
      <c r="E405">
        <v>-0.67527999999999999</v>
      </c>
      <c r="F405">
        <v>57.217170000000003</v>
      </c>
      <c r="G405">
        <v>1682.297</v>
      </c>
      <c r="H405">
        <v>109.345986</v>
      </c>
      <c r="I405">
        <v>289.34581900000001</v>
      </c>
    </row>
    <row r="406" spans="1:9" x14ac:dyDescent="0.45">
      <c r="A406">
        <v>405</v>
      </c>
      <c r="B406">
        <v>72.937640000000002</v>
      </c>
      <c r="C406">
        <v>-118.24793</v>
      </c>
      <c r="D406">
        <v>1005</v>
      </c>
      <c r="E406">
        <v>72.931610000000006</v>
      </c>
      <c r="F406">
        <v>-118.24165000000001</v>
      </c>
      <c r="G406">
        <v>703.69100000000003</v>
      </c>
      <c r="H406">
        <v>162.993008</v>
      </c>
      <c r="I406">
        <v>342.99901199999999</v>
      </c>
    </row>
    <row r="407" spans="1:9" x14ac:dyDescent="0.45">
      <c r="A407">
        <v>406</v>
      </c>
      <c r="B407">
        <v>-37.222470000000001</v>
      </c>
      <c r="C407">
        <v>152.83313000000001</v>
      </c>
      <c r="D407">
        <v>1006</v>
      </c>
      <c r="E407">
        <v>-37.231000000000002</v>
      </c>
      <c r="F407">
        <v>152.83815000000001</v>
      </c>
      <c r="G407">
        <v>1046.2660000000001</v>
      </c>
      <c r="H407">
        <v>154.79970499999999</v>
      </c>
      <c r="I407">
        <v>334.79666800000001</v>
      </c>
    </row>
    <row r="408" spans="1:9" x14ac:dyDescent="0.45">
      <c r="A408">
        <v>407</v>
      </c>
      <c r="B408">
        <v>-55.760240000000003</v>
      </c>
      <c r="C408">
        <v>-153.09700000000001</v>
      </c>
      <c r="D408">
        <v>1007</v>
      </c>
      <c r="E408">
        <v>-55.767009999999999</v>
      </c>
      <c r="F408">
        <v>-153.08922999999999</v>
      </c>
      <c r="G408">
        <v>897.79899999999998</v>
      </c>
      <c r="H408">
        <v>147.09675200000001</v>
      </c>
      <c r="I408">
        <v>327.090328</v>
      </c>
    </row>
    <row r="409" spans="1:9" x14ac:dyDescent="0.45">
      <c r="A409">
        <v>408</v>
      </c>
      <c r="B409">
        <v>28.16131</v>
      </c>
      <c r="C409">
        <v>-129.42841000000001</v>
      </c>
      <c r="D409">
        <v>1008</v>
      </c>
      <c r="E409">
        <v>28.159269999999999</v>
      </c>
      <c r="F409">
        <v>-129.43432000000001</v>
      </c>
      <c r="G409">
        <v>622.92899999999997</v>
      </c>
      <c r="H409">
        <v>248.72139999999999</v>
      </c>
      <c r="I409">
        <v>68.718609999999998</v>
      </c>
    </row>
    <row r="410" spans="1:9" x14ac:dyDescent="0.45">
      <c r="A410">
        <v>409</v>
      </c>
      <c r="B410">
        <v>-86.595160000000007</v>
      </c>
      <c r="C410">
        <v>100.38227999999999</v>
      </c>
      <c r="D410">
        <v>1009</v>
      </c>
      <c r="E410">
        <v>-86.607830000000007</v>
      </c>
      <c r="F410">
        <v>100.39197</v>
      </c>
      <c r="G410">
        <v>1416.566</v>
      </c>
      <c r="H410">
        <v>177.40890400000001</v>
      </c>
      <c r="I410">
        <v>357.39923099999999</v>
      </c>
    </row>
    <row r="411" spans="1:9" x14ac:dyDescent="0.45">
      <c r="A411">
        <v>410</v>
      </c>
      <c r="B411">
        <v>1.2164999999999999</v>
      </c>
      <c r="C411">
        <v>-159.40684999999999</v>
      </c>
      <c r="D411">
        <v>1010</v>
      </c>
      <c r="E411">
        <v>1.2302599999999999</v>
      </c>
      <c r="F411">
        <v>-159.39254</v>
      </c>
      <c r="G411">
        <v>2202.5970000000002</v>
      </c>
      <c r="H411">
        <v>46.307988999999999</v>
      </c>
      <c r="I411">
        <v>226.30829399999999</v>
      </c>
    </row>
    <row r="412" spans="1:9" x14ac:dyDescent="0.45">
      <c r="A412">
        <v>411</v>
      </c>
      <c r="B412">
        <v>-80.48818</v>
      </c>
      <c r="C412">
        <v>-30.765319999999999</v>
      </c>
      <c r="D412">
        <v>1011</v>
      </c>
      <c r="E412">
        <v>-80.485659999999996</v>
      </c>
      <c r="F412">
        <v>-30.767679999999999</v>
      </c>
      <c r="G412">
        <v>284.74299999999999</v>
      </c>
      <c r="H412">
        <v>351.19886100000002</v>
      </c>
      <c r="I412">
        <v>171.201188</v>
      </c>
    </row>
    <row r="413" spans="1:9" x14ac:dyDescent="0.45">
      <c r="A413">
        <v>412</v>
      </c>
      <c r="B413">
        <v>19.130179999999999</v>
      </c>
      <c r="C413">
        <v>28.10445</v>
      </c>
      <c r="D413">
        <v>1012</v>
      </c>
      <c r="E413">
        <v>19.12434</v>
      </c>
      <c r="F413">
        <v>28.091699999999999</v>
      </c>
      <c r="G413">
        <v>1489.088</v>
      </c>
      <c r="H413">
        <v>244.272457</v>
      </c>
      <c r="I413">
        <v>64.268279000000007</v>
      </c>
    </row>
    <row r="414" spans="1:9" x14ac:dyDescent="0.45">
      <c r="A414">
        <v>413</v>
      </c>
      <c r="B414">
        <v>-60.211750000000002</v>
      </c>
      <c r="C414">
        <v>-149.5446</v>
      </c>
      <c r="D414">
        <v>1013</v>
      </c>
      <c r="E414">
        <v>-60.22401</v>
      </c>
      <c r="F414">
        <v>-149.54175000000001</v>
      </c>
      <c r="G414">
        <v>1375.066</v>
      </c>
      <c r="H414">
        <v>173.40387799999999</v>
      </c>
      <c r="I414">
        <v>353.40140400000001</v>
      </c>
    </row>
    <row r="415" spans="1:9" x14ac:dyDescent="0.45">
      <c r="A415">
        <v>414</v>
      </c>
      <c r="B415">
        <v>-59.913670000000003</v>
      </c>
      <c r="C415">
        <v>6.8497899999999996</v>
      </c>
      <c r="D415">
        <v>1014</v>
      </c>
      <c r="E415">
        <v>-59.921709999999997</v>
      </c>
      <c r="F415">
        <v>6.8356500000000002</v>
      </c>
      <c r="G415">
        <v>1194.9860000000001</v>
      </c>
      <c r="H415">
        <v>221.43944999999999</v>
      </c>
      <c r="I415">
        <v>41.451686000000002</v>
      </c>
    </row>
    <row r="416" spans="1:9" x14ac:dyDescent="0.45">
      <c r="A416">
        <v>415</v>
      </c>
      <c r="B416">
        <v>-77.136579999999995</v>
      </c>
      <c r="C416">
        <v>54.015700000000002</v>
      </c>
      <c r="D416">
        <v>1015</v>
      </c>
      <c r="E416">
        <v>-77.140180000000001</v>
      </c>
      <c r="F416">
        <v>54.011600000000001</v>
      </c>
      <c r="G416">
        <v>414.61900000000003</v>
      </c>
      <c r="H416">
        <v>194.228106</v>
      </c>
      <c r="I416">
        <v>14.232103</v>
      </c>
    </row>
    <row r="417" spans="1:9" x14ac:dyDescent="0.45">
      <c r="A417">
        <v>416</v>
      </c>
      <c r="B417">
        <v>-29.75432</v>
      </c>
      <c r="C417">
        <v>121.91710999999999</v>
      </c>
      <c r="D417">
        <v>1016</v>
      </c>
      <c r="E417">
        <v>-29.739920000000001</v>
      </c>
      <c r="F417">
        <v>121.92086</v>
      </c>
      <c r="G417">
        <v>1636.9110000000001</v>
      </c>
      <c r="H417">
        <v>12.803882</v>
      </c>
      <c r="I417">
        <v>192.802021</v>
      </c>
    </row>
    <row r="418" spans="1:9" x14ac:dyDescent="0.45">
      <c r="A418">
        <v>417</v>
      </c>
      <c r="B418">
        <v>89.371139999999997</v>
      </c>
      <c r="C418">
        <v>-99.241519999999994</v>
      </c>
      <c r="D418">
        <v>1017</v>
      </c>
      <c r="E418">
        <v>89.373689999999996</v>
      </c>
      <c r="F418">
        <v>-99.257840000000002</v>
      </c>
      <c r="G418">
        <v>285.51799999999997</v>
      </c>
      <c r="H418">
        <v>355.99825199999998</v>
      </c>
      <c r="I418">
        <v>175.981933</v>
      </c>
    </row>
    <row r="419" spans="1:9" x14ac:dyDescent="0.45">
      <c r="A419">
        <v>418</v>
      </c>
      <c r="B419">
        <v>19.44462</v>
      </c>
      <c r="C419">
        <v>70.114400000000003</v>
      </c>
      <c r="D419">
        <v>1018</v>
      </c>
      <c r="E419">
        <v>19.431850000000001</v>
      </c>
      <c r="F419">
        <v>70.130390000000006</v>
      </c>
      <c r="G419">
        <v>2194.9639999999999</v>
      </c>
      <c r="H419">
        <v>130.089731</v>
      </c>
      <c r="I419">
        <v>310.09505300000001</v>
      </c>
    </row>
    <row r="420" spans="1:9" x14ac:dyDescent="0.45">
      <c r="A420">
        <v>419</v>
      </c>
      <c r="B420">
        <v>12.11539</v>
      </c>
      <c r="C420">
        <v>-142.04301000000001</v>
      </c>
      <c r="D420">
        <v>1019</v>
      </c>
      <c r="E420">
        <v>12.10069</v>
      </c>
      <c r="F420">
        <v>-142.05652000000001</v>
      </c>
      <c r="G420">
        <v>2192.5590000000002</v>
      </c>
      <c r="H420">
        <v>222.12735499999999</v>
      </c>
      <c r="I420">
        <v>42.124521000000001</v>
      </c>
    </row>
    <row r="421" spans="1:9" x14ac:dyDescent="0.45">
      <c r="A421">
        <v>420</v>
      </c>
      <c r="B421">
        <v>18.57124</v>
      </c>
      <c r="C421">
        <v>127.5219</v>
      </c>
      <c r="D421">
        <v>1020</v>
      </c>
      <c r="E421">
        <v>18.559010000000001</v>
      </c>
      <c r="F421">
        <v>127.53417</v>
      </c>
      <c r="G421">
        <v>1873.549</v>
      </c>
      <c r="H421">
        <v>136.26207099999999</v>
      </c>
      <c r="I421">
        <v>316.26597700000002</v>
      </c>
    </row>
    <row r="422" spans="1:9" x14ac:dyDescent="0.45">
      <c r="A422">
        <v>421</v>
      </c>
      <c r="B422">
        <v>-4.56813</v>
      </c>
      <c r="C422">
        <v>117.96935000000001</v>
      </c>
      <c r="D422">
        <v>1021</v>
      </c>
      <c r="E422">
        <v>-4.5796999999999999</v>
      </c>
      <c r="F422">
        <v>117.96642</v>
      </c>
      <c r="G422">
        <v>1320.0920000000001</v>
      </c>
      <c r="H422">
        <v>194.25835799999999</v>
      </c>
      <c r="I422">
        <v>14.258592</v>
      </c>
    </row>
    <row r="423" spans="1:9" x14ac:dyDescent="0.45">
      <c r="A423">
        <v>422</v>
      </c>
      <c r="B423">
        <v>2.3120699999999998</v>
      </c>
      <c r="C423">
        <v>93.526420000000002</v>
      </c>
      <c r="D423">
        <v>1022</v>
      </c>
      <c r="E423">
        <v>2.29691</v>
      </c>
      <c r="F423">
        <v>93.53295</v>
      </c>
      <c r="G423">
        <v>1826.924</v>
      </c>
      <c r="H423">
        <v>156.573442</v>
      </c>
      <c r="I423">
        <v>336.57370500000002</v>
      </c>
    </row>
    <row r="424" spans="1:9" x14ac:dyDescent="0.45">
      <c r="A424">
        <v>423</v>
      </c>
      <c r="B424">
        <v>14.01699</v>
      </c>
      <c r="C424">
        <v>-115.60964</v>
      </c>
      <c r="D424">
        <v>1023</v>
      </c>
      <c r="E424">
        <v>14.01942</v>
      </c>
      <c r="F424">
        <v>-115.59381999999999</v>
      </c>
      <c r="G424">
        <v>1729.982</v>
      </c>
      <c r="H424">
        <v>81.057596000000004</v>
      </c>
      <c r="I424">
        <v>261.06142799999998</v>
      </c>
    </row>
    <row r="425" spans="1:9" x14ac:dyDescent="0.45">
      <c r="A425">
        <v>424</v>
      </c>
      <c r="B425">
        <v>-4.3835199999999999</v>
      </c>
      <c r="C425">
        <v>-30.060279999999999</v>
      </c>
      <c r="D425">
        <v>1024</v>
      </c>
      <c r="E425">
        <v>-4.38537</v>
      </c>
      <c r="F425">
        <v>-30.047789999999999</v>
      </c>
      <c r="G425">
        <v>1401.3510000000001</v>
      </c>
      <c r="H425">
        <v>98.394722999999999</v>
      </c>
      <c r="I425">
        <v>278.39376800000002</v>
      </c>
    </row>
    <row r="426" spans="1:9" x14ac:dyDescent="0.45">
      <c r="A426">
        <v>425</v>
      </c>
      <c r="B426">
        <v>75.179220000000001</v>
      </c>
      <c r="C426">
        <v>148.47328999999999</v>
      </c>
      <c r="D426">
        <v>1025</v>
      </c>
      <c r="E426">
        <v>75.16525</v>
      </c>
      <c r="F426">
        <v>148.47783000000001</v>
      </c>
      <c r="G426">
        <v>1564.721</v>
      </c>
      <c r="H426">
        <v>175.24150800000001</v>
      </c>
      <c r="I426">
        <v>355.24589700000001</v>
      </c>
    </row>
    <row r="427" spans="1:9" x14ac:dyDescent="0.45">
      <c r="A427">
        <v>426</v>
      </c>
      <c r="B427">
        <v>58.645299999999999</v>
      </c>
      <c r="C427">
        <v>-57.553820000000002</v>
      </c>
      <c r="D427">
        <v>1026</v>
      </c>
      <c r="E427">
        <v>58.636800000000001</v>
      </c>
      <c r="F427">
        <v>-57.546149999999997</v>
      </c>
      <c r="G427">
        <v>1046.3440000000001</v>
      </c>
      <c r="H427">
        <v>154.80257</v>
      </c>
      <c r="I427">
        <v>334.80911900000001</v>
      </c>
    </row>
    <row r="428" spans="1:9" x14ac:dyDescent="0.45">
      <c r="A428">
        <v>427</v>
      </c>
      <c r="B428">
        <v>25.317689999999999</v>
      </c>
      <c r="C428">
        <v>-83.560019999999994</v>
      </c>
      <c r="D428">
        <v>1027</v>
      </c>
      <c r="E428">
        <v>25.330220000000001</v>
      </c>
      <c r="F428">
        <v>-83.569770000000005</v>
      </c>
      <c r="G428">
        <v>1700.1</v>
      </c>
      <c r="H428">
        <v>324.73299300000002</v>
      </c>
      <c r="I428">
        <v>144.72882200000001</v>
      </c>
    </row>
    <row r="429" spans="1:9" x14ac:dyDescent="0.45">
      <c r="A429">
        <v>428</v>
      </c>
      <c r="B429">
        <v>23.195959999999999</v>
      </c>
      <c r="C429">
        <v>103.46209</v>
      </c>
      <c r="D429">
        <v>1028</v>
      </c>
      <c r="E429">
        <v>23.201090000000001</v>
      </c>
      <c r="F429">
        <v>103.47753</v>
      </c>
      <c r="G429">
        <v>1679.626</v>
      </c>
      <c r="H429">
        <v>70.226758000000004</v>
      </c>
      <c r="I429">
        <v>250.23284000000001</v>
      </c>
    </row>
    <row r="430" spans="1:9" x14ac:dyDescent="0.45">
      <c r="A430">
        <v>429</v>
      </c>
      <c r="B430">
        <v>6.0963099999999999</v>
      </c>
      <c r="C430">
        <v>-145.72367</v>
      </c>
      <c r="D430">
        <v>1029</v>
      </c>
      <c r="E430">
        <v>6.1054000000000004</v>
      </c>
      <c r="F430">
        <v>-145.70702</v>
      </c>
      <c r="G430">
        <v>2099.357</v>
      </c>
      <c r="H430">
        <v>61.390126000000002</v>
      </c>
      <c r="I430">
        <v>241.39189500000001</v>
      </c>
    </row>
    <row r="431" spans="1:9" x14ac:dyDescent="0.45">
      <c r="A431">
        <v>430</v>
      </c>
      <c r="B431">
        <v>39.415179999999999</v>
      </c>
      <c r="C431">
        <v>-69.277289999999994</v>
      </c>
      <c r="D431">
        <v>1030</v>
      </c>
      <c r="E431">
        <v>39.424509999999998</v>
      </c>
      <c r="F431">
        <v>-69.269720000000007</v>
      </c>
      <c r="G431">
        <v>1223.894</v>
      </c>
      <c r="H431">
        <v>32.180154999999999</v>
      </c>
      <c r="I431">
        <v>212.18496200000001</v>
      </c>
    </row>
    <row r="432" spans="1:9" x14ac:dyDescent="0.45">
      <c r="A432">
        <v>431</v>
      </c>
      <c r="B432">
        <v>-64.940110000000004</v>
      </c>
      <c r="C432">
        <v>-35.817340000000002</v>
      </c>
      <c r="D432">
        <v>1031</v>
      </c>
      <c r="E432">
        <v>-64.925200000000004</v>
      </c>
      <c r="F432">
        <v>-35.818510000000003</v>
      </c>
      <c r="G432">
        <v>1663.26</v>
      </c>
      <c r="H432">
        <v>358.09296999999998</v>
      </c>
      <c r="I432">
        <v>178.09403</v>
      </c>
    </row>
    <row r="433" spans="1:9" x14ac:dyDescent="0.45">
      <c r="A433">
        <v>432</v>
      </c>
      <c r="B433">
        <v>6.6522899999999998</v>
      </c>
      <c r="C433">
        <v>-54.307290000000002</v>
      </c>
      <c r="D433">
        <v>1032</v>
      </c>
      <c r="E433">
        <v>6.6649799999999999</v>
      </c>
      <c r="F433">
        <v>-54.301430000000003</v>
      </c>
      <c r="G433">
        <v>1545.7429999999999</v>
      </c>
      <c r="H433">
        <v>24.783169999999998</v>
      </c>
      <c r="I433">
        <v>204.78385</v>
      </c>
    </row>
    <row r="434" spans="1:9" x14ac:dyDescent="0.45">
      <c r="A434">
        <v>433</v>
      </c>
      <c r="B434">
        <v>74.239410000000007</v>
      </c>
      <c r="C434">
        <v>179.54470000000001</v>
      </c>
      <c r="D434">
        <v>1033</v>
      </c>
      <c r="E434">
        <v>74.23348</v>
      </c>
      <c r="F434">
        <v>179.53985</v>
      </c>
      <c r="G434">
        <v>678.00800000000004</v>
      </c>
      <c r="H434">
        <v>192.53545099999999</v>
      </c>
      <c r="I434">
        <v>12.530783</v>
      </c>
    </row>
    <row r="435" spans="1:9" x14ac:dyDescent="0.45">
      <c r="A435">
        <v>434</v>
      </c>
      <c r="B435">
        <v>78.508849999999995</v>
      </c>
      <c r="C435">
        <v>105.3862</v>
      </c>
      <c r="D435">
        <v>1034</v>
      </c>
      <c r="E435">
        <v>78.503609999999995</v>
      </c>
      <c r="F435">
        <v>105.37600999999999</v>
      </c>
      <c r="G435">
        <v>627.45100000000002</v>
      </c>
      <c r="H435">
        <v>201.19125600000001</v>
      </c>
      <c r="I435">
        <v>21.181270000000001</v>
      </c>
    </row>
    <row r="436" spans="1:9" x14ac:dyDescent="0.45">
      <c r="A436">
        <v>435</v>
      </c>
      <c r="B436">
        <v>21.391670000000001</v>
      </c>
      <c r="C436">
        <v>142.4187</v>
      </c>
      <c r="D436">
        <v>1035</v>
      </c>
      <c r="E436">
        <v>21.399940000000001</v>
      </c>
      <c r="F436">
        <v>142.40584000000001</v>
      </c>
      <c r="G436">
        <v>1617.617</v>
      </c>
      <c r="H436">
        <v>304.47845799999999</v>
      </c>
      <c r="I436">
        <v>124.473766</v>
      </c>
    </row>
    <row r="437" spans="1:9" x14ac:dyDescent="0.45">
      <c r="A437">
        <v>436</v>
      </c>
      <c r="B437">
        <v>56.452249999999999</v>
      </c>
      <c r="C437">
        <v>31.864709999999999</v>
      </c>
      <c r="D437">
        <v>1036</v>
      </c>
      <c r="E437">
        <v>56.461089999999999</v>
      </c>
      <c r="F437">
        <v>31.865680000000001</v>
      </c>
      <c r="G437">
        <v>986.15</v>
      </c>
      <c r="H437">
        <v>3.476451</v>
      </c>
      <c r="I437">
        <v>183.47726</v>
      </c>
    </row>
    <row r="438" spans="1:9" x14ac:dyDescent="0.45">
      <c r="A438">
        <v>437</v>
      </c>
      <c r="B438">
        <v>-56.815989999999999</v>
      </c>
      <c r="C438">
        <v>102.50293000000001</v>
      </c>
      <c r="D438">
        <v>1037</v>
      </c>
      <c r="E438">
        <v>-56.801220000000001</v>
      </c>
      <c r="F438">
        <v>102.51172</v>
      </c>
      <c r="G438">
        <v>1730.1569999999999</v>
      </c>
      <c r="H438">
        <v>18.08305</v>
      </c>
      <c r="I438">
        <v>198.075694</v>
      </c>
    </row>
    <row r="439" spans="1:9" x14ac:dyDescent="0.45">
      <c r="A439">
        <v>438</v>
      </c>
      <c r="B439">
        <v>3.5921099999999999</v>
      </c>
      <c r="C439">
        <v>-66.121020000000001</v>
      </c>
      <c r="D439">
        <v>1038</v>
      </c>
      <c r="E439">
        <v>3.5897700000000001</v>
      </c>
      <c r="F439">
        <v>-66.107330000000005</v>
      </c>
      <c r="G439">
        <v>1542.845</v>
      </c>
      <c r="H439">
        <v>99.654404</v>
      </c>
      <c r="I439">
        <v>279.65526199999999</v>
      </c>
    </row>
    <row r="440" spans="1:9" x14ac:dyDescent="0.45">
      <c r="A440">
        <v>439</v>
      </c>
      <c r="B440">
        <v>3.76294</v>
      </c>
      <c r="C440">
        <v>-163.57273000000001</v>
      </c>
      <c r="D440">
        <v>1039</v>
      </c>
      <c r="E440">
        <v>3.7467999999999999</v>
      </c>
      <c r="F440">
        <v>-163.58038999999999</v>
      </c>
      <c r="G440">
        <v>1977.202</v>
      </c>
      <c r="H440">
        <v>205.490025</v>
      </c>
      <c r="I440">
        <v>25.489523999999999</v>
      </c>
    </row>
    <row r="441" spans="1:9" x14ac:dyDescent="0.45">
      <c r="A441">
        <v>440</v>
      </c>
      <c r="B441">
        <v>79.306939999999997</v>
      </c>
      <c r="C441">
        <v>33.284829999999999</v>
      </c>
      <c r="D441">
        <v>1040</v>
      </c>
      <c r="E441">
        <v>79.30641</v>
      </c>
      <c r="F441">
        <v>33.26952</v>
      </c>
      <c r="G441">
        <v>322.73599999999999</v>
      </c>
      <c r="H441">
        <v>259.44191599999999</v>
      </c>
      <c r="I441">
        <v>79.426872000000003</v>
      </c>
    </row>
    <row r="442" spans="1:9" x14ac:dyDescent="0.45">
      <c r="A442">
        <v>441</v>
      </c>
      <c r="B442">
        <v>52.785359999999997</v>
      </c>
      <c r="C442">
        <v>24.786860000000001</v>
      </c>
      <c r="D442">
        <v>1041</v>
      </c>
      <c r="E442">
        <v>52.79571</v>
      </c>
      <c r="F442">
        <v>24.794979999999999</v>
      </c>
      <c r="G442">
        <v>1275.403</v>
      </c>
      <c r="H442">
        <v>25.432777999999999</v>
      </c>
      <c r="I442">
        <v>205.439245</v>
      </c>
    </row>
    <row r="443" spans="1:9" x14ac:dyDescent="0.45">
      <c r="A443">
        <v>442</v>
      </c>
      <c r="B443">
        <v>-14.77899</v>
      </c>
      <c r="C443">
        <v>168.72504000000001</v>
      </c>
      <c r="D443">
        <v>1042</v>
      </c>
      <c r="E443">
        <v>-14.77366</v>
      </c>
      <c r="F443">
        <v>168.72167999999999</v>
      </c>
      <c r="G443">
        <v>691.851</v>
      </c>
      <c r="H443">
        <v>328.47516200000001</v>
      </c>
      <c r="I443">
        <v>148.47601900000001</v>
      </c>
    </row>
    <row r="444" spans="1:9" x14ac:dyDescent="0.45">
      <c r="A444">
        <v>443</v>
      </c>
      <c r="B444">
        <v>-76.711770000000001</v>
      </c>
      <c r="C444">
        <v>152.99822</v>
      </c>
      <c r="D444">
        <v>1043</v>
      </c>
      <c r="E444">
        <v>-76.696039999999996</v>
      </c>
      <c r="F444">
        <v>152.98639</v>
      </c>
      <c r="G444">
        <v>1782.0989999999999</v>
      </c>
      <c r="H444">
        <v>350.17786599999999</v>
      </c>
      <c r="I444">
        <v>170.189378</v>
      </c>
    </row>
    <row r="445" spans="1:9" x14ac:dyDescent="0.45">
      <c r="A445">
        <v>444</v>
      </c>
      <c r="B445">
        <v>-87.185119999999998</v>
      </c>
      <c r="C445">
        <v>-4.5728299999999997</v>
      </c>
      <c r="D445">
        <v>1044</v>
      </c>
      <c r="E445">
        <v>-87.177499999999995</v>
      </c>
      <c r="F445">
        <v>-4.5648200000000001</v>
      </c>
      <c r="G445">
        <v>852.22400000000005</v>
      </c>
      <c r="H445">
        <v>2.9631729999999998</v>
      </c>
      <c r="I445">
        <v>182.955173</v>
      </c>
    </row>
    <row r="446" spans="1:9" x14ac:dyDescent="0.45">
      <c r="A446">
        <v>445</v>
      </c>
      <c r="B446">
        <v>-74.809799999999996</v>
      </c>
      <c r="C446">
        <v>-119.45243000000001</v>
      </c>
      <c r="D446">
        <v>1045</v>
      </c>
      <c r="E446">
        <v>-74.807069999999996</v>
      </c>
      <c r="F446">
        <v>-119.4568</v>
      </c>
      <c r="G446">
        <v>330.45800000000003</v>
      </c>
      <c r="H446">
        <v>337.23197499999998</v>
      </c>
      <c r="I446">
        <v>157.23619299999999</v>
      </c>
    </row>
    <row r="447" spans="1:9" x14ac:dyDescent="0.45">
      <c r="A447">
        <v>446</v>
      </c>
      <c r="B447">
        <v>-39.632620000000003</v>
      </c>
      <c r="C447">
        <v>163.01391000000001</v>
      </c>
      <c r="D447">
        <v>1046</v>
      </c>
      <c r="E447">
        <v>-39.625340000000001</v>
      </c>
      <c r="F447">
        <v>163.00027</v>
      </c>
      <c r="G447">
        <v>1422.912</v>
      </c>
      <c r="H447">
        <v>304.60976599999998</v>
      </c>
      <c r="I447">
        <v>124.618465</v>
      </c>
    </row>
    <row r="448" spans="1:9" x14ac:dyDescent="0.45">
      <c r="A448">
        <v>447</v>
      </c>
      <c r="B448">
        <v>40.855229999999999</v>
      </c>
      <c r="C448">
        <v>149.37409</v>
      </c>
      <c r="D448">
        <v>1047</v>
      </c>
      <c r="E448">
        <v>40.846080000000001</v>
      </c>
      <c r="F448">
        <v>149.37535</v>
      </c>
      <c r="G448">
        <v>1021.657</v>
      </c>
      <c r="H448">
        <v>174.030204</v>
      </c>
      <c r="I448">
        <v>354.03102799999999</v>
      </c>
    </row>
    <row r="449" spans="1:9" x14ac:dyDescent="0.45">
      <c r="A449">
        <v>448</v>
      </c>
      <c r="B449">
        <v>17.782340000000001</v>
      </c>
      <c r="C449">
        <v>-165.09997000000001</v>
      </c>
      <c r="D449">
        <v>1048</v>
      </c>
      <c r="E449">
        <v>17.77101</v>
      </c>
      <c r="F449">
        <v>-165.10229000000001</v>
      </c>
      <c r="G449">
        <v>1277.883</v>
      </c>
      <c r="H449">
        <v>191.09973299999999</v>
      </c>
      <c r="I449">
        <v>11.099024</v>
      </c>
    </row>
    <row r="450" spans="1:9" x14ac:dyDescent="0.45">
      <c r="A450">
        <v>449</v>
      </c>
      <c r="B450">
        <v>-71.849580000000003</v>
      </c>
      <c r="C450">
        <v>164.75148999999999</v>
      </c>
      <c r="D450">
        <v>1049</v>
      </c>
      <c r="E450">
        <v>-71.835279999999997</v>
      </c>
      <c r="F450">
        <v>164.7542</v>
      </c>
      <c r="G450">
        <v>1598.441</v>
      </c>
      <c r="H450">
        <v>3.3833090000000001</v>
      </c>
      <c r="I450">
        <v>183.38073399999999</v>
      </c>
    </row>
    <row r="451" spans="1:9" x14ac:dyDescent="0.45">
      <c r="A451">
        <v>450</v>
      </c>
      <c r="B451">
        <v>2.82131</v>
      </c>
      <c r="C451">
        <v>29.210039999999999</v>
      </c>
      <c r="D451">
        <v>1050</v>
      </c>
      <c r="E451">
        <v>2.8199299999999998</v>
      </c>
      <c r="F451">
        <v>29.196370000000002</v>
      </c>
      <c r="G451">
        <v>1527.547</v>
      </c>
      <c r="H451">
        <v>264.26714099999998</v>
      </c>
      <c r="I451">
        <v>84.266468000000003</v>
      </c>
    </row>
    <row r="452" spans="1:9" x14ac:dyDescent="0.45">
      <c r="A452">
        <v>451</v>
      </c>
      <c r="B452">
        <v>55.192619999999998</v>
      </c>
      <c r="C452">
        <v>139.84251</v>
      </c>
      <c r="D452">
        <v>1051</v>
      </c>
      <c r="E452">
        <v>55.192869999999999</v>
      </c>
      <c r="F452">
        <v>139.84404000000001</v>
      </c>
      <c r="G452">
        <v>101.33799999999999</v>
      </c>
      <c r="H452">
        <v>74.058622</v>
      </c>
      <c r="I452">
        <v>254.059878</v>
      </c>
    </row>
    <row r="453" spans="1:9" x14ac:dyDescent="0.45">
      <c r="A453">
        <v>452</v>
      </c>
      <c r="B453">
        <v>-24.45692</v>
      </c>
      <c r="C453">
        <v>-6.3863899999999996</v>
      </c>
      <c r="D453">
        <v>1052</v>
      </c>
      <c r="E453">
        <v>-24.45722</v>
      </c>
      <c r="F453">
        <v>-6.3973399999999998</v>
      </c>
      <c r="G453">
        <v>1110.7090000000001</v>
      </c>
      <c r="H453">
        <v>268.28334000000001</v>
      </c>
      <c r="I453">
        <v>88.287873000000005</v>
      </c>
    </row>
    <row r="454" spans="1:9" x14ac:dyDescent="0.45">
      <c r="A454">
        <v>453</v>
      </c>
      <c r="B454">
        <v>15.65471</v>
      </c>
      <c r="C454">
        <v>-160.46109000000001</v>
      </c>
      <c r="D454">
        <v>1053</v>
      </c>
      <c r="E454">
        <v>15.668010000000001</v>
      </c>
      <c r="F454">
        <v>-160.46944999999999</v>
      </c>
      <c r="G454">
        <v>1723.165</v>
      </c>
      <c r="H454">
        <v>328.65901000000002</v>
      </c>
      <c r="I454">
        <v>148.65675300000001</v>
      </c>
    </row>
    <row r="455" spans="1:9" x14ac:dyDescent="0.45">
      <c r="A455">
        <v>454</v>
      </c>
      <c r="B455">
        <v>62.698320000000002</v>
      </c>
      <c r="C455">
        <v>-127.27108</v>
      </c>
      <c r="D455">
        <v>1054</v>
      </c>
      <c r="E455">
        <v>62.69576</v>
      </c>
      <c r="F455">
        <v>-127.27967</v>
      </c>
      <c r="G455">
        <v>524.23599999999999</v>
      </c>
      <c r="H455">
        <v>237.02854300000001</v>
      </c>
      <c r="I455">
        <v>57.020910000000001</v>
      </c>
    </row>
    <row r="456" spans="1:9" x14ac:dyDescent="0.45">
      <c r="A456">
        <v>455</v>
      </c>
      <c r="B456">
        <v>5.4274500000000003</v>
      </c>
      <c r="C456">
        <v>-103.73072999999999</v>
      </c>
      <c r="D456">
        <v>1055</v>
      </c>
      <c r="E456">
        <v>5.4354500000000003</v>
      </c>
      <c r="F456">
        <v>-103.73578999999999</v>
      </c>
      <c r="G456">
        <v>1047.4280000000001</v>
      </c>
      <c r="H456">
        <v>327.63102900000001</v>
      </c>
      <c r="I456">
        <v>147.63055</v>
      </c>
    </row>
    <row r="457" spans="1:9" x14ac:dyDescent="0.45">
      <c r="A457">
        <v>456</v>
      </c>
      <c r="B457">
        <v>-18.43451</v>
      </c>
      <c r="C457">
        <v>126.04848</v>
      </c>
      <c r="D457">
        <v>1056</v>
      </c>
      <c r="E457">
        <v>-18.418959999999998</v>
      </c>
      <c r="F457">
        <v>126.06346000000001</v>
      </c>
      <c r="G457">
        <v>2338.16</v>
      </c>
      <c r="H457">
        <v>42.600786999999997</v>
      </c>
      <c r="I457">
        <v>222.59605199999999</v>
      </c>
    </row>
    <row r="458" spans="1:9" x14ac:dyDescent="0.45">
      <c r="A458">
        <v>457</v>
      </c>
      <c r="B458">
        <v>77.062939999999998</v>
      </c>
      <c r="C458">
        <v>-82.266030000000001</v>
      </c>
      <c r="D458">
        <v>1057</v>
      </c>
      <c r="E458">
        <v>77.065079999999995</v>
      </c>
      <c r="F458">
        <v>-82.258409999999998</v>
      </c>
      <c r="G458">
        <v>305.55700000000002</v>
      </c>
      <c r="H458">
        <v>38.564675999999999</v>
      </c>
      <c r="I458">
        <v>218.572102</v>
      </c>
    </row>
    <row r="459" spans="1:9" x14ac:dyDescent="0.45">
      <c r="A459">
        <v>458</v>
      </c>
      <c r="B459">
        <v>-14.81948</v>
      </c>
      <c r="C459">
        <v>-162.23168999999999</v>
      </c>
      <c r="D459">
        <v>1058</v>
      </c>
      <c r="E459">
        <v>-14.82006</v>
      </c>
      <c r="F459">
        <v>-162.22567000000001</v>
      </c>
      <c r="G459">
        <v>651.16300000000001</v>
      </c>
      <c r="H459">
        <v>95.656723999999997</v>
      </c>
      <c r="I459">
        <v>275.65518400000002</v>
      </c>
    </row>
    <row r="460" spans="1:9" x14ac:dyDescent="0.45">
      <c r="A460">
        <v>459</v>
      </c>
      <c r="B460">
        <v>49.494030000000002</v>
      </c>
      <c r="C460">
        <v>-40.086910000000003</v>
      </c>
      <c r="D460">
        <v>1059</v>
      </c>
      <c r="E460">
        <v>49.502299999999998</v>
      </c>
      <c r="F460">
        <v>-40.075180000000003</v>
      </c>
      <c r="G460">
        <v>1252.204</v>
      </c>
      <c r="H460">
        <v>42.727825000000003</v>
      </c>
      <c r="I460">
        <v>222.73674399999999</v>
      </c>
    </row>
    <row r="461" spans="1:9" x14ac:dyDescent="0.45">
      <c r="A461">
        <v>460</v>
      </c>
      <c r="B461">
        <v>25.447900000000001</v>
      </c>
      <c r="C461">
        <v>-168.38059000000001</v>
      </c>
      <c r="D461">
        <v>1060</v>
      </c>
      <c r="E461">
        <v>25.450330000000001</v>
      </c>
      <c r="F461">
        <v>-168.37137999999999</v>
      </c>
      <c r="G461">
        <v>964.66300000000001</v>
      </c>
      <c r="H461">
        <v>73.794189000000003</v>
      </c>
      <c r="I461">
        <v>253.798147</v>
      </c>
    </row>
    <row r="462" spans="1:9" x14ac:dyDescent="0.45">
      <c r="A462">
        <v>461</v>
      </c>
      <c r="B462">
        <v>1.2677400000000001</v>
      </c>
      <c r="C462">
        <v>-32.323030000000003</v>
      </c>
      <c r="D462">
        <v>1061</v>
      </c>
      <c r="E462">
        <v>1.2512799999999999</v>
      </c>
      <c r="F462">
        <v>-32.32385</v>
      </c>
      <c r="G462">
        <v>1822.348</v>
      </c>
      <c r="H462">
        <v>182.870485</v>
      </c>
      <c r="I462">
        <v>2.8704670000000001</v>
      </c>
    </row>
    <row r="463" spans="1:9" x14ac:dyDescent="0.45">
      <c r="A463">
        <v>462</v>
      </c>
      <c r="B463">
        <v>18.417760000000001</v>
      </c>
      <c r="C463">
        <v>-152.83123000000001</v>
      </c>
      <c r="D463">
        <v>1062</v>
      </c>
      <c r="E463">
        <v>18.4071</v>
      </c>
      <c r="F463">
        <v>-152.83159000000001</v>
      </c>
      <c r="G463">
        <v>1180.5170000000001</v>
      </c>
      <c r="H463">
        <v>181.84644299999999</v>
      </c>
      <c r="I463">
        <v>1.84633</v>
      </c>
    </row>
    <row r="464" spans="1:9" x14ac:dyDescent="0.45">
      <c r="A464">
        <v>463</v>
      </c>
      <c r="B464">
        <v>3.4719099999999998</v>
      </c>
      <c r="C464">
        <v>-43.696249999999999</v>
      </c>
      <c r="D464">
        <v>1063</v>
      </c>
      <c r="E464">
        <v>3.48285</v>
      </c>
      <c r="F464">
        <v>-43.703949999999999</v>
      </c>
      <c r="G464">
        <v>1481.7149999999999</v>
      </c>
      <c r="H464">
        <v>324.72996899999998</v>
      </c>
      <c r="I464">
        <v>144.729502</v>
      </c>
    </row>
    <row r="465" spans="1:9" x14ac:dyDescent="0.45">
      <c r="A465">
        <v>464</v>
      </c>
      <c r="B465">
        <v>24.707519999999999</v>
      </c>
      <c r="C465">
        <v>-38.407380000000003</v>
      </c>
      <c r="D465">
        <v>1064</v>
      </c>
      <c r="E465">
        <v>24.69511</v>
      </c>
      <c r="F465">
        <v>-38.417729999999999</v>
      </c>
      <c r="G465">
        <v>1728.1659999999999</v>
      </c>
      <c r="H465">
        <v>217.30618999999999</v>
      </c>
      <c r="I465">
        <v>37.301864999999999</v>
      </c>
    </row>
    <row r="466" spans="1:9" x14ac:dyDescent="0.45">
      <c r="A466">
        <v>465</v>
      </c>
      <c r="B466">
        <v>-66.522019999999998</v>
      </c>
      <c r="C466">
        <v>-15.89439</v>
      </c>
      <c r="D466">
        <v>1065</v>
      </c>
      <c r="E466">
        <v>-66.536630000000002</v>
      </c>
      <c r="F466">
        <v>-15.880409999999999</v>
      </c>
      <c r="G466">
        <v>1743.779</v>
      </c>
      <c r="H466">
        <v>159.123918</v>
      </c>
      <c r="I466">
        <v>339.11109499999998</v>
      </c>
    </row>
    <row r="467" spans="1:9" x14ac:dyDescent="0.45">
      <c r="A467">
        <v>466</v>
      </c>
      <c r="B467">
        <v>72.773300000000006</v>
      </c>
      <c r="C467">
        <v>27.295100000000001</v>
      </c>
      <c r="D467">
        <v>1066</v>
      </c>
      <c r="E467">
        <v>72.786540000000002</v>
      </c>
      <c r="F467">
        <v>27.278549999999999</v>
      </c>
      <c r="G467">
        <v>1575.5519999999999</v>
      </c>
      <c r="H467">
        <v>339.68971800000003</v>
      </c>
      <c r="I467">
        <v>159.67391000000001</v>
      </c>
    </row>
    <row r="468" spans="1:9" x14ac:dyDescent="0.45">
      <c r="A468">
        <v>467</v>
      </c>
      <c r="B468">
        <v>73.23706</v>
      </c>
      <c r="C468">
        <v>-64.701459999999997</v>
      </c>
      <c r="D468">
        <v>1067</v>
      </c>
      <c r="E468">
        <v>73.229299999999995</v>
      </c>
      <c r="F468">
        <v>-64.704139999999995</v>
      </c>
      <c r="G468">
        <v>870.30899999999997</v>
      </c>
      <c r="H468">
        <v>185.69398699999999</v>
      </c>
      <c r="I468">
        <v>5.6914210000000001</v>
      </c>
    </row>
    <row r="469" spans="1:9" x14ac:dyDescent="0.45">
      <c r="A469">
        <v>468</v>
      </c>
      <c r="B469">
        <v>25.774840000000001</v>
      </c>
      <c r="C469">
        <v>-162.11797000000001</v>
      </c>
      <c r="D469">
        <v>1068</v>
      </c>
      <c r="E469">
        <v>25.788270000000001</v>
      </c>
      <c r="F469">
        <v>-162.12857</v>
      </c>
      <c r="G469">
        <v>1828.6780000000001</v>
      </c>
      <c r="H469">
        <v>324.45286299999998</v>
      </c>
      <c r="I469">
        <v>144.44825299999999</v>
      </c>
    </row>
    <row r="470" spans="1:9" x14ac:dyDescent="0.45">
      <c r="A470">
        <v>469</v>
      </c>
      <c r="B470">
        <v>-16.951160000000002</v>
      </c>
      <c r="C470">
        <v>80.837779999999995</v>
      </c>
      <c r="D470">
        <v>1069</v>
      </c>
      <c r="E470">
        <v>-16.949269999999999</v>
      </c>
      <c r="F470">
        <v>80.842320000000001</v>
      </c>
      <c r="G470">
        <v>526.87</v>
      </c>
      <c r="H470">
        <v>66.610332999999997</v>
      </c>
      <c r="I470">
        <v>246.60901000000001</v>
      </c>
    </row>
    <row r="471" spans="1:9" x14ac:dyDescent="0.45">
      <c r="A471">
        <v>470</v>
      </c>
      <c r="B471">
        <v>3.0989</v>
      </c>
      <c r="C471">
        <v>47.998019999999997</v>
      </c>
      <c r="D471">
        <v>1070</v>
      </c>
      <c r="E471">
        <v>3.10541</v>
      </c>
      <c r="F471">
        <v>48.005000000000003</v>
      </c>
      <c r="G471">
        <v>1058.3889999999999</v>
      </c>
      <c r="H471">
        <v>47.144686</v>
      </c>
      <c r="I471">
        <v>227.14506399999999</v>
      </c>
    </row>
    <row r="472" spans="1:9" x14ac:dyDescent="0.45">
      <c r="A472">
        <v>471</v>
      </c>
      <c r="B472">
        <v>-74.779300000000006</v>
      </c>
      <c r="C472">
        <v>86.325599999999994</v>
      </c>
      <c r="D472">
        <v>1071</v>
      </c>
      <c r="E472">
        <v>-74.790959999999998</v>
      </c>
      <c r="F472">
        <v>86.309100000000001</v>
      </c>
      <c r="G472">
        <v>1388.374</v>
      </c>
      <c r="H472">
        <v>200.374548</v>
      </c>
      <c r="I472">
        <v>20.390470000000001</v>
      </c>
    </row>
    <row r="473" spans="1:9" x14ac:dyDescent="0.45">
      <c r="A473">
        <v>472</v>
      </c>
      <c r="B473">
        <v>83.092399999999998</v>
      </c>
      <c r="C473">
        <v>1.341E-2</v>
      </c>
      <c r="D473">
        <v>1072</v>
      </c>
      <c r="E473">
        <v>83.097160000000002</v>
      </c>
      <c r="F473">
        <v>1.33E-3</v>
      </c>
      <c r="G473">
        <v>555.78399999999999</v>
      </c>
      <c r="H473">
        <v>343.03672399999999</v>
      </c>
      <c r="I473">
        <v>163.024732</v>
      </c>
    </row>
    <row r="474" spans="1:9" x14ac:dyDescent="0.45">
      <c r="A474">
        <v>473</v>
      </c>
      <c r="B474">
        <v>-18.602350000000001</v>
      </c>
      <c r="C474">
        <v>-89.789479999999998</v>
      </c>
      <c r="D474">
        <v>1073</v>
      </c>
      <c r="E474">
        <v>-18.603459999999998</v>
      </c>
      <c r="F474">
        <v>-89.805620000000005</v>
      </c>
      <c r="G474">
        <v>1707.829</v>
      </c>
      <c r="H474">
        <v>265.87194399999998</v>
      </c>
      <c r="I474">
        <v>85.877093000000002</v>
      </c>
    </row>
    <row r="475" spans="1:9" x14ac:dyDescent="0.45">
      <c r="A475">
        <v>474</v>
      </c>
      <c r="B475">
        <v>46.249429999999997</v>
      </c>
      <c r="C475">
        <v>42.868259999999999</v>
      </c>
      <c r="D475">
        <v>1074</v>
      </c>
      <c r="E475">
        <v>46.245919999999998</v>
      </c>
      <c r="F475">
        <v>42.869599999999998</v>
      </c>
      <c r="G475">
        <v>403.61099999999999</v>
      </c>
      <c r="H475">
        <v>165.164863</v>
      </c>
      <c r="I475">
        <v>345.16583100000003</v>
      </c>
    </row>
    <row r="476" spans="1:9" x14ac:dyDescent="0.45">
      <c r="A476">
        <v>475</v>
      </c>
      <c r="B476">
        <v>-49.310519999999997</v>
      </c>
      <c r="C476">
        <v>59.918729999999996</v>
      </c>
      <c r="D476">
        <v>1075</v>
      </c>
      <c r="E476">
        <v>-49.30592</v>
      </c>
      <c r="F476">
        <v>59.926160000000003</v>
      </c>
      <c r="G476">
        <v>744.08</v>
      </c>
      <c r="H476">
        <v>46.566322</v>
      </c>
      <c r="I476">
        <v>226.560688</v>
      </c>
    </row>
    <row r="477" spans="1:9" x14ac:dyDescent="0.45">
      <c r="A477">
        <v>476</v>
      </c>
      <c r="B477">
        <v>-36.255200000000002</v>
      </c>
      <c r="C477">
        <v>-113.85174000000001</v>
      </c>
      <c r="D477">
        <v>1076</v>
      </c>
      <c r="E477">
        <v>-36.267449999999997</v>
      </c>
      <c r="F477">
        <v>-113.86118</v>
      </c>
      <c r="G477">
        <v>1602.3040000000001</v>
      </c>
      <c r="H477">
        <v>211.96502899999999</v>
      </c>
      <c r="I477">
        <v>31.970613</v>
      </c>
    </row>
    <row r="478" spans="1:9" x14ac:dyDescent="0.45">
      <c r="A478">
        <v>477</v>
      </c>
      <c r="B478">
        <v>-88.887569999999997</v>
      </c>
      <c r="C478">
        <v>-109.3514</v>
      </c>
      <c r="D478">
        <v>1077</v>
      </c>
      <c r="E478">
        <v>-88.892169999999993</v>
      </c>
      <c r="F478">
        <v>-109.36293000000001</v>
      </c>
      <c r="G478">
        <v>514.39599999999996</v>
      </c>
      <c r="H478">
        <v>182.77445</v>
      </c>
      <c r="I478">
        <v>2.7859780000000001</v>
      </c>
    </row>
    <row r="479" spans="1:9" x14ac:dyDescent="0.45">
      <c r="A479">
        <v>478</v>
      </c>
      <c r="B479">
        <v>-14.742050000000001</v>
      </c>
      <c r="C479">
        <v>-79.951920000000001</v>
      </c>
      <c r="D479">
        <v>1078</v>
      </c>
      <c r="E479">
        <v>-14.74389</v>
      </c>
      <c r="F479">
        <v>-79.951059999999998</v>
      </c>
      <c r="G479">
        <v>223.66</v>
      </c>
      <c r="H479">
        <v>155.54157900000001</v>
      </c>
      <c r="I479">
        <v>335.54136</v>
      </c>
    </row>
    <row r="480" spans="1:9" x14ac:dyDescent="0.45">
      <c r="A480">
        <v>479</v>
      </c>
      <c r="B480">
        <v>-48.245060000000002</v>
      </c>
      <c r="C480">
        <v>-65.124889999999994</v>
      </c>
      <c r="D480">
        <v>1079</v>
      </c>
      <c r="E480">
        <v>-48.250770000000003</v>
      </c>
      <c r="F480">
        <v>-65.111949999999993</v>
      </c>
      <c r="G480">
        <v>1151.817</v>
      </c>
      <c r="H480">
        <v>123.456765</v>
      </c>
      <c r="I480">
        <v>303.447112</v>
      </c>
    </row>
    <row r="481" spans="1:9" x14ac:dyDescent="0.45">
      <c r="A481">
        <v>480</v>
      </c>
      <c r="B481">
        <v>50.44847</v>
      </c>
      <c r="C481">
        <v>179.70865000000001</v>
      </c>
      <c r="D481">
        <v>1080</v>
      </c>
      <c r="E481">
        <v>50.435049999999997</v>
      </c>
      <c r="F481">
        <v>179.70292000000001</v>
      </c>
      <c r="G481">
        <v>1547.307</v>
      </c>
      <c r="H481">
        <v>195.254131</v>
      </c>
      <c r="I481">
        <v>15.249714000000001</v>
      </c>
    </row>
    <row r="482" spans="1:9" x14ac:dyDescent="0.45">
      <c r="A482">
        <v>481</v>
      </c>
      <c r="B482">
        <v>84.651309999999995</v>
      </c>
      <c r="C482">
        <v>137.88408000000001</v>
      </c>
      <c r="D482">
        <v>1081</v>
      </c>
      <c r="E482">
        <v>84.663629999999998</v>
      </c>
      <c r="F482">
        <v>137.88800000000001</v>
      </c>
      <c r="G482">
        <v>1376.5530000000001</v>
      </c>
      <c r="H482">
        <v>1.695085</v>
      </c>
      <c r="I482">
        <v>181.69898800000001</v>
      </c>
    </row>
    <row r="483" spans="1:9" x14ac:dyDescent="0.45">
      <c r="A483">
        <v>482</v>
      </c>
      <c r="B483">
        <v>40.485939999999999</v>
      </c>
      <c r="C483">
        <v>91.830160000000006</v>
      </c>
      <c r="D483">
        <v>1082</v>
      </c>
      <c r="E483">
        <v>40.482050000000001</v>
      </c>
      <c r="F483">
        <v>91.817999999999998</v>
      </c>
      <c r="G483">
        <v>1117.8530000000001</v>
      </c>
      <c r="H483">
        <v>247.27200400000001</v>
      </c>
      <c r="I483">
        <v>67.264109000000005</v>
      </c>
    </row>
    <row r="484" spans="1:9" x14ac:dyDescent="0.45">
      <c r="A484">
        <v>483</v>
      </c>
      <c r="B484">
        <v>-12.19533</v>
      </c>
      <c r="C484">
        <v>-172.8569</v>
      </c>
      <c r="D484">
        <v>1083</v>
      </c>
      <c r="E484">
        <v>-12.195349999999999</v>
      </c>
      <c r="F484">
        <v>-172.85661999999999</v>
      </c>
      <c r="G484">
        <v>30.550999999999998</v>
      </c>
      <c r="H484">
        <v>94.152998999999994</v>
      </c>
      <c r="I484">
        <v>274.15294</v>
      </c>
    </row>
    <row r="485" spans="1:9" x14ac:dyDescent="0.45">
      <c r="A485">
        <v>484</v>
      </c>
      <c r="B485">
        <v>-39.377989999999997</v>
      </c>
      <c r="C485">
        <v>148.34419</v>
      </c>
      <c r="D485">
        <v>1084</v>
      </c>
      <c r="E485">
        <v>-39.377670000000002</v>
      </c>
      <c r="F485">
        <v>148.35400000000001</v>
      </c>
      <c r="G485">
        <v>846.01300000000003</v>
      </c>
      <c r="H485">
        <v>87.596339999999998</v>
      </c>
      <c r="I485">
        <v>267.59011600000002</v>
      </c>
    </row>
    <row r="486" spans="1:9" x14ac:dyDescent="0.45">
      <c r="A486">
        <v>485</v>
      </c>
      <c r="B486">
        <v>-5.1102600000000002</v>
      </c>
      <c r="C486">
        <v>-45.360810000000001</v>
      </c>
      <c r="D486">
        <v>1085</v>
      </c>
      <c r="E486">
        <v>-5.1181000000000001</v>
      </c>
      <c r="F486">
        <v>-45.346850000000003</v>
      </c>
      <c r="G486">
        <v>1774.135</v>
      </c>
      <c r="H486">
        <v>119.254003</v>
      </c>
      <c r="I486">
        <v>299.25275799999997</v>
      </c>
    </row>
    <row r="487" spans="1:9" x14ac:dyDescent="0.45">
      <c r="A487">
        <v>486</v>
      </c>
      <c r="B487">
        <v>22.790019999999998</v>
      </c>
      <c r="C487">
        <v>-124.90221</v>
      </c>
      <c r="D487">
        <v>1086</v>
      </c>
      <c r="E487">
        <v>22.799029999999998</v>
      </c>
      <c r="F487">
        <v>-124.90714</v>
      </c>
      <c r="G487">
        <v>1118.837</v>
      </c>
      <c r="H487">
        <v>333.10112099999998</v>
      </c>
      <c r="I487">
        <v>153.099211</v>
      </c>
    </row>
    <row r="488" spans="1:9" x14ac:dyDescent="0.45">
      <c r="A488">
        <v>487</v>
      </c>
      <c r="B488">
        <v>83.619240000000005</v>
      </c>
      <c r="C488">
        <v>133.93875</v>
      </c>
      <c r="D488">
        <v>1087</v>
      </c>
      <c r="E488">
        <v>83.610709999999997</v>
      </c>
      <c r="F488">
        <v>133.94125</v>
      </c>
      <c r="G488">
        <v>953.13599999999997</v>
      </c>
      <c r="H488">
        <v>178.13179</v>
      </c>
      <c r="I488">
        <v>358.134275</v>
      </c>
    </row>
    <row r="489" spans="1:9" x14ac:dyDescent="0.45">
      <c r="A489">
        <v>488</v>
      </c>
      <c r="B489">
        <v>77.58775</v>
      </c>
      <c r="C489">
        <v>100.61530999999999</v>
      </c>
      <c r="D489">
        <v>1088</v>
      </c>
      <c r="E489">
        <v>77.602279999999993</v>
      </c>
      <c r="F489">
        <v>100.62383</v>
      </c>
      <c r="G489">
        <v>1634.9829999999999</v>
      </c>
      <c r="H489">
        <v>7.1774889999999996</v>
      </c>
      <c r="I489">
        <v>187.18581</v>
      </c>
    </row>
    <row r="490" spans="1:9" x14ac:dyDescent="0.45">
      <c r="A490">
        <v>489</v>
      </c>
      <c r="B490">
        <v>31.588640000000002</v>
      </c>
      <c r="C490">
        <v>147.37581</v>
      </c>
      <c r="D490">
        <v>1089</v>
      </c>
      <c r="E490">
        <v>31.588619999999999</v>
      </c>
      <c r="F490">
        <v>147.36421000000001</v>
      </c>
      <c r="G490">
        <v>1100.9880000000001</v>
      </c>
      <c r="H490">
        <v>269.88763399999999</v>
      </c>
      <c r="I490">
        <v>89.881557999999998</v>
      </c>
    </row>
    <row r="491" spans="1:9" x14ac:dyDescent="0.45">
      <c r="A491">
        <v>490</v>
      </c>
      <c r="B491">
        <v>-19.62322</v>
      </c>
      <c r="C491">
        <v>-178.74319</v>
      </c>
      <c r="D491">
        <v>1090</v>
      </c>
      <c r="E491">
        <v>-19.611070000000002</v>
      </c>
      <c r="F491">
        <v>-178.73658</v>
      </c>
      <c r="G491">
        <v>1513.2059999999999</v>
      </c>
      <c r="H491">
        <v>27.273122000000001</v>
      </c>
      <c r="I491">
        <v>207.270903</v>
      </c>
    </row>
    <row r="492" spans="1:9" x14ac:dyDescent="0.45">
      <c r="A492">
        <v>491</v>
      </c>
      <c r="B492">
        <v>70.463920000000002</v>
      </c>
      <c r="C492">
        <v>-123.86275000000001</v>
      </c>
      <c r="D492">
        <v>1091</v>
      </c>
      <c r="E492">
        <v>70.465059999999994</v>
      </c>
      <c r="F492">
        <v>-123.85974</v>
      </c>
      <c r="G492">
        <v>169.72300000000001</v>
      </c>
      <c r="H492">
        <v>41.461590999999999</v>
      </c>
      <c r="I492">
        <v>221.464427</v>
      </c>
    </row>
    <row r="493" spans="1:9" x14ac:dyDescent="0.45">
      <c r="A493">
        <v>492</v>
      </c>
      <c r="B493">
        <v>12.90451</v>
      </c>
      <c r="C493">
        <v>66.452550000000002</v>
      </c>
      <c r="D493">
        <v>1092</v>
      </c>
      <c r="E493">
        <v>12.896240000000001</v>
      </c>
      <c r="F493">
        <v>66.468689999999995</v>
      </c>
      <c r="G493">
        <v>1976.182</v>
      </c>
      <c r="H493">
        <v>117.57692400000001</v>
      </c>
      <c r="I493">
        <v>297.58052700000002</v>
      </c>
    </row>
    <row r="494" spans="1:9" x14ac:dyDescent="0.45">
      <c r="A494">
        <v>493</v>
      </c>
      <c r="B494">
        <v>-28.81316</v>
      </c>
      <c r="C494">
        <v>9.3418799999999997</v>
      </c>
      <c r="D494">
        <v>1093</v>
      </c>
      <c r="E494">
        <v>-28.814530000000001</v>
      </c>
      <c r="F494">
        <v>9.3367699999999996</v>
      </c>
      <c r="G494">
        <v>521.40099999999995</v>
      </c>
      <c r="H494">
        <v>253.06795500000001</v>
      </c>
      <c r="I494">
        <v>73.070418000000004</v>
      </c>
    </row>
    <row r="495" spans="1:9" x14ac:dyDescent="0.45">
      <c r="A495">
        <v>494</v>
      </c>
      <c r="B495">
        <v>12.26254</v>
      </c>
      <c r="C495">
        <v>-95.605490000000003</v>
      </c>
      <c r="D495">
        <v>1094</v>
      </c>
      <c r="E495">
        <v>12.264290000000001</v>
      </c>
      <c r="F495">
        <v>-95.618639999999999</v>
      </c>
      <c r="G495">
        <v>1443.703</v>
      </c>
      <c r="H495">
        <v>277.70766099999997</v>
      </c>
      <c r="I495">
        <v>97.704866999999993</v>
      </c>
    </row>
    <row r="496" spans="1:9" x14ac:dyDescent="0.45">
      <c r="A496">
        <v>495</v>
      </c>
      <c r="B496">
        <v>-38.911169999999998</v>
      </c>
      <c r="C496">
        <v>-157.9667</v>
      </c>
      <c r="D496">
        <v>1095</v>
      </c>
      <c r="E496">
        <v>-38.926670000000001</v>
      </c>
      <c r="F496">
        <v>-157.95722000000001</v>
      </c>
      <c r="G496">
        <v>1907.04</v>
      </c>
      <c r="H496">
        <v>154.464598</v>
      </c>
      <c r="I496">
        <v>334.458642</v>
      </c>
    </row>
    <row r="497" spans="1:9" x14ac:dyDescent="0.45">
      <c r="A497">
        <v>496</v>
      </c>
      <c r="B497">
        <v>57.40457</v>
      </c>
      <c r="C497">
        <v>-143.43868000000001</v>
      </c>
      <c r="D497">
        <v>1096</v>
      </c>
      <c r="E497">
        <v>57.402410000000003</v>
      </c>
      <c r="F497">
        <v>-143.44842</v>
      </c>
      <c r="G497">
        <v>632.99</v>
      </c>
      <c r="H497">
        <v>247.66878299999999</v>
      </c>
      <c r="I497">
        <v>67.660578000000001</v>
      </c>
    </row>
    <row r="498" spans="1:9" x14ac:dyDescent="0.45">
      <c r="A498">
        <v>497</v>
      </c>
      <c r="B498">
        <v>-13.688639999999999</v>
      </c>
      <c r="C498">
        <v>152.92078000000001</v>
      </c>
      <c r="D498">
        <v>1097</v>
      </c>
      <c r="E498">
        <v>-13.679270000000001</v>
      </c>
      <c r="F498">
        <v>152.91319999999999</v>
      </c>
      <c r="G498">
        <v>1321.771</v>
      </c>
      <c r="H498">
        <v>321.65498500000001</v>
      </c>
      <c r="I498">
        <v>141.656778</v>
      </c>
    </row>
    <row r="499" spans="1:9" x14ac:dyDescent="0.45">
      <c r="A499">
        <v>498</v>
      </c>
      <c r="B499">
        <v>-18.93075</v>
      </c>
      <c r="C499">
        <v>-9.1449800000000003</v>
      </c>
      <c r="D499">
        <v>1098</v>
      </c>
      <c r="E499">
        <v>-18.925609999999999</v>
      </c>
      <c r="F499">
        <v>-9.1592199999999995</v>
      </c>
      <c r="G499">
        <v>1604.278</v>
      </c>
      <c r="H499">
        <v>290.76951800000001</v>
      </c>
      <c r="I499">
        <v>110.774137</v>
      </c>
    </row>
    <row r="500" spans="1:9" x14ac:dyDescent="0.45">
      <c r="A500">
        <v>499</v>
      </c>
      <c r="B500">
        <v>-85.101470000000006</v>
      </c>
      <c r="C500">
        <v>-37.652180000000001</v>
      </c>
      <c r="D500">
        <v>1099</v>
      </c>
      <c r="E500">
        <v>-85.09648</v>
      </c>
      <c r="F500">
        <v>-37.640430000000002</v>
      </c>
      <c r="G500">
        <v>568.47900000000004</v>
      </c>
      <c r="H500">
        <v>11.380995</v>
      </c>
      <c r="I500">
        <v>191.36928800000001</v>
      </c>
    </row>
    <row r="501" spans="1:9" x14ac:dyDescent="0.45">
      <c r="A501">
        <v>500</v>
      </c>
      <c r="B501">
        <v>43.873179999999998</v>
      </c>
      <c r="C501">
        <v>-15.186170000000001</v>
      </c>
      <c r="D501">
        <v>1100</v>
      </c>
      <c r="E501">
        <v>43.863869999999999</v>
      </c>
      <c r="F501">
        <v>-15.191190000000001</v>
      </c>
      <c r="G501">
        <v>1110.3510000000001</v>
      </c>
      <c r="H501">
        <v>201.31209100000001</v>
      </c>
      <c r="I501">
        <v>21.308612</v>
      </c>
    </row>
    <row r="502" spans="1:9" x14ac:dyDescent="0.45">
      <c r="A502">
        <v>501</v>
      </c>
      <c r="B502">
        <v>-7.1382099999999999</v>
      </c>
      <c r="C502">
        <v>43.052140000000001</v>
      </c>
      <c r="D502">
        <v>1101</v>
      </c>
      <c r="E502">
        <v>-7.1384299999999996</v>
      </c>
      <c r="F502">
        <v>43.053280000000001</v>
      </c>
      <c r="G502">
        <v>128.256</v>
      </c>
      <c r="H502">
        <v>100.935329</v>
      </c>
      <c r="I502">
        <v>280.93518799999998</v>
      </c>
    </row>
    <row r="503" spans="1:9" x14ac:dyDescent="0.45">
      <c r="A503">
        <v>502</v>
      </c>
      <c r="B503">
        <v>-51.1008</v>
      </c>
      <c r="C503">
        <v>26.07132</v>
      </c>
      <c r="D503">
        <v>1102</v>
      </c>
      <c r="E503">
        <v>-51.101260000000003</v>
      </c>
      <c r="F503">
        <v>26.071660000000001</v>
      </c>
      <c r="G503">
        <v>56.445</v>
      </c>
      <c r="H503">
        <v>155.04428999999999</v>
      </c>
      <c r="I503">
        <v>335.04402499999998</v>
      </c>
    </row>
    <row r="504" spans="1:9" x14ac:dyDescent="0.45">
      <c r="A504">
        <v>503</v>
      </c>
      <c r="B504">
        <v>0.48569000000000001</v>
      </c>
      <c r="C504">
        <v>-57.818860000000001</v>
      </c>
      <c r="D504">
        <v>1103</v>
      </c>
      <c r="E504">
        <v>0.48427999999999999</v>
      </c>
      <c r="F504">
        <v>-57.817619999999998</v>
      </c>
      <c r="G504">
        <v>208.232</v>
      </c>
      <c r="H504">
        <v>138.480648</v>
      </c>
      <c r="I504">
        <v>318.48065800000001</v>
      </c>
    </row>
    <row r="505" spans="1:9" x14ac:dyDescent="0.45">
      <c r="A505">
        <v>504</v>
      </c>
      <c r="B505">
        <v>58.761620000000001</v>
      </c>
      <c r="C505">
        <v>-33.295389999999998</v>
      </c>
      <c r="D505">
        <v>1104</v>
      </c>
      <c r="E505">
        <v>58.760640000000002</v>
      </c>
      <c r="F505">
        <v>-33.296840000000003</v>
      </c>
      <c r="G505">
        <v>137.69</v>
      </c>
      <c r="H505">
        <v>217.55074300000001</v>
      </c>
      <c r="I505">
        <v>37.549503000000001</v>
      </c>
    </row>
    <row r="506" spans="1:9" x14ac:dyDescent="0.45">
      <c r="A506">
        <v>505</v>
      </c>
      <c r="B506">
        <v>86.058539999999994</v>
      </c>
      <c r="C506">
        <v>58.567529999999998</v>
      </c>
      <c r="D506">
        <v>1105</v>
      </c>
      <c r="E506">
        <v>86.05762</v>
      </c>
      <c r="F506">
        <v>58.56758</v>
      </c>
      <c r="G506">
        <v>102.754</v>
      </c>
      <c r="H506">
        <v>179.78590299999999</v>
      </c>
      <c r="I506">
        <v>359.78595300000001</v>
      </c>
    </row>
    <row r="507" spans="1:9" x14ac:dyDescent="0.45">
      <c r="A507">
        <v>506</v>
      </c>
      <c r="B507">
        <v>-39.154330000000002</v>
      </c>
      <c r="C507">
        <v>163.07717</v>
      </c>
      <c r="D507">
        <v>1106</v>
      </c>
      <c r="E507">
        <v>-39.155110000000001</v>
      </c>
      <c r="F507">
        <v>163.07597000000001</v>
      </c>
      <c r="G507">
        <v>135.12</v>
      </c>
      <c r="H507">
        <v>230.142922</v>
      </c>
      <c r="I507">
        <v>50.143680000000003</v>
      </c>
    </row>
    <row r="508" spans="1:9" x14ac:dyDescent="0.45">
      <c r="A508">
        <v>507</v>
      </c>
      <c r="B508">
        <v>-30.301030000000001</v>
      </c>
      <c r="C508">
        <v>39.062289999999997</v>
      </c>
      <c r="D508">
        <v>1107</v>
      </c>
      <c r="E508">
        <v>-30.302230000000002</v>
      </c>
      <c r="F508">
        <v>39.06268</v>
      </c>
      <c r="G508">
        <v>138.21799999999999</v>
      </c>
      <c r="H508">
        <v>164.251192</v>
      </c>
      <c r="I508">
        <v>344.25099499999999</v>
      </c>
    </row>
    <row r="509" spans="1:9" x14ac:dyDescent="0.45">
      <c r="A509">
        <v>508</v>
      </c>
      <c r="B509">
        <v>67.419740000000004</v>
      </c>
      <c r="C509">
        <v>-16.896070000000002</v>
      </c>
      <c r="D509">
        <v>1108</v>
      </c>
      <c r="E509">
        <v>67.421289999999999</v>
      </c>
      <c r="F509">
        <v>-16.896350000000002</v>
      </c>
      <c r="G509">
        <v>173.28399999999999</v>
      </c>
      <c r="H509">
        <v>356.02843999999999</v>
      </c>
      <c r="I509">
        <v>176.02818199999999</v>
      </c>
    </row>
    <row r="510" spans="1:9" x14ac:dyDescent="0.45">
      <c r="A510">
        <v>509</v>
      </c>
      <c r="B510">
        <v>52.261780000000002</v>
      </c>
      <c r="C510">
        <v>-128.93558999999999</v>
      </c>
      <c r="D510">
        <v>1109</v>
      </c>
      <c r="E510">
        <v>52.260379999999998</v>
      </c>
      <c r="F510">
        <v>-128.93509</v>
      </c>
      <c r="G510">
        <v>159.47800000000001</v>
      </c>
      <c r="H510">
        <v>167.63904700000001</v>
      </c>
      <c r="I510">
        <v>347.63944199999997</v>
      </c>
    </row>
    <row r="511" spans="1:9" x14ac:dyDescent="0.45">
      <c r="A511">
        <v>510</v>
      </c>
      <c r="B511">
        <v>-54.0852</v>
      </c>
      <c r="C511">
        <v>-103.17334</v>
      </c>
      <c r="D511">
        <v>1110</v>
      </c>
      <c r="E511">
        <v>-54.084859999999999</v>
      </c>
      <c r="F511">
        <v>-103.17322</v>
      </c>
      <c r="G511">
        <v>38.65</v>
      </c>
      <c r="H511">
        <v>11.723103999999999</v>
      </c>
      <c r="I511">
        <v>191.723007</v>
      </c>
    </row>
    <row r="512" spans="1:9" x14ac:dyDescent="0.45">
      <c r="A512">
        <v>511</v>
      </c>
      <c r="B512">
        <v>11.798870000000001</v>
      </c>
      <c r="C512">
        <v>-123.3344</v>
      </c>
      <c r="D512">
        <v>1111</v>
      </c>
      <c r="E512">
        <v>11.7989</v>
      </c>
      <c r="F512">
        <v>-123.33365000000001</v>
      </c>
      <c r="G512">
        <v>81.804000000000002</v>
      </c>
      <c r="H512">
        <v>87.674923000000007</v>
      </c>
      <c r="I512">
        <v>267.67507599999999</v>
      </c>
    </row>
    <row r="513" spans="1:9" x14ac:dyDescent="0.45">
      <c r="A513">
        <v>512</v>
      </c>
      <c r="B513">
        <v>-65.879980000000003</v>
      </c>
      <c r="C513">
        <v>12.37153</v>
      </c>
      <c r="D513">
        <v>1112</v>
      </c>
      <c r="E513">
        <v>-65.879959999999997</v>
      </c>
      <c r="F513">
        <v>12.37303</v>
      </c>
      <c r="G513">
        <v>68.462999999999994</v>
      </c>
      <c r="H513">
        <v>88.134011999999998</v>
      </c>
      <c r="I513">
        <v>268.13264299999997</v>
      </c>
    </row>
    <row r="514" spans="1:9" x14ac:dyDescent="0.45">
      <c r="A514">
        <v>513</v>
      </c>
      <c r="B514">
        <v>25.50694</v>
      </c>
      <c r="C514">
        <v>-48.418329999999997</v>
      </c>
      <c r="D514">
        <v>1113</v>
      </c>
      <c r="E514">
        <v>25.506409999999999</v>
      </c>
      <c r="F514">
        <v>-48.417520000000003</v>
      </c>
      <c r="G514">
        <v>100.39100000000001</v>
      </c>
      <c r="H514">
        <v>125.792294</v>
      </c>
      <c r="I514">
        <v>305.792642</v>
      </c>
    </row>
    <row r="515" spans="1:9" x14ac:dyDescent="0.45">
      <c r="A515">
        <v>514</v>
      </c>
      <c r="B515">
        <v>-84.321169999999995</v>
      </c>
      <c r="C515">
        <v>-58.288170000000001</v>
      </c>
      <c r="D515">
        <v>1114</v>
      </c>
      <c r="E515">
        <v>-84.319969999999998</v>
      </c>
      <c r="F515">
        <v>-58.286900000000003</v>
      </c>
      <c r="G515">
        <v>134.75299999999999</v>
      </c>
      <c r="H515">
        <v>5.9801159999999998</v>
      </c>
      <c r="I515">
        <v>185.97885299999999</v>
      </c>
    </row>
    <row r="516" spans="1:9" x14ac:dyDescent="0.45">
      <c r="A516">
        <v>515</v>
      </c>
      <c r="B516">
        <v>-56.620559999999998</v>
      </c>
      <c r="C516">
        <v>-26.25235</v>
      </c>
      <c r="D516">
        <v>1115</v>
      </c>
      <c r="E516">
        <v>-56.618929999999999</v>
      </c>
      <c r="F516">
        <v>-26.251819999999999</v>
      </c>
      <c r="G516">
        <v>184.399</v>
      </c>
      <c r="H516">
        <v>10.163237000000001</v>
      </c>
      <c r="I516">
        <v>190.16279499999999</v>
      </c>
    </row>
    <row r="517" spans="1:9" x14ac:dyDescent="0.45">
      <c r="A517">
        <v>516</v>
      </c>
      <c r="B517">
        <v>-46.946669999999997</v>
      </c>
      <c r="C517">
        <v>-103.06093</v>
      </c>
      <c r="D517">
        <v>1116</v>
      </c>
      <c r="E517">
        <v>-46.947200000000002</v>
      </c>
      <c r="F517">
        <v>-103.05946</v>
      </c>
      <c r="G517">
        <v>126.476</v>
      </c>
      <c r="H517">
        <v>117.766469</v>
      </c>
      <c r="I517">
        <v>297.76539500000001</v>
      </c>
    </row>
    <row r="518" spans="1:9" x14ac:dyDescent="0.45">
      <c r="A518">
        <v>517</v>
      </c>
      <c r="B518">
        <v>53.45382</v>
      </c>
      <c r="C518">
        <v>19.879010000000001</v>
      </c>
      <c r="D518">
        <v>1117</v>
      </c>
      <c r="E518">
        <v>53.454859999999996</v>
      </c>
      <c r="F518">
        <v>19.879519999999999</v>
      </c>
      <c r="G518">
        <v>120.60299999999999</v>
      </c>
      <c r="H518">
        <v>16.314748999999999</v>
      </c>
      <c r="I518">
        <v>196.315158</v>
      </c>
    </row>
    <row r="519" spans="1:9" x14ac:dyDescent="0.45">
      <c r="A519">
        <v>518</v>
      </c>
      <c r="B519">
        <v>33.99091</v>
      </c>
      <c r="C519">
        <v>75.149780000000007</v>
      </c>
      <c r="D519">
        <v>1118</v>
      </c>
      <c r="E519">
        <v>33.989879999999999</v>
      </c>
      <c r="F519">
        <v>75.151349999999994</v>
      </c>
      <c r="G519">
        <v>184.65</v>
      </c>
      <c r="H519">
        <v>128.22359700000001</v>
      </c>
      <c r="I519">
        <v>308.22447499999998</v>
      </c>
    </row>
    <row r="520" spans="1:9" x14ac:dyDescent="0.45">
      <c r="A520">
        <v>519</v>
      </c>
      <c r="B520">
        <v>-53.32526</v>
      </c>
      <c r="C520">
        <v>39.735790000000001</v>
      </c>
      <c r="D520">
        <v>1119</v>
      </c>
      <c r="E520">
        <v>-53.324240000000003</v>
      </c>
      <c r="F520">
        <v>39.734470000000002</v>
      </c>
      <c r="G520">
        <v>143.60499999999999</v>
      </c>
      <c r="H520">
        <v>322.230683</v>
      </c>
      <c r="I520">
        <v>142.231742</v>
      </c>
    </row>
    <row r="521" spans="1:9" x14ac:dyDescent="0.45">
      <c r="A521">
        <v>520</v>
      </c>
      <c r="B521">
        <v>22.478960000000001</v>
      </c>
      <c r="C521">
        <v>-175.04249999999999</v>
      </c>
      <c r="D521">
        <v>1120</v>
      </c>
      <c r="E521">
        <v>22.477550000000001</v>
      </c>
      <c r="F521">
        <v>-175.04356000000001</v>
      </c>
      <c r="G521">
        <v>190.471</v>
      </c>
      <c r="H521">
        <v>214.940437</v>
      </c>
      <c r="I521">
        <v>34.940032000000002</v>
      </c>
    </row>
    <row r="522" spans="1:9" x14ac:dyDescent="0.45">
      <c r="A522">
        <v>521</v>
      </c>
      <c r="B522">
        <v>-39.14855</v>
      </c>
      <c r="C522">
        <v>113.84887000000001</v>
      </c>
      <c r="D522">
        <v>1121</v>
      </c>
      <c r="E522">
        <v>-39.149769999999997</v>
      </c>
      <c r="F522">
        <v>113.84848</v>
      </c>
      <c r="G522">
        <v>139.57499999999999</v>
      </c>
      <c r="H522">
        <v>193.97744299999999</v>
      </c>
      <c r="I522">
        <v>13.977689</v>
      </c>
    </row>
    <row r="523" spans="1:9" x14ac:dyDescent="0.45">
      <c r="A523">
        <v>522</v>
      </c>
      <c r="B523">
        <v>-15.23931</v>
      </c>
      <c r="C523">
        <v>-124.52155</v>
      </c>
      <c r="D523">
        <v>1122</v>
      </c>
      <c r="E523">
        <v>-15.23865</v>
      </c>
      <c r="F523">
        <v>-124.52158</v>
      </c>
      <c r="G523">
        <v>73.100999999999999</v>
      </c>
      <c r="H523">
        <v>357.47309200000001</v>
      </c>
      <c r="I523">
        <v>177.47309999999999</v>
      </c>
    </row>
    <row r="524" spans="1:9" x14ac:dyDescent="0.45">
      <c r="A524">
        <v>523</v>
      </c>
      <c r="B524">
        <v>9.8937600000000003</v>
      </c>
      <c r="C524">
        <v>-160.16874000000001</v>
      </c>
      <c r="D524">
        <v>1123</v>
      </c>
      <c r="E524">
        <v>9.8933800000000005</v>
      </c>
      <c r="F524">
        <v>-160.16835</v>
      </c>
      <c r="G524">
        <v>59.968000000000004</v>
      </c>
      <c r="H524">
        <v>134.49832000000001</v>
      </c>
      <c r="I524">
        <v>314.49838699999998</v>
      </c>
    </row>
    <row r="525" spans="1:9" x14ac:dyDescent="0.45">
      <c r="A525">
        <v>524</v>
      </c>
      <c r="B525">
        <v>0.93320999999999998</v>
      </c>
      <c r="C525">
        <v>69.211579999999998</v>
      </c>
      <c r="D525">
        <v>1124</v>
      </c>
      <c r="E525">
        <v>0.93220000000000003</v>
      </c>
      <c r="F525">
        <v>69.210130000000007</v>
      </c>
      <c r="G525">
        <v>196.26499999999999</v>
      </c>
      <c r="H525">
        <v>235.317488</v>
      </c>
      <c r="I525">
        <v>55.317464999999999</v>
      </c>
    </row>
    <row r="526" spans="1:9" x14ac:dyDescent="0.45">
      <c r="A526">
        <v>525</v>
      </c>
      <c r="B526">
        <v>9.0167800000000007</v>
      </c>
      <c r="C526">
        <v>-46.973880000000001</v>
      </c>
      <c r="D526">
        <v>1125</v>
      </c>
      <c r="E526">
        <v>9.0157900000000009</v>
      </c>
      <c r="F526">
        <v>-46.974139999999998</v>
      </c>
      <c r="G526">
        <v>113.166</v>
      </c>
      <c r="H526">
        <v>194.63252499999999</v>
      </c>
      <c r="I526">
        <v>14.632484</v>
      </c>
    </row>
    <row r="527" spans="1:9" x14ac:dyDescent="0.45">
      <c r="A527">
        <v>526</v>
      </c>
      <c r="B527">
        <v>-87.850409999999997</v>
      </c>
      <c r="C527">
        <v>-66.755480000000006</v>
      </c>
      <c r="D527">
        <v>1126</v>
      </c>
      <c r="E527">
        <v>-87.850179999999995</v>
      </c>
      <c r="F527">
        <v>-66.755359999999996</v>
      </c>
      <c r="G527">
        <v>25.693999999999999</v>
      </c>
      <c r="H527">
        <v>1.1212500000000001</v>
      </c>
      <c r="I527">
        <v>181.12112999999999</v>
      </c>
    </row>
    <row r="528" spans="1:9" x14ac:dyDescent="0.45">
      <c r="A528">
        <v>527</v>
      </c>
      <c r="B528">
        <v>55.552210000000002</v>
      </c>
      <c r="C528">
        <v>-27.560110000000002</v>
      </c>
      <c r="D528">
        <v>1127</v>
      </c>
      <c r="E528">
        <v>55.552399999999999</v>
      </c>
      <c r="F528">
        <v>-27.56054</v>
      </c>
      <c r="G528">
        <v>34.408999999999999</v>
      </c>
      <c r="H528">
        <v>307.93549999999999</v>
      </c>
      <c r="I528">
        <v>127.93514500000001</v>
      </c>
    </row>
    <row r="529" spans="1:9" x14ac:dyDescent="0.45">
      <c r="A529">
        <v>528</v>
      </c>
      <c r="B529">
        <v>21.896550000000001</v>
      </c>
      <c r="C529">
        <v>-163.30045000000001</v>
      </c>
      <c r="D529">
        <v>1128</v>
      </c>
      <c r="E529">
        <v>21.895309999999998</v>
      </c>
      <c r="F529">
        <v>-163.30119999999999</v>
      </c>
      <c r="G529">
        <v>157.66800000000001</v>
      </c>
      <c r="H529">
        <v>209.44328400000001</v>
      </c>
      <c r="I529">
        <v>29.443004999999999</v>
      </c>
    </row>
    <row r="530" spans="1:9" x14ac:dyDescent="0.45">
      <c r="A530">
        <v>529</v>
      </c>
      <c r="B530">
        <v>-50.84901</v>
      </c>
      <c r="C530">
        <v>-26.023029999999999</v>
      </c>
      <c r="D530">
        <v>1129</v>
      </c>
      <c r="E530">
        <v>-50.848399999999998</v>
      </c>
      <c r="F530">
        <v>-26.0242</v>
      </c>
      <c r="G530">
        <v>106.744</v>
      </c>
      <c r="H530">
        <v>309.47300999999999</v>
      </c>
      <c r="I530">
        <v>129.473917</v>
      </c>
    </row>
    <row r="531" spans="1:9" x14ac:dyDescent="0.45">
      <c r="A531">
        <v>530</v>
      </c>
      <c r="B531">
        <v>-47.440240000000003</v>
      </c>
      <c r="C531">
        <v>-23.345009999999998</v>
      </c>
      <c r="D531">
        <v>1130</v>
      </c>
      <c r="E531">
        <v>-47.441859999999998</v>
      </c>
      <c r="F531">
        <v>-23.346060000000001</v>
      </c>
      <c r="G531">
        <v>196.755</v>
      </c>
      <c r="H531">
        <v>203.735928</v>
      </c>
      <c r="I531">
        <v>23.736701</v>
      </c>
    </row>
    <row r="532" spans="1:9" x14ac:dyDescent="0.45">
      <c r="A532">
        <v>531</v>
      </c>
      <c r="B532">
        <v>50.982750000000003</v>
      </c>
      <c r="C532">
        <v>67.050880000000006</v>
      </c>
      <c r="D532">
        <v>1131</v>
      </c>
      <c r="E532">
        <v>50.984229999999997</v>
      </c>
      <c r="F532">
        <v>67.051320000000004</v>
      </c>
      <c r="G532">
        <v>167.52099999999999</v>
      </c>
      <c r="H532">
        <v>10.628436000000001</v>
      </c>
      <c r="I532">
        <v>190.62877800000001</v>
      </c>
    </row>
    <row r="533" spans="1:9" x14ac:dyDescent="0.45">
      <c r="A533">
        <v>532</v>
      </c>
      <c r="B533">
        <v>-60.264620000000001</v>
      </c>
      <c r="C533">
        <v>161.77540999999999</v>
      </c>
      <c r="D533">
        <v>1132</v>
      </c>
      <c r="E533">
        <v>-60.26482</v>
      </c>
      <c r="F533">
        <v>161.77661000000001</v>
      </c>
      <c r="G533">
        <v>70.061999999999998</v>
      </c>
      <c r="H533">
        <v>108.54556599999999</v>
      </c>
      <c r="I533">
        <v>288.54452400000002</v>
      </c>
    </row>
    <row r="534" spans="1:9" x14ac:dyDescent="0.45">
      <c r="A534">
        <v>533</v>
      </c>
      <c r="B534">
        <v>-64.859790000000004</v>
      </c>
      <c r="C534">
        <v>110.19369</v>
      </c>
      <c r="D534">
        <v>1133</v>
      </c>
      <c r="E534">
        <v>-64.859120000000004</v>
      </c>
      <c r="F534">
        <v>110.19413</v>
      </c>
      <c r="G534">
        <v>77.558000000000007</v>
      </c>
      <c r="H534">
        <v>15.607313</v>
      </c>
      <c r="I534">
        <v>195.60691499999999</v>
      </c>
    </row>
    <row r="535" spans="1:9" x14ac:dyDescent="0.45">
      <c r="A535">
        <v>534</v>
      </c>
      <c r="B535">
        <v>-87.725380000000001</v>
      </c>
      <c r="C535">
        <v>114.25215</v>
      </c>
      <c r="D535">
        <v>1134</v>
      </c>
      <c r="E535">
        <v>-87.726039999999998</v>
      </c>
      <c r="F535">
        <v>114.25194999999999</v>
      </c>
      <c r="G535">
        <v>73.721999999999994</v>
      </c>
      <c r="H535">
        <v>180.688872</v>
      </c>
      <c r="I535">
        <v>0.68907200000000002</v>
      </c>
    </row>
    <row r="536" spans="1:9" x14ac:dyDescent="0.45">
      <c r="A536">
        <v>535</v>
      </c>
      <c r="B536">
        <v>-21.458410000000001</v>
      </c>
      <c r="C536">
        <v>94.608500000000006</v>
      </c>
      <c r="D536">
        <v>1135</v>
      </c>
      <c r="E536">
        <v>-21.456959999999999</v>
      </c>
      <c r="F536">
        <v>94.608900000000006</v>
      </c>
      <c r="G536">
        <v>165.815</v>
      </c>
      <c r="H536">
        <v>14.479808</v>
      </c>
      <c r="I536">
        <v>194.47966199999999</v>
      </c>
    </row>
    <row r="537" spans="1:9" x14ac:dyDescent="0.45">
      <c r="A537">
        <v>536</v>
      </c>
      <c r="B537">
        <v>4.68987</v>
      </c>
      <c r="C537">
        <v>-143.43491</v>
      </c>
      <c r="D537">
        <v>1136</v>
      </c>
      <c r="E537">
        <v>4.6914899999999999</v>
      </c>
      <c r="F537">
        <v>-143.43652</v>
      </c>
      <c r="G537">
        <v>252.982</v>
      </c>
      <c r="H537">
        <v>315.08242200000001</v>
      </c>
      <c r="I537">
        <v>135.08229</v>
      </c>
    </row>
    <row r="538" spans="1:9" x14ac:dyDescent="0.45">
      <c r="A538">
        <v>537</v>
      </c>
      <c r="B538">
        <v>-63.891199999999998</v>
      </c>
      <c r="C538">
        <v>61.013750000000002</v>
      </c>
      <c r="D538">
        <v>1137</v>
      </c>
      <c r="E538">
        <v>-63.890459999999997</v>
      </c>
      <c r="F538">
        <v>61.013849999999998</v>
      </c>
      <c r="G538">
        <v>82.638000000000005</v>
      </c>
      <c r="H538">
        <v>3.407886</v>
      </c>
      <c r="I538">
        <v>183.40779599999999</v>
      </c>
    </row>
    <row r="539" spans="1:9" x14ac:dyDescent="0.45">
      <c r="A539">
        <v>538</v>
      </c>
      <c r="B539">
        <v>44.804020000000001</v>
      </c>
      <c r="C539">
        <v>171.51248000000001</v>
      </c>
      <c r="D539">
        <v>1138</v>
      </c>
      <c r="E539">
        <v>44.804139999999997</v>
      </c>
      <c r="F539">
        <v>171.51219</v>
      </c>
      <c r="G539">
        <v>26.536999999999999</v>
      </c>
      <c r="H539">
        <v>300.16649899999999</v>
      </c>
      <c r="I539">
        <v>120.16629500000001</v>
      </c>
    </row>
    <row r="540" spans="1:9" x14ac:dyDescent="0.45">
      <c r="A540">
        <v>539</v>
      </c>
      <c r="B540">
        <v>4.6884899999999998</v>
      </c>
      <c r="C540">
        <v>87.839410000000001</v>
      </c>
      <c r="D540">
        <v>1139</v>
      </c>
      <c r="E540">
        <v>4.6893900000000004</v>
      </c>
      <c r="F540">
        <v>87.837980000000002</v>
      </c>
      <c r="G540">
        <v>187.28899999999999</v>
      </c>
      <c r="H540">
        <v>302.09948000000003</v>
      </c>
      <c r="I540">
        <v>122.099363</v>
      </c>
    </row>
    <row r="541" spans="1:9" x14ac:dyDescent="0.45">
      <c r="A541">
        <v>540</v>
      </c>
      <c r="B541">
        <v>0.22126000000000001</v>
      </c>
      <c r="C541">
        <v>138.36373</v>
      </c>
      <c r="D541">
        <v>1140</v>
      </c>
      <c r="E541">
        <v>0.21990999999999999</v>
      </c>
      <c r="F541">
        <v>138.36501000000001</v>
      </c>
      <c r="G541">
        <v>206.364</v>
      </c>
      <c r="H541">
        <v>136.33265</v>
      </c>
      <c r="I541">
        <v>316.33265499999999</v>
      </c>
    </row>
    <row r="542" spans="1:9" x14ac:dyDescent="0.45">
      <c r="A542">
        <v>541</v>
      </c>
      <c r="B542">
        <v>-9.2682300000000009</v>
      </c>
      <c r="C542">
        <v>175.48542</v>
      </c>
      <c r="D542">
        <v>1141</v>
      </c>
      <c r="E542">
        <v>-9.2696699999999996</v>
      </c>
      <c r="F542">
        <v>175.48419000000001</v>
      </c>
      <c r="G542">
        <v>208.881</v>
      </c>
      <c r="H542">
        <v>220.31610599999999</v>
      </c>
      <c r="I542">
        <v>40.316304000000002</v>
      </c>
    </row>
    <row r="543" spans="1:9" x14ac:dyDescent="0.45">
      <c r="A543">
        <v>542</v>
      </c>
      <c r="B543">
        <v>34.507199999999997</v>
      </c>
      <c r="C543">
        <v>-87.873410000000007</v>
      </c>
      <c r="D543">
        <v>1142</v>
      </c>
      <c r="E543">
        <v>34.506250000000001</v>
      </c>
      <c r="F543">
        <v>-87.874719999999996</v>
      </c>
      <c r="G543">
        <v>159.93199999999999</v>
      </c>
      <c r="H543">
        <v>228.781589</v>
      </c>
      <c r="I543">
        <v>48.780847000000001</v>
      </c>
    </row>
    <row r="544" spans="1:9" x14ac:dyDescent="0.45">
      <c r="A544">
        <v>543</v>
      </c>
      <c r="B544">
        <v>-35.9223</v>
      </c>
      <c r="C544">
        <v>-25.483509999999999</v>
      </c>
      <c r="D544">
        <v>1143</v>
      </c>
      <c r="E544">
        <v>-35.923110000000001</v>
      </c>
      <c r="F544">
        <v>-25.48197</v>
      </c>
      <c r="G544">
        <v>165.51499999999999</v>
      </c>
      <c r="H544">
        <v>122.889005</v>
      </c>
      <c r="I544">
        <v>302.888102</v>
      </c>
    </row>
    <row r="545" spans="1:9" x14ac:dyDescent="0.45">
      <c r="A545">
        <v>544</v>
      </c>
      <c r="B545">
        <v>-48.673439999999999</v>
      </c>
      <c r="C545">
        <v>131.04128</v>
      </c>
      <c r="D545">
        <v>1144</v>
      </c>
      <c r="E545">
        <v>-48.67351</v>
      </c>
      <c r="F545">
        <v>131.04103000000001</v>
      </c>
      <c r="G545">
        <v>19.989999999999998</v>
      </c>
      <c r="H545">
        <v>247.08245600000001</v>
      </c>
      <c r="I545">
        <v>67.082644000000002</v>
      </c>
    </row>
    <row r="546" spans="1:9" x14ac:dyDescent="0.45">
      <c r="A546">
        <v>545</v>
      </c>
      <c r="B546">
        <v>77.376769999999993</v>
      </c>
      <c r="C546">
        <v>128.91503</v>
      </c>
      <c r="D546">
        <v>1145</v>
      </c>
      <c r="E546">
        <v>77.37576</v>
      </c>
      <c r="F546">
        <v>128.91604000000001</v>
      </c>
      <c r="G546">
        <v>115.42</v>
      </c>
      <c r="H546">
        <v>167.66764599999999</v>
      </c>
      <c r="I546">
        <v>347.668632</v>
      </c>
    </row>
    <row r="547" spans="1:9" x14ac:dyDescent="0.45">
      <c r="A547">
        <v>546</v>
      </c>
      <c r="B547">
        <v>-87.696259999999995</v>
      </c>
      <c r="C547">
        <v>52.378459999999997</v>
      </c>
      <c r="D547">
        <v>1146</v>
      </c>
      <c r="E547">
        <v>-87.695849999999993</v>
      </c>
      <c r="F547">
        <v>52.379510000000003</v>
      </c>
      <c r="G547">
        <v>46.036000000000001</v>
      </c>
      <c r="H547">
        <v>5.8786360000000002</v>
      </c>
      <c r="I547">
        <v>185.87758700000001</v>
      </c>
    </row>
    <row r="548" spans="1:9" x14ac:dyDescent="0.45">
      <c r="A548">
        <v>547</v>
      </c>
      <c r="B548">
        <v>-86.859710000000007</v>
      </c>
      <c r="C548">
        <v>-77.554940000000002</v>
      </c>
      <c r="D548">
        <v>1147</v>
      </c>
      <c r="E548">
        <v>-86.858170000000001</v>
      </c>
      <c r="F548">
        <v>-77.554090000000002</v>
      </c>
      <c r="G548">
        <v>172.08199999999999</v>
      </c>
      <c r="H548">
        <v>1.7327650000000001</v>
      </c>
      <c r="I548">
        <v>181.73191600000001</v>
      </c>
    </row>
    <row r="549" spans="1:9" x14ac:dyDescent="0.45">
      <c r="A549">
        <v>548</v>
      </c>
      <c r="B549">
        <v>22.32029</v>
      </c>
      <c r="C549">
        <v>82.590350000000001</v>
      </c>
      <c r="D549">
        <v>1148</v>
      </c>
      <c r="E549">
        <v>22.319189999999999</v>
      </c>
      <c r="F549">
        <v>82.589699999999993</v>
      </c>
      <c r="G549">
        <v>139.00399999999999</v>
      </c>
      <c r="H549">
        <v>208.80169000000001</v>
      </c>
      <c r="I549">
        <v>28.801442999999999</v>
      </c>
    </row>
    <row r="550" spans="1:9" x14ac:dyDescent="0.45">
      <c r="A550">
        <v>549</v>
      </c>
      <c r="B550">
        <v>-37.656509999999997</v>
      </c>
      <c r="C550">
        <v>69.171620000000004</v>
      </c>
      <c r="D550">
        <v>1149</v>
      </c>
      <c r="E550">
        <v>-37.655340000000002</v>
      </c>
      <c r="F550">
        <v>69.170169999999999</v>
      </c>
      <c r="G550">
        <v>182.303</v>
      </c>
      <c r="H550">
        <v>315.42369100000002</v>
      </c>
      <c r="I550">
        <v>135.424576</v>
      </c>
    </row>
    <row r="551" spans="1:9" x14ac:dyDescent="0.45">
      <c r="A551">
        <v>550</v>
      </c>
      <c r="B551">
        <v>-64.748620000000003</v>
      </c>
      <c r="C551">
        <v>-51.613059999999997</v>
      </c>
      <c r="D551">
        <v>1150</v>
      </c>
      <c r="E551">
        <v>-64.748620000000003</v>
      </c>
      <c r="F551">
        <v>-51.611829999999998</v>
      </c>
      <c r="G551">
        <v>58.570999999999998</v>
      </c>
      <c r="H551">
        <v>90.000556000000003</v>
      </c>
      <c r="I551">
        <v>269.99944399999998</v>
      </c>
    </row>
    <row r="552" spans="1:9" x14ac:dyDescent="0.45">
      <c r="A552">
        <v>551</v>
      </c>
      <c r="B552">
        <v>-45.503100000000003</v>
      </c>
      <c r="C552">
        <v>130.99893</v>
      </c>
      <c r="D552">
        <v>1151</v>
      </c>
      <c r="E552">
        <v>-45.50177</v>
      </c>
      <c r="F552">
        <v>130.99808999999999</v>
      </c>
      <c r="G552">
        <v>161.74100000000001</v>
      </c>
      <c r="H552">
        <v>336.05245500000001</v>
      </c>
      <c r="I552">
        <v>156.053054</v>
      </c>
    </row>
    <row r="553" spans="1:9" x14ac:dyDescent="0.45">
      <c r="A553">
        <v>552</v>
      </c>
      <c r="B553">
        <v>39.820909999999998</v>
      </c>
      <c r="C553">
        <v>117.20762000000001</v>
      </c>
      <c r="D553">
        <v>1152</v>
      </c>
      <c r="E553">
        <v>39.822099999999999</v>
      </c>
      <c r="F553">
        <v>117.20762999999999</v>
      </c>
      <c r="G553">
        <v>132.13</v>
      </c>
      <c r="H553">
        <v>0.371257</v>
      </c>
      <c r="I553">
        <v>180.371263</v>
      </c>
    </row>
    <row r="554" spans="1:9" x14ac:dyDescent="0.45">
      <c r="A554">
        <v>553</v>
      </c>
      <c r="B554">
        <v>-59.94482</v>
      </c>
      <c r="C554">
        <v>-99.664619999999999</v>
      </c>
      <c r="D554">
        <v>1153</v>
      </c>
      <c r="E554">
        <v>-59.9452</v>
      </c>
      <c r="F554">
        <v>-99.666079999999994</v>
      </c>
      <c r="G554">
        <v>91.932000000000002</v>
      </c>
      <c r="H554">
        <v>242.578756</v>
      </c>
      <c r="I554">
        <v>62.580019999999998</v>
      </c>
    </row>
    <row r="555" spans="1:9" x14ac:dyDescent="0.45">
      <c r="A555">
        <v>554</v>
      </c>
      <c r="B555">
        <v>-38.392989999999998</v>
      </c>
      <c r="C555">
        <v>-137.47413</v>
      </c>
      <c r="D555">
        <v>1154</v>
      </c>
      <c r="E555">
        <v>-38.393360000000001</v>
      </c>
      <c r="F555">
        <v>-137.47548</v>
      </c>
      <c r="G555">
        <v>124.88500000000001</v>
      </c>
      <c r="H555">
        <v>250.79910000000001</v>
      </c>
      <c r="I555">
        <v>70.799937999999997</v>
      </c>
    </row>
    <row r="556" spans="1:9" x14ac:dyDescent="0.45">
      <c r="A556">
        <v>555</v>
      </c>
      <c r="B556">
        <v>23.46829</v>
      </c>
      <c r="C556">
        <v>39.082700000000003</v>
      </c>
      <c r="D556">
        <v>1155</v>
      </c>
      <c r="E556">
        <v>23.468820000000001</v>
      </c>
      <c r="F556">
        <v>39.083289999999998</v>
      </c>
      <c r="G556">
        <v>84.135999999999996</v>
      </c>
      <c r="H556">
        <v>45.760575000000003</v>
      </c>
      <c r="I556">
        <v>225.76080999999999</v>
      </c>
    </row>
    <row r="557" spans="1:9" x14ac:dyDescent="0.45">
      <c r="A557">
        <v>556</v>
      </c>
      <c r="B557">
        <v>-49.907690000000002</v>
      </c>
      <c r="C557">
        <v>30.808589999999999</v>
      </c>
      <c r="D557">
        <v>1156</v>
      </c>
      <c r="E557">
        <v>-49.908090000000001</v>
      </c>
      <c r="F557">
        <v>30.809439999999999</v>
      </c>
      <c r="G557">
        <v>75.548000000000002</v>
      </c>
      <c r="H557">
        <v>126.08000699999999</v>
      </c>
      <c r="I557">
        <v>306.07935700000002</v>
      </c>
    </row>
    <row r="558" spans="1:9" x14ac:dyDescent="0.45">
      <c r="A558">
        <v>557</v>
      </c>
      <c r="B558">
        <v>-42.444540000000003</v>
      </c>
      <c r="C558">
        <v>137.55591000000001</v>
      </c>
      <c r="D558">
        <v>1157</v>
      </c>
      <c r="E558">
        <v>-42.44388</v>
      </c>
      <c r="F558">
        <v>137.55475000000001</v>
      </c>
      <c r="G558">
        <v>120.345</v>
      </c>
      <c r="H558">
        <v>307.531251</v>
      </c>
      <c r="I558">
        <v>127.532034</v>
      </c>
    </row>
    <row r="559" spans="1:9" x14ac:dyDescent="0.45">
      <c r="A559">
        <v>558</v>
      </c>
      <c r="B559">
        <v>24.297070000000001</v>
      </c>
      <c r="C559">
        <v>57.05979</v>
      </c>
      <c r="D559">
        <v>1158</v>
      </c>
      <c r="E559">
        <v>24.295570000000001</v>
      </c>
      <c r="F559">
        <v>57.059570000000001</v>
      </c>
      <c r="G559">
        <v>167.63800000000001</v>
      </c>
      <c r="H559">
        <v>187.65612100000001</v>
      </c>
      <c r="I559">
        <v>7.6560300000000003</v>
      </c>
    </row>
    <row r="560" spans="1:9" x14ac:dyDescent="0.45">
      <c r="A560">
        <v>559</v>
      </c>
      <c r="B560">
        <v>-8.4226600000000005</v>
      </c>
      <c r="C560">
        <v>-62.467570000000002</v>
      </c>
      <c r="D560">
        <v>1159</v>
      </c>
      <c r="E560">
        <v>-8.4237699999999993</v>
      </c>
      <c r="F560">
        <v>-62.468589999999999</v>
      </c>
      <c r="G560">
        <v>166.4</v>
      </c>
      <c r="H560">
        <v>222.458482</v>
      </c>
      <c r="I560">
        <v>42.458632000000001</v>
      </c>
    </row>
    <row r="561" spans="1:9" x14ac:dyDescent="0.45">
      <c r="A561">
        <v>560</v>
      </c>
      <c r="B561">
        <v>70.662419999999997</v>
      </c>
      <c r="C561">
        <v>-113.46177</v>
      </c>
      <c r="D561">
        <v>1160</v>
      </c>
      <c r="E561">
        <v>70.661010000000005</v>
      </c>
      <c r="F561">
        <v>-113.46317000000001</v>
      </c>
      <c r="G561">
        <v>165.61099999999999</v>
      </c>
      <c r="H561">
        <v>198.21390400000001</v>
      </c>
      <c r="I561">
        <v>18.212582999999999</v>
      </c>
    </row>
    <row r="562" spans="1:9" x14ac:dyDescent="0.45">
      <c r="A562">
        <v>561</v>
      </c>
      <c r="B562">
        <v>62.566000000000003</v>
      </c>
      <c r="C562">
        <v>176.00112999999999</v>
      </c>
      <c r="D562">
        <v>1161</v>
      </c>
      <c r="E562">
        <v>62.56653</v>
      </c>
      <c r="F562">
        <v>176.00263000000001</v>
      </c>
      <c r="G562">
        <v>97.155000000000001</v>
      </c>
      <c r="H562">
        <v>52.553865999999999</v>
      </c>
      <c r="I562">
        <v>232.55519699999999</v>
      </c>
    </row>
    <row r="563" spans="1:9" x14ac:dyDescent="0.45">
      <c r="A563">
        <v>562</v>
      </c>
      <c r="B563">
        <v>75.147909999999996</v>
      </c>
      <c r="C563">
        <v>43.715119999999999</v>
      </c>
      <c r="D563">
        <v>1162</v>
      </c>
      <c r="E563">
        <v>75.14846</v>
      </c>
      <c r="F563">
        <v>43.716540000000002</v>
      </c>
      <c r="G563">
        <v>73.626000000000005</v>
      </c>
      <c r="H563">
        <v>33.506447999999999</v>
      </c>
      <c r="I563">
        <v>213.50782000000001</v>
      </c>
    </row>
    <row r="564" spans="1:9" x14ac:dyDescent="0.45">
      <c r="A564">
        <v>563</v>
      </c>
      <c r="B564">
        <v>81.150199999999998</v>
      </c>
      <c r="C564">
        <v>127.18482</v>
      </c>
      <c r="D564">
        <v>1163</v>
      </c>
      <c r="E564">
        <v>81.148679999999999</v>
      </c>
      <c r="F564">
        <v>127.18510000000001</v>
      </c>
      <c r="G564">
        <v>169.80199999999999</v>
      </c>
      <c r="H564">
        <v>178.376147</v>
      </c>
      <c r="I564">
        <v>358.37642399999999</v>
      </c>
    </row>
    <row r="565" spans="1:9" x14ac:dyDescent="0.45">
      <c r="A565">
        <v>564</v>
      </c>
      <c r="B565">
        <v>67.420209999999997</v>
      </c>
      <c r="C565">
        <v>13.883150000000001</v>
      </c>
      <c r="D565">
        <v>1164</v>
      </c>
      <c r="E565">
        <v>67.418679999999995</v>
      </c>
      <c r="F565">
        <v>13.88209</v>
      </c>
      <c r="G565">
        <v>176.584</v>
      </c>
      <c r="H565">
        <v>194.91181399999999</v>
      </c>
      <c r="I565">
        <v>14.910835000000001</v>
      </c>
    </row>
    <row r="566" spans="1:9" x14ac:dyDescent="0.45">
      <c r="A566">
        <v>565</v>
      </c>
      <c r="B566">
        <v>-73.155289999999994</v>
      </c>
      <c r="C566">
        <v>161.82722000000001</v>
      </c>
      <c r="D566">
        <v>1165</v>
      </c>
      <c r="E566">
        <v>-73.155420000000007</v>
      </c>
      <c r="F566">
        <v>161.82714999999999</v>
      </c>
      <c r="G566">
        <v>14.683999999999999</v>
      </c>
      <c r="H566">
        <v>188.87349</v>
      </c>
      <c r="I566">
        <v>8.8735569999999999</v>
      </c>
    </row>
    <row r="567" spans="1:9" x14ac:dyDescent="0.45">
      <c r="A567">
        <v>566</v>
      </c>
      <c r="B567">
        <v>41.140039999999999</v>
      </c>
      <c r="C567">
        <v>62.632280000000002</v>
      </c>
      <c r="D567">
        <v>1166</v>
      </c>
      <c r="E567">
        <v>41.140459999999997</v>
      </c>
      <c r="F567">
        <v>62.631129999999999</v>
      </c>
      <c r="G567">
        <v>107.227</v>
      </c>
      <c r="H567">
        <v>295.785777</v>
      </c>
      <c r="I567">
        <v>115.785021</v>
      </c>
    </row>
    <row r="568" spans="1:9" x14ac:dyDescent="0.45">
      <c r="A568">
        <v>567</v>
      </c>
      <c r="B568">
        <v>-85.355339999999998</v>
      </c>
      <c r="C568">
        <v>-53.217219999999998</v>
      </c>
      <c r="D568">
        <v>1167</v>
      </c>
      <c r="E568">
        <v>-85.35472</v>
      </c>
      <c r="F568">
        <v>-53.217640000000003</v>
      </c>
      <c r="G568">
        <v>69.349999999999994</v>
      </c>
      <c r="H568">
        <v>356.85965299999998</v>
      </c>
      <c r="I568">
        <v>176.860071</v>
      </c>
    </row>
    <row r="569" spans="1:9" x14ac:dyDescent="0.45">
      <c r="A569">
        <v>568</v>
      </c>
      <c r="B569">
        <v>68.745040000000003</v>
      </c>
      <c r="C569">
        <v>20.405180000000001</v>
      </c>
      <c r="D569">
        <v>1168</v>
      </c>
      <c r="E569">
        <v>68.743589999999998</v>
      </c>
      <c r="F569">
        <v>20.403860000000002</v>
      </c>
      <c r="G569">
        <v>170.33699999999999</v>
      </c>
      <c r="H569">
        <v>198.28004300000001</v>
      </c>
      <c r="I569">
        <v>18.278813</v>
      </c>
    </row>
    <row r="570" spans="1:9" x14ac:dyDescent="0.45">
      <c r="A570">
        <v>569</v>
      </c>
      <c r="B570">
        <v>-8.3592399999999998</v>
      </c>
      <c r="C570">
        <v>-153.76204000000001</v>
      </c>
      <c r="D570">
        <v>1169</v>
      </c>
      <c r="E570">
        <v>-8.3578100000000006</v>
      </c>
      <c r="F570">
        <v>-153.76132999999999</v>
      </c>
      <c r="G570">
        <v>176.43299999999999</v>
      </c>
      <c r="H570">
        <v>26.311076</v>
      </c>
      <c r="I570">
        <v>206.31097299999999</v>
      </c>
    </row>
    <row r="571" spans="1:9" x14ac:dyDescent="0.45">
      <c r="A571">
        <v>570</v>
      </c>
      <c r="B571">
        <v>68.881159999999994</v>
      </c>
      <c r="C571">
        <v>-76.59187</v>
      </c>
      <c r="D571">
        <v>1170</v>
      </c>
      <c r="E571">
        <v>68.879530000000003</v>
      </c>
      <c r="F571">
        <v>-76.590649999999997</v>
      </c>
      <c r="G571">
        <v>188.33</v>
      </c>
      <c r="H571">
        <v>164.89407700000001</v>
      </c>
      <c r="I571">
        <v>344.89521500000001</v>
      </c>
    </row>
    <row r="572" spans="1:9" x14ac:dyDescent="0.45">
      <c r="A572">
        <v>571</v>
      </c>
      <c r="B572">
        <v>-5.2629799999999998</v>
      </c>
      <c r="C572">
        <v>116.89711</v>
      </c>
      <c r="D572">
        <v>1171</v>
      </c>
      <c r="E572">
        <v>-5.2626400000000002</v>
      </c>
      <c r="F572">
        <v>116.89848000000001</v>
      </c>
      <c r="G572">
        <v>156.45400000000001</v>
      </c>
      <c r="H572">
        <v>76.094860999999995</v>
      </c>
      <c r="I572">
        <v>256.09473500000001</v>
      </c>
    </row>
    <row r="573" spans="1:9" x14ac:dyDescent="0.45">
      <c r="A573">
        <v>572</v>
      </c>
      <c r="B573">
        <v>81.034490000000005</v>
      </c>
      <c r="C573">
        <v>-37.409939999999999</v>
      </c>
      <c r="D573">
        <v>1172</v>
      </c>
      <c r="E573">
        <v>81.034229999999994</v>
      </c>
      <c r="F573">
        <v>-37.410400000000003</v>
      </c>
      <c r="G573">
        <v>30.117000000000001</v>
      </c>
      <c r="H573">
        <v>195.41726299999999</v>
      </c>
      <c r="I573">
        <v>15.416809000000001</v>
      </c>
    </row>
    <row r="574" spans="1:9" x14ac:dyDescent="0.45">
      <c r="A574">
        <v>573</v>
      </c>
      <c r="B574">
        <v>-76.24494</v>
      </c>
      <c r="C574">
        <v>-152.00111999999999</v>
      </c>
      <c r="D574">
        <v>1173</v>
      </c>
      <c r="E574">
        <v>-76.244789999999995</v>
      </c>
      <c r="F574">
        <v>-152.00139999999999</v>
      </c>
      <c r="G574">
        <v>18.321000000000002</v>
      </c>
      <c r="H574">
        <v>336.05807099999998</v>
      </c>
      <c r="I574">
        <v>156.05834300000001</v>
      </c>
    </row>
    <row r="575" spans="1:9" x14ac:dyDescent="0.45">
      <c r="A575">
        <v>574</v>
      </c>
      <c r="B575">
        <v>63.575389999999999</v>
      </c>
      <c r="C575">
        <v>49.150149999999996</v>
      </c>
      <c r="D575">
        <v>1174</v>
      </c>
      <c r="E575">
        <v>63.576270000000001</v>
      </c>
      <c r="F575">
        <v>49.150799999999997</v>
      </c>
      <c r="G575">
        <v>103.271</v>
      </c>
      <c r="H575">
        <v>18.218229000000001</v>
      </c>
      <c r="I575">
        <v>198.21881099999999</v>
      </c>
    </row>
    <row r="576" spans="1:9" x14ac:dyDescent="0.45">
      <c r="A576">
        <v>575</v>
      </c>
      <c r="B576">
        <v>-24.216640000000002</v>
      </c>
      <c r="C576">
        <v>92.246579999999994</v>
      </c>
      <c r="D576">
        <v>1175</v>
      </c>
      <c r="E576">
        <v>-24.21556</v>
      </c>
      <c r="F576">
        <v>92.246359999999996</v>
      </c>
      <c r="G576">
        <v>121.69199999999999</v>
      </c>
      <c r="H576">
        <v>349.41793200000001</v>
      </c>
      <c r="I576">
        <v>169.41802300000001</v>
      </c>
    </row>
    <row r="577" spans="1:9" x14ac:dyDescent="0.45">
      <c r="A577">
        <v>576</v>
      </c>
      <c r="B577">
        <v>20.30921</v>
      </c>
      <c r="C577">
        <v>-50.184229999999999</v>
      </c>
      <c r="D577">
        <v>1176</v>
      </c>
      <c r="E577">
        <v>20.30809</v>
      </c>
      <c r="F577">
        <v>-50.185029999999998</v>
      </c>
      <c r="G577">
        <v>149.517</v>
      </c>
      <c r="H577">
        <v>213.97435899999999</v>
      </c>
      <c r="I577">
        <v>33.974082000000003</v>
      </c>
    </row>
    <row r="578" spans="1:9" x14ac:dyDescent="0.45">
      <c r="A578">
        <v>577</v>
      </c>
      <c r="B578">
        <v>-25.984220000000001</v>
      </c>
      <c r="C578">
        <v>77.408730000000006</v>
      </c>
      <c r="D578">
        <v>1177</v>
      </c>
      <c r="E578">
        <v>-25.98358</v>
      </c>
      <c r="F578">
        <v>77.409930000000003</v>
      </c>
      <c r="G578">
        <v>139.518</v>
      </c>
      <c r="H578">
        <v>59.455711999999998</v>
      </c>
      <c r="I578">
        <v>239.455186</v>
      </c>
    </row>
    <row r="579" spans="1:9" x14ac:dyDescent="0.45">
      <c r="A579">
        <v>578</v>
      </c>
      <c r="B579">
        <v>79.588160000000002</v>
      </c>
      <c r="C579">
        <v>15.086510000000001</v>
      </c>
      <c r="D579">
        <v>1178</v>
      </c>
      <c r="E579">
        <v>79.587620000000001</v>
      </c>
      <c r="F579">
        <v>15.08705</v>
      </c>
      <c r="G579">
        <v>61.271999999999998</v>
      </c>
      <c r="H579">
        <v>169.75321</v>
      </c>
      <c r="I579">
        <v>349.75374099999999</v>
      </c>
    </row>
    <row r="580" spans="1:9" x14ac:dyDescent="0.45">
      <c r="A580">
        <v>579</v>
      </c>
      <c r="B580">
        <v>12.869120000000001</v>
      </c>
      <c r="C580">
        <v>145.58537000000001</v>
      </c>
      <c r="D580">
        <v>1179</v>
      </c>
      <c r="E580">
        <v>12.867520000000001</v>
      </c>
      <c r="F580">
        <v>145.58620999999999</v>
      </c>
      <c r="G580">
        <v>199.10900000000001</v>
      </c>
      <c r="H580">
        <v>152.74724399999999</v>
      </c>
      <c r="I580">
        <v>332.74743100000001</v>
      </c>
    </row>
    <row r="581" spans="1:9" x14ac:dyDescent="0.45">
      <c r="A581">
        <v>580</v>
      </c>
      <c r="B581">
        <v>-79.342209999999994</v>
      </c>
      <c r="C581">
        <v>-175.42848000000001</v>
      </c>
      <c r="D581">
        <v>1180</v>
      </c>
      <c r="E581">
        <v>-79.341830000000002</v>
      </c>
      <c r="F581">
        <v>-175.42913999999999</v>
      </c>
      <c r="G581">
        <v>44.564999999999998</v>
      </c>
      <c r="H581">
        <v>342.18767500000001</v>
      </c>
      <c r="I581">
        <v>162.18832399999999</v>
      </c>
    </row>
    <row r="582" spans="1:9" x14ac:dyDescent="0.45">
      <c r="A582">
        <v>581</v>
      </c>
      <c r="B582">
        <v>16.538219999999999</v>
      </c>
      <c r="C582">
        <v>-93.480230000000006</v>
      </c>
      <c r="D582">
        <v>1181</v>
      </c>
      <c r="E582">
        <v>16.537310000000002</v>
      </c>
      <c r="F582">
        <v>-93.479979999999998</v>
      </c>
      <c r="G582">
        <v>104.18</v>
      </c>
      <c r="H582">
        <v>165.158185</v>
      </c>
      <c r="I582">
        <v>345.15825599999999</v>
      </c>
    </row>
    <row r="583" spans="1:9" x14ac:dyDescent="0.45">
      <c r="A583">
        <v>582</v>
      </c>
      <c r="B583">
        <v>52.948039999999999</v>
      </c>
      <c r="C583">
        <v>-168.578</v>
      </c>
      <c r="D583">
        <v>1182</v>
      </c>
      <c r="E583">
        <v>52.949570000000001</v>
      </c>
      <c r="F583">
        <v>-168.57828000000001</v>
      </c>
      <c r="G583">
        <v>171.304</v>
      </c>
      <c r="H583">
        <v>353.69244800000001</v>
      </c>
      <c r="I583">
        <v>173.69222400000001</v>
      </c>
    </row>
    <row r="584" spans="1:9" x14ac:dyDescent="0.45">
      <c r="A584">
        <v>583</v>
      </c>
      <c r="B584">
        <v>-60.399009999999997</v>
      </c>
      <c r="C584">
        <v>33.393569999999997</v>
      </c>
      <c r="D584">
        <v>1183</v>
      </c>
      <c r="E584">
        <v>-60.398110000000003</v>
      </c>
      <c r="F584">
        <v>33.394120000000001</v>
      </c>
      <c r="G584">
        <v>104.761</v>
      </c>
      <c r="H584">
        <v>16.823619999999998</v>
      </c>
      <c r="I584">
        <v>196.82314099999999</v>
      </c>
    </row>
    <row r="585" spans="1:9" x14ac:dyDescent="0.45">
      <c r="A585">
        <v>584</v>
      </c>
      <c r="B585">
        <v>68.595179999999999</v>
      </c>
      <c r="C585">
        <v>-15.328950000000001</v>
      </c>
      <c r="D585">
        <v>1184</v>
      </c>
      <c r="E585">
        <v>68.596100000000007</v>
      </c>
      <c r="F585">
        <v>-15.32948</v>
      </c>
      <c r="G585">
        <v>104.86799999999999</v>
      </c>
      <c r="H585">
        <v>348.11685699999998</v>
      </c>
      <c r="I585">
        <v>168.116364</v>
      </c>
    </row>
    <row r="586" spans="1:9" x14ac:dyDescent="0.45">
      <c r="A586">
        <v>585</v>
      </c>
      <c r="B586">
        <v>16.717369999999999</v>
      </c>
      <c r="C586">
        <v>-64.45478</v>
      </c>
      <c r="D586">
        <v>1185</v>
      </c>
      <c r="E586">
        <v>16.716539999999998</v>
      </c>
      <c r="F586">
        <v>-64.454139999999995</v>
      </c>
      <c r="G586">
        <v>114.435</v>
      </c>
      <c r="H586">
        <v>143.38528500000001</v>
      </c>
      <c r="I586">
        <v>323.385469</v>
      </c>
    </row>
    <row r="587" spans="1:9" x14ac:dyDescent="0.45">
      <c r="A587">
        <v>586</v>
      </c>
      <c r="B587">
        <v>-46.911709999999999</v>
      </c>
      <c r="C587">
        <v>46.777799999999999</v>
      </c>
      <c r="D587">
        <v>1186</v>
      </c>
      <c r="E587">
        <v>-46.912570000000002</v>
      </c>
      <c r="F587">
        <v>46.776249999999997</v>
      </c>
      <c r="G587">
        <v>151.93199999999999</v>
      </c>
      <c r="H587">
        <v>231.00347099999999</v>
      </c>
      <c r="I587">
        <v>51.004603000000003</v>
      </c>
    </row>
    <row r="588" spans="1:9" x14ac:dyDescent="0.45">
      <c r="A588">
        <v>587</v>
      </c>
      <c r="B588">
        <v>16.603719999999999</v>
      </c>
      <c r="C588">
        <v>75.550070000000005</v>
      </c>
      <c r="D588">
        <v>1187</v>
      </c>
      <c r="E588">
        <v>16.602630000000001</v>
      </c>
      <c r="F588">
        <v>75.551439999999999</v>
      </c>
      <c r="G588">
        <v>189.53</v>
      </c>
      <c r="H588">
        <v>129.526825</v>
      </c>
      <c r="I588">
        <v>309.52721600000001</v>
      </c>
    </row>
    <row r="589" spans="1:9" x14ac:dyDescent="0.45">
      <c r="A589">
        <v>588</v>
      </c>
      <c r="B589">
        <v>58.533949999999997</v>
      </c>
      <c r="C589">
        <v>89.970410000000001</v>
      </c>
      <c r="D589">
        <v>1188</v>
      </c>
      <c r="E589">
        <v>58.533389999999997</v>
      </c>
      <c r="F589">
        <v>89.97072</v>
      </c>
      <c r="G589">
        <v>64.938000000000002</v>
      </c>
      <c r="H589">
        <v>163.85448099999999</v>
      </c>
      <c r="I589">
        <v>343.85474599999998</v>
      </c>
    </row>
    <row r="590" spans="1:9" x14ac:dyDescent="0.45">
      <c r="A590">
        <v>589</v>
      </c>
      <c r="B590">
        <v>57.740430000000003</v>
      </c>
      <c r="C590">
        <v>-159.04400000000001</v>
      </c>
      <c r="D590">
        <v>1189</v>
      </c>
      <c r="E590">
        <v>57.740819999999999</v>
      </c>
      <c r="F590">
        <v>-159.04281</v>
      </c>
      <c r="G590">
        <v>83.126999999999995</v>
      </c>
      <c r="H590">
        <v>58.498026000000003</v>
      </c>
      <c r="I590">
        <v>238.499032</v>
      </c>
    </row>
    <row r="591" spans="1:9" x14ac:dyDescent="0.45">
      <c r="A591">
        <v>590</v>
      </c>
      <c r="B591">
        <v>-87.302459999999996</v>
      </c>
      <c r="C591">
        <v>-86.171480000000003</v>
      </c>
      <c r="D591">
        <v>1190</v>
      </c>
      <c r="E591">
        <v>-87.303079999999994</v>
      </c>
      <c r="F591">
        <v>-86.17201</v>
      </c>
      <c r="G591">
        <v>69.305000000000007</v>
      </c>
      <c r="H591">
        <v>182.30337299999999</v>
      </c>
      <c r="I591">
        <v>2.3039019999999999</v>
      </c>
    </row>
    <row r="592" spans="1:9" x14ac:dyDescent="0.45">
      <c r="A592">
        <v>591</v>
      </c>
      <c r="B592">
        <v>58.555579999999999</v>
      </c>
      <c r="C592">
        <v>152.70925</v>
      </c>
      <c r="D592">
        <v>1191</v>
      </c>
      <c r="E592">
        <v>58.555230000000002</v>
      </c>
      <c r="F592">
        <v>152.70991000000001</v>
      </c>
      <c r="G592">
        <v>54.737000000000002</v>
      </c>
      <c r="H592">
        <v>135.41720799999999</v>
      </c>
      <c r="I592">
        <v>315.41777100000002</v>
      </c>
    </row>
    <row r="593" spans="1:9" x14ac:dyDescent="0.45">
      <c r="A593">
        <v>592</v>
      </c>
      <c r="B593">
        <v>80.975669999999994</v>
      </c>
      <c r="C593">
        <v>125.0956</v>
      </c>
      <c r="D593">
        <v>1192</v>
      </c>
      <c r="E593">
        <v>80.974729999999994</v>
      </c>
      <c r="F593">
        <v>125.09496</v>
      </c>
      <c r="G593">
        <v>105.563</v>
      </c>
      <c r="H593">
        <v>186.09737999999999</v>
      </c>
      <c r="I593">
        <v>6.0967479999999998</v>
      </c>
    </row>
    <row r="594" spans="1:9" x14ac:dyDescent="0.45">
      <c r="A594">
        <v>593</v>
      </c>
      <c r="B594">
        <v>-79.555689999999998</v>
      </c>
      <c r="C594">
        <v>64.291449999999998</v>
      </c>
      <c r="D594">
        <v>1193</v>
      </c>
      <c r="E594">
        <v>-79.554770000000005</v>
      </c>
      <c r="F594">
        <v>64.291349999999994</v>
      </c>
      <c r="G594">
        <v>102.744</v>
      </c>
      <c r="H594">
        <v>358.87082299999997</v>
      </c>
      <c r="I594">
        <v>178.87092200000001</v>
      </c>
    </row>
    <row r="595" spans="1:9" x14ac:dyDescent="0.45">
      <c r="A595">
        <v>594</v>
      </c>
      <c r="B595">
        <v>4.5747099999999996</v>
      </c>
      <c r="C595">
        <v>-163.26329999999999</v>
      </c>
      <c r="D595">
        <v>1194</v>
      </c>
      <c r="E595">
        <v>4.5731799999999998</v>
      </c>
      <c r="F595">
        <v>-163.26361</v>
      </c>
      <c r="G595">
        <v>172.65100000000001</v>
      </c>
      <c r="H595">
        <v>191.49282199999999</v>
      </c>
      <c r="I595">
        <v>11.492796999999999</v>
      </c>
    </row>
    <row r="596" spans="1:9" x14ac:dyDescent="0.45">
      <c r="A596">
        <v>595</v>
      </c>
      <c r="B596">
        <v>-32.586469999999998</v>
      </c>
      <c r="C596">
        <v>55.960810000000002</v>
      </c>
      <c r="D596">
        <v>1195</v>
      </c>
      <c r="E596">
        <v>-32.586919999999999</v>
      </c>
      <c r="F596">
        <v>55.959560000000003</v>
      </c>
      <c r="G596">
        <v>127.52800000000001</v>
      </c>
      <c r="H596">
        <v>246.963211</v>
      </c>
      <c r="I596">
        <v>66.963883999999993</v>
      </c>
    </row>
    <row r="597" spans="1:9" x14ac:dyDescent="0.45">
      <c r="A597">
        <v>596</v>
      </c>
      <c r="B597">
        <v>-44.676169999999999</v>
      </c>
      <c r="C597">
        <v>-52.698720000000002</v>
      </c>
      <c r="D597">
        <v>1196</v>
      </c>
      <c r="E597">
        <v>-44.675960000000003</v>
      </c>
      <c r="F597">
        <v>-52.698650000000001</v>
      </c>
      <c r="G597">
        <v>23.986999999999998</v>
      </c>
      <c r="H597">
        <v>13.37862</v>
      </c>
      <c r="I597">
        <v>193.37857</v>
      </c>
    </row>
    <row r="598" spans="1:9" x14ac:dyDescent="0.45">
      <c r="A598">
        <v>597</v>
      </c>
      <c r="B598">
        <v>-7.11313</v>
      </c>
      <c r="C598">
        <v>-105.12806999999999</v>
      </c>
      <c r="D598">
        <v>1197</v>
      </c>
      <c r="E598">
        <v>-7.11151</v>
      </c>
      <c r="F598">
        <v>-105.12678</v>
      </c>
      <c r="G598">
        <v>228.922</v>
      </c>
      <c r="H598">
        <v>38.499268000000001</v>
      </c>
      <c r="I598">
        <v>218.49910800000001</v>
      </c>
    </row>
    <row r="599" spans="1:9" x14ac:dyDescent="0.45">
      <c r="A599">
        <v>598</v>
      </c>
      <c r="B599">
        <v>-65.864410000000007</v>
      </c>
      <c r="C599">
        <v>-133.07304999999999</v>
      </c>
      <c r="D599">
        <v>1198</v>
      </c>
      <c r="E599">
        <v>-65.865300000000005</v>
      </c>
      <c r="F599">
        <v>-133.07158999999999</v>
      </c>
      <c r="G599">
        <v>119.539</v>
      </c>
      <c r="H599">
        <v>146.118528</v>
      </c>
      <c r="I599">
        <v>326.11719599999998</v>
      </c>
    </row>
    <row r="600" spans="1:9" x14ac:dyDescent="0.45">
      <c r="A600">
        <v>599</v>
      </c>
      <c r="B600">
        <v>-55.944409999999998</v>
      </c>
      <c r="C600">
        <v>-81.245199999999997</v>
      </c>
      <c r="D600">
        <v>1199</v>
      </c>
      <c r="E600">
        <v>-55.944229999999997</v>
      </c>
      <c r="F600">
        <v>-81.245419999999996</v>
      </c>
      <c r="G600">
        <v>24.303000000000001</v>
      </c>
      <c r="H600">
        <v>325.55411400000003</v>
      </c>
      <c r="I600">
        <v>145.55429599999999</v>
      </c>
    </row>
    <row r="601" spans="1:9" x14ac:dyDescent="0.45">
      <c r="A601">
        <v>600</v>
      </c>
      <c r="B601">
        <v>-49.165570000000002</v>
      </c>
      <c r="C601">
        <v>-23.230329999999999</v>
      </c>
      <c r="D601">
        <v>1200</v>
      </c>
      <c r="E601">
        <v>-49.164830000000002</v>
      </c>
      <c r="F601">
        <v>-23.230720000000002</v>
      </c>
      <c r="G601">
        <v>87.073999999999998</v>
      </c>
      <c r="H601">
        <v>340.934417</v>
      </c>
      <c r="I601">
        <v>160.93471199999999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C449203-A77F-4A1B-9668-BBB73DDD053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Comparison</vt:lpstr>
      <vt:lpstr>Direct</vt:lpstr>
      <vt:lpstr>Inverse</vt:lpstr>
      <vt:lpstr>DirectTestData</vt:lpstr>
      <vt:lpstr>Direct Geoscience Aus</vt:lpstr>
      <vt:lpstr>InverseTestData</vt:lpstr>
      <vt:lpstr>Inverse Geoscience Aus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Vincenty's Direct and Inverse Solution of Geodesics on the Ellipsoid</dc:title>
  <dc:creator>Tomasz Jastrzębski</dc:creator>
  <cp:keywords>Vincenty;geodesy</cp:keywords>
  <cp:lastModifiedBy>Thomas</cp:lastModifiedBy>
  <dcterms:created xsi:type="dcterms:W3CDTF">2018-03-16T12:55:15Z</dcterms:created>
  <dcterms:modified xsi:type="dcterms:W3CDTF">2020-09-06T09:53:51Z</dcterms:modified>
  <cp:category>Geodesy</cp:category>
</cp:coreProperties>
</file>